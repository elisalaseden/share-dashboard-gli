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mc:AlternateContent xmlns:mc="http://schemas.openxmlformats.org/markup-compatibility/2006">
    <mc:Choice Requires="x15">
      <x15ac:absPath xmlns:x15ac="http://schemas.microsoft.com/office/spreadsheetml/2010/11/ac" url="S:\CONTRALORIA INTERNACIONAL\INTERNACIONAL 2026\E_TIPOS DE CAMBIO\"/>
    </mc:Choice>
  </mc:AlternateContent>
  <xr:revisionPtr revIDLastSave="0" documentId="8_{A015A16C-20CC-41A1-907C-F787B5AC04E4}" xr6:coauthVersionLast="47" xr6:coauthVersionMax="47" xr10:uidLastSave="{00000000-0000-0000-0000-000000000000}"/>
  <bookViews>
    <workbookView xWindow="-110" yWindow="-110" windowWidth="19420" windowHeight="10300" xr2:uid="{00000000-000D-0000-FFFF-FFFF00000000}"/>
  </bookViews>
  <sheets>
    <sheet name="Resumen" sheetId="2" r:id="rId1"/>
    <sheet name="BD_T.C." sheetId="1" r:id="rId2"/>
    <sheet name="2026" sheetId="3" state="hidden"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5" i="3" l="1"/>
  <c r="B35" i="3" s="1"/>
  <c r="X166" i="3"/>
  <c r="B3873" i="1"/>
  <c r="B3872" i="1"/>
  <c r="AO3872" i="1" s="1"/>
  <c r="B3871" i="1"/>
  <c r="B3870" i="1"/>
  <c r="B3869" i="1"/>
  <c r="B3844" i="1"/>
  <c r="B3843" i="1"/>
  <c r="B3840" i="1"/>
  <c r="B3814" i="1"/>
  <c r="A36" i="3" l="1"/>
  <c r="W3872" i="1"/>
  <c r="Y3872" i="1"/>
  <c r="AA3872" i="1"/>
  <c r="AC3872" i="1"/>
  <c r="AE3872" i="1"/>
  <c r="O3872" i="1"/>
  <c r="Q3872" i="1"/>
  <c r="S3872" i="1"/>
  <c r="U3872" i="1"/>
  <c r="AI3872" i="1"/>
  <c r="E3872" i="1"/>
  <c r="G3872" i="1"/>
  <c r="I3872" i="1"/>
  <c r="AG3872" i="1"/>
  <c r="K3872" i="1"/>
  <c r="M3872" i="1"/>
  <c r="AK3872" i="1"/>
  <c r="AM3872" i="1"/>
  <c r="B3845" i="1"/>
  <c r="B3815" i="1"/>
  <c r="A37" i="3" l="1"/>
  <c r="B37" i="3" s="1"/>
  <c r="B36" i="3"/>
  <c r="B3846" i="1"/>
  <c r="B3816" i="1"/>
  <c r="B3847" i="1" l="1"/>
  <c r="B3817" i="1"/>
  <c r="B3848" i="1" l="1"/>
  <c r="B3818" i="1"/>
  <c r="B3849" i="1" l="1"/>
  <c r="B3819" i="1"/>
  <c r="B3850" i="1" l="1"/>
  <c r="B3820" i="1"/>
  <c r="B3851" i="1" l="1"/>
  <c r="B3821" i="1"/>
  <c r="B3852" i="1" l="1"/>
  <c r="B3822" i="1"/>
  <c r="B3853" i="1" l="1"/>
  <c r="B3823" i="1"/>
  <c r="B3854" i="1" l="1"/>
  <c r="B3824" i="1"/>
  <c r="B3855" i="1" l="1"/>
  <c r="B3825" i="1"/>
  <c r="B3856" i="1" l="1"/>
  <c r="B3826" i="1"/>
  <c r="B3857" i="1" l="1"/>
  <c r="B3827" i="1"/>
  <c r="B3858" i="1" l="1"/>
  <c r="B3828" i="1"/>
  <c r="B3859" i="1" l="1"/>
  <c r="B3829" i="1"/>
  <c r="B3860" i="1" l="1"/>
  <c r="B3830" i="1"/>
  <c r="B3861" i="1" l="1"/>
  <c r="B3831" i="1"/>
  <c r="B3862" i="1" l="1"/>
  <c r="B3832" i="1"/>
  <c r="B3863" i="1" l="1"/>
  <c r="B3833" i="1"/>
  <c r="B3864" i="1" l="1"/>
  <c r="B3834" i="1"/>
  <c r="B3865" i="1" l="1"/>
  <c r="B3835" i="1"/>
  <c r="B3866" i="1" l="1"/>
  <c r="B3836" i="1"/>
  <c r="B3867" i="1" l="1"/>
  <c r="B3837" i="1"/>
  <c r="B3868" i="1" l="1"/>
  <c r="B3838" i="1"/>
  <c r="B3839" i="1" l="1"/>
  <c r="B3780" i="1" l="1"/>
  <c r="B3812" i="1" l="1"/>
  <c r="B3719" i="1"/>
  <c r="B3720" i="1" s="1"/>
  <c r="B3721" i="1" s="1"/>
  <c r="B3722" i="1" s="1"/>
  <c r="B3723" i="1" s="1"/>
  <c r="B3724" i="1" s="1"/>
  <c r="B3725" i="1" s="1"/>
  <c r="B3726" i="1" s="1"/>
  <c r="B3727" i="1" s="1"/>
  <c r="B3728" i="1" s="1"/>
  <c r="B3729" i="1" s="1"/>
  <c r="B3730" i="1" s="1"/>
  <c r="B3731" i="1" s="1"/>
  <c r="B3732" i="1" s="1"/>
  <c r="B3733" i="1" s="1"/>
  <c r="B3734" i="1" s="1"/>
  <c r="B3735" i="1" s="1"/>
  <c r="B3736" i="1" s="1"/>
  <c r="B3737" i="1" s="1"/>
  <c r="B3738" i="1" s="1"/>
  <c r="B3739" i="1" s="1"/>
  <c r="B3740" i="1" s="1"/>
  <c r="B3741" i="1" s="1"/>
  <c r="B3742" i="1" s="1"/>
  <c r="B3743" i="1" s="1"/>
  <c r="B3744" i="1" s="1"/>
  <c r="B3745" i="1" s="1"/>
  <c r="B3746" i="1" s="1"/>
  <c r="B3747" i="1" s="1"/>
  <c r="B3748" i="1" s="1"/>
  <c r="B3841" i="1" l="1"/>
  <c r="B3717" i="1"/>
  <c r="B3685" i="1" l="1"/>
  <c r="B3" i="3" l="1"/>
  <c r="C3" i="3"/>
  <c r="D3" i="3"/>
  <c r="E3" i="3"/>
  <c r="F3" i="3"/>
  <c r="G3" i="3"/>
  <c r="H3" i="3"/>
  <c r="I3" i="3"/>
  <c r="J3" i="3"/>
  <c r="K3" i="3"/>
  <c r="B7" i="3"/>
  <c r="C3872" i="1" s="1"/>
  <c r="A8" i="3"/>
  <c r="AM3871" i="1" l="1"/>
  <c r="AK3871" i="1"/>
  <c r="S3871" i="1"/>
  <c r="O3871" i="1"/>
  <c r="M3871" i="1"/>
  <c r="Q3871" i="1"/>
  <c r="AO3871" i="1"/>
  <c r="W3870" i="1"/>
  <c r="U3870" i="1"/>
  <c r="S3870" i="1"/>
  <c r="AE3870" i="1"/>
  <c r="O3870" i="1"/>
  <c r="AO3870" i="1"/>
  <c r="AC3871" i="1"/>
  <c r="AM3870" i="1"/>
  <c r="Y3871" i="1"/>
  <c r="AA3870" i="1"/>
  <c r="K3870" i="1"/>
  <c r="AK3870" i="1"/>
  <c r="Y3870" i="1"/>
  <c r="AE3871" i="1"/>
  <c r="AG3870" i="1"/>
  <c r="I3871" i="1"/>
  <c r="U3871" i="1"/>
  <c r="AI3870" i="1"/>
  <c r="W3871" i="1"/>
  <c r="G3870" i="1"/>
  <c r="M3870" i="1"/>
  <c r="K3871" i="1"/>
  <c r="AI3871" i="1"/>
  <c r="E3870" i="1"/>
  <c r="AG3871" i="1"/>
  <c r="AC3870" i="1"/>
  <c r="AA3871" i="1"/>
  <c r="I3870" i="1"/>
  <c r="E3871" i="1"/>
  <c r="G3871" i="1"/>
  <c r="A9" i="3"/>
  <c r="B8" i="3"/>
  <c r="C3871" i="1" s="1"/>
  <c r="AC108" i="3"/>
  <c r="AC107" i="3"/>
  <c r="AC104" i="3"/>
  <c r="AC97" i="3"/>
  <c r="AC92" i="3"/>
  <c r="AC91" i="3"/>
  <c r="AC90" i="3"/>
  <c r="AC86" i="3"/>
  <c r="AC73" i="3"/>
  <c r="AC71" i="3"/>
  <c r="AC64" i="3"/>
  <c r="AC59" i="3"/>
  <c r="AC57" i="3"/>
  <c r="AC54" i="3"/>
  <c r="AC52" i="3"/>
  <c r="AC51" i="3"/>
  <c r="AC45" i="3"/>
  <c r="Y3869" i="1" l="1"/>
  <c r="AO3869" i="1"/>
  <c r="Q3870" i="1"/>
  <c r="A10" i="3"/>
  <c r="B9" i="3"/>
  <c r="C3870" i="1" s="1"/>
  <c r="AD157" i="3"/>
  <c r="AE157" i="3" s="1"/>
  <c r="AD156" i="3"/>
  <c r="AE156" i="3" s="1"/>
  <c r="M3869" i="1" l="1"/>
  <c r="I3869" i="1"/>
  <c r="G3869" i="1"/>
  <c r="AM3869" i="1"/>
  <c r="G3868" i="1"/>
  <c r="AI3869" i="1"/>
  <c r="AG3869" i="1"/>
  <c r="AK3869" i="1"/>
  <c r="Q3869" i="1"/>
  <c r="U3869" i="1"/>
  <c r="W3869" i="1"/>
  <c r="E3869" i="1"/>
  <c r="E3868" i="1"/>
  <c r="S3869" i="1"/>
  <c r="AI3868" i="1"/>
  <c r="K3869" i="1"/>
  <c r="Y3868" i="1"/>
  <c r="O3869" i="1"/>
  <c r="AA3869" i="1"/>
  <c r="AC3869" i="1"/>
  <c r="AE3869" i="1"/>
  <c r="AC3868" i="1"/>
  <c r="A11" i="3"/>
  <c r="B10" i="3"/>
  <c r="C3869" i="1" s="1"/>
  <c r="O3868" i="1" l="1"/>
  <c r="Q3868" i="1"/>
  <c r="I3868" i="1"/>
  <c r="M3868" i="1"/>
  <c r="U3868" i="1"/>
  <c r="K3868" i="1"/>
  <c r="W3868" i="1"/>
  <c r="AG3868" i="1"/>
  <c r="AK3868" i="1"/>
  <c r="I3867" i="1"/>
  <c r="AA3868" i="1"/>
  <c r="AO3868" i="1"/>
  <c r="AM3868" i="1"/>
  <c r="I3866" i="1"/>
  <c r="S3868" i="1"/>
  <c r="AE3868" i="1"/>
  <c r="A12" i="3"/>
  <c r="B11" i="3"/>
  <c r="C3868" i="1" s="1"/>
  <c r="A13" i="3"/>
  <c r="B3561" i="1"/>
  <c r="E3866" i="1" l="1"/>
  <c r="K3865" i="1"/>
  <c r="Y3865" i="1"/>
  <c r="S3867" i="1"/>
  <c r="O3865" i="1"/>
  <c r="Q3866" i="1"/>
  <c r="U3865" i="1"/>
  <c r="AC3867" i="1"/>
  <c r="Q3867" i="1"/>
  <c r="E3865" i="1"/>
  <c r="W3867" i="1"/>
  <c r="AI3866" i="1"/>
  <c r="O3866" i="1"/>
  <c r="AO3867" i="1"/>
  <c r="S3866" i="1"/>
  <c r="M3867" i="1"/>
  <c r="AC3866" i="1"/>
  <c r="AC3865" i="1"/>
  <c r="AE3866" i="1"/>
  <c r="AM3865" i="1"/>
  <c r="AK3866" i="1"/>
  <c r="W3866" i="1"/>
  <c r="G3866" i="1"/>
  <c r="AA3866" i="1"/>
  <c r="AI3867" i="1"/>
  <c r="AA3867" i="1"/>
  <c r="U3866" i="1"/>
  <c r="M3866" i="1"/>
  <c r="M3865" i="1"/>
  <c r="G3865" i="1"/>
  <c r="K3867" i="1"/>
  <c r="Q3865" i="1"/>
  <c r="E3867" i="1"/>
  <c r="AK3867" i="1"/>
  <c r="AK3865" i="1"/>
  <c r="AO3866" i="1"/>
  <c r="AM3867" i="1"/>
  <c r="U3867" i="1"/>
  <c r="AM3866" i="1"/>
  <c r="K3866" i="1"/>
  <c r="AE3867" i="1"/>
  <c r="G3867" i="1"/>
  <c r="AG3866" i="1"/>
  <c r="Y3867" i="1"/>
  <c r="O3867" i="1"/>
  <c r="Y3866" i="1"/>
  <c r="AG3867" i="1"/>
  <c r="AE3865" i="1"/>
  <c r="B12" i="3"/>
  <c r="C3867" i="1" s="1"/>
  <c r="A14" i="3"/>
  <c r="B13" i="3"/>
  <c r="C3866" i="1" s="1"/>
  <c r="B3562" i="1"/>
  <c r="B3563" i="1"/>
  <c r="B3559" i="1"/>
  <c r="B3529" i="1"/>
  <c r="I3865" i="1" l="1"/>
  <c r="AG3865" i="1"/>
  <c r="AA3865" i="1"/>
  <c r="W3865" i="1"/>
  <c r="AI3865" i="1"/>
  <c r="G3864" i="1"/>
  <c r="S3865" i="1"/>
  <c r="W3864" i="1"/>
  <c r="AO3865" i="1"/>
  <c r="AA3864" i="1"/>
  <c r="AC3864" i="1"/>
  <c r="A15" i="3"/>
  <c r="B14" i="3"/>
  <c r="C3865" i="1" s="1"/>
  <c r="B3564" i="1"/>
  <c r="B3530" i="1"/>
  <c r="AO3864" i="1" l="1"/>
  <c r="M3864" i="1"/>
  <c r="AK3864" i="1"/>
  <c r="AE3864" i="1"/>
  <c r="M3863" i="1"/>
  <c r="G3863" i="1"/>
  <c r="S3864" i="1"/>
  <c r="Y3863" i="1"/>
  <c r="U3864" i="1"/>
  <c r="Q3864" i="1"/>
  <c r="Y3864" i="1"/>
  <c r="AI3864" i="1"/>
  <c r="O3864" i="1"/>
  <c r="E3864" i="1"/>
  <c r="AG3864" i="1"/>
  <c r="I3864" i="1"/>
  <c r="Q3863" i="1"/>
  <c r="AM3864" i="1"/>
  <c r="K3864" i="1"/>
  <c r="B15" i="3"/>
  <c r="A16" i="3"/>
  <c r="B3565" i="1"/>
  <c r="B3531" i="1"/>
  <c r="AM3863" i="1" l="1"/>
  <c r="O3862" i="1"/>
  <c r="AG3863" i="1"/>
  <c r="I3862" i="1"/>
  <c r="S3863" i="1"/>
  <c r="K3862" i="1"/>
  <c r="B16" i="3"/>
  <c r="A17" i="3"/>
  <c r="B3566" i="1"/>
  <c r="B3532" i="1"/>
  <c r="G3862" i="1" l="1"/>
  <c r="A18" i="3"/>
  <c r="B17" i="3"/>
  <c r="B3567" i="1"/>
  <c r="B3533" i="1"/>
  <c r="A19" i="3" l="1"/>
  <c r="B18" i="3"/>
  <c r="B3568" i="1"/>
  <c r="B3534" i="1"/>
  <c r="A20" i="3" l="1"/>
  <c r="B19" i="3"/>
  <c r="B3569" i="1"/>
  <c r="B3535" i="1"/>
  <c r="B20" i="3" l="1"/>
  <c r="A21" i="3"/>
  <c r="B3570" i="1"/>
  <c r="B3536" i="1"/>
  <c r="B21" i="3" l="1"/>
  <c r="A22" i="3"/>
  <c r="B3571" i="1"/>
  <c r="B3537" i="1"/>
  <c r="B22" i="3" l="1"/>
  <c r="A23" i="3"/>
  <c r="B3572" i="1"/>
  <c r="B3538" i="1"/>
  <c r="B23" i="3" l="1"/>
  <c r="A24" i="3"/>
  <c r="B3573" i="1"/>
  <c r="B3539" i="1"/>
  <c r="A25" i="3" l="1"/>
  <c r="B24" i="3"/>
  <c r="B3574" i="1"/>
  <c r="B3540" i="1"/>
  <c r="A26" i="3" l="1"/>
  <c r="B25" i="3"/>
  <c r="B3575" i="1"/>
  <c r="B3541" i="1"/>
  <c r="B26" i="3" l="1"/>
  <c r="A27" i="3"/>
  <c r="B3576" i="1"/>
  <c r="B3542" i="1"/>
  <c r="B27" i="3" l="1"/>
  <c r="A28" i="3"/>
  <c r="B3577" i="1"/>
  <c r="B3543" i="1"/>
  <c r="B28" i="3" l="1"/>
  <c r="A29" i="3"/>
  <c r="B3578" i="1"/>
  <c r="B3544" i="1"/>
  <c r="B29" i="3" l="1"/>
  <c r="A30" i="3"/>
  <c r="B3579" i="1"/>
  <c r="B3545" i="1"/>
  <c r="A31" i="3" l="1"/>
  <c r="B30" i="3"/>
  <c r="B3580" i="1"/>
  <c r="B3546" i="1"/>
  <c r="A32" i="3" l="1"/>
  <c r="B31" i="3"/>
  <c r="B3581" i="1"/>
  <c r="B3547" i="1"/>
  <c r="B32" i="3" l="1"/>
  <c r="A33" i="3"/>
  <c r="B3582" i="1"/>
  <c r="B3548" i="1"/>
  <c r="B33" i="3" l="1"/>
  <c r="A34" i="3"/>
  <c r="B3583" i="1"/>
  <c r="B3549" i="1"/>
  <c r="B34" i="3" l="1"/>
  <c r="B3584" i="1"/>
  <c r="B3550" i="1"/>
  <c r="B4" i="3" l="1"/>
  <c r="K3842" i="1"/>
  <c r="Y3847" i="1"/>
  <c r="AM3854" i="1"/>
  <c r="AA3844" i="1"/>
  <c r="AE3842" i="1"/>
  <c r="Q3842" i="1"/>
  <c r="Y3860" i="1"/>
  <c r="E3842" i="1"/>
  <c r="AM3844" i="1"/>
  <c r="AA3853" i="1"/>
  <c r="I3861" i="1"/>
  <c r="AI3863" i="1"/>
  <c r="AO3854" i="1"/>
  <c r="AE3846" i="1"/>
  <c r="AI3846" i="1"/>
  <c r="Y3861" i="1"/>
  <c r="AK3843" i="1"/>
  <c r="AG3848" i="1"/>
  <c r="AO3858" i="1"/>
  <c r="W3857" i="1"/>
  <c r="M3857" i="1"/>
  <c r="S3861" i="1"/>
  <c r="G3860" i="1"/>
  <c r="AM3852" i="1"/>
  <c r="AK3858" i="1"/>
  <c r="AK3850" i="1"/>
  <c r="K3863" i="1"/>
  <c r="AE3852" i="1"/>
  <c r="AG3854" i="1"/>
  <c r="I3847" i="1"/>
  <c r="AE3856" i="1"/>
  <c r="AK3856" i="1"/>
  <c r="E3846" i="1"/>
  <c r="S3845" i="1"/>
  <c r="C3843" i="1"/>
  <c r="Y3849" i="1"/>
  <c r="C3864" i="1"/>
  <c r="AM3860" i="1"/>
  <c r="Q3854" i="1"/>
  <c r="W3853" i="1"/>
  <c r="Y3856" i="1"/>
  <c r="O3842" i="1"/>
  <c r="M3851" i="1"/>
  <c r="AI3844" i="1"/>
  <c r="E3857" i="1"/>
  <c r="AC3863" i="1"/>
  <c r="I3852" i="1"/>
  <c r="AC3852" i="1"/>
  <c r="AM3847" i="1"/>
  <c r="G3848" i="1"/>
  <c r="AC3862" i="1"/>
  <c r="K3860" i="1"/>
  <c r="I3844" i="1"/>
  <c r="AO3845" i="1"/>
  <c r="AO3862" i="1"/>
  <c r="AC3850" i="1"/>
  <c r="AC3857" i="1"/>
  <c r="Y3846" i="1"/>
  <c r="G3852" i="1"/>
  <c r="K3858" i="1"/>
  <c r="Y3845" i="1"/>
  <c r="AC3854" i="1"/>
  <c r="AI3854" i="1"/>
  <c r="E3862" i="1"/>
  <c r="AE3855" i="1"/>
  <c r="W3845" i="1"/>
  <c r="M3855" i="1"/>
  <c r="Q3859" i="1"/>
  <c r="AA3863" i="1"/>
  <c r="AO3846" i="1"/>
  <c r="Q3849" i="1"/>
  <c r="AM3850" i="1"/>
  <c r="Y3850" i="1"/>
  <c r="I3863" i="1"/>
  <c r="I3858" i="1"/>
  <c r="I3856" i="1"/>
  <c r="AK3848" i="1"/>
  <c r="AA3856" i="1"/>
  <c r="AE3847" i="1"/>
  <c r="U3855" i="1"/>
  <c r="U3850" i="1"/>
  <c r="AA3843" i="1"/>
  <c r="W3850" i="1"/>
  <c r="AM3856" i="1"/>
  <c r="W3863" i="1"/>
  <c r="C3859" i="1"/>
  <c r="U3863" i="1"/>
  <c r="S3852" i="1"/>
  <c r="W3843" i="1"/>
  <c r="AO3851" i="1"/>
  <c r="E3847" i="1"/>
  <c r="O3855" i="1"/>
  <c r="AA3842" i="1"/>
  <c r="U3853" i="1"/>
  <c r="E3848" i="1"/>
  <c r="E3853" i="1"/>
  <c r="AO3863" i="1"/>
  <c r="U3848" i="1"/>
  <c r="Q3851" i="1"/>
  <c r="M3854" i="1"/>
  <c r="G3845" i="1"/>
  <c r="S3857" i="1"/>
  <c r="G3854" i="1"/>
  <c r="W3846" i="1"/>
  <c r="W3842" i="1"/>
  <c r="O3859" i="1"/>
  <c r="M3860" i="1"/>
  <c r="C3853" i="1"/>
  <c r="AA3851" i="1"/>
  <c r="M3853" i="1"/>
  <c r="AE3853" i="1"/>
  <c r="AI3860" i="1"/>
  <c r="K3853" i="1"/>
  <c r="Y3859" i="1"/>
  <c r="I3845" i="1"/>
  <c r="AI3843" i="1"/>
  <c r="Q3855" i="1"/>
  <c r="Y3858" i="1"/>
  <c r="M3844" i="1"/>
  <c r="AM3851" i="1"/>
  <c r="AG3843" i="1"/>
  <c r="K3854" i="1"/>
  <c r="AE3850" i="1"/>
  <c r="S3849" i="1"/>
  <c r="G3857" i="1"/>
  <c r="E3858" i="1"/>
  <c r="AG3857" i="1"/>
  <c r="AE3857" i="1"/>
  <c r="Y3857" i="1"/>
  <c r="AK3842" i="1"/>
  <c r="I3846" i="1"/>
  <c r="AM3845" i="1"/>
  <c r="AK3857" i="1"/>
  <c r="K3851" i="1"/>
  <c r="AK3849" i="1"/>
  <c r="AO3850" i="1"/>
  <c r="AC3846" i="1"/>
  <c r="AA3850" i="1"/>
  <c r="C3848" i="1"/>
  <c r="E3855" i="1"/>
  <c r="AC3844" i="1"/>
  <c r="U3858" i="1"/>
  <c r="E3861" i="1"/>
  <c r="U3849" i="1"/>
  <c r="AC3860" i="1"/>
  <c r="M3849" i="1"/>
  <c r="U3851" i="1"/>
  <c r="W3847" i="1"/>
  <c r="W3849" i="1"/>
  <c r="AK3862" i="1"/>
  <c r="M3843" i="1"/>
  <c r="AO3860" i="1"/>
  <c r="E3856" i="1"/>
  <c r="E3852" i="1"/>
  <c r="U3862" i="1"/>
  <c r="M3856" i="1"/>
  <c r="I3853" i="1"/>
  <c r="E3859" i="1"/>
  <c r="G3842" i="1"/>
  <c r="K3856" i="1"/>
  <c r="AI3858" i="1"/>
  <c r="Q3846" i="1"/>
  <c r="AG3852" i="1"/>
  <c r="AA3855" i="1"/>
  <c r="O3853" i="1"/>
  <c r="C3856" i="1"/>
  <c r="O3852" i="1"/>
  <c r="E3860" i="1"/>
  <c r="AI3855" i="1"/>
  <c r="AC3847" i="1"/>
  <c r="AG3851" i="1"/>
  <c r="AA3846" i="1"/>
  <c r="U3852" i="1"/>
  <c r="AE3863" i="1"/>
  <c r="AC3843" i="1"/>
  <c r="C3863" i="1"/>
  <c r="K3845" i="1"/>
  <c r="AG3847" i="1"/>
  <c r="I3843" i="1"/>
  <c r="M3848" i="1"/>
  <c r="K3857" i="1"/>
  <c r="AE3861" i="1"/>
  <c r="E3843" i="1"/>
  <c r="K3850" i="1"/>
  <c r="C3851" i="1"/>
  <c r="C3858" i="1"/>
  <c r="AC3855" i="1"/>
  <c r="M3858" i="1"/>
  <c r="M3846" i="1"/>
  <c r="U3842" i="1"/>
  <c r="AI3848" i="1"/>
  <c r="S3855" i="1"/>
  <c r="O3850" i="1"/>
  <c r="AC3856" i="1"/>
  <c r="AG3850" i="1"/>
  <c r="AE3848" i="1"/>
  <c r="O3861" i="1"/>
  <c r="Y3862" i="1"/>
  <c r="O3845" i="1"/>
  <c r="C3855" i="1"/>
  <c r="AK3852" i="1"/>
  <c r="C3852" i="1"/>
  <c r="AO3843" i="1"/>
  <c r="G3843" i="1"/>
  <c r="AK3860" i="1"/>
  <c r="AC3842" i="1"/>
  <c r="G3861" i="1"/>
  <c r="AC3845" i="1"/>
  <c r="AA3858" i="1"/>
  <c r="E3863" i="1"/>
  <c r="K3843" i="1"/>
  <c r="AA3852" i="1"/>
  <c r="O3863" i="1"/>
  <c r="U3861" i="1"/>
  <c r="C3847" i="1"/>
  <c r="C3850" i="1"/>
  <c r="Q3853" i="1"/>
  <c r="S3860" i="1"/>
  <c r="K3848" i="1"/>
  <c r="AK3863" i="1"/>
  <c r="M3862" i="1"/>
  <c r="AE3844" i="1"/>
  <c r="U3847" i="1"/>
  <c r="K3852" i="1"/>
  <c r="O3849" i="1"/>
  <c r="I3851" i="1"/>
  <c r="S3843" i="1"/>
  <c r="G3856" i="1"/>
  <c r="AA3860" i="1"/>
  <c r="Y3851" i="1"/>
  <c r="Y3855" i="1"/>
  <c r="U3844" i="1"/>
  <c r="AE3862" i="1"/>
  <c r="AG3849" i="1"/>
  <c r="W3855" i="1"/>
  <c r="AO3861" i="1"/>
  <c r="W3859" i="1"/>
  <c r="AK3851" i="1"/>
  <c r="W3852" i="1"/>
  <c r="AE3843" i="1"/>
  <c r="AK3846" i="1"/>
  <c r="C3842" i="1"/>
  <c r="W3862" i="1"/>
  <c r="Q3848" i="1"/>
  <c r="Y3853" i="1"/>
  <c r="AK3844" i="1"/>
  <c r="AG3842" i="1"/>
  <c r="I3850" i="1"/>
  <c r="AG3856" i="1"/>
  <c r="AG3858" i="1"/>
  <c r="W3844" i="1"/>
  <c r="AE3845" i="1"/>
  <c r="C3862" i="1"/>
  <c r="O3857" i="1"/>
  <c r="AC3853" i="1"/>
  <c r="Y3844" i="1"/>
  <c r="AM3848" i="1"/>
  <c r="I3857" i="1"/>
  <c r="S3862" i="1"/>
  <c r="Q3845" i="1"/>
  <c r="AM3842" i="1"/>
  <c r="Q3843" i="1"/>
  <c r="AI3849" i="1"/>
  <c r="U3860" i="1"/>
  <c r="C3844" i="1"/>
  <c r="G3859" i="1"/>
  <c r="AO3852" i="1"/>
  <c r="C3849" i="1"/>
  <c r="W3856" i="1"/>
  <c r="AA3849" i="1"/>
  <c r="AI3845" i="1"/>
  <c r="AO3856" i="1"/>
  <c r="M3850" i="1"/>
  <c r="G3855" i="1"/>
  <c r="S3853" i="1"/>
  <c r="G3858" i="1"/>
  <c r="O3858" i="1"/>
  <c r="G3846" i="1"/>
  <c r="S3847" i="1"/>
  <c r="AE3851" i="1"/>
  <c r="K3844" i="1"/>
  <c r="AG3862" i="1"/>
  <c r="E3851" i="1"/>
  <c r="U3845" i="1"/>
  <c r="I3860" i="1"/>
  <c r="C3857" i="1"/>
  <c r="Y3852" i="1"/>
  <c r="AO3859" i="1"/>
  <c r="W3854" i="1"/>
  <c r="AI3861" i="1"/>
  <c r="AM3853" i="1"/>
  <c r="AG3859" i="1"/>
  <c r="I3855" i="1"/>
  <c r="G3851" i="1"/>
  <c r="M3861" i="1"/>
  <c r="AM3843" i="1"/>
  <c r="AI3853" i="1"/>
  <c r="O3848" i="1"/>
  <c r="G3849" i="1"/>
  <c r="I3859" i="1"/>
  <c r="U3857" i="1"/>
  <c r="Y3842" i="1"/>
  <c r="M3847" i="1"/>
  <c r="AK3855" i="1"/>
  <c r="W3861" i="1"/>
  <c r="AM3857" i="1"/>
  <c r="Y3848" i="1"/>
  <c r="K3859" i="1"/>
  <c r="E3844" i="1"/>
  <c r="K3855" i="1"/>
  <c r="AE3859" i="1"/>
  <c r="AI3856" i="1"/>
  <c r="AK3853" i="1"/>
  <c r="C3861" i="1"/>
  <c r="U3854" i="1"/>
  <c r="Y3843" i="1"/>
  <c r="AC3859" i="1"/>
  <c r="AA3848" i="1"/>
  <c r="AA3862" i="1"/>
  <c r="AO3857" i="1"/>
  <c r="AI3857" i="1"/>
  <c r="AA3845" i="1"/>
  <c r="S3858" i="1"/>
  <c r="E3845" i="1"/>
  <c r="I3848" i="1"/>
  <c r="AC3849" i="1"/>
  <c r="AE3858" i="1"/>
  <c r="AE3854" i="1"/>
  <c r="C3854" i="1"/>
  <c r="S3850" i="1"/>
  <c r="G3853" i="1"/>
  <c r="AI3842" i="1"/>
  <c r="E3849" i="1"/>
  <c r="AI3847" i="1"/>
  <c r="C3860" i="1"/>
  <c r="AM3849" i="1"/>
  <c r="AI3851" i="1"/>
  <c r="M3852" i="1"/>
  <c r="AO3844" i="1"/>
  <c r="AG3855" i="1"/>
  <c r="O3844" i="1"/>
  <c r="AO3849" i="1"/>
  <c r="M3842" i="1"/>
  <c r="AK3845" i="1"/>
  <c r="O3847" i="1"/>
  <c r="AC3858" i="1"/>
  <c r="K3846" i="1"/>
  <c r="I3849" i="1"/>
  <c r="AM3861" i="1"/>
  <c r="G3847" i="1"/>
  <c r="W3848" i="1"/>
  <c r="AK3859" i="1"/>
  <c r="AI3850" i="1"/>
  <c r="AI3859" i="1"/>
  <c r="AM3858" i="1"/>
  <c r="AI3852" i="1"/>
  <c r="AK3847" i="1"/>
  <c r="AO3855" i="1"/>
  <c r="AE3860" i="1"/>
  <c r="U3859" i="1"/>
  <c r="S3859" i="1"/>
  <c r="AA3857" i="1"/>
  <c r="AG3860" i="1"/>
  <c r="S3844" i="1"/>
  <c r="O3856" i="1"/>
  <c r="AM3862" i="1"/>
  <c r="AG3853" i="1"/>
  <c r="AO3853" i="1"/>
  <c r="O3860" i="1"/>
  <c r="I3854" i="1"/>
  <c r="AG3844" i="1"/>
  <c r="E3854" i="1"/>
  <c r="S3848" i="1"/>
  <c r="AG3845" i="1"/>
  <c r="Q3861" i="1"/>
  <c r="K3861" i="1"/>
  <c r="Q3862" i="1"/>
  <c r="M3859" i="1"/>
  <c r="AO3848" i="1"/>
  <c r="I3842" i="1"/>
  <c r="AC3848" i="1"/>
  <c r="AK3854" i="1"/>
  <c r="C3846" i="1"/>
  <c r="AI3862" i="1"/>
  <c r="Q3857" i="1"/>
  <c r="S3854" i="1"/>
  <c r="Q3858" i="1"/>
  <c r="O3843" i="1"/>
  <c r="K3849" i="1"/>
  <c r="M3845" i="1"/>
  <c r="AC3861" i="1"/>
  <c r="U3846" i="1"/>
  <c r="AE3849" i="1"/>
  <c r="O3854" i="1"/>
  <c r="U3856" i="1"/>
  <c r="AM3855" i="1"/>
  <c r="S3856" i="1"/>
  <c r="C3845" i="1"/>
  <c r="AG3846" i="1"/>
  <c r="Q3847" i="1"/>
  <c r="O3851" i="1"/>
  <c r="AC3851" i="1"/>
  <c r="Q3860" i="1"/>
  <c r="Q3856" i="1"/>
  <c r="E3850" i="1"/>
  <c r="AA3861" i="1"/>
  <c r="G3844" i="1"/>
  <c r="Y3854" i="1"/>
  <c r="W3860" i="1"/>
  <c r="AM3859" i="1"/>
  <c r="W3858" i="1"/>
  <c r="AG3861" i="1"/>
  <c r="G3850" i="1"/>
  <c r="K3847" i="1"/>
  <c r="AA3859" i="1"/>
  <c r="S3842" i="1"/>
  <c r="Q3844" i="1"/>
  <c r="S3851" i="1"/>
  <c r="AM3846" i="1"/>
  <c r="O3846" i="1"/>
  <c r="U3843" i="1"/>
  <c r="S3846" i="1"/>
  <c r="AA3847" i="1"/>
  <c r="Q3852" i="1"/>
  <c r="Q3850" i="1"/>
  <c r="AO3842" i="1"/>
  <c r="AK3861" i="1"/>
  <c r="AO3847" i="1"/>
  <c r="W3851" i="1"/>
  <c r="AA3854" i="1"/>
  <c r="B3585" i="1"/>
  <c r="B3551" i="1"/>
  <c r="U3873" i="1" l="1"/>
  <c r="AK3873" i="1"/>
  <c r="W3873" i="1"/>
  <c r="S3873" i="1"/>
  <c r="I3873" i="1"/>
  <c r="E3873" i="1"/>
  <c r="AM3873" i="1"/>
  <c r="AA3873" i="1"/>
  <c r="AI3873" i="1"/>
  <c r="M3873" i="1"/>
  <c r="AG3873" i="1"/>
  <c r="AE3873" i="1"/>
  <c r="G3873" i="1"/>
  <c r="Q3873" i="1"/>
  <c r="Y3873" i="1"/>
  <c r="C3873" i="1"/>
  <c r="AC3873" i="1"/>
  <c r="K3873" i="1"/>
  <c r="AO3873" i="1"/>
  <c r="O3873" i="1"/>
  <c r="B3586" i="1"/>
  <c r="B3552" i="1"/>
  <c r="AE3841" i="1" l="1"/>
  <c r="E3841" i="1"/>
  <c r="AG3841" i="1"/>
  <c r="G3841" i="1"/>
  <c r="AK3841" i="1"/>
  <c r="AO3841" i="1"/>
  <c r="AC3841" i="1"/>
  <c r="W3841" i="1"/>
  <c r="O3841" i="1"/>
  <c r="C3841" i="1"/>
  <c r="K3841" i="1"/>
  <c r="AM3841" i="1"/>
  <c r="S3841" i="1"/>
  <c r="Y3841" i="1"/>
  <c r="Q3841" i="1"/>
  <c r="AI3841" i="1"/>
  <c r="AA3841" i="1"/>
  <c r="U3841" i="1"/>
  <c r="I3841" i="1"/>
  <c r="M3841" i="1"/>
  <c r="AO3812" i="1"/>
  <c r="C3812" i="1"/>
  <c r="AI3812" i="1"/>
  <c r="Y3812" i="1"/>
  <c r="AC3812" i="1"/>
  <c r="M3812" i="1"/>
  <c r="Q3812" i="1"/>
  <c r="AM3812" i="1"/>
  <c r="AK3812" i="1"/>
  <c r="AG3812" i="1"/>
  <c r="O3812" i="1"/>
  <c r="K3812" i="1"/>
  <c r="S3812" i="1"/>
  <c r="I3812" i="1"/>
  <c r="G3812" i="1"/>
  <c r="AE3812" i="1"/>
  <c r="AA3812" i="1"/>
  <c r="W3812" i="1"/>
  <c r="U3812" i="1"/>
  <c r="E3812" i="1"/>
  <c r="C3748" i="1"/>
  <c r="Q3748" i="1"/>
  <c r="AO3748" i="1"/>
  <c r="U3748" i="1"/>
  <c r="W3748" i="1"/>
  <c r="AI3748" i="1"/>
  <c r="K3748" i="1"/>
  <c r="Y3748" i="1"/>
  <c r="M3748" i="1"/>
  <c r="G3748" i="1"/>
  <c r="E3748" i="1"/>
  <c r="I3748" i="1"/>
  <c r="S3748" i="1"/>
  <c r="AG3748" i="1"/>
  <c r="AK3748" i="1"/>
  <c r="AA3748" i="1"/>
  <c r="O3748" i="1"/>
  <c r="AC3748" i="1"/>
  <c r="AM3748" i="1"/>
  <c r="AE3748" i="1"/>
  <c r="B3587" i="1"/>
  <c r="B3553" i="1"/>
  <c r="Y3780" i="1" l="1"/>
  <c r="C3780" i="1"/>
  <c r="G3780" i="1"/>
  <c r="U3780" i="1"/>
  <c r="O3780" i="1"/>
  <c r="AC3780" i="1"/>
  <c r="Q3780" i="1"/>
  <c r="AK3780" i="1"/>
  <c r="M3780" i="1"/>
  <c r="E3780" i="1"/>
  <c r="AO3780" i="1"/>
  <c r="AI3780" i="1"/>
  <c r="I3780" i="1"/>
  <c r="AA3780" i="1"/>
  <c r="AM3780" i="1"/>
  <c r="AG3780" i="1"/>
  <c r="S3780" i="1"/>
  <c r="W3780" i="1"/>
  <c r="K3780" i="1"/>
  <c r="AE3780" i="1"/>
  <c r="O3717" i="1"/>
  <c r="S3717" i="1"/>
  <c r="AK3717" i="1"/>
  <c r="K3717" i="1"/>
  <c r="Y3717" i="1"/>
  <c r="AG3717" i="1"/>
  <c r="G3717" i="1"/>
  <c r="C3717" i="1"/>
  <c r="W3717" i="1"/>
  <c r="U3717" i="1"/>
  <c r="Q3717" i="1"/>
  <c r="AE3717" i="1"/>
  <c r="AM3717" i="1"/>
  <c r="AC3717" i="1"/>
  <c r="E3717" i="1"/>
  <c r="M3717" i="1"/>
  <c r="AO3717" i="1"/>
  <c r="I3717" i="1"/>
  <c r="AA3717" i="1"/>
  <c r="AI3717" i="1"/>
  <c r="B3622" i="1"/>
  <c r="B3588" i="1"/>
  <c r="B3554" i="1"/>
  <c r="K3685" i="1" l="1"/>
  <c r="W3685" i="1"/>
  <c r="AG3685" i="1"/>
  <c r="G3685" i="1"/>
  <c r="O3685" i="1"/>
  <c r="AM3685" i="1"/>
  <c r="U3685" i="1"/>
  <c r="Y3685" i="1"/>
  <c r="AE3685" i="1"/>
  <c r="AK3685" i="1"/>
  <c r="Q3685" i="1"/>
  <c r="M3685" i="1"/>
  <c r="E3685" i="1"/>
  <c r="I3685" i="1"/>
  <c r="S3685" i="1"/>
  <c r="AC3685" i="1"/>
  <c r="AA3685" i="1"/>
  <c r="AI3685" i="1"/>
  <c r="AO3685" i="1"/>
  <c r="C3685" i="1"/>
  <c r="B3589" i="1"/>
  <c r="B3590" i="1" s="1"/>
  <c r="B3555" i="1"/>
  <c r="B3556" i="1" l="1"/>
  <c r="B3557" i="1" l="1"/>
  <c r="AA3559" i="1" l="1"/>
  <c r="AO3559" i="1"/>
  <c r="S3559" i="1"/>
  <c r="Y3559" i="1"/>
  <c r="AI3559" i="1"/>
  <c r="Q3559" i="1"/>
  <c r="U3559" i="1"/>
  <c r="I3559" i="1"/>
  <c r="AM3559" i="1"/>
  <c r="AC3559" i="1"/>
  <c r="AK3559" i="1"/>
  <c r="E3559" i="1"/>
  <c r="C3559" i="1"/>
  <c r="W3559" i="1"/>
  <c r="K3559" i="1"/>
  <c r="AG3559" i="1"/>
  <c r="O3559" i="1"/>
  <c r="AE3559" i="1"/>
  <c r="G3559" i="1"/>
  <c r="M3559" i="1"/>
  <c r="AD155" i="3" l="1"/>
  <c r="AE155" i="3" s="1"/>
  <c r="B3498" i="1" l="1"/>
  <c r="B3499" i="1" l="1"/>
  <c r="B3500" i="1" l="1"/>
  <c r="B3501" i="1" l="1"/>
  <c r="B3502" i="1" l="1"/>
  <c r="B3503" i="1" l="1"/>
  <c r="B3504" i="1" l="1"/>
  <c r="B3505" i="1" l="1"/>
  <c r="B3506" i="1" l="1"/>
  <c r="B3507" i="1" l="1"/>
  <c r="B3508" i="1" l="1"/>
  <c r="B3509" i="1" l="1"/>
  <c r="B3510" i="1" l="1"/>
  <c r="B3511" i="1" l="1"/>
  <c r="B3512" i="1" l="1"/>
  <c r="B3513" i="1" l="1"/>
  <c r="B3514" i="1" l="1"/>
  <c r="B3515" i="1" l="1"/>
  <c r="B3516" i="1" l="1"/>
  <c r="B3517" i="1" l="1"/>
  <c r="B3518" i="1" l="1"/>
  <c r="B3519" i="1" l="1"/>
  <c r="B3520" i="1" l="1"/>
  <c r="B3521" i="1" l="1"/>
  <c r="B3522" i="1" l="1"/>
  <c r="B3523" i="1" l="1"/>
  <c r="B3524" i="1" l="1"/>
  <c r="B3525" i="1" l="1"/>
  <c r="B3526" i="1" s="1"/>
  <c r="B3527" i="1" l="1"/>
  <c r="AD154" i="3" l="1"/>
  <c r="AE154" i="3" s="1"/>
  <c r="B3466" i="1" l="1"/>
  <c r="B3467" i="1" l="1"/>
  <c r="B3468" i="1" l="1"/>
  <c r="B3469" i="1" l="1"/>
  <c r="AD153" i="3"/>
  <c r="AE153" i="3" s="1"/>
  <c r="AD152" i="3"/>
  <c r="AE152" i="3" s="1"/>
  <c r="AD151" i="3"/>
  <c r="AE151" i="3" s="1"/>
  <c r="AD150" i="3"/>
  <c r="AE150" i="3" s="1"/>
  <c r="AD149" i="3"/>
  <c r="AE149" i="3" s="1"/>
  <c r="AD148" i="3"/>
  <c r="AE148" i="3" s="1"/>
  <c r="AD147" i="3"/>
  <c r="AE147" i="3" s="1"/>
  <c r="AD146" i="3"/>
  <c r="AE146" i="3" s="1"/>
  <c r="AD145" i="3"/>
  <c r="AE145" i="3" s="1"/>
  <c r="AD144" i="3"/>
  <c r="AE144" i="3" s="1"/>
  <c r="AD143" i="3"/>
  <c r="AE143" i="3" s="1"/>
  <c r="AD142" i="3"/>
  <c r="AE142" i="3" s="1"/>
  <c r="AD141" i="3"/>
  <c r="AE141" i="3" s="1"/>
  <c r="AD140" i="3"/>
  <c r="AE140" i="3" s="1"/>
  <c r="AD139" i="3"/>
  <c r="AE139" i="3" s="1"/>
  <c r="AD138" i="3"/>
  <c r="AE138" i="3" s="1"/>
  <c r="AD137" i="3"/>
  <c r="AE137" i="3" s="1"/>
  <c r="AD136" i="3"/>
  <c r="AE136" i="3" s="1"/>
  <c r="AD135" i="3"/>
  <c r="AE135" i="3" s="1"/>
  <c r="B3405" i="1"/>
  <c r="B3406" i="1" s="1"/>
  <c r="B3470" i="1" l="1"/>
  <c r="B3407" i="1"/>
  <c r="B3471" i="1" l="1"/>
  <c r="B3408" i="1"/>
  <c r="B3472" i="1" l="1"/>
  <c r="B3409" i="1"/>
  <c r="B3473" i="1" l="1"/>
  <c r="B3410" i="1"/>
  <c r="B3474" i="1" l="1"/>
  <c r="B3411" i="1"/>
  <c r="B3475" i="1" l="1"/>
  <c r="B3412" i="1"/>
  <c r="B3476" i="1" l="1"/>
  <c r="B3413" i="1"/>
  <c r="B3477" i="1" l="1"/>
  <c r="B3414" i="1"/>
  <c r="B3478" i="1" l="1"/>
  <c r="B3415" i="1"/>
  <c r="B3479" i="1" l="1"/>
  <c r="B3416" i="1"/>
  <c r="B3480" i="1" l="1"/>
  <c r="B3417" i="1"/>
  <c r="B3481" i="1" l="1"/>
  <c r="B3418" i="1"/>
  <c r="B3482" i="1" l="1"/>
  <c r="B3419" i="1"/>
  <c r="B3483" i="1" l="1"/>
  <c r="B3420" i="1"/>
  <c r="B3484" i="1" l="1"/>
  <c r="B3421" i="1"/>
  <c r="B3485" i="1" l="1"/>
  <c r="B3422" i="1"/>
  <c r="B3486" i="1" l="1"/>
  <c r="B3423" i="1"/>
  <c r="B3487" i="1" l="1"/>
  <c r="B3424" i="1"/>
  <c r="B3488" i="1" l="1"/>
  <c r="B3425" i="1"/>
  <c r="B3489" i="1" l="1"/>
  <c r="B3426" i="1"/>
  <c r="B3490" i="1" l="1"/>
  <c r="B3427" i="1"/>
  <c r="B3491" i="1" l="1"/>
  <c r="B3492" i="1" s="1"/>
  <c r="B3493" i="1" s="1"/>
  <c r="B3494" i="1" s="1"/>
  <c r="B3495" i="1" s="1"/>
  <c r="B3428" i="1"/>
  <c r="B3429" i="1" l="1"/>
  <c r="B3496" i="1" l="1"/>
  <c r="B3430" i="1"/>
  <c r="B3431" i="1" l="1"/>
  <c r="B3432" i="1" l="1"/>
  <c r="B3464" i="1" l="1"/>
  <c r="B3433" i="1"/>
  <c r="B3434" i="1" l="1"/>
  <c r="B3435" i="1" l="1"/>
  <c r="BV37" i="3" l="1"/>
  <c r="BU37" i="3"/>
  <c r="BV36" i="3"/>
  <c r="BU36" i="3"/>
  <c r="BV35" i="3"/>
  <c r="BU35" i="3"/>
  <c r="BV34" i="3"/>
  <c r="BU34" i="3"/>
  <c r="BV33" i="3"/>
  <c r="BU33" i="3"/>
  <c r="BV32" i="3"/>
  <c r="BU32" i="3"/>
  <c r="BV31" i="3"/>
  <c r="BU31" i="3"/>
  <c r="BV30" i="3"/>
  <c r="BU30" i="3"/>
  <c r="BV29" i="3"/>
  <c r="BU29" i="3"/>
  <c r="BV28" i="3"/>
  <c r="BU28" i="3"/>
  <c r="BV27" i="3"/>
  <c r="BU27" i="3"/>
  <c r="BV26" i="3"/>
  <c r="BU26" i="3"/>
  <c r="BV25" i="3"/>
  <c r="BU25" i="3"/>
  <c r="BV24" i="3"/>
  <c r="BU24" i="3"/>
  <c r="BV23" i="3"/>
  <c r="BU23" i="3"/>
  <c r="BV22" i="3"/>
  <c r="BU22" i="3"/>
  <c r="BV21" i="3"/>
  <c r="BU21" i="3"/>
  <c r="BV20" i="3"/>
  <c r="BU20" i="3"/>
  <c r="BV19" i="3"/>
  <c r="BU19" i="3"/>
  <c r="BV18" i="3"/>
  <c r="BU18" i="3"/>
  <c r="BV17" i="3"/>
  <c r="BU17" i="3"/>
  <c r="BV16" i="3"/>
  <c r="BU16" i="3"/>
  <c r="BV15" i="3"/>
  <c r="BU15" i="3"/>
  <c r="BV14" i="3"/>
  <c r="BU14" i="3"/>
  <c r="BV13" i="3"/>
  <c r="BU13" i="3"/>
  <c r="BV12" i="3"/>
  <c r="BU12" i="3"/>
  <c r="BV11" i="3"/>
  <c r="BU11" i="3"/>
  <c r="BV10" i="3"/>
  <c r="BU10" i="3"/>
  <c r="BT37" i="3"/>
  <c r="BS37" i="3"/>
  <c r="BR37" i="3"/>
  <c r="BQ37" i="3"/>
  <c r="BP37" i="3"/>
  <c r="BO37" i="3"/>
  <c r="BN37" i="3"/>
  <c r="BM37" i="3"/>
  <c r="BL37" i="3"/>
  <c r="BK37" i="3"/>
  <c r="BJ37" i="3"/>
  <c r="BI37" i="3"/>
  <c r="BH37" i="3"/>
  <c r="BG37" i="3"/>
  <c r="BF37" i="3"/>
  <c r="BE37" i="3"/>
  <c r="BT36" i="3"/>
  <c r="BS36" i="3"/>
  <c r="BR36" i="3"/>
  <c r="BQ36" i="3"/>
  <c r="BP36" i="3"/>
  <c r="BO36" i="3"/>
  <c r="BN36" i="3"/>
  <c r="BM36" i="3"/>
  <c r="BL36" i="3"/>
  <c r="BK36" i="3"/>
  <c r="BJ36" i="3"/>
  <c r="BI36" i="3"/>
  <c r="BH36" i="3"/>
  <c r="BG36" i="3"/>
  <c r="BF36" i="3"/>
  <c r="BE36" i="3"/>
  <c r="BT35" i="3"/>
  <c r="BS35" i="3"/>
  <c r="BR35" i="3"/>
  <c r="BQ35" i="3"/>
  <c r="BP35" i="3"/>
  <c r="BO35" i="3"/>
  <c r="BN35" i="3"/>
  <c r="BM35" i="3"/>
  <c r="BL35" i="3"/>
  <c r="BK35" i="3"/>
  <c r="BJ35" i="3"/>
  <c r="BI35" i="3"/>
  <c r="BH35" i="3"/>
  <c r="BG35" i="3"/>
  <c r="BF35" i="3"/>
  <c r="BE35" i="3"/>
  <c r="BT34" i="3"/>
  <c r="BS34" i="3"/>
  <c r="BR34" i="3"/>
  <c r="BQ34" i="3"/>
  <c r="BP34" i="3"/>
  <c r="BO34" i="3"/>
  <c r="BN34" i="3"/>
  <c r="BM34" i="3"/>
  <c r="BL34" i="3"/>
  <c r="BK34" i="3"/>
  <c r="BJ34" i="3"/>
  <c r="BI34" i="3"/>
  <c r="BH34" i="3"/>
  <c r="BG34" i="3"/>
  <c r="BF34" i="3"/>
  <c r="BE34" i="3"/>
  <c r="BT33" i="3"/>
  <c r="BS33" i="3"/>
  <c r="BR33" i="3"/>
  <c r="BQ33" i="3"/>
  <c r="BP33" i="3"/>
  <c r="BO33" i="3"/>
  <c r="BN33" i="3"/>
  <c r="BM33" i="3"/>
  <c r="BL33" i="3"/>
  <c r="BK33" i="3"/>
  <c r="BJ33" i="3"/>
  <c r="BI33" i="3"/>
  <c r="BH33" i="3"/>
  <c r="BG33" i="3"/>
  <c r="BF33" i="3"/>
  <c r="BE33" i="3"/>
  <c r="BT32" i="3"/>
  <c r="BS32" i="3"/>
  <c r="BR32" i="3"/>
  <c r="BQ32" i="3"/>
  <c r="BP32" i="3"/>
  <c r="BO32" i="3"/>
  <c r="BN32" i="3"/>
  <c r="BM32" i="3"/>
  <c r="BL32" i="3"/>
  <c r="BK32" i="3"/>
  <c r="BJ32" i="3"/>
  <c r="BI32" i="3"/>
  <c r="BH32" i="3"/>
  <c r="BG32" i="3"/>
  <c r="BF32" i="3"/>
  <c r="BE32" i="3"/>
  <c r="BT31" i="3"/>
  <c r="BS31" i="3"/>
  <c r="BR31" i="3"/>
  <c r="BQ31" i="3"/>
  <c r="BP31" i="3"/>
  <c r="BO31" i="3"/>
  <c r="BN31" i="3"/>
  <c r="BM31" i="3"/>
  <c r="BL31" i="3"/>
  <c r="BK31" i="3"/>
  <c r="BJ31" i="3"/>
  <c r="BI31" i="3"/>
  <c r="BH31" i="3"/>
  <c r="BG31" i="3"/>
  <c r="BF31" i="3"/>
  <c r="BE31" i="3"/>
  <c r="BT30" i="3"/>
  <c r="BS30" i="3"/>
  <c r="BR30" i="3"/>
  <c r="BQ30" i="3"/>
  <c r="BP30" i="3"/>
  <c r="BO30" i="3"/>
  <c r="BN30" i="3"/>
  <c r="BM30" i="3"/>
  <c r="BL30" i="3"/>
  <c r="BK30" i="3"/>
  <c r="BJ30" i="3"/>
  <c r="BI30" i="3"/>
  <c r="BH30" i="3"/>
  <c r="BG30" i="3"/>
  <c r="BF30" i="3"/>
  <c r="BE30" i="3"/>
  <c r="BT29" i="3"/>
  <c r="BS29" i="3"/>
  <c r="BR29" i="3"/>
  <c r="BQ29" i="3"/>
  <c r="BP29" i="3"/>
  <c r="BO29" i="3"/>
  <c r="BN29" i="3"/>
  <c r="BM29" i="3"/>
  <c r="BL29" i="3"/>
  <c r="BK29" i="3"/>
  <c r="BJ29" i="3"/>
  <c r="BI29" i="3"/>
  <c r="BH29" i="3"/>
  <c r="BG29" i="3"/>
  <c r="BF29" i="3"/>
  <c r="BE29" i="3"/>
  <c r="BT28" i="3"/>
  <c r="BS28" i="3"/>
  <c r="BR28" i="3"/>
  <c r="BQ28" i="3"/>
  <c r="BP28" i="3"/>
  <c r="BO28" i="3"/>
  <c r="BN28" i="3"/>
  <c r="BM28" i="3"/>
  <c r="BL28" i="3"/>
  <c r="BK28" i="3"/>
  <c r="BJ28" i="3"/>
  <c r="BI28" i="3"/>
  <c r="BH28" i="3"/>
  <c r="BG28" i="3"/>
  <c r="BF28" i="3"/>
  <c r="BE28" i="3"/>
  <c r="BT27" i="3"/>
  <c r="BS27" i="3"/>
  <c r="BR27" i="3"/>
  <c r="BQ27" i="3"/>
  <c r="BP27" i="3"/>
  <c r="BO27" i="3"/>
  <c r="BN27" i="3"/>
  <c r="BM27" i="3"/>
  <c r="BL27" i="3"/>
  <c r="BK27" i="3"/>
  <c r="BJ27" i="3"/>
  <c r="BI27" i="3"/>
  <c r="BH27" i="3"/>
  <c r="BG27" i="3"/>
  <c r="BF27" i="3"/>
  <c r="BE27" i="3"/>
  <c r="BT26" i="3"/>
  <c r="BS26" i="3"/>
  <c r="BR26" i="3"/>
  <c r="BQ26" i="3"/>
  <c r="BP26" i="3"/>
  <c r="BO26" i="3"/>
  <c r="BN26" i="3"/>
  <c r="BM26" i="3"/>
  <c r="BL26" i="3"/>
  <c r="BK26" i="3"/>
  <c r="BJ26" i="3"/>
  <c r="BI26" i="3"/>
  <c r="BH26" i="3"/>
  <c r="BG26" i="3"/>
  <c r="BF26" i="3"/>
  <c r="BE26" i="3"/>
  <c r="BT25" i="3"/>
  <c r="BS25" i="3"/>
  <c r="BR25" i="3"/>
  <c r="BQ25" i="3"/>
  <c r="BP25" i="3"/>
  <c r="BO25" i="3"/>
  <c r="BN25" i="3"/>
  <c r="BM25" i="3"/>
  <c r="BL25" i="3"/>
  <c r="BK25" i="3"/>
  <c r="BJ25" i="3"/>
  <c r="BI25" i="3"/>
  <c r="BH25" i="3"/>
  <c r="BG25" i="3"/>
  <c r="BF25" i="3"/>
  <c r="BE25" i="3"/>
  <c r="BT24" i="3"/>
  <c r="BS24" i="3"/>
  <c r="BR24" i="3"/>
  <c r="BQ24" i="3"/>
  <c r="BP24" i="3"/>
  <c r="BO24" i="3"/>
  <c r="BN24" i="3"/>
  <c r="BM24" i="3"/>
  <c r="BL24" i="3"/>
  <c r="BK24" i="3"/>
  <c r="BJ24" i="3"/>
  <c r="BI24" i="3"/>
  <c r="BH24" i="3"/>
  <c r="BG24" i="3"/>
  <c r="BF24" i="3"/>
  <c r="BE24" i="3"/>
  <c r="BT23" i="3"/>
  <c r="BS23" i="3"/>
  <c r="BR23" i="3"/>
  <c r="BQ23" i="3"/>
  <c r="BP23" i="3"/>
  <c r="BO23" i="3"/>
  <c r="BN23" i="3"/>
  <c r="BM23" i="3"/>
  <c r="BL23" i="3"/>
  <c r="BK23" i="3"/>
  <c r="BJ23" i="3"/>
  <c r="BI23" i="3"/>
  <c r="BH23" i="3"/>
  <c r="BG23" i="3"/>
  <c r="BF23" i="3"/>
  <c r="BE23" i="3"/>
  <c r="BT22" i="3"/>
  <c r="BS22" i="3"/>
  <c r="BR22" i="3"/>
  <c r="BQ22" i="3"/>
  <c r="BP22" i="3"/>
  <c r="BO22" i="3"/>
  <c r="BN22" i="3"/>
  <c r="BM22" i="3"/>
  <c r="BL22" i="3"/>
  <c r="BK22" i="3"/>
  <c r="BJ22" i="3"/>
  <c r="BI22" i="3"/>
  <c r="BH22" i="3"/>
  <c r="BG22" i="3"/>
  <c r="BF22" i="3"/>
  <c r="BE22" i="3"/>
  <c r="BT21" i="3"/>
  <c r="BS21" i="3"/>
  <c r="BR21" i="3"/>
  <c r="BQ21" i="3"/>
  <c r="BP21" i="3"/>
  <c r="BO21" i="3"/>
  <c r="BN21" i="3"/>
  <c r="BM21" i="3"/>
  <c r="BL21" i="3"/>
  <c r="BK21" i="3"/>
  <c r="BJ21" i="3"/>
  <c r="BI21" i="3"/>
  <c r="BH21" i="3"/>
  <c r="BG21" i="3"/>
  <c r="BF21" i="3"/>
  <c r="BE21" i="3"/>
  <c r="BT20" i="3"/>
  <c r="BS20" i="3"/>
  <c r="BR20" i="3"/>
  <c r="BQ20" i="3"/>
  <c r="BP20" i="3"/>
  <c r="BO20" i="3"/>
  <c r="BN20" i="3"/>
  <c r="BM20" i="3"/>
  <c r="BL20" i="3"/>
  <c r="BK20" i="3"/>
  <c r="BJ20" i="3"/>
  <c r="BI20" i="3"/>
  <c r="BH20" i="3"/>
  <c r="BG20" i="3"/>
  <c r="BF20" i="3"/>
  <c r="BE20" i="3"/>
  <c r="BT19" i="3"/>
  <c r="BS19" i="3"/>
  <c r="BR19" i="3"/>
  <c r="BQ19" i="3"/>
  <c r="BP19" i="3"/>
  <c r="BO19" i="3"/>
  <c r="BN19" i="3"/>
  <c r="BM19" i="3"/>
  <c r="BL19" i="3"/>
  <c r="BK19" i="3"/>
  <c r="BJ19" i="3"/>
  <c r="BI19" i="3"/>
  <c r="BH19" i="3"/>
  <c r="BG19" i="3"/>
  <c r="BF19" i="3"/>
  <c r="BE19" i="3"/>
  <c r="BT18" i="3"/>
  <c r="BS18" i="3"/>
  <c r="BR18" i="3"/>
  <c r="BQ18" i="3"/>
  <c r="BP18" i="3"/>
  <c r="BO18" i="3"/>
  <c r="BN18" i="3"/>
  <c r="BM18" i="3"/>
  <c r="BL18" i="3"/>
  <c r="BK18" i="3"/>
  <c r="BJ18" i="3"/>
  <c r="BI18" i="3"/>
  <c r="BH18" i="3"/>
  <c r="BG18" i="3"/>
  <c r="BF18" i="3"/>
  <c r="BE18" i="3"/>
  <c r="BT17" i="3"/>
  <c r="BS17" i="3"/>
  <c r="BR17" i="3"/>
  <c r="BQ17" i="3"/>
  <c r="BP17" i="3"/>
  <c r="BO17" i="3"/>
  <c r="BN17" i="3"/>
  <c r="BM17" i="3"/>
  <c r="BL17" i="3"/>
  <c r="BK17" i="3"/>
  <c r="BJ17" i="3"/>
  <c r="BI17" i="3"/>
  <c r="BH17" i="3"/>
  <c r="BG17" i="3"/>
  <c r="BF17" i="3"/>
  <c r="BE17" i="3"/>
  <c r="BT16" i="3"/>
  <c r="BS16" i="3"/>
  <c r="BR16" i="3"/>
  <c r="BQ16" i="3"/>
  <c r="BP16" i="3"/>
  <c r="BO16" i="3"/>
  <c r="BN16" i="3"/>
  <c r="BM16" i="3"/>
  <c r="BL16" i="3"/>
  <c r="BK16" i="3"/>
  <c r="BJ16" i="3"/>
  <c r="BI16" i="3"/>
  <c r="BH16" i="3"/>
  <c r="BG16" i="3"/>
  <c r="BF16" i="3"/>
  <c r="BE16" i="3"/>
  <c r="BT15" i="3"/>
  <c r="BS15" i="3"/>
  <c r="BR15" i="3"/>
  <c r="BQ15" i="3"/>
  <c r="BP15" i="3"/>
  <c r="BO15" i="3"/>
  <c r="BN15" i="3"/>
  <c r="BM15" i="3"/>
  <c r="BL15" i="3"/>
  <c r="BK15" i="3"/>
  <c r="BJ15" i="3"/>
  <c r="BI15" i="3"/>
  <c r="BH15" i="3"/>
  <c r="BG15" i="3"/>
  <c r="BF15" i="3"/>
  <c r="BE15" i="3"/>
  <c r="BT14" i="3"/>
  <c r="BS14" i="3"/>
  <c r="BR14" i="3"/>
  <c r="BQ14" i="3"/>
  <c r="BP14" i="3"/>
  <c r="BO14" i="3"/>
  <c r="BN14" i="3"/>
  <c r="BM14" i="3"/>
  <c r="BL14" i="3"/>
  <c r="BK14" i="3"/>
  <c r="BJ14" i="3"/>
  <c r="BI14" i="3"/>
  <c r="BH14" i="3"/>
  <c r="BG14" i="3"/>
  <c r="BF14" i="3"/>
  <c r="BE14" i="3"/>
  <c r="BT13" i="3"/>
  <c r="BS13" i="3"/>
  <c r="BR13" i="3"/>
  <c r="BQ13" i="3"/>
  <c r="BP13" i="3"/>
  <c r="BO13" i="3"/>
  <c r="BN13" i="3"/>
  <c r="BM13" i="3"/>
  <c r="BL13" i="3"/>
  <c r="BK13" i="3"/>
  <c r="BJ13" i="3"/>
  <c r="BI13" i="3"/>
  <c r="BH13" i="3"/>
  <c r="BG13" i="3"/>
  <c r="BF13" i="3"/>
  <c r="BE13" i="3"/>
  <c r="BT12" i="3"/>
  <c r="BS12" i="3"/>
  <c r="BR12" i="3"/>
  <c r="BQ12" i="3"/>
  <c r="BP12" i="3"/>
  <c r="BO12" i="3"/>
  <c r="BN12" i="3"/>
  <c r="BM12" i="3"/>
  <c r="BL12" i="3"/>
  <c r="BK12" i="3"/>
  <c r="BJ12" i="3"/>
  <c r="BI12" i="3"/>
  <c r="BH12" i="3"/>
  <c r="BG12" i="3"/>
  <c r="BF12" i="3"/>
  <c r="BE12" i="3"/>
  <c r="BT11" i="3"/>
  <c r="BS11" i="3"/>
  <c r="BR11" i="3"/>
  <c r="BQ11" i="3"/>
  <c r="BP11" i="3"/>
  <c r="BO11" i="3"/>
  <c r="BN11" i="3"/>
  <c r="BM11" i="3"/>
  <c r="BL11" i="3"/>
  <c r="BK11" i="3"/>
  <c r="BJ11" i="3"/>
  <c r="BI11" i="3"/>
  <c r="BH11" i="3"/>
  <c r="BG11" i="3"/>
  <c r="BF11" i="3"/>
  <c r="BE11" i="3"/>
  <c r="BT10" i="3"/>
  <c r="BS10" i="3"/>
  <c r="BR10" i="3"/>
  <c r="BQ10" i="3"/>
  <c r="BP10" i="3"/>
  <c r="BO10" i="3"/>
  <c r="BN10" i="3"/>
  <c r="BM10" i="3"/>
  <c r="BL10" i="3"/>
  <c r="BK10" i="3"/>
  <c r="BJ10" i="3"/>
  <c r="BI10" i="3"/>
  <c r="BH10" i="3"/>
  <c r="BG10" i="3"/>
  <c r="BF10" i="3"/>
  <c r="BE10" i="3"/>
  <c r="BD36" i="3"/>
  <c r="BD35" i="3"/>
  <c r="BD34" i="3"/>
  <c r="BD33" i="3"/>
  <c r="BD32" i="3"/>
  <c r="BD31" i="3"/>
  <c r="BD30" i="3"/>
  <c r="BD29" i="3"/>
  <c r="BD28" i="3"/>
  <c r="BD27" i="3"/>
  <c r="BD26" i="3"/>
  <c r="BD25" i="3"/>
  <c r="BD24" i="3"/>
  <c r="BD23" i="3"/>
  <c r="BD22" i="3"/>
  <c r="BD21" i="3"/>
  <c r="BD20" i="3"/>
  <c r="BD19" i="3"/>
  <c r="BD18" i="3"/>
  <c r="BD17" i="3"/>
  <c r="BD16" i="3"/>
  <c r="BD15" i="3"/>
  <c r="BD14" i="3"/>
  <c r="BD13" i="3"/>
  <c r="BD12" i="3"/>
  <c r="BD11" i="3"/>
  <c r="BD10" i="3"/>
  <c r="BD37" i="3"/>
  <c r="B3279" i="1" l="1"/>
  <c r="B3280" i="1" l="1"/>
  <c r="B3281" i="1" s="1"/>
  <c r="B3282" i="1" l="1"/>
  <c r="B3283" i="1" l="1"/>
  <c r="B3284" i="1" l="1"/>
  <c r="B3285" i="1" l="1"/>
  <c r="B3286" i="1" l="1"/>
  <c r="B3287" i="1" l="1"/>
  <c r="B3288" i="1" l="1"/>
  <c r="B3289" i="1" l="1"/>
  <c r="B3290" i="1" l="1"/>
  <c r="B3291" i="1" l="1"/>
  <c r="G3590" i="1" l="1"/>
  <c r="AE3590" i="1"/>
  <c r="AI3590" i="1"/>
  <c r="AC3590" i="1"/>
  <c r="Y3590" i="1"/>
  <c r="K3590" i="1"/>
  <c r="AO3590" i="1"/>
  <c r="O3590" i="1"/>
  <c r="E3590" i="1"/>
  <c r="M3590" i="1"/>
  <c r="AG3590" i="1"/>
  <c r="W3590" i="1"/>
  <c r="AA3590" i="1"/>
  <c r="S3590" i="1"/>
  <c r="AM3590" i="1"/>
  <c r="U3590" i="1"/>
  <c r="I3590" i="1"/>
  <c r="Q3590" i="1"/>
  <c r="AK3590" i="1"/>
  <c r="B3292" i="1"/>
  <c r="B3293" i="1" l="1"/>
  <c r="B3294" i="1" l="1"/>
  <c r="B3295" i="1" l="1"/>
  <c r="B3296" i="1" l="1"/>
  <c r="B3297" i="1" l="1"/>
  <c r="B3298" i="1" l="1"/>
  <c r="B3299" i="1" l="1"/>
  <c r="B3300" i="1" l="1"/>
  <c r="B3301" i="1" l="1"/>
  <c r="B3302" i="1" l="1"/>
  <c r="B3303" i="1" l="1"/>
  <c r="B3304" i="1" l="1"/>
  <c r="B3305" i="1" l="1"/>
  <c r="B3306" i="1" l="1"/>
  <c r="B3307" i="1" l="1"/>
  <c r="B3308" i="1" s="1"/>
  <c r="B3215" i="1" l="1"/>
  <c r="B3216" i="1" l="1"/>
  <c r="B3" i="1"/>
  <c r="BC121" i="2" l="1"/>
  <c r="AK121" i="2"/>
  <c r="S121" i="2"/>
  <c r="AN121" i="2"/>
  <c r="AM121" i="2"/>
  <c r="BB121" i="2"/>
  <c r="AJ121" i="2"/>
  <c r="R121" i="2"/>
  <c r="AG121" i="2"/>
  <c r="O121" i="2"/>
  <c r="J121" i="2"/>
  <c r="AQ121" i="2"/>
  <c r="X121" i="2"/>
  <c r="D121" i="2"/>
  <c r="AZ121" i="2"/>
  <c r="AH121" i="2"/>
  <c r="P121" i="2"/>
  <c r="AB121" i="2"/>
  <c r="AA121" i="2"/>
  <c r="I121" i="2"/>
  <c r="G121" i="2"/>
  <c r="BH121" i="2"/>
  <c r="BF121" i="2"/>
  <c r="AY121" i="2"/>
  <c r="Y121" i="2"/>
  <c r="F121" i="2"/>
  <c r="V121" i="2"/>
  <c r="U121" i="2"/>
  <c r="AW121" i="2"/>
  <c r="AE121" i="2"/>
  <c r="M121" i="2"/>
  <c r="AV121" i="2"/>
  <c r="AD121" i="2"/>
  <c r="L121" i="2"/>
  <c r="AT121" i="2"/>
  <c r="AS121" i="2"/>
  <c r="BI121" i="2"/>
  <c r="AP121" i="2"/>
  <c r="BE121" i="2"/>
  <c r="C121" i="2"/>
  <c r="BH120" i="2"/>
  <c r="AY120" i="2"/>
  <c r="AJ120" i="2"/>
  <c r="AP120" i="2"/>
  <c r="AG120" i="2"/>
  <c r="L120" i="2"/>
  <c r="X120" i="2"/>
  <c r="O120" i="2"/>
  <c r="AD120" i="2"/>
  <c r="F120" i="2"/>
  <c r="AV120" i="2"/>
  <c r="BE120" i="2"/>
  <c r="AS120" i="2"/>
  <c r="R120" i="2"/>
  <c r="AM120" i="2"/>
  <c r="AA120" i="2"/>
  <c r="I120" i="2"/>
  <c r="U120" i="2"/>
  <c r="BB120" i="2"/>
  <c r="C120" i="2"/>
  <c r="D120" i="2"/>
  <c r="J120" i="2"/>
  <c r="Y120" i="2"/>
  <c r="G120" i="2"/>
  <c r="BC120" i="2"/>
  <c r="V120" i="2"/>
  <c r="AZ120" i="2"/>
  <c r="AH120" i="2"/>
  <c r="AW120" i="2"/>
  <c r="AK120" i="2"/>
  <c r="AN120" i="2"/>
  <c r="S120" i="2"/>
  <c r="M120" i="2"/>
  <c r="AQ120" i="2"/>
  <c r="BF120" i="2"/>
  <c r="P120" i="2"/>
  <c r="AB120" i="2"/>
  <c r="AE120" i="2"/>
  <c r="AT120" i="2"/>
  <c r="BI120" i="2"/>
  <c r="B3217" i="1"/>
  <c r="B3218" i="1" l="1"/>
  <c r="B3219" i="1" l="1"/>
  <c r="L3" i="3"/>
  <c r="M3" i="3"/>
  <c r="N3" i="3"/>
  <c r="O3" i="3"/>
  <c r="P3" i="3"/>
  <c r="Q3" i="3"/>
  <c r="R3" i="3"/>
  <c r="S3" i="3"/>
  <c r="T3" i="3"/>
  <c r="U3" i="3"/>
  <c r="B3220" i="1" l="1"/>
  <c r="AB73" i="3"/>
  <c r="AB57" i="3"/>
  <c r="AB91" i="3"/>
  <c r="AB108" i="3"/>
  <c r="AB107" i="3"/>
  <c r="AB104" i="3"/>
  <c r="AB97" i="3"/>
  <c r="AB92" i="3"/>
  <c r="AB90" i="3"/>
  <c r="AB86" i="3"/>
  <c r="AB71" i="3"/>
  <c r="AB64" i="3"/>
  <c r="AB59" i="3"/>
  <c r="AB54" i="3"/>
  <c r="AB52" i="3"/>
  <c r="AB51" i="3"/>
  <c r="AB45" i="3"/>
  <c r="AD104" i="3" l="1"/>
  <c r="AE104" i="3" s="1"/>
  <c r="AD54" i="3"/>
  <c r="AE54" i="3" s="1"/>
  <c r="AD71" i="3"/>
  <c r="AE71" i="3" s="1"/>
  <c r="AD64" i="3"/>
  <c r="AE64" i="3" s="1"/>
  <c r="AD51" i="3"/>
  <c r="AE51" i="3" s="1"/>
  <c r="AD52" i="3"/>
  <c r="AE52" i="3" s="1"/>
  <c r="AD97" i="3"/>
  <c r="AE97" i="3" s="1"/>
  <c r="AD92" i="3"/>
  <c r="AE92" i="3" s="1"/>
  <c r="AD91" i="3"/>
  <c r="AE91" i="3" s="1"/>
  <c r="AD59" i="3"/>
  <c r="AE59" i="3" s="1"/>
  <c r="AD108" i="3"/>
  <c r="AE108" i="3" s="1"/>
  <c r="AD107" i="3"/>
  <c r="AE107" i="3" s="1"/>
  <c r="AD90" i="3"/>
  <c r="AE90" i="3" s="1"/>
  <c r="B3221" i="1"/>
  <c r="AD86" i="3"/>
  <c r="AE86" i="3" s="1"/>
  <c r="AD73" i="3"/>
  <c r="AE73" i="3" s="1"/>
  <c r="AD45" i="3"/>
  <c r="AE45" i="3" s="1"/>
  <c r="AD57" i="3"/>
  <c r="AE57" i="3" s="1"/>
  <c r="B3222" i="1" l="1"/>
  <c r="B3223" i="1" l="1"/>
  <c r="B3121" i="1"/>
  <c r="B3224" i="1" l="1"/>
  <c r="B3122" i="1"/>
  <c r="B3225" i="1" l="1"/>
  <c r="B3123" i="1"/>
  <c r="B3226" i="1" l="1"/>
  <c r="B3124" i="1"/>
  <c r="B3089" i="1"/>
  <c r="B3090" i="1" s="1"/>
  <c r="B3091" i="1" s="1"/>
  <c r="B3227" i="1" l="1"/>
  <c r="B3125" i="1"/>
  <c r="B3092" i="1"/>
  <c r="B3228" i="1" l="1"/>
  <c r="B3126" i="1"/>
  <c r="B3093" i="1"/>
  <c r="B3087" i="1"/>
  <c r="B3229" i="1" l="1"/>
  <c r="B3127" i="1"/>
  <c r="B3094" i="1"/>
  <c r="B3230" i="1" l="1"/>
  <c r="B3128" i="1"/>
  <c r="B3095" i="1"/>
  <c r="B3231" i="1" l="1"/>
  <c r="B3129" i="1"/>
  <c r="B3096" i="1"/>
  <c r="Q3087" i="1"/>
  <c r="AG3087" i="1"/>
  <c r="O3087" i="1"/>
  <c r="AE3087" i="1"/>
  <c r="S3087" i="1"/>
  <c r="AI3087" i="1"/>
  <c r="C3087" i="1"/>
  <c r="E3087" i="1"/>
  <c r="U3087" i="1"/>
  <c r="AK3087" i="1"/>
  <c r="AM3087" i="1"/>
  <c r="G3087" i="1"/>
  <c r="W3087" i="1"/>
  <c r="M3087" i="1"/>
  <c r="I3087" i="1"/>
  <c r="Y3087" i="1"/>
  <c r="AO3087" i="1"/>
  <c r="AA3087" i="1"/>
  <c r="K3087" i="1"/>
  <c r="AC3087" i="1"/>
  <c r="B3057" i="1"/>
  <c r="AO7" i="1"/>
  <c r="AM7" i="1"/>
  <c r="AK7" i="1"/>
  <c r="AI7" i="1"/>
  <c r="AG7" i="1"/>
  <c r="AE7" i="1"/>
  <c r="AC7" i="1"/>
  <c r="AA7" i="1"/>
  <c r="Y7" i="1"/>
  <c r="W7" i="1"/>
  <c r="U7" i="1"/>
  <c r="S7" i="1"/>
  <c r="Q7" i="1"/>
  <c r="O7" i="1"/>
  <c r="M7" i="1"/>
  <c r="K7" i="1"/>
  <c r="I7" i="1"/>
  <c r="G7" i="1"/>
  <c r="E7" i="1"/>
  <c r="C7" i="1"/>
  <c r="B3232" i="1" l="1"/>
  <c r="B3130" i="1"/>
  <c r="B3097" i="1"/>
  <c r="B3233" i="1" l="1"/>
  <c r="B3131" i="1"/>
  <c r="B3098" i="1"/>
  <c r="BI9" i="2"/>
  <c r="BH9" i="2"/>
  <c r="BF9" i="2"/>
  <c r="BE9" i="2"/>
  <c r="BC9" i="2"/>
  <c r="BB9" i="2"/>
  <c r="AZ9" i="2"/>
  <c r="AY9" i="2"/>
  <c r="AW9" i="2"/>
  <c r="AV9" i="2"/>
  <c r="AT9" i="2"/>
  <c r="AS9" i="2"/>
  <c r="AQ9" i="2"/>
  <c r="AP9" i="2"/>
  <c r="AN9" i="2"/>
  <c r="AM9" i="2"/>
  <c r="AK9" i="2"/>
  <c r="AJ9" i="2"/>
  <c r="AH9" i="2"/>
  <c r="AG9" i="2"/>
  <c r="AE9" i="2"/>
  <c r="AD9" i="2"/>
  <c r="AB9" i="2"/>
  <c r="AA9" i="2"/>
  <c r="Y9" i="2"/>
  <c r="X9" i="2"/>
  <c r="V9" i="2"/>
  <c r="U9" i="2"/>
  <c r="S9" i="2"/>
  <c r="R9" i="2"/>
  <c r="P9" i="2"/>
  <c r="O9" i="2"/>
  <c r="M9" i="2"/>
  <c r="L9" i="2"/>
  <c r="J9" i="2"/>
  <c r="F9" i="2"/>
  <c r="G9" i="2"/>
  <c r="I9" i="2"/>
  <c r="D9" i="2"/>
  <c r="C9" i="2"/>
  <c r="B3234" i="1" l="1"/>
  <c r="B3132" i="1"/>
  <c r="B3099" i="1"/>
  <c r="C5" i="2"/>
  <c r="D5" i="2"/>
  <c r="F5" i="2"/>
  <c r="G5" i="2"/>
  <c r="I5" i="2"/>
  <c r="J5" i="2"/>
  <c r="L5" i="2"/>
  <c r="M5" i="2"/>
  <c r="O5" i="2"/>
  <c r="P5" i="2"/>
  <c r="R5" i="2"/>
  <c r="S5" i="2"/>
  <c r="U5" i="2"/>
  <c r="V5" i="2"/>
  <c r="X5" i="2"/>
  <c r="Y5" i="2"/>
  <c r="AB5" i="2"/>
  <c r="AD5" i="2"/>
  <c r="AE5" i="2"/>
  <c r="AG5" i="2"/>
  <c r="AH5" i="2"/>
  <c r="AK5" i="2"/>
  <c r="AM5" i="2"/>
  <c r="AN5" i="2"/>
  <c r="AP5" i="2"/>
  <c r="AQ5" i="2"/>
  <c r="AS5" i="2"/>
  <c r="AT5" i="2"/>
  <c r="AV5" i="2"/>
  <c r="AW5" i="2"/>
  <c r="AY5" i="2"/>
  <c r="AZ5" i="2"/>
  <c r="BB5" i="2"/>
  <c r="BC5" i="2"/>
  <c r="BE5" i="2"/>
  <c r="BF5" i="2"/>
  <c r="BH5" i="2"/>
  <c r="BI5" i="2"/>
  <c r="B3235" i="1" l="1"/>
  <c r="B3133" i="1"/>
  <c r="B3100" i="1"/>
  <c r="B3236" i="1" l="1"/>
  <c r="B3134" i="1"/>
  <c r="B3101" i="1"/>
  <c r="B3237" i="1" l="1"/>
  <c r="B3135" i="1"/>
  <c r="B3102" i="1"/>
  <c r="B3238" i="1" l="1"/>
  <c r="B3136" i="1"/>
  <c r="B3103" i="1"/>
  <c r="B3239" i="1" l="1"/>
  <c r="B3137" i="1"/>
  <c r="B3138" i="1" s="1"/>
  <c r="B3139" i="1" s="1"/>
  <c r="B3140" i="1" s="1"/>
  <c r="B3141" i="1" s="1"/>
  <c r="B3142" i="1" s="1"/>
  <c r="B3143" i="1" s="1"/>
  <c r="B3144" i="1" s="1"/>
  <c r="B3145" i="1" s="1"/>
  <c r="B3146" i="1" s="1"/>
  <c r="B3147" i="1" s="1"/>
  <c r="B3148" i="1" s="1"/>
  <c r="B3149" i="1" s="1"/>
  <c r="B3104" i="1"/>
  <c r="B3240" i="1" l="1"/>
  <c r="B3105" i="1"/>
  <c r="B3241" i="1" l="1"/>
  <c r="B3106" i="1"/>
  <c r="B3242" i="1" l="1"/>
  <c r="B3243" i="1" s="1"/>
  <c r="B3244" i="1" s="1"/>
  <c r="B3107" i="1"/>
  <c r="B3277" i="1" l="1"/>
  <c r="B3108" i="1"/>
  <c r="AG3277" i="1" l="1"/>
  <c r="Y3277" i="1"/>
  <c r="E3277" i="1"/>
  <c r="M3277" i="1"/>
  <c r="O3277" i="1"/>
  <c r="AO3277" i="1"/>
  <c r="AA3277" i="1"/>
  <c r="G3277" i="1"/>
  <c r="I3277" i="1"/>
  <c r="S3277" i="1"/>
  <c r="AM3277" i="1"/>
  <c r="Q3277" i="1"/>
  <c r="K3277" i="1"/>
  <c r="AK3277" i="1"/>
  <c r="AI3277" i="1"/>
  <c r="U3277" i="1"/>
  <c r="AC3277" i="1"/>
  <c r="AE3277" i="1"/>
  <c r="W3277" i="1"/>
  <c r="B3245" i="1"/>
  <c r="B3109" i="1"/>
  <c r="B3110" i="1" l="1"/>
  <c r="B3213" i="1" l="1"/>
  <c r="B3111" i="1"/>
  <c r="B3112" i="1" l="1"/>
  <c r="B3113" i="1" l="1"/>
  <c r="B3182" i="1" l="1"/>
  <c r="B3114" i="1"/>
  <c r="B3115" i="1" l="1"/>
  <c r="B3116" i="1" l="1"/>
  <c r="B3117" i="1" l="1"/>
  <c r="B3118" i="1" l="1"/>
  <c r="B3119" i="1" s="1"/>
  <c r="B3150" i="1"/>
  <c r="AE3150" i="1" l="1"/>
  <c r="M3150" i="1"/>
  <c r="E3150" i="1"/>
  <c r="AC3150" i="1"/>
  <c r="C3150" i="1"/>
  <c r="G3150" i="1"/>
  <c r="AM3119" i="1"/>
  <c r="AG3119" i="1"/>
  <c r="C3119" i="1"/>
  <c r="AC3119" i="1"/>
  <c r="Y3119" i="1"/>
  <c r="I3119" i="1"/>
  <c r="W3150" i="1" l="1"/>
  <c r="AI3150" i="1"/>
  <c r="AG3150" i="1"/>
  <c r="AM3150" i="1"/>
  <c r="S3150" i="1"/>
  <c r="AK3150" i="1"/>
  <c r="AO3119" i="1"/>
  <c r="S3119" i="1"/>
  <c r="AA3119" i="1"/>
  <c r="E3119" i="1"/>
  <c r="AI3119" i="1"/>
  <c r="AK3119" i="1"/>
  <c r="Q3150" i="1"/>
  <c r="G3119" i="1"/>
  <c r="U3119" i="1"/>
  <c r="Q3119" i="1"/>
  <c r="AE3119" i="1"/>
  <c r="W3119" i="1"/>
  <c r="O3119" i="1"/>
  <c r="M3119" i="1"/>
  <c r="U3150" i="1"/>
  <c r="K3150" i="1"/>
  <c r="O3150" i="1"/>
  <c r="I3150" i="1"/>
  <c r="AA3150" i="1"/>
  <c r="Y3150" i="1"/>
  <c r="K3119" i="1"/>
  <c r="AO3150" i="1"/>
  <c r="C3277" i="1" l="1"/>
  <c r="AA3245" i="1"/>
  <c r="AK3245" i="1"/>
  <c r="G3245" i="1"/>
  <c r="K3245" i="1"/>
  <c r="W3245" i="1"/>
  <c r="AE3245" i="1"/>
  <c r="U3245" i="1"/>
  <c r="AC3245" i="1"/>
  <c r="E3245" i="1"/>
  <c r="Y3245" i="1"/>
  <c r="S3245" i="1"/>
  <c r="AI3245" i="1"/>
  <c r="I3245" i="1"/>
  <c r="M3245" i="1"/>
  <c r="O3245" i="1"/>
  <c r="AO3245" i="1"/>
  <c r="Q3245" i="1"/>
  <c r="AG3245" i="1"/>
  <c r="AM3245" i="1"/>
  <c r="C3245" i="1"/>
  <c r="U3213" i="1"/>
  <c r="AC3213" i="1"/>
  <c r="G3213" i="1"/>
  <c r="C3213" i="1"/>
  <c r="AK3213" i="1"/>
  <c r="K3213" i="1"/>
  <c r="AM3213" i="1"/>
  <c r="Q3213" i="1"/>
  <c r="Y3213" i="1"/>
  <c r="AO3213" i="1"/>
  <c r="AI3213" i="1"/>
  <c r="AE3213" i="1"/>
  <c r="E3213" i="1"/>
  <c r="AG3213" i="1"/>
  <c r="O3213" i="1"/>
  <c r="W3213" i="1"/>
  <c r="S3213" i="1"/>
  <c r="I3213" i="1"/>
  <c r="M3213" i="1"/>
  <c r="AA3213" i="1"/>
  <c r="AC3182" i="1"/>
  <c r="AO3182" i="1"/>
  <c r="AK3182" i="1"/>
  <c r="AM3182" i="1"/>
  <c r="E3182" i="1"/>
  <c r="I3182" i="1"/>
  <c r="G3182" i="1"/>
  <c r="AA3182" i="1"/>
  <c r="Q3182" i="1"/>
  <c r="U3182" i="1"/>
  <c r="AE3182" i="1"/>
  <c r="C3182" i="1"/>
  <c r="M3182" i="1"/>
  <c r="Y3182" i="1"/>
  <c r="O3182" i="1"/>
  <c r="S3182" i="1"/>
  <c r="AI3182" i="1"/>
  <c r="K3182" i="1"/>
  <c r="W3182" i="1"/>
  <c r="AG3182" i="1"/>
  <c r="C3590" i="1" l="1"/>
  <c r="D112" i="2" s="1"/>
  <c r="C3527" i="1"/>
  <c r="D110" i="2" s="1"/>
  <c r="AD110" i="2"/>
  <c r="AP110" i="2"/>
  <c r="BH110" i="2"/>
  <c r="AG110" i="2"/>
  <c r="L110" i="2"/>
  <c r="O110" i="2"/>
  <c r="X110" i="2"/>
  <c r="AA110" i="2"/>
  <c r="AM110" i="2"/>
  <c r="AY110" i="2"/>
  <c r="BE110" i="2"/>
  <c r="F110" i="2"/>
  <c r="I110" i="2"/>
  <c r="AJ110" i="2"/>
  <c r="R110" i="2"/>
  <c r="BB110" i="2"/>
  <c r="U110" i="2"/>
  <c r="AS110" i="2"/>
  <c r="C110" i="2"/>
  <c r="AV110" i="2"/>
  <c r="O3527" i="1"/>
  <c r="V110" i="2" s="1"/>
  <c r="W3527" i="1"/>
  <c r="AH110" i="2" s="1"/>
  <c r="AO3527" i="1"/>
  <c r="G3527" i="1"/>
  <c r="J110" i="2" s="1"/>
  <c r="M3527" i="1"/>
  <c r="S110" i="2" s="1"/>
  <c r="AM3527" i="1"/>
  <c r="BF110" i="2" s="1"/>
  <c r="S3527" i="1"/>
  <c r="AB110" i="2" s="1"/>
  <c r="AC3527" i="1"/>
  <c r="AQ110" i="2" s="1"/>
  <c r="I3527" i="1"/>
  <c r="M110" i="2" s="1"/>
  <c r="U3527" i="1"/>
  <c r="AE110" i="2" s="1"/>
  <c r="E3527" i="1"/>
  <c r="G110" i="2" s="1"/>
  <c r="AA3527" i="1"/>
  <c r="AN110" i="2" s="1"/>
  <c r="AI3527" i="1"/>
  <c r="AZ110" i="2" s="1"/>
  <c r="AK3527" i="1"/>
  <c r="BC110" i="2" s="1"/>
  <c r="AG3527" i="1"/>
  <c r="AW110" i="2" s="1"/>
  <c r="K3527" i="1"/>
  <c r="P110" i="2" s="1"/>
  <c r="Y3527" i="1"/>
  <c r="AK110" i="2" s="1"/>
  <c r="AE3527" i="1"/>
  <c r="AT110" i="2" s="1"/>
  <c r="I109" i="2"/>
  <c r="U109" i="2"/>
  <c r="F109" i="2"/>
  <c r="X109" i="2"/>
  <c r="BB109" i="2"/>
  <c r="AV109" i="2"/>
  <c r="AD109" i="2"/>
  <c r="AS109" i="2"/>
  <c r="AJ109" i="2"/>
  <c r="O109" i="2"/>
  <c r="L109" i="2"/>
  <c r="BE109" i="2"/>
  <c r="AA109" i="2"/>
  <c r="BH109" i="2"/>
  <c r="AP109" i="2"/>
  <c r="AM109" i="2"/>
  <c r="AG109" i="2"/>
  <c r="AY109" i="2"/>
  <c r="R109" i="2"/>
  <c r="F108" i="2"/>
  <c r="AG108" i="2"/>
  <c r="AP108" i="2"/>
  <c r="L108" i="2"/>
  <c r="AS108" i="2"/>
  <c r="BB108" i="2"/>
  <c r="AY108" i="2"/>
  <c r="BE108" i="2"/>
  <c r="U108" i="2"/>
  <c r="AM108" i="2"/>
  <c r="AV108" i="2"/>
  <c r="AJ108" i="2"/>
  <c r="AD108" i="2"/>
  <c r="I108" i="2"/>
  <c r="AA108" i="2"/>
  <c r="BH108" i="2"/>
  <c r="R108" i="2"/>
  <c r="C108" i="2"/>
  <c r="O108" i="2"/>
  <c r="X108" i="2"/>
  <c r="AI3435" i="1"/>
  <c r="Q3308" i="1"/>
  <c r="I3308" i="1"/>
  <c r="G3308" i="1"/>
  <c r="AG3308" i="1"/>
  <c r="Y3308" i="1"/>
  <c r="U3308" i="1"/>
  <c r="AI3308" i="1"/>
  <c r="M3308" i="1"/>
  <c r="S3308" i="1"/>
  <c r="AA3308" i="1"/>
  <c r="AC3308" i="1"/>
  <c r="C3308" i="1"/>
  <c r="AM3308" i="1"/>
  <c r="AE3308" i="1"/>
  <c r="W3308" i="1"/>
  <c r="K3308" i="1"/>
  <c r="O3308" i="1"/>
  <c r="E3308" i="1"/>
  <c r="AO3308" i="1"/>
  <c r="AK3308" i="1"/>
  <c r="C3622" i="1" l="1"/>
  <c r="D113" i="2" s="1"/>
  <c r="AE3622" i="1"/>
  <c r="AT113" i="2" s="1"/>
  <c r="M3622" i="1"/>
  <c r="S113" i="2" s="1"/>
  <c r="I3622" i="1"/>
  <c r="M113" i="2" s="1"/>
  <c r="AK3622" i="1"/>
  <c r="BC113" i="2" s="1"/>
  <c r="Y3622" i="1"/>
  <c r="AK113" i="2" s="1"/>
  <c r="O3622" i="1"/>
  <c r="V113" i="2" s="1"/>
  <c r="W3622" i="1"/>
  <c r="AH113" i="2" s="1"/>
  <c r="AG3622" i="1"/>
  <c r="AW113" i="2" s="1"/>
  <c r="AC3622" i="1"/>
  <c r="AQ113" i="2" s="1"/>
  <c r="G3622" i="1"/>
  <c r="J113" i="2" s="1"/>
  <c r="AM3622" i="1"/>
  <c r="BF113" i="2" s="1"/>
  <c r="AI3622" i="1"/>
  <c r="AZ113" i="2" s="1"/>
  <c r="Q3622" i="1"/>
  <c r="Y113" i="2" s="1"/>
  <c r="U3622" i="1"/>
  <c r="AE113" i="2" s="1"/>
  <c r="K3622" i="1"/>
  <c r="P113" i="2" s="1"/>
  <c r="AO3622" i="1"/>
  <c r="AA3622" i="1"/>
  <c r="AN113" i="2" s="1"/>
  <c r="E3622" i="1"/>
  <c r="G113" i="2" s="1"/>
  <c r="S3622" i="1"/>
  <c r="AB113" i="2" s="1"/>
  <c r="BI110" i="2"/>
  <c r="AP111" i="2"/>
  <c r="L111" i="2"/>
  <c r="AH111" i="2"/>
  <c r="O111" i="2"/>
  <c r="I111" i="2"/>
  <c r="AB111" i="2"/>
  <c r="AK111" i="2"/>
  <c r="M111" i="2"/>
  <c r="AJ111" i="2"/>
  <c r="AA111" i="2"/>
  <c r="Y111" i="2"/>
  <c r="C111" i="2"/>
  <c r="R111" i="2"/>
  <c r="U111" i="2"/>
  <c r="D111" i="2"/>
  <c r="AY111" i="2"/>
  <c r="F111" i="2"/>
  <c r="J111" i="2"/>
  <c r="AW111" i="2"/>
  <c r="AS111" i="2"/>
  <c r="AT111" i="2"/>
  <c r="AV111" i="2"/>
  <c r="BC111" i="2"/>
  <c r="AZ111" i="2"/>
  <c r="AN111" i="2"/>
  <c r="BB111" i="2"/>
  <c r="AM111" i="2"/>
  <c r="BI111" i="2"/>
  <c r="AG111" i="2"/>
  <c r="S111" i="2"/>
  <c r="P111" i="2"/>
  <c r="AD111" i="2"/>
  <c r="BE111" i="2"/>
  <c r="AE111" i="2"/>
  <c r="BH111" i="2"/>
  <c r="X111" i="2"/>
  <c r="BF111" i="2"/>
  <c r="AQ111" i="2"/>
  <c r="G111" i="2"/>
  <c r="V111" i="2"/>
  <c r="Q3527" i="1"/>
  <c r="Y110" i="2" s="1"/>
  <c r="C109" i="2"/>
  <c r="M3496" i="1"/>
  <c r="S109" i="2" s="1"/>
  <c r="AI3496" i="1"/>
  <c r="AZ109" i="2" s="1"/>
  <c r="AM3496" i="1"/>
  <c r="BF109" i="2" s="1"/>
  <c r="U3496" i="1"/>
  <c r="AE109" i="2" s="1"/>
  <c r="AE3496" i="1"/>
  <c r="AT109" i="2" s="1"/>
  <c r="S3496" i="1"/>
  <c r="AB109" i="2" s="1"/>
  <c r="AA3496" i="1"/>
  <c r="AN109" i="2" s="1"/>
  <c r="W3496" i="1"/>
  <c r="AH109" i="2" s="1"/>
  <c r="AO3496" i="1"/>
  <c r="BI109" i="2" s="1"/>
  <c r="K3496" i="1"/>
  <c r="P109" i="2" s="1"/>
  <c r="AG3496" i="1"/>
  <c r="AW109" i="2" s="1"/>
  <c r="Y3496" i="1"/>
  <c r="AK109" i="2" s="1"/>
  <c r="I3496" i="1"/>
  <c r="M109" i="2" s="1"/>
  <c r="Q3496" i="1"/>
  <c r="Y109" i="2" s="1"/>
  <c r="E3496" i="1"/>
  <c r="G109" i="2" s="1"/>
  <c r="O3496" i="1"/>
  <c r="V109" i="2" s="1"/>
  <c r="AK3496" i="1"/>
  <c r="BC109" i="2" s="1"/>
  <c r="C3496" i="1"/>
  <c r="AC3496" i="1"/>
  <c r="AQ109" i="2" s="1"/>
  <c r="G3496" i="1"/>
  <c r="J109" i="2" s="1"/>
  <c r="S3464" i="1"/>
  <c r="AB108" i="2" s="1"/>
  <c r="M3464" i="1"/>
  <c r="S108" i="2" s="1"/>
  <c r="G3464" i="1"/>
  <c r="J108" i="2" s="1"/>
  <c r="AG3464" i="1"/>
  <c r="AW108" i="2" s="1"/>
  <c r="Q3464" i="1"/>
  <c r="Y108" i="2" s="1"/>
  <c r="Y3464" i="1"/>
  <c r="AK108" i="2" s="1"/>
  <c r="AC3464" i="1"/>
  <c r="AQ108" i="2" s="1"/>
  <c r="AO3464" i="1"/>
  <c r="BI108" i="2" s="1"/>
  <c r="AA3464" i="1"/>
  <c r="AN108" i="2" s="1"/>
  <c r="C3464" i="1"/>
  <c r="D108" i="2" s="1"/>
  <c r="O3464" i="1"/>
  <c r="V108" i="2" s="1"/>
  <c r="AM3464" i="1"/>
  <c r="BF108" i="2" s="1"/>
  <c r="AE3464" i="1"/>
  <c r="AT108" i="2" s="1"/>
  <c r="I3464" i="1"/>
  <c r="M108" i="2" s="1"/>
  <c r="E3464" i="1"/>
  <c r="G108" i="2" s="1"/>
  <c r="U3464" i="1"/>
  <c r="AE108" i="2" s="1"/>
  <c r="AK3464" i="1"/>
  <c r="BC108" i="2" s="1"/>
  <c r="K3464" i="1"/>
  <c r="P108" i="2" s="1"/>
  <c r="AI3464" i="1"/>
  <c r="AZ108" i="2" s="1"/>
  <c r="W3464" i="1"/>
  <c r="AH108" i="2" s="1"/>
  <c r="K3435" i="1"/>
  <c r="AA3435" i="1"/>
  <c r="E3435" i="1"/>
  <c r="AE3435" i="1"/>
  <c r="AK3435" i="1"/>
  <c r="I3435" i="1"/>
  <c r="G3435" i="1"/>
  <c r="AG3435" i="1"/>
  <c r="W3435" i="1"/>
  <c r="S3435" i="1"/>
  <c r="Q3435" i="1"/>
  <c r="AM3435" i="1"/>
  <c r="U3435" i="1"/>
  <c r="AC3435" i="1"/>
  <c r="M3435" i="1"/>
  <c r="C3435" i="1"/>
  <c r="Y3435" i="1"/>
  <c r="O3435" i="1"/>
  <c r="AO3435" i="1"/>
  <c r="AW117" i="2" l="1"/>
  <c r="AW116" i="2"/>
  <c r="BI117" i="2"/>
  <c r="AQ116" i="2"/>
  <c r="M116" i="2"/>
  <c r="BE119" i="2"/>
  <c r="I118" i="2"/>
  <c r="G119" i="2"/>
  <c r="AV118" i="2"/>
  <c r="O116" i="2"/>
  <c r="AP119" i="2"/>
  <c r="V116" i="2"/>
  <c r="AM115" i="2"/>
  <c r="AH116" i="2"/>
  <c r="Y118" i="2"/>
  <c r="I119" i="2"/>
  <c r="AA117" i="2"/>
  <c r="AS116" i="2"/>
  <c r="AQ118" i="2"/>
  <c r="AT117" i="2"/>
  <c r="AB116" i="2"/>
  <c r="D119" i="2"/>
  <c r="F117" i="2"/>
  <c r="AQ115" i="2"/>
  <c r="S118" i="2"/>
  <c r="AE115" i="2"/>
  <c r="F115" i="2"/>
  <c r="BI115" i="2"/>
  <c r="AK118" i="2"/>
  <c r="AB119" i="2"/>
  <c r="BE115" i="2"/>
  <c r="U117" i="2"/>
  <c r="I117" i="2"/>
  <c r="AZ116" i="2"/>
  <c r="AP117" i="2"/>
  <c r="AD118" i="2"/>
  <c r="AY115" i="2"/>
  <c r="L118" i="2"/>
  <c r="V119" i="2"/>
  <c r="AN117" i="2"/>
  <c r="AA118" i="2"/>
  <c r="AJ118" i="2"/>
  <c r="P119" i="2"/>
  <c r="AN119" i="2"/>
  <c r="BE117" i="2"/>
  <c r="AJ116" i="2"/>
  <c r="M117" i="2"/>
  <c r="BE116" i="2"/>
  <c r="AA115" i="2"/>
  <c r="D116" i="2"/>
  <c r="C119" i="2"/>
  <c r="AD116" i="2"/>
  <c r="AD115" i="2"/>
  <c r="L115" i="2"/>
  <c r="AE116" i="2"/>
  <c r="D117" i="2"/>
  <c r="S119" i="2"/>
  <c r="X119" i="2"/>
  <c r="AG116" i="2"/>
  <c r="AG118" i="2"/>
  <c r="X116" i="2"/>
  <c r="AK116" i="2"/>
  <c r="BB116" i="2"/>
  <c r="J119" i="2"/>
  <c r="C116" i="2"/>
  <c r="AG119" i="2"/>
  <c r="F118" i="2"/>
  <c r="BB119" i="2"/>
  <c r="AV119" i="2"/>
  <c r="G118" i="2"/>
  <c r="BB117" i="2"/>
  <c r="M115" i="2"/>
  <c r="AY117" i="2"/>
  <c r="AZ119" i="2"/>
  <c r="U116" i="2"/>
  <c r="AS118" i="2"/>
  <c r="AS115" i="2"/>
  <c r="BB115" i="2"/>
  <c r="P118" i="2"/>
  <c r="Y116" i="2"/>
  <c r="AV116" i="2"/>
  <c r="L117" i="2"/>
  <c r="U118" i="2"/>
  <c r="AD119" i="2"/>
  <c r="C118" i="2"/>
  <c r="AM117" i="2"/>
  <c r="AH117" i="2"/>
  <c r="BC115" i="2"/>
  <c r="AV115" i="2"/>
  <c r="AW118" i="2"/>
  <c r="AE119" i="2"/>
  <c r="AH115" i="2"/>
  <c r="AT118" i="2"/>
  <c r="BH118" i="2"/>
  <c r="O115" i="2"/>
  <c r="R116" i="2"/>
  <c r="AK115" i="2"/>
  <c r="AS117" i="2"/>
  <c r="AJ117" i="2"/>
  <c r="BH119" i="2"/>
  <c r="AH118" i="2"/>
  <c r="AQ119" i="2"/>
  <c r="L119" i="2"/>
  <c r="AS119" i="2"/>
  <c r="AB115" i="2"/>
  <c r="V118" i="2"/>
  <c r="AT115" i="2"/>
  <c r="J115" i="2"/>
  <c r="C117" i="2"/>
  <c r="AW119" i="2"/>
  <c r="BH115" i="2"/>
  <c r="AN118" i="2"/>
  <c r="R119" i="2"/>
  <c r="BH117" i="2"/>
  <c r="AB117" i="2"/>
  <c r="J116" i="2"/>
  <c r="R118" i="2"/>
  <c r="G115" i="2"/>
  <c r="U119" i="2"/>
  <c r="BC117" i="2"/>
  <c r="O117" i="2"/>
  <c r="AK117" i="2"/>
  <c r="AM116" i="2"/>
  <c r="S117" i="2"/>
  <c r="AB118" i="2"/>
  <c r="BF118" i="2"/>
  <c r="AG117" i="2"/>
  <c r="BC119" i="2"/>
  <c r="AP115" i="2"/>
  <c r="AA116" i="2"/>
  <c r="P117" i="2"/>
  <c r="AG115" i="2"/>
  <c r="D118" i="2"/>
  <c r="AD117" i="2"/>
  <c r="BB118" i="2"/>
  <c r="AE118" i="2"/>
  <c r="BE118" i="2"/>
  <c r="AQ117" i="2"/>
  <c r="V115" i="2"/>
  <c r="AW115" i="2"/>
  <c r="R117" i="2"/>
  <c r="AN116" i="2"/>
  <c r="AM118" i="2"/>
  <c r="AA119" i="2"/>
  <c r="AJ115" i="2"/>
  <c r="AY118" i="2"/>
  <c r="AZ115" i="2"/>
  <c r="AT116" i="2"/>
  <c r="AK119" i="2"/>
  <c r="BI118" i="2"/>
  <c r="P115" i="2"/>
  <c r="O119" i="2"/>
  <c r="X115" i="2"/>
  <c r="F119" i="2"/>
  <c r="BF117" i="2"/>
  <c r="AP118" i="2"/>
  <c r="AZ117" i="2"/>
  <c r="F116" i="2"/>
  <c r="AJ119" i="2"/>
  <c r="AV117" i="2"/>
  <c r="AP116" i="2"/>
  <c r="D115" i="2"/>
  <c r="BF119" i="2"/>
  <c r="AY116" i="2"/>
  <c r="BF115" i="2"/>
  <c r="P116" i="2"/>
  <c r="BF116" i="2"/>
  <c r="Y117" i="2"/>
  <c r="BC118" i="2"/>
  <c r="G117" i="2"/>
  <c r="BH116" i="2"/>
  <c r="Y119" i="2"/>
  <c r="AH119" i="2"/>
  <c r="AT119" i="2"/>
  <c r="J117" i="2"/>
  <c r="I116" i="2"/>
  <c r="AZ118" i="2"/>
  <c r="R115" i="2"/>
  <c r="V117" i="2"/>
  <c r="I115" i="2"/>
  <c r="BI116" i="2"/>
  <c r="M118" i="2"/>
  <c r="C115" i="2"/>
  <c r="X117" i="2"/>
  <c r="L116" i="2"/>
  <c r="M119" i="2"/>
  <c r="AE117" i="2"/>
  <c r="X118" i="2"/>
  <c r="AM119" i="2"/>
  <c r="S115" i="2"/>
  <c r="AN115" i="2"/>
  <c r="U115" i="2"/>
  <c r="G116" i="2"/>
  <c r="BC116" i="2"/>
  <c r="Y115" i="2"/>
  <c r="O118" i="2"/>
  <c r="S116" i="2"/>
  <c r="J118" i="2"/>
  <c r="AY119" i="2"/>
  <c r="BI119" i="2"/>
  <c r="BI113" i="2"/>
  <c r="AQ114" i="2"/>
  <c r="R113" i="2"/>
  <c r="AD113" i="2"/>
  <c r="L114" i="2"/>
  <c r="AE114" i="2"/>
  <c r="C114" i="2"/>
  <c r="O114" i="2"/>
  <c r="M114" i="2"/>
  <c r="AV113" i="2"/>
  <c r="AJ113" i="2"/>
  <c r="AH114" i="2"/>
  <c r="G114" i="2"/>
  <c r="BE114" i="2"/>
  <c r="AN112" i="2"/>
  <c r="S114" i="2"/>
  <c r="P114" i="2"/>
  <c r="F113" i="2"/>
  <c r="AA113" i="2"/>
  <c r="S112" i="2"/>
  <c r="AG113" i="2"/>
  <c r="AG114" i="2"/>
  <c r="AD114" i="2"/>
  <c r="AS113" i="2"/>
  <c r="U113" i="2"/>
  <c r="I113" i="2"/>
  <c r="AJ114" i="2"/>
  <c r="V114" i="2"/>
  <c r="AY114" i="2"/>
  <c r="AM113" i="2"/>
  <c r="AY113" i="2"/>
  <c r="BI114" i="2"/>
  <c r="AB114" i="2"/>
  <c r="I114" i="2"/>
  <c r="AP114" i="2"/>
  <c r="M112" i="2"/>
  <c r="AA114" i="2"/>
  <c r="AK114" i="2"/>
  <c r="BB114" i="2"/>
  <c r="AW114" i="2"/>
  <c r="AM114" i="2"/>
  <c r="AT112" i="2"/>
  <c r="F114" i="2"/>
  <c r="U114" i="2"/>
  <c r="Y114" i="2"/>
  <c r="BB113" i="2"/>
  <c r="J114" i="2"/>
  <c r="BH114" i="2"/>
  <c r="BF114" i="2"/>
  <c r="C112" i="2"/>
  <c r="O113" i="2"/>
  <c r="AP113" i="2"/>
  <c r="BC114" i="2"/>
  <c r="AN114" i="2"/>
  <c r="AP112" i="2"/>
  <c r="AV114" i="2"/>
  <c r="F112" i="2"/>
  <c r="X114" i="2"/>
  <c r="BC112" i="2"/>
  <c r="X112" i="2"/>
  <c r="D114" i="2"/>
  <c r="AT114" i="2"/>
  <c r="L113" i="2"/>
  <c r="AY112" i="2"/>
  <c r="AS114" i="2"/>
  <c r="BE113" i="2"/>
  <c r="X113" i="2"/>
  <c r="AH112" i="2"/>
  <c r="AS112" i="2"/>
  <c r="C113" i="2"/>
  <c r="AJ112" i="2"/>
  <c r="AZ114" i="2"/>
  <c r="BH113" i="2"/>
  <c r="R114" i="2"/>
  <c r="BE112" i="2"/>
  <c r="BB112" i="2"/>
  <c r="V112" i="2"/>
  <c r="BF112" i="2"/>
  <c r="R112" i="2"/>
  <c r="L112" i="2"/>
  <c r="AK112" i="2"/>
  <c r="AA112" i="2"/>
  <c r="Y112" i="2"/>
  <c r="AZ112" i="2"/>
  <c r="AM112" i="2"/>
  <c r="U112" i="2"/>
  <c r="G112" i="2"/>
  <c r="J112" i="2"/>
  <c r="AB112" i="2"/>
  <c r="O112" i="2"/>
  <c r="AV112" i="2"/>
  <c r="AE112" i="2"/>
  <c r="AD112" i="2"/>
  <c r="AQ112" i="2"/>
  <c r="AW112" i="2"/>
  <c r="BH112" i="2"/>
  <c r="AG112" i="2"/>
  <c r="P112" i="2"/>
  <c r="BI112" i="2"/>
  <c r="I112" i="2"/>
  <c r="D109" i="2"/>
  <c r="AK107" i="2"/>
  <c r="AD107" i="2"/>
  <c r="BI107" i="2"/>
  <c r="AM107" i="2"/>
  <c r="AE107" i="2"/>
  <c r="BC107" i="2"/>
  <c r="AT107" i="2"/>
  <c r="AS107" i="2"/>
  <c r="AP107" i="2"/>
  <c r="O107" i="2"/>
  <c r="R107" i="2"/>
  <c r="D107" i="2"/>
  <c r="AV107" i="2"/>
  <c r="AG107" i="2"/>
  <c r="AQ107" i="2"/>
  <c r="V107" i="2"/>
  <c r="BH107" i="2"/>
  <c r="BB107" i="2"/>
  <c r="M107" i="2"/>
  <c r="AH107" i="2"/>
  <c r="Y107" i="2"/>
  <c r="BF107" i="2"/>
  <c r="AW107" i="2"/>
  <c r="U107" i="2"/>
  <c r="AN107" i="2"/>
  <c r="J107" i="2"/>
  <c r="AY107" i="2"/>
  <c r="F107" i="2"/>
  <c r="I107" i="2"/>
  <c r="AA107" i="2"/>
  <c r="AB107" i="2"/>
  <c r="X107" i="2"/>
  <c r="C107" i="2"/>
  <c r="AJ107" i="2"/>
  <c r="BE107" i="2"/>
  <c r="L107" i="2"/>
  <c r="P107" i="2"/>
  <c r="AZ107" i="2"/>
  <c r="S107" i="2"/>
  <c r="G107" i="2"/>
</calcChain>
</file>

<file path=xl/sharedStrings.xml><?xml version="1.0" encoding="utf-8"?>
<sst xmlns="http://schemas.openxmlformats.org/spreadsheetml/2006/main" count="630" uniqueCount="456">
  <si>
    <t>Fecha</t>
  </si>
  <si>
    <t>BG</t>
  </si>
  <si>
    <t>ER</t>
  </si>
  <si>
    <t>BOLIVIA</t>
  </si>
  <si>
    <t>ARGENTINA</t>
  </si>
  <si>
    <t>BRASIL</t>
  </si>
  <si>
    <t>MÉXICO</t>
  </si>
  <si>
    <t>PERÚ</t>
  </si>
  <si>
    <t>GUATEMALA</t>
  </si>
  <si>
    <t>EL SALVADOR</t>
  </si>
  <si>
    <t>HONDURAS</t>
  </si>
  <si>
    <t>NICARAGUA</t>
  </si>
  <si>
    <t>COSTA RICA</t>
  </si>
  <si>
    <t>CHILE</t>
  </si>
  <si>
    <r>
      <t>USD / </t>
    </r>
    <r>
      <rPr>
        <b/>
        <sz val="9"/>
        <color rgb="FFFF6200"/>
        <rFont val="Arial"/>
        <family val="2"/>
      </rPr>
      <t>MXN</t>
    </r>
  </si>
  <si>
    <r>
      <t>USD / </t>
    </r>
    <r>
      <rPr>
        <b/>
        <sz val="9"/>
        <color rgb="FFC80000"/>
        <rFont val="Arial"/>
        <family val="2"/>
      </rPr>
      <t>BRL</t>
    </r>
  </si>
  <si>
    <r>
      <t>USD / </t>
    </r>
    <r>
      <rPr>
        <b/>
        <sz val="9"/>
        <color rgb="FF00A5BE"/>
        <rFont val="Arial"/>
        <family val="2"/>
      </rPr>
      <t>ARS</t>
    </r>
  </si>
  <si>
    <r>
      <t>USD / </t>
    </r>
    <r>
      <rPr>
        <b/>
        <sz val="9"/>
        <color rgb="FFC80000"/>
        <rFont val="Arial"/>
        <family val="2"/>
      </rPr>
      <t>BOB</t>
    </r>
  </si>
  <si>
    <r>
      <t>USD / </t>
    </r>
    <r>
      <rPr>
        <b/>
        <sz val="9"/>
        <color rgb="FFFF6200"/>
        <rFont val="Arial"/>
        <family val="2"/>
      </rPr>
      <t>PEN</t>
    </r>
  </si>
  <si>
    <r>
      <t>USD / </t>
    </r>
    <r>
      <rPr>
        <b/>
        <sz val="9"/>
        <color rgb="FF5BBA00"/>
        <rFont val="Arial"/>
        <family val="2"/>
      </rPr>
      <t>COP</t>
    </r>
  </si>
  <si>
    <r>
      <t>USD / </t>
    </r>
    <r>
      <rPr>
        <b/>
        <sz val="9"/>
        <color rgb="FF0050C3"/>
        <rFont val="Arial"/>
        <family val="2"/>
      </rPr>
      <t>DOP</t>
    </r>
  </si>
  <si>
    <r>
      <t>USD / </t>
    </r>
    <r>
      <rPr>
        <b/>
        <sz val="9"/>
        <color rgb="FF5BBA00"/>
        <rFont val="Arial"/>
        <family val="2"/>
      </rPr>
      <t>EUR</t>
    </r>
  </si>
  <si>
    <r>
      <t>USD / </t>
    </r>
    <r>
      <rPr>
        <b/>
        <sz val="9"/>
        <color rgb="FF0050C3"/>
        <rFont val="Arial"/>
        <family val="2"/>
      </rPr>
      <t>TTD</t>
    </r>
  </si>
  <si>
    <r>
      <t>USD / </t>
    </r>
    <r>
      <rPr>
        <b/>
        <sz val="9"/>
        <color rgb="FF00A5BE"/>
        <rFont val="Arial"/>
        <family val="2"/>
      </rPr>
      <t>GTQ</t>
    </r>
  </si>
  <si>
    <r>
      <t>USD / </t>
    </r>
    <r>
      <rPr>
        <b/>
        <sz val="9"/>
        <color rgb="FFC80000"/>
        <rFont val="Arial"/>
        <family val="2"/>
      </rPr>
      <t>SVC</t>
    </r>
  </si>
  <si>
    <r>
      <t>USD / </t>
    </r>
    <r>
      <rPr>
        <b/>
        <sz val="9"/>
        <color rgb="FFFF6200"/>
        <rFont val="Arial"/>
        <family val="2"/>
      </rPr>
      <t>HNL</t>
    </r>
  </si>
  <si>
    <r>
      <t>USD / </t>
    </r>
    <r>
      <rPr>
        <b/>
        <sz val="9"/>
        <color rgb="FF5BBA00"/>
        <rFont val="Arial"/>
        <family val="2"/>
      </rPr>
      <t>NIO</t>
    </r>
  </si>
  <si>
    <r>
      <t>USD / </t>
    </r>
    <r>
      <rPr>
        <b/>
        <sz val="9"/>
        <color rgb="FF0050C3"/>
        <rFont val="Arial"/>
        <family val="2"/>
      </rPr>
      <t>CRC</t>
    </r>
  </si>
  <si>
    <r>
      <t>USD / </t>
    </r>
    <r>
      <rPr>
        <b/>
        <sz val="9"/>
        <color rgb="FF00A5BE"/>
        <rFont val="Arial"/>
        <family val="2"/>
      </rPr>
      <t>CLP</t>
    </r>
  </si>
  <si>
    <r>
      <t>USD / </t>
    </r>
    <r>
      <rPr>
        <b/>
        <sz val="9"/>
        <color rgb="FFFF6200"/>
        <rFont val="Arial"/>
        <family val="2"/>
      </rPr>
      <t>PYG</t>
    </r>
  </si>
  <si>
    <r>
      <t>USD / </t>
    </r>
    <r>
      <rPr>
        <b/>
        <sz val="9"/>
        <color rgb="FF5BBA00"/>
        <rFont val="Arial"/>
        <family val="2"/>
      </rPr>
      <t>UYU</t>
    </r>
  </si>
  <si>
    <r>
      <t>BRL / </t>
    </r>
    <r>
      <rPr>
        <b/>
        <sz val="9"/>
        <color rgb="FFFF6200"/>
        <rFont val="Arial"/>
        <family val="2"/>
      </rPr>
      <t>PYG</t>
    </r>
  </si>
  <si>
    <r>
      <t>BRL / </t>
    </r>
    <r>
      <rPr>
        <b/>
        <sz val="9"/>
        <color rgb="FF5BBA00"/>
        <rFont val="Arial"/>
        <family val="2"/>
      </rPr>
      <t>UYU</t>
    </r>
  </si>
  <si>
    <t>DOMINICANA</t>
  </si>
  <si>
    <t>Genomma Lab Internacional</t>
  </si>
  <si>
    <t>ESPAÑA</t>
  </si>
  <si>
    <t>PANAMÁ</t>
  </si>
  <si>
    <t>COLOMBIA</t>
  </si>
  <si>
    <t>PARAGUAY</t>
  </si>
  <si>
    <t>URUGUAY</t>
  </si>
  <si>
    <t>URUGUAY [REAL]</t>
  </si>
  <si>
    <t>PARAGUAY [REAL]</t>
  </si>
  <si>
    <t>EURO</t>
  </si>
  <si>
    <t>PESO</t>
  </si>
  <si>
    <t>BOLIVIANO</t>
  </si>
  <si>
    <t>REAL</t>
  </si>
  <si>
    <t>NUEVO SOL</t>
  </si>
  <si>
    <t>GUARANÍ</t>
  </si>
  <si>
    <t>BALBOA</t>
  </si>
  <si>
    <t>QUETZAL</t>
  </si>
  <si>
    <t>LEMPIRA</t>
  </si>
  <si>
    <t>CÓRDOBA</t>
  </si>
  <si>
    <t>DÓLAR</t>
  </si>
  <si>
    <r>
      <t>USD / </t>
    </r>
    <r>
      <rPr>
        <b/>
        <sz val="9"/>
        <color rgb="FFFF6200"/>
        <rFont val="Arial"/>
        <family val="2"/>
      </rPr>
      <t>PAB</t>
    </r>
  </si>
  <si>
    <t>COLÓN</t>
  </si>
  <si>
    <t>TIPOS DE CAMBIO DE MODENA LOCAL POR PAÍS A DÓLAR ESTADOUNIDENSE</t>
  </si>
  <si>
    <t>FECHA</t>
  </si>
  <si>
    <r>
      <t xml:space="preserve"> ( </t>
    </r>
    <r>
      <rPr>
        <b/>
        <sz val="9"/>
        <color rgb="FFFF0000"/>
        <rFont val="Arial Narrow"/>
        <family val="2"/>
      </rPr>
      <t xml:space="preserve">* </t>
    </r>
    <r>
      <rPr>
        <b/>
        <sz val="9"/>
        <rFont val="Arial Narrow"/>
        <family val="2"/>
      </rPr>
      <t>)</t>
    </r>
    <r>
      <rPr>
        <b/>
        <sz val="9"/>
        <color rgb="FFFF0000"/>
        <rFont val="Arial Narrow"/>
        <family val="2"/>
      </rPr>
      <t xml:space="preserve"> </t>
    </r>
    <r>
      <rPr>
        <b/>
        <sz val="9"/>
        <color theme="1"/>
        <rFont val="Arial Narrow"/>
        <family val="2"/>
      </rPr>
      <t>En el caso de Paraguay y Uruguay M.L. a Reales]</t>
    </r>
  </si>
  <si>
    <r>
      <t xml:space="preserve">( </t>
    </r>
    <r>
      <rPr>
        <b/>
        <sz val="9"/>
        <color rgb="FFFF0000"/>
        <rFont val="Arial Narrow"/>
        <family val="2"/>
      </rPr>
      <t xml:space="preserve">* </t>
    </r>
    <r>
      <rPr>
        <b/>
        <sz val="9"/>
        <rFont val="Arial Narrow"/>
        <family val="2"/>
      </rPr>
      <t>)</t>
    </r>
  </si>
  <si>
    <t>Feb-17</t>
  </si>
  <si>
    <t>Dic-16</t>
  </si>
  <si>
    <t>Mar-17</t>
  </si>
  <si>
    <t>Abr-17</t>
  </si>
  <si>
    <t>May-17</t>
  </si>
  <si>
    <t>Jun-17</t>
  </si>
  <si>
    <t>Jul-17</t>
  </si>
  <si>
    <t>Ago-17</t>
  </si>
  <si>
    <t>Sep-17</t>
  </si>
  <si>
    <t>Oct-17</t>
  </si>
  <si>
    <t>Nov-17</t>
  </si>
  <si>
    <t>Dic-17</t>
  </si>
  <si>
    <t>Ene-17</t>
  </si>
  <si>
    <t>Ene-18</t>
  </si>
  <si>
    <t>Feb-18</t>
  </si>
  <si>
    <t>Mar-18</t>
  </si>
  <si>
    <t>Abr-18</t>
  </si>
  <si>
    <t>May-18</t>
  </si>
  <si>
    <t>Jun-18</t>
  </si>
  <si>
    <t/>
  </si>
  <si>
    <t>Jul-18</t>
  </si>
  <si>
    <t>Ago-18</t>
  </si>
  <si>
    <t>Sep-18</t>
  </si>
  <si>
    <t>Oct-18</t>
  </si>
  <si>
    <t>Nov-18</t>
  </si>
  <si>
    <t>Dic-18</t>
  </si>
  <si>
    <t>Ene-19</t>
  </si>
  <si>
    <t>Feb-19</t>
  </si>
  <si>
    <t>Mar-19</t>
  </si>
  <si>
    <t>Abr-19</t>
  </si>
  <si>
    <t>May-19</t>
  </si>
  <si>
    <t>Jun-19</t>
  </si>
  <si>
    <t>MXN</t>
  </si>
  <si>
    <t>EUR</t>
  </si>
  <si>
    <t>ARS</t>
  </si>
  <si>
    <t>BOB</t>
  </si>
  <si>
    <t>BRL</t>
  </si>
  <si>
    <t>CLP</t>
  </si>
  <si>
    <t>COP</t>
  </si>
  <si>
    <t>PYG</t>
  </si>
  <si>
    <t>PEN</t>
  </si>
  <si>
    <t>UYU</t>
  </si>
  <si>
    <t>CRC</t>
  </si>
  <si>
    <t>DOP</t>
  </si>
  <si>
    <t>GTQ</t>
  </si>
  <si>
    <t>SVC</t>
  </si>
  <si>
    <t>HNL</t>
  </si>
  <si>
    <t>NIO</t>
  </si>
  <si>
    <t>TTD</t>
  </si>
  <si>
    <t>Jul-19</t>
  </si>
  <si>
    <t>Ago-19</t>
  </si>
  <si>
    <t>Sep-19</t>
  </si>
  <si>
    <t>Oct-19</t>
  </si>
  <si>
    <t>Nov-19</t>
  </si>
  <si>
    <t>Dic-19</t>
  </si>
  <si>
    <t>Ene-20</t>
  </si>
  <si>
    <t>Feb-20</t>
  </si>
  <si>
    <t>Mar-20</t>
  </si>
  <si>
    <t>Abr-20</t>
  </si>
  <si>
    <t>May-20</t>
  </si>
  <si>
    <t>PROM-32021</t>
  </si>
  <si>
    <t>PROM-42021</t>
  </si>
  <si>
    <t>PROM-52021</t>
  </si>
  <si>
    <t>PROM-62021</t>
  </si>
  <si>
    <t>PROM-72021</t>
  </si>
  <si>
    <t>PROM-82021</t>
  </si>
  <si>
    <t>PROM-92021</t>
  </si>
  <si>
    <t>PROM-102021</t>
  </si>
  <si>
    <t>PROM-112021</t>
  </si>
  <si>
    <t>PROM-122021</t>
  </si>
  <si>
    <t>Media del periodo</t>
  </si>
  <si>
    <t>Máxima del periodo</t>
  </si>
  <si>
    <t>Mínima del periodo</t>
  </si>
  <si>
    <t>USD vs ML</t>
  </si>
  <si>
    <t>PAB</t>
  </si>
  <si>
    <t>https://fxds-hcc.oanda.com/lang/es#</t>
  </si>
  <si>
    <t>OANDA</t>
  </si>
  <si>
    <r>
      <rPr>
        <b/>
        <sz val="10"/>
        <color rgb="FFCA00D5"/>
        <rFont val="Arial Narrow"/>
        <family val="2"/>
      </rPr>
      <t xml:space="preserve">BRL </t>
    </r>
    <r>
      <rPr>
        <b/>
        <sz val="10"/>
        <color rgb="FF0000E0"/>
        <rFont val="Arial Narrow"/>
        <family val="2"/>
      </rPr>
      <t>/ PYG</t>
    </r>
  </si>
  <si>
    <r>
      <rPr>
        <b/>
        <sz val="10"/>
        <color rgb="FFCA00D5"/>
        <rFont val="Arial Narrow"/>
        <family val="2"/>
      </rPr>
      <t>BRL</t>
    </r>
    <r>
      <rPr>
        <b/>
        <sz val="10"/>
        <color rgb="FFCA00FF"/>
        <rFont val="Arial Narrow"/>
        <family val="2"/>
      </rPr>
      <t xml:space="preserve"> </t>
    </r>
    <r>
      <rPr>
        <b/>
        <sz val="10"/>
        <color rgb="FF008000"/>
        <rFont val="Arial Narrow"/>
        <family val="2"/>
      </rPr>
      <t>/ UYU</t>
    </r>
  </si>
  <si>
    <t>https://www.banxico.org.mx/tipcamb/main.do?page=tip&amp;idioma=sp</t>
  </si>
  <si>
    <t>PROM-12016</t>
  </si>
  <si>
    <t>PROM-22016</t>
  </si>
  <si>
    <t>PROM-32016</t>
  </si>
  <si>
    <t>PROM-42016</t>
  </si>
  <si>
    <t>PROM-52016</t>
  </si>
  <si>
    <t>PROM-62016</t>
  </si>
  <si>
    <t>PROM-72016</t>
  </si>
  <si>
    <t>PROM-82016</t>
  </si>
  <si>
    <t>PROM-92016</t>
  </si>
  <si>
    <t>PROM-102016</t>
  </si>
  <si>
    <t>PROM-112016</t>
  </si>
  <si>
    <t>PROM-122016</t>
  </si>
  <si>
    <t>PROM-12017</t>
  </si>
  <si>
    <t>PROM-22017</t>
  </si>
  <si>
    <t>PROM-32017</t>
  </si>
  <si>
    <t>PROM-42017</t>
  </si>
  <si>
    <t>PROM-52017</t>
  </si>
  <si>
    <t>PROM-62017</t>
  </si>
  <si>
    <t>PROM-72017</t>
  </si>
  <si>
    <t>PROM-82017</t>
  </si>
  <si>
    <t>PROM-92017</t>
  </si>
  <si>
    <t>PROM-102017</t>
  </si>
  <si>
    <t>PROM-112017</t>
  </si>
  <si>
    <t>PROM-122017</t>
  </si>
  <si>
    <t>PROM-12018</t>
  </si>
  <si>
    <t>PROM-22018</t>
  </si>
  <si>
    <t>PROM-32018</t>
  </si>
  <si>
    <t>PROM-42018</t>
  </si>
  <si>
    <t>PROM-52018</t>
  </si>
  <si>
    <t>PROM-62018</t>
  </si>
  <si>
    <t>PROM-72018</t>
  </si>
  <si>
    <t>PROM-82018</t>
  </si>
  <si>
    <t>PROM-92018</t>
  </si>
  <si>
    <t>PROM-102018</t>
  </si>
  <si>
    <t>PROM-112018</t>
  </si>
  <si>
    <t>PROM-122018</t>
  </si>
  <si>
    <t>PROM-12019</t>
  </si>
  <si>
    <t>PROM-22019</t>
  </si>
  <si>
    <t>PROM-32019</t>
  </si>
  <si>
    <t>PROM-42019</t>
  </si>
  <si>
    <t>PROM-52019</t>
  </si>
  <si>
    <t>PROM-62019</t>
  </si>
  <si>
    <t>PROM-72019</t>
  </si>
  <si>
    <t>PROM-82019</t>
  </si>
  <si>
    <t>PROM-92019</t>
  </si>
  <si>
    <t>PROM-102019</t>
  </si>
  <si>
    <t>PROM-112019</t>
  </si>
  <si>
    <t>PROM-122019</t>
  </si>
  <si>
    <t>PROM-12020</t>
  </si>
  <si>
    <t>PROM-22020</t>
  </si>
  <si>
    <t>PROM-32020</t>
  </si>
  <si>
    <t>PROM-42020</t>
  </si>
  <si>
    <t>PROM-52020</t>
  </si>
  <si>
    <t>PROM-62020</t>
  </si>
  <si>
    <t>PROM-72020</t>
  </si>
  <si>
    <t>PROM-82020</t>
  </si>
  <si>
    <t>PROM-92020</t>
  </si>
  <si>
    <t>PROM-102020</t>
  </si>
  <si>
    <t>PROM-112020</t>
  </si>
  <si>
    <t>PROM-122020</t>
  </si>
  <si>
    <t>PROM-12021</t>
  </si>
  <si>
    <t>PROM-22021</t>
  </si>
  <si>
    <t>PROM-12022</t>
  </si>
  <si>
    <t>PROM-22022</t>
  </si>
  <si>
    <t>PROM-32022</t>
  </si>
  <si>
    <t>PROM-42022</t>
  </si>
  <si>
    <t>PROM-52022</t>
  </si>
  <si>
    <t>PROM-62022</t>
  </si>
  <si>
    <t>PROM-72022</t>
  </si>
  <si>
    <t>PROM-82022</t>
  </si>
  <si>
    <t>PROM-92022</t>
  </si>
  <si>
    <t>PROM-102022</t>
  </si>
  <si>
    <t>PROM-112022</t>
  </si>
  <si>
    <t>PROM-122022</t>
  </si>
  <si>
    <t>PROM-12023</t>
  </si>
  <si>
    <t>PROM-22023</t>
  </si>
  <si>
    <t>PROM-32023</t>
  </si>
  <si>
    <t>PROM-42023</t>
  </si>
  <si>
    <t>PROM-52023</t>
  </si>
  <si>
    <t>PROM-62023</t>
  </si>
  <si>
    <t>PROM-72023</t>
  </si>
  <si>
    <t>PROM-82023</t>
  </si>
  <si>
    <t>PROM-92023</t>
  </si>
  <si>
    <t>PROM-102023</t>
  </si>
  <si>
    <t>PROM-112023</t>
  </si>
  <si>
    <t>PROM-122023</t>
  </si>
  <si>
    <t>Arabia Saudita</t>
  </si>
  <si>
    <t>SAR</t>
  </si>
  <si>
    <t>Riyal</t>
  </si>
  <si>
    <t>Argelia</t>
  </si>
  <si>
    <t>DZD</t>
  </si>
  <si>
    <t>Dinar</t>
  </si>
  <si>
    <t>Argentina</t>
  </si>
  <si>
    <t>Peso</t>
  </si>
  <si>
    <t>Australia</t>
  </si>
  <si>
    <t>AUD</t>
  </si>
  <si>
    <t>Dólar</t>
  </si>
  <si>
    <t>Bahamas</t>
  </si>
  <si>
    <t>BSD</t>
  </si>
  <si>
    <t>Barbados</t>
  </si>
  <si>
    <t>BBD</t>
  </si>
  <si>
    <t>Belice</t>
  </si>
  <si>
    <t>BZD</t>
  </si>
  <si>
    <t>Bermuda</t>
  </si>
  <si>
    <t>BMD</t>
  </si>
  <si>
    <t>Bolivia</t>
  </si>
  <si>
    <t>Boliviano</t>
  </si>
  <si>
    <t>Brasil</t>
  </si>
  <si>
    <t>Real</t>
  </si>
  <si>
    <t>Canadá</t>
  </si>
  <si>
    <t>CAD</t>
  </si>
  <si>
    <t>Chile</t>
  </si>
  <si>
    <t>China</t>
  </si>
  <si>
    <t>CNY</t>
  </si>
  <si>
    <t>Yuan continental</t>
  </si>
  <si>
    <t>CNH</t>
  </si>
  <si>
    <t>Yuan extracontinental 2/</t>
  </si>
  <si>
    <t>Colombia</t>
  </si>
  <si>
    <t>Peso 3/</t>
  </si>
  <si>
    <t>Corea del Sur</t>
  </si>
  <si>
    <t>KRW</t>
  </si>
  <si>
    <t>Won 3/</t>
  </si>
  <si>
    <t>Costa Rica</t>
  </si>
  <si>
    <t>Colón</t>
  </si>
  <si>
    <t>Cuba</t>
  </si>
  <si>
    <t>CUP</t>
  </si>
  <si>
    <t>Dinamarca</t>
  </si>
  <si>
    <t>DKK</t>
  </si>
  <si>
    <t>Corona</t>
  </si>
  <si>
    <t>Ecuador</t>
  </si>
  <si>
    <t>ESD</t>
  </si>
  <si>
    <t>Egipto</t>
  </si>
  <si>
    <t>EGP</t>
  </si>
  <si>
    <t>Libra</t>
  </si>
  <si>
    <t>El Salvador</t>
  </si>
  <si>
    <t>Emiratos Árabes Unidos</t>
  </si>
  <si>
    <t>AED</t>
  </si>
  <si>
    <t>Dirham</t>
  </si>
  <si>
    <t>Estados Unidos de América</t>
  </si>
  <si>
    <t>USD</t>
  </si>
  <si>
    <t>Federación Rusa</t>
  </si>
  <si>
    <t>RUB</t>
  </si>
  <si>
    <t>Rublo</t>
  </si>
  <si>
    <t>Fiyi</t>
  </si>
  <si>
    <t>FJD</t>
  </si>
  <si>
    <t>Filipinas</t>
  </si>
  <si>
    <t>PHP</t>
  </si>
  <si>
    <t>Gran Bretaña</t>
  </si>
  <si>
    <t>GBP</t>
  </si>
  <si>
    <t>Libra esterlina</t>
  </si>
  <si>
    <t>Guatemala</t>
  </si>
  <si>
    <t>Quetzal</t>
  </si>
  <si>
    <t>Guyana</t>
  </si>
  <si>
    <t>GYD</t>
  </si>
  <si>
    <t>Honduras</t>
  </si>
  <si>
    <t>Lempira</t>
  </si>
  <si>
    <t>Hong Kong</t>
  </si>
  <si>
    <t>HKD</t>
  </si>
  <si>
    <t>Hungría</t>
  </si>
  <si>
    <t>HUF</t>
  </si>
  <si>
    <t>Forint</t>
  </si>
  <si>
    <t>India</t>
  </si>
  <si>
    <t>INR</t>
  </si>
  <si>
    <t>Rupia</t>
  </si>
  <si>
    <t>Indonesia</t>
  </si>
  <si>
    <t>IDR</t>
  </si>
  <si>
    <t>Rupia 3/</t>
  </si>
  <si>
    <t>Irak</t>
  </si>
  <si>
    <t>IQD</t>
  </si>
  <si>
    <t>Israel</t>
  </si>
  <si>
    <t>ILS</t>
  </si>
  <si>
    <t>Shekel</t>
  </si>
  <si>
    <t>Jamaica</t>
  </si>
  <si>
    <t>JMD</t>
  </si>
  <si>
    <t>Japón</t>
  </si>
  <si>
    <t>JPY</t>
  </si>
  <si>
    <t>Yen</t>
  </si>
  <si>
    <t>Kenia</t>
  </si>
  <si>
    <t>KES</t>
  </si>
  <si>
    <t>Chelín</t>
  </si>
  <si>
    <t>Kuwait</t>
  </si>
  <si>
    <t>KWD</t>
  </si>
  <si>
    <t>Malasia</t>
  </si>
  <si>
    <t>MYR</t>
  </si>
  <si>
    <t>Ringgit</t>
  </si>
  <si>
    <t>Marruecos</t>
  </si>
  <si>
    <t>MAD</t>
  </si>
  <si>
    <t>Nicaragua</t>
  </si>
  <si>
    <t>NIC</t>
  </si>
  <si>
    <t>Cordoba</t>
  </si>
  <si>
    <t>Nigeria</t>
  </si>
  <si>
    <t>NGN</t>
  </si>
  <si>
    <t>Naira</t>
  </si>
  <si>
    <t>Noruega</t>
  </si>
  <si>
    <t>NOK</t>
  </si>
  <si>
    <t>Nueva Zelanda</t>
  </si>
  <si>
    <t>NZD</t>
  </si>
  <si>
    <t>Panamá</t>
  </si>
  <si>
    <t>Balboa</t>
  </si>
  <si>
    <t>Paraguay</t>
  </si>
  <si>
    <t>Guarani 3/</t>
  </si>
  <si>
    <t>Perú</t>
  </si>
  <si>
    <t>Sol</t>
  </si>
  <si>
    <t>Polonia</t>
  </si>
  <si>
    <t>PLN</t>
  </si>
  <si>
    <t>Esloti</t>
  </si>
  <si>
    <t>Puerto Rico</t>
  </si>
  <si>
    <t>Rep. Checa</t>
  </si>
  <si>
    <t>CZK</t>
  </si>
  <si>
    <t>Rep. de Sudáfrica</t>
  </si>
  <si>
    <t>ZAR</t>
  </si>
  <si>
    <t>Rand</t>
  </si>
  <si>
    <t>Rep. Dominicana</t>
  </si>
  <si>
    <t>Rumania</t>
  </si>
  <si>
    <t>RON</t>
  </si>
  <si>
    <t>Leu</t>
  </si>
  <si>
    <t>Singapur</t>
  </si>
  <si>
    <t>SGD</t>
  </si>
  <si>
    <t>Suecia</t>
  </si>
  <si>
    <t>SEK</t>
  </si>
  <si>
    <t>Suiza</t>
  </si>
  <si>
    <t>CHF</t>
  </si>
  <si>
    <t>Franco</t>
  </si>
  <si>
    <t>Tailandia</t>
  </si>
  <si>
    <t>THB</t>
  </si>
  <si>
    <t>Baht</t>
  </si>
  <si>
    <t>Taiwán</t>
  </si>
  <si>
    <t>TWD</t>
  </si>
  <si>
    <t>Nuevo dólar</t>
  </si>
  <si>
    <t>Trinidad Y Tobago</t>
  </si>
  <si>
    <t>Turquía</t>
  </si>
  <si>
    <t>TRY</t>
  </si>
  <si>
    <t>Lira</t>
  </si>
  <si>
    <t>Ucrania</t>
  </si>
  <si>
    <t>UAH</t>
  </si>
  <si>
    <t>Hryvna</t>
  </si>
  <si>
    <t>Unión Monetaria Europea</t>
  </si>
  <si>
    <t>Euro 4/</t>
  </si>
  <si>
    <t>Uruguay</t>
  </si>
  <si>
    <t>UYP</t>
  </si>
  <si>
    <t>Venezuela</t>
  </si>
  <si>
    <t>VES</t>
  </si>
  <si>
    <t>Bolívar digital 5/</t>
  </si>
  <si>
    <t>Vietnam</t>
  </si>
  <si>
    <t>VND</t>
  </si>
  <si>
    <t>Dong 3/</t>
  </si>
  <si>
    <t>Derecho Especial de Giro</t>
  </si>
  <si>
    <t>XDR</t>
  </si>
  <si>
    <t>Deg</t>
  </si>
  <si>
    <t>Onza Troy Plata 6/</t>
  </si>
  <si>
    <t>Peso Oro</t>
  </si>
  <si>
    <t>        (Equivale a 0.75 gramos de oro)</t>
  </si>
  <si>
    <t>Onza Oro 6/</t>
  </si>
  <si>
    <t>Onza Plata Amonedada</t>
  </si>
  <si>
    <t>        (Pieza de 1 onza, ley 0.999 en acabado satín)</t>
  </si>
  <si>
    <t>Onza Oro Amonedado</t>
  </si>
  <si>
    <t>1/ El nombre con el que se mencionan los países no necesariamente coincide con su nombre oficial y se listan sin perjuicio del reconocimiento que en su caso se les otorgue como país independiente.</t>
  </si>
  <si>
    <t>2/ Corresponde al tipo de cambio cuya cotización es realizada fuera de China continental.</t>
  </si>
  <si>
    <t>3/ El tipo de cambio está expresado en dólares por mil unidades domésticas.</t>
  </si>
  <si>
    <t>4/ Los países que utilizan el euro como moneda son: Alemania, Austria, Bélgica, Chipre, Croacia, Eslovaquia, Eslovenia, España, Estonia, Finlandia, Francia, Grecia, Irlanda, Italia, Letonia, Lituania, Luxemburgo, Malta, Países Bajos y Portugal.</t>
  </si>
  <si>
    <t>5/ A partir del 1 de octubre de 2021 el bolívar soberano fue sustituido por el bolívar digital. Para cotizaciones anteriores a esta fecha, el tipo de cambio está expresado en dólares por millón de unidades domésticas.</t>
  </si>
  <si>
    <t>6/ El precio fix del oro y la plata ya no es difundido públicamente por la London Bullion Metal Association (LBMA) al momento de su determinación. El valor que aquí se publica corresponde al fix que la LBMA determinó para el día anterior a la publicación de esta serie.</t>
  </si>
  <si>
    <t>Cálculo Cierre de Jornada</t>
  </si>
  <si>
    <t>* Tipos de cambio provisionales. Los tipos de cambio oficiales para efectos de lo previsto en el artículo 20 del Código Fiscal de la Federación serán publicados en el Diario Oficial de la Federación dentro de los cinco primeros días hábiles de cada mes.</t>
  </si>
  <si>
    <t>* Fuente: Reuters y Bloomberg.</t>
  </si>
  <si>
    <t>* Dólares convertidos al "tipo de cambio para solventar las obligaciones denominadas en moneda extranjera pagaderas en el interior de la República":</t>
  </si>
  <si>
    <t>España</t>
  </si>
  <si>
    <t>Dominicana</t>
  </si>
  <si>
    <t>TRINIDAD Y TOBAGO</t>
  </si>
  <si>
    <t>https://dof.gob.mx/indicadores.php#gsc.tab=0</t>
  </si>
  <si>
    <t>TIPOS DE CAMBIO DE DÓLAR ESTADOUNIDENSE A MODENA LOCAL POR PAÍS</t>
  </si>
  <si>
    <t>País 1/</t>
  </si>
  <si>
    <t>Clave</t>
  </si>
  <si>
    <t>Divisa</t>
  </si>
  <si>
    <t>Dólares por divisa</t>
  </si>
  <si>
    <t>Pesos por divisa</t>
  </si>
  <si>
    <t>Otras divisas</t>
  </si>
  <si>
    <t>   </t>
  </si>
  <si>
    <t>Metales Preciosos</t>
  </si>
  <si>
    <t>Pesos</t>
  </si>
  <si>
    <t>Descargar</t>
  </si>
  <si>
    <t>28 de oct. de 2024</t>
  </si>
  <si>
    <t>27 de oct. de 2024</t>
  </si>
  <si>
    <t>26 de oct. de 2024</t>
  </si>
  <si>
    <t>25 de oct. de 2024</t>
  </si>
  <si>
    <t>24 de oct. de 2024</t>
  </si>
  <si>
    <t>23 de oct. de 2024</t>
  </si>
  <si>
    <t>22 de oct. de 2024</t>
  </si>
  <si>
    <t>21 de oct. de 2024</t>
  </si>
  <si>
    <t>20 de oct. de 2024</t>
  </si>
  <si>
    <t>19 de oct. de 2024</t>
  </si>
  <si>
    <t>18 de oct. de 2024</t>
  </si>
  <si>
    <t>17 de oct. de 2024</t>
  </si>
  <si>
    <t>16 de oct. de 2024</t>
  </si>
  <si>
    <t>15 de oct. de 2024</t>
  </si>
  <si>
    <t>14 de oct. de 2024</t>
  </si>
  <si>
    <t>13 de oct. de 2024</t>
  </si>
  <si>
    <t>12 de oct. de 2024</t>
  </si>
  <si>
    <t>11 de oct. de 2024</t>
  </si>
  <si>
    <t>10 de oct. de 2024</t>
  </si>
  <si>
    <t>9 de oct. de 2024</t>
  </si>
  <si>
    <t>8 de oct. de 2024</t>
  </si>
  <si>
    <t>7 de oct. de 2024</t>
  </si>
  <si>
    <t>6 de oct. de 2024</t>
  </si>
  <si>
    <t>5 de oct. de 2024</t>
  </si>
  <si>
    <t>4 de oct. de 2024</t>
  </si>
  <si>
    <t>3 de oct. de 2024</t>
  </si>
  <si>
    <t>2 de oct. de 2024</t>
  </si>
  <si>
    <t>1 de oct. de 2024</t>
  </si>
  <si>
    <t>PROM-102024</t>
  </si>
  <si>
    <t>PROM-112024</t>
  </si>
  <si>
    <t>PROM-122024</t>
  </si>
  <si>
    <t>Valor</t>
  </si>
  <si>
    <t>PROM-82025</t>
  </si>
  <si>
    <t>Para el cierre de Marzo de 2026</t>
  </si>
  <si>
    <t>ipos de cambio para revalorización de balance del Banco de México al</t>
  </si>
  <si>
    <t>31 de marzo de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</si>
</sst>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 #,##0.00_-;_-* &quot;-&quot;??_-;_-@_-"/>
    <numFmt numFmtId="164" formatCode="_-* #,##0.0000_-;\-* #,##0.0000_-;_-* &quot;-&quot;??_-;_-@_-"/>
    <numFmt numFmtId="165" formatCode="_-* #,##0_-;\-* #,##0_-;_-* &quot;-&quot;??_-;_-@_-"/>
    <numFmt numFmtId="166" formatCode="0.0000"/>
    <numFmt numFmtId="167" formatCode="_-* #,##0.00000_-;\-* #,##0.00000_-;_-* &quot;-&quot;??_-;_-@_-"/>
    <numFmt numFmtId="168" formatCode="dd\-mmm\-yyyy"/>
    <numFmt numFmtId="169" formatCode="0.00000"/>
    <numFmt numFmtId="170" formatCode="0.000000"/>
    <numFmt numFmtId="171" formatCode="0.000"/>
    <numFmt numFmtId="172" formatCode="_-* #,##0.000_-;\-* #,##0.000_-;_-* &quot;-&quot;??_-;_-@_-"/>
    <numFmt numFmtId="173" formatCode="_-* #,##0.000000_-;\-* #,##0.000000_-;_-* &quot;-&quot;??_-;_-@_-"/>
    <numFmt numFmtId="174" formatCode="mmmm\-yyyy"/>
  </numFmts>
  <fonts count="59" x14ac:knownFonts="1">
    <font>
      <sz val="10"/>
      <color theme="1"/>
      <name val="Arial Narrow"/>
      <family val="2"/>
    </font>
    <font>
      <sz val="10"/>
      <color theme="1"/>
      <name val="Arial Narrow"/>
      <family val="2"/>
    </font>
    <font>
      <sz val="10"/>
      <name val="Arial"/>
      <family val="2"/>
    </font>
    <font>
      <sz val="9"/>
      <color theme="1"/>
      <name val="Arial Narrow"/>
      <family val="2"/>
    </font>
    <font>
      <b/>
      <sz val="9"/>
      <color theme="1"/>
      <name val="Arial Narrow"/>
      <family val="2"/>
    </font>
    <font>
      <b/>
      <sz val="9"/>
      <color theme="0"/>
      <name val="Arial Narrow"/>
      <family val="2"/>
    </font>
    <font>
      <b/>
      <sz val="9"/>
      <color rgb="FF7030A0"/>
      <name val="Arial Narrow"/>
      <family val="2"/>
    </font>
    <font>
      <b/>
      <sz val="10"/>
      <color rgb="FF7030A0"/>
      <name val="Arial Narrow"/>
      <family val="2"/>
    </font>
    <font>
      <b/>
      <sz val="10"/>
      <color theme="1"/>
      <name val="Arial Narrow"/>
      <family val="2"/>
    </font>
    <font>
      <b/>
      <sz val="9"/>
      <color rgb="FF555555"/>
      <name val="Arial"/>
      <family val="2"/>
    </font>
    <font>
      <b/>
      <sz val="9"/>
      <color rgb="FFFF6200"/>
      <name val="Arial"/>
      <family val="2"/>
    </font>
    <font>
      <b/>
      <sz val="9"/>
      <color rgb="FFC80000"/>
      <name val="Arial"/>
      <family val="2"/>
    </font>
    <font>
      <b/>
      <sz val="9"/>
      <color rgb="FF00A5BE"/>
      <name val="Arial"/>
      <family val="2"/>
    </font>
    <font>
      <b/>
      <sz val="9"/>
      <color rgb="FF5BBA00"/>
      <name val="Arial"/>
      <family val="2"/>
    </font>
    <font>
      <b/>
      <sz val="9"/>
      <color rgb="FF0050C3"/>
      <name val="Arial"/>
      <family val="2"/>
    </font>
    <font>
      <b/>
      <sz val="14"/>
      <color theme="1"/>
      <name val="Arial Narrow"/>
      <family val="2"/>
    </font>
    <font>
      <sz val="9"/>
      <color theme="0"/>
      <name val="Arial Narrow"/>
      <family val="2"/>
    </font>
    <font>
      <b/>
      <sz val="10"/>
      <color theme="5" tint="-0.499984740745262"/>
      <name val="Arial Narrow"/>
      <family val="2"/>
    </font>
    <font>
      <sz val="9"/>
      <color rgb="FFFF0000"/>
      <name val="Arial Narrow"/>
      <family val="2"/>
    </font>
    <font>
      <sz val="10"/>
      <color theme="0"/>
      <name val="Arial Narrow"/>
      <family val="2"/>
    </font>
    <font>
      <b/>
      <sz val="9"/>
      <name val="Arial Narrow"/>
      <family val="2"/>
    </font>
    <font>
      <b/>
      <sz val="9"/>
      <color rgb="FFFF0000"/>
      <name val="Arial Narrow"/>
      <family val="2"/>
    </font>
    <font>
      <sz val="8"/>
      <color theme="0"/>
      <name val="Arial Narrow"/>
      <family val="2"/>
    </font>
    <font>
      <b/>
      <sz val="8"/>
      <color rgb="FFFF0000"/>
      <name val="Arial Narrow"/>
      <family val="2"/>
    </font>
    <font>
      <b/>
      <sz val="10"/>
      <color theme="0"/>
      <name val="Franklin Gothic Medium Cond"/>
    </font>
    <font>
      <b/>
      <sz val="9"/>
      <color theme="5" tint="-0.499984740745262"/>
      <name val="Franklin Gothic Medium Cond"/>
    </font>
    <font>
      <b/>
      <sz val="10"/>
      <color rgb="FF0000E0"/>
      <name val="Arial Narrow"/>
      <family val="2"/>
    </font>
    <font>
      <b/>
      <sz val="10"/>
      <color rgb="FF008000"/>
      <name val="Arial Narrow"/>
      <family val="2"/>
    </font>
    <font>
      <b/>
      <sz val="10"/>
      <color rgb="FFE00000"/>
      <name val="Arial Narrow"/>
      <family val="2"/>
    </font>
    <font>
      <b/>
      <sz val="10"/>
      <color rgb="FFCA00D5"/>
      <name val="Arial Narrow"/>
      <family val="2"/>
    </font>
    <font>
      <b/>
      <sz val="10"/>
      <color rgb="FFF6921E"/>
      <name val="Arial Narrow"/>
      <family val="2"/>
    </font>
    <font>
      <b/>
      <sz val="10"/>
      <color rgb="FF0094C1"/>
      <name val="Arial Narrow"/>
      <family val="2"/>
    </font>
    <font>
      <b/>
      <sz val="10"/>
      <color rgb="FF659900"/>
      <name val="Arial Narrow"/>
      <family val="2"/>
    </font>
    <font>
      <b/>
      <sz val="10"/>
      <color rgb="FFFF1B9F"/>
      <name val="Arial Narrow"/>
      <family val="2"/>
    </font>
    <font>
      <b/>
      <sz val="10"/>
      <color rgb="FF5F00AA"/>
      <name val="Arial Narrow"/>
      <family val="2"/>
    </font>
    <font>
      <b/>
      <sz val="10"/>
      <color rgb="FF262261"/>
      <name val="Arial Narrow"/>
      <family val="2"/>
    </font>
    <font>
      <b/>
      <sz val="10"/>
      <color rgb="FFCA00FF"/>
      <name val="Arial Narrow"/>
      <family val="2"/>
    </font>
    <font>
      <u/>
      <sz val="10"/>
      <color theme="10"/>
      <name val="Arial Narrow"/>
      <family val="2"/>
    </font>
    <font>
      <sz val="9"/>
      <color theme="1"/>
      <name val="Calibri"/>
      <family val="2"/>
      <scheme val="minor"/>
    </font>
    <font>
      <b/>
      <sz val="9"/>
      <color rgb="FF7030A0"/>
      <name val="Arial"/>
      <family val="2"/>
    </font>
    <font>
      <b/>
      <sz val="9"/>
      <color rgb="FF00B050"/>
      <name val="Arial"/>
      <family val="2"/>
    </font>
    <font>
      <b/>
      <sz val="9"/>
      <color rgb="FF002060"/>
      <name val="Arial"/>
      <family val="2"/>
    </font>
    <font>
      <b/>
      <sz val="9"/>
      <color rgb="FF3D3D3D"/>
      <name val="Arial"/>
      <family val="2"/>
    </font>
    <font>
      <sz val="14"/>
      <color rgb="FF000000"/>
      <name val="Arial"/>
      <family val="2"/>
    </font>
    <font>
      <b/>
      <sz val="10"/>
      <color theme="1"/>
      <name val="Arial"/>
      <family val="2"/>
    </font>
    <font>
      <b/>
      <sz val="10"/>
      <color rgb="FF0000E0"/>
      <name val="Arial"/>
      <family val="2"/>
    </font>
    <font>
      <b/>
      <sz val="10"/>
      <color rgb="FF008000"/>
      <name val="Arial"/>
      <family val="2"/>
    </font>
    <font>
      <b/>
      <sz val="10"/>
      <color rgb="FFE00000"/>
      <name val="Arial"/>
      <family val="2"/>
    </font>
    <font>
      <b/>
      <sz val="10"/>
      <color rgb="FFCA00D5"/>
      <name val="Arial"/>
      <family val="2"/>
    </font>
    <font>
      <b/>
      <sz val="10"/>
      <color rgb="FFF6921E"/>
      <name val="Arial"/>
      <family val="2"/>
    </font>
    <font>
      <b/>
      <sz val="10"/>
      <color rgb="FF0094C1"/>
      <name val="Arial"/>
      <family val="2"/>
    </font>
    <font>
      <b/>
      <sz val="10"/>
      <color rgb="FF659900"/>
      <name val="Arial"/>
      <family val="2"/>
    </font>
    <font>
      <b/>
      <sz val="10"/>
      <color rgb="FFFF1B9F"/>
      <name val="Arial"/>
      <family val="2"/>
    </font>
    <font>
      <b/>
      <sz val="10"/>
      <color rgb="FF5F00AA"/>
      <name val="Arial"/>
      <family val="2"/>
    </font>
    <font>
      <b/>
      <sz val="10"/>
      <color rgb="FF262261"/>
      <name val="Arial"/>
      <family val="2"/>
    </font>
    <font>
      <b/>
      <sz val="7"/>
      <color rgb="FF222222"/>
      <name val="Arial"/>
      <family val="2"/>
    </font>
    <font>
      <sz val="7"/>
      <color rgb="FF6D6F70"/>
      <name val="Arial"/>
      <family val="2"/>
    </font>
    <font>
      <sz val="9"/>
      <color rgb="FF2F2F2F"/>
      <name val="Arial"/>
      <family val="2"/>
    </font>
    <font>
      <b/>
      <sz val="9"/>
      <color rgb="FFFFFFFF"/>
      <name val="Arial"/>
      <family val="2"/>
    </font>
  </fonts>
  <fills count="22">
    <fill>
      <patternFill patternType="none"/>
    </fill>
    <fill>
      <patternFill patternType="gray125"/>
    </fill>
    <fill>
      <patternFill patternType="solid">
        <fgColor rgb="FF002060"/>
        <bgColor indexed="64"/>
      </patternFill>
    </fill>
    <fill>
      <patternFill patternType="solid">
        <fgColor rgb="FFFFFFCC"/>
        <bgColor indexed="64"/>
      </patternFill>
    </fill>
    <fill>
      <gradientFill>
        <stop position="0">
          <color theme="0" tint="-0.25098422193060094"/>
        </stop>
        <stop position="0.5">
          <color theme="0"/>
        </stop>
        <stop position="1">
          <color theme="0" tint="-0.25098422193060094"/>
        </stop>
      </gradientFill>
    </fill>
    <fill>
      <gradientFill>
        <stop position="0">
          <color theme="0" tint="-0.34900967436750391"/>
        </stop>
        <stop position="0.5">
          <color theme="0"/>
        </stop>
        <stop position="1">
          <color theme="0" tint="-0.34900967436750391"/>
        </stop>
      </gradientFill>
    </fill>
    <fill>
      <patternFill patternType="solid">
        <fgColor rgb="FFFFCCCC"/>
        <bgColor indexed="64"/>
      </patternFill>
    </fill>
    <fill>
      <gradientFill type="path" left="0.5" right="0.5" top="0.5" bottom="0.5">
        <stop position="0">
          <color theme="3" tint="0.40000610370189521"/>
        </stop>
        <stop position="1">
          <color rgb="FF000099"/>
        </stop>
      </gradientFill>
    </fill>
    <fill>
      <patternFill patternType="solid">
        <fgColor theme="6" tint="0.79998168889431442"/>
        <bgColor indexed="64"/>
      </patternFill>
    </fill>
    <fill>
      <patternFill patternType="solid">
        <fgColor theme="3" tint="0.79998168889431442"/>
        <bgColor indexed="64"/>
      </patternFill>
    </fill>
    <fill>
      <patternFill patternType="solid">
        <fgColor rgb="FFFFFFFF"/>
        <bgColor indexed="64"/>
      </patternFill>
    </fill>
    <fill>
      <patternFill patternType="solid">
        <fgColor theme="9" tint="0.59996337778862885"/>
        <bgColor indexed="64"/>
      </patternFill>
    </fill>
    <fill>
      <patternFill patternType="solid">
        <fgColor rgb="FFCCCCFF"/>
        <bgColor indexed="64"/>
      </patternFill>
    </fill>
    <fill>
      <patternFill patternType="solid">
        <fgColor theme="5" tint="0.59996337778862885"/>
        <bgColor indexed="64"/>
      </patternFill>
    </fill>
    <fill>
      <patternFill patternType="solid">
        <fgColor theme="8" tint="0.59996337778862885"/>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33CCCC"/>
        <bgColor indexed="64"/>
      </patternFill>
    </fill>
    <fill>
      <patternFill patternType="solid">
        <fgColor rgb="FFFF9999"/>
        <bgColor indexed="64"/>
      </patternFill>
    </fill>
    <fill>
      <patternFill patternType="solid">
        <fgColor rgb="FFCCFFFF"/>
        <bgColor indexed="64"/>
      </patternFill>
    </fill>
    <fill>
      <patternFill patternType="solid">
        <fgColor rgb="FFDDDDDD"/>
        <bgColor indexed="64"/>
      </patternFill>
    </fill>
    <fill>
      <patternFill patternType="solid">
        <fgColor rgb="FFB2B2B2"/>
        <bgColor indexed="64"/>
      </patternFill>
    </fill>
  </fills>
  <borders count="34">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style="thin">
        <color theme="0" tint="-0.1498764000366222"/>
      </left>
      <right/>
      <top style="thin">
        <color theme="0" tint="-0.1498458815271462"/>
      </top>
      <bottom style="thin">
        <color theme="0" tint="-0.14996795556505021"/>
      </bottom>
      <diagonal/>
    </border>
    <border>
      <left/>
      <right style="thin">
        <color theme="0" tint="-0.14996795556505021"/>
      </right>
      <top style="thin">
        <color theme="0" tint="-0.1498458815271462"/>
      </top>
      <bottom style="thin">
        <color theme="0" tint="-0.14996795556505021"/>
      </bottom>
      <diagonal/>
    </border>
    <border>
      <left style="thin">
        <color theme="0" tint="-0.1498458815271462"/>
      </left>
      <right style="thin">
        <color theme="0" tint="-0.1498458815271462"/>
      </right>
      <top style="thin">
        <color theme="0" tint="-0.1498458815271462"/>
      </top>
      <bottom style="thin">
        <color theme="0" tint="-0.1498458815271462"/>
      </bottom>
      <diagonal/>
    </border>
    <border>
      <left/>
      <right style="thin">
        <color theme="0" tint="-0.14990691854609822"/>
      </right>
      <top style="thin">
        <color theme="0" tint="-0.14990691854609822"/>
      </top>
      <bottom style="thin">
        <color theme="0" tint="-0.14990691854609822"/>
      </bottom>
      <diagonal/>
    </border>
    <border>
      <left style="thin">
        <color theme="0" tint="-0.14990691854609822"/>
      </left>
      <right/>
      <top style="thin">
        <color theme="0" tint="-0.14990691854609822"/>
      </top>
      <bottom style="thin">
        <color theme="0" tint="-0.14990691854609822"/>
      </bottom>
      <diagonal/>
    </border>
    <border>
      <left style="thin">
        <color theme="0" tint="-0.1498458815271462"/>
      </left>
      <right/>
      <top style="thin">
        <color theme="0" tint="-0.1498458815271462"/>
      </top>
      <bottom style="thin">
        <color theme="0" tint="-0.1498458815271462"/>
      </bottom>
      <diagonal/>
    </border>
    <border>
      <left/>
      <right style="thin">
        <color theme="0" tint="-0.1498458815271462"/>
      </right>
      <top style="thin">
        <color theme="0" tint="-0.1498458815271462"/>
      </top>
      <bottom style="thin">
        <color theme="0" tint="-0.149845881527146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14996795556505021"/>
      </left>
      <right style="thin">
        <color theme="0" tint="-0.14996795556505021"/>
      </right>
      <top style="thin">
        <color rgb="FFFF0000"/>
      </top>
      <bottom style="thin">
        <color rgb="FFFF0000"/>
      </bottom>
      <diagonal/>
    </border>
    <border>
      <left/>
      <right/>
      <top style="thin">
        <color rgb="FFFF0000"/>
      </top>
      <bottom style="thin">
        <color rgb="FFFF0000"/>
      </bottom>
      <diagonal/>
    </border>
    <border>
      <left style="thin">
        <color theme="0" tint="-0.1498764000366222"/>
      </left>
      <right/>
      <top style="thin">
        <color theme="0" tint="-0.1498458815271462"/>
      </top>
      <bottom/>
      <diagonal/>
    </border>
    <border>
      <left/>
      <right style="thin">
        <color theme="0" tint="-0.14996795556505021"/>
      </right>
      <top style="thin">
        <color theme="0" tint="-0.1498458815271462"/>
      </top>
      <bottom/>
      <diagonal/>
    </border>
    <border>
      <left/>
      <right/>
      <top style="thin">
        <color theme="0" tint="-0.14996795556505021"/>
      </top>
      <bottom/>
      <diagonal/>
    </border>
    <border>
      <left style="thin">
        <color rgb="FFFF0000"/>
      </left>
      <right style="thin">
        <color theme="0" tint="-0.14996795556505021"/>
      </right>
      <top style="thin">
        <color rgb="FFFF0000"/>
      </top>
      <bottom style="thin">
        <color rgb="FFFF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E7E7E7"/>
      </right>
      <top/>
      <bottom/>
      <diagonal/>
    </border>
    <border>
      <left style="thin">
        <color theme="0" tint="-0.14996795556505021"/>
      </left>
      <right style="thin">
        <color rgb="FFFF0000"/>
      </right>
      <top style="thin">
        <color rgb="FFFF0000"/>
      </top>
      <bottom style="thin">
        <color rgb="FFFF0000"/>
      </bottom>
      <diagonal/>
    </border>
    <border>
      <left style="medium">
        <color rgb="FFDDDDDD"/>
      </left>
      <right/>
      <top/>
      <bottom/>
      <diagonal/>
    </border>
    <border>
      <left/>
      <right/>
      <top/>
      <bottom style="medium">
        <color rgb="FFDDDDDD"/>
      </bottom>
      <diagonal/>
    </border>
    <border>
      <left style="medium">
        <color rgb="FFDDDDDD"/>
      </left>
      <right/>
      <top/>
      <bottom style="medium">
        <color rgb="FFDDDDDD"/>
      </bottom>
      <diagonal/>
    </border>
    <border>
      <left style="medium">
        <color rgb="FFB2B2B2"/>
      </left>
      <right/>
      <top style="medium">
        <color rgb="FFB2B2B2"/>
      </top>
      <bottom/>
      <diagonal/>
    </border>
    <border>
      <left/>
      <right style="medium">
        <color rgb="FFB2B2B2"/>
      </right>
      <top style="medium">
        <color rgb="FFB2B2B2"/>
      </top>
      <bottom/>
      <diagonal/>
    </border>
    <border>
      <left style="medium">
        <color rgb="FFB2B2B2"/>
      </left>
      <right/>
      <top/>
      <bottom/>
      <diagonal/>
    </border>
    <border>
      <left/>
      <right style="medium">
        <color rgb="FFB2B2B2"/>
      </right>
      <top/>
      <bottom/>
      <diagonal/>
    </border>
    <border>
      <left style="medium">
        <color rgb="FFB2B2B2"/>
      </left>
      <right/>
      <top/>
      <bottom style="medium">
        <color rgb="FFB2B2B2"/>
      </bottom>
      <diagonal/>
    </border>
    <border>
      <left/>
      <right style="medium">
        <color rgb="FFB2B2B2"/>
      </right>
      <top/>
      <bottom style="medium">
        <color rgb="FFB2B2B2"/>
      </bottom>
      <diagonal/>
    </border>
  </borders>
  <cellStyleXfs count="5">
    <xf numFmtId="0" fontId="0" fillId="0" borderId="0"/>
    <xf numFmtId="43" fontId="1" fillId="0" borderId="0" applyFont="0" applyFill="0" applyBorder="0" applyAlignment="0" applyProtection="0"/>
    <xf numFmtId="0" fontId="2" fillId="0" borderId="0"/>
    <xf numFmtId="0" fontId="37" fillId="0" borderId="0" applyNumberFormat="0" applyFill="0" applyBorder="0" applyAlignment="0" applyProtection="0"/>
    <xf numFmtId="9" fontId="1" fillId="0" borderId="0" applyFont="0" applyFill="0" applyBorder="0" applyAlignment="0" applyProtection="0"/>
  </cellStyleXfs>
  <cellXfs count="196">
    <xf numFmtId="0" fontId="0" fillId="0" borderId="0" xfId="0"/>
    <xf numFmtId="0" fontId="3" fillId="0" borderId="0" xfId="0" applyFont="1"/>
    <xf numFmtId="164" fontId="3" fillId="0" borderId="0" xfId="1" applyNumberFormat="1" applyFont="1"/>
    <xf numFmtId="43" fontId="3" fillId="0" borderId="0" xfId="1" applyFont="1"/>
    <xf numFmtId="0" fontId="4" fillId="0" borderId="0" xfId="0" applyFont="1"/>
    <xf numFmtId="165" fontId="3" fillId="0" borderId="0" xfId="1" applyNumberFormat="1" applyFont="1"/>
    <xf numFmtId="14" fontId="3" fillId="0" borderId="0" xfId="0" applyNumberFormat="1" applyFont="1"/>
    <xf numFmtId="164" fontId="3" fillId="0" borderId="0" xfId="1" applyNumberFormat="1" applyFont="1" applyBorder="1"/>
    <xf numFmtId="0" fontId="3" fillId="0" borderId="0" xfId="0" applyFont="1" applyAlignment="1">
      <alignment horizontal="center"/>
    </xf>
    <xf numFmtId="167" fontId="3" fillId="0" borderId="0" xfId="1" applyNumberFormat="1" applyFont="1"/>
    <xf numFmtId="164" fontId="3" fillId="0" borderId="0" xfId="1" applyNumberFormat="1" applyFont="1" applyAlignment="1">
      <alignment horizontal="center"/>
    </xf>
    <xf numFmtId="43" fontId="3" fillId="0" borderId="0" xfId="1" applyFont="1" applyAlignment="1">
      <alignment horizontal="center"/>
    </xf>
    <xf numFmtId="43" fontId="4" fillId="0" borderId="0" xfId="1" applyFont="1" applyAlignment="1">
      <alignment horizontal="center"/>
    </xf>
    <xf numFmtId="164" fontId="0" fillId="0" borderId="1" xfId="1" applyNumberFormat="1" applyFont="1" applyBorder="1"/>
    <xf numFmtId="164" fontId="3" fillId="0" borderId="1" xfId="1" applyNumberFormat="1" applyFont="1" applyBorder="1" applyAlignment="1">
      <alignment horizontal="center"/>
    </xf>
    <xf numFmtId="0" fontId="5" fillId="2" borderId="2" xfId="2" applyFont="1" applyFill="1" applyBorder="1" applyAlignment="1">
      <alignment horizontal="center" vertical="center"/>
    </xf>
    <xf numFmtId="0" fontId="9" fillId="4" borderId="5" xfId="0" applyFont="1" applyFill="1" applyBorder="1" applyAlignment="1">
      <alignment horizontal="center" vertical="center" wrapText="1"/>
    </xf>
    <xf numFmtId="0" fontId="9" fillId="4" borderId="1" xfId="0" applyFont="1" applyFill="1" applyBorder="1" applyAlignment="1">
      <alignment horizontal="center" vertical="center" wrapText="1"/>
    </xf>
    <xf numFmtId="168" fontId="0" fillId="0" borderId="1" xfId="0" applyNumberFormat="1" applyBorder="1" applyAlignment="1">
      <alignment horizontal="center"/>
    </xf>
    <xf numFmtId="166" fontId="7" fillId="3" borderId="10" xfId="1" applyNumberFormat="1" applyFont="1" applyFill="1" applyBorder="1" applyAlignment="1">
      <alignment horizontal="center"/>
    </xf>
    <xf numFmtId="0" fontId="15" fillId="0" borderId="0" xfId="0" applyFont="1"/>
    <xf numFmtId="14" fontId="3" fillId="0" borderId="1" xfId="0" applyNumberFormat="1" applyFont="1" applyBorder="1" applyAlignment="1">
      <alignment horizontal="center"/>
    </xf>
    <xf numFmtId="0" fontId="16" fillId="0" borderId="0" xfId="0" applyFont="1"/>
    <xf numFmtId="169" fontId="7" fillId="3" borderId="10" xfId="1" applyNumberFormat="1" applyFont="1" applyFill="1" applyBorder="1" applyAlignment="1">
      <alignment horizontal="center"/>
    </xf>
    <xf numFmtId="170" fontId="7" fillId="3" borderId="10" xfId="1" applyNumberFormat="1" applyFont="1" applyFill="1" applyBorder="1" applyAlignment="1">
      <alignment horizontal="center"/>
    </xf>
    <xf numFmtId="14" fontId="6" fillId="3" borderId="10" xfId="0" applyNumberFormat="1" applyFont="1" applyFill="1" applyBorder="1" applyAlignment="1">
      <alignment horizontal="center"/>
    </xf>
    <xf numFmtId="43" fontId="3" fillId="0" borderId="1" xfId="0" applyNumberFormat="1" applyFont="1" applyBorder="1"/>
    <xf numFmtId="166" fontId="3" fillId="0" borderId="1" xfId="0" applyNumberFormat="1" applyFont="1" applyBorder="1"/>
    <xf numFmtId="43" fontId="3" fillId="0" borderId="0" xfId="1" applyFont="1" applyAlignment="1"/>
    <xf numFmtId="169" fontId="3" fillId="0" borderId="1" xfId="0" applyNumberFormat="1" applyFont="1" applyBorder="1"/>
    <xf numFmtId="170" fontId="3" fillId="0" borderId="1" xfId="0" applyNumberFormat="1" applyFont="1" applyBorder="1"/>
    <xf numFmtId="43" fontId="7" fillId="3" borderId="10" xfId="1" applyFont="1" applyFill="1" applyBorder="1" applyAlignment="1">
      <alignment horizontal="center"/>
    </xf>
    <xf numFmtId="43" fontId="0" fillId="0" borderId="1" xfId="1" applyFont="1" applyBorder="1"/>
    <xf numFmtId="164" fontId="8" fillId="6" borderId="11" xfId="1" applyNumberFormat="1" applyFont="1" applyFill="1" applyBorder="1"/>
    <xf numFmtId="0" fontId="8" fillId="6" borderId="12" xfId="0" applyFont="1" applyFill="1" applyBorder="1"/>
    <xf numFmtId="0" fontId="4" fillId="6" borderId="12" xfId="0" applyFont="1" applyFill="1" applyBorder="1"/>
    <xf numFmtId="43" fontId="8" fillId="6" borderId="11" xfId="1" applyFont="1" applyFill="1" applyBorder="1"/>
    <xf numFmtId="167" fontId="8" fillId="6" borderId="11" xfId="1" applyNumberFormat="1" applyFont="1" applyFill="1" applyBorder="1"/>
    <xf numFmtId="167" fontId="0" fillId="0" borderId="1" xfId="1" applyNumberFormat="1" applyFont="1" applyBorder="1"/>
    <xf numFmtId="0" fontId="17" fillId="3" borderId="1" xfId="0" applyFont="1" applyFill="1" applyBorder="1" applyAlignment="1">
      <alignment horizontal="center"/>
    </xf>
    <xf numFmtId="164" fontId="17" fillId="3" borderId="1" xfId="1" applyNumberFormat="1" applyFont="1" applyFill="1" applyBorder="1" applyAlignment="1">
      <alignment horizontal="center"/>
    </xf>
    <xf numFmtId="171" fontId="3" fillId="0" borderId="1" xfId="0" applyNumberFormat="1" applyFont="1" applyBorder="1"/>
    <xf numFmtId="171" fontId="7" fillId="3" borderId="10" xfId="1" applyNumberFormat="1" applyFont="1" applyFill="1" applyBorder="1" applyAlignment="1">
      <alignment horizontal="center"/>
    </xf>
    <xf numFmtId="172" fontId="8" fillId="6" borderId="11" xfId="1" applyNumberFormat="1" applyFont="1" applyFill="1" applyBorder="1"/>
    <xf numFmtId="172" fontId="0" fillId="0" borderId="1" xfId="1" applyNumberFormat="1" applyFont="1" applyBorder="1"/>
    <xf numFmtId="173" fontId="8" fillId="6" borderId="11" xfId="1" applyNumberFormat="1" applyFont="1" applyFill="1" applyBorder="1"/>
    <xf numFmtId="173" fontId="0" fillId="0" borderId="1" xfId="1" applyNumberFormat="1" applyFont="1" applyBorder="1"/>
    <xf numFmtId="0" fontId="18" fillId="0" borderId="0" xfId="0" applyFont="1"/>
    <xf numFmtId="164" fontId="18" fillId="0" borderId="0" xfId="1" applyNumberFormat="1" applyFont="1" applyBorder="1"/>
    <xf numFmtId="166" fontId="5" fillId="2" borderId="1" xfId="0" applyNumberFormat="1" applyFont="1" applyFill="1" applyBorder="1"/>
    <xf numFmtId="0" fontId="4" fillId="0" borderId="0" xfId="0" applyFont="1" applyAlignment="1">
      <alignment horizontal="centerContinuous"/>
    </xf>
    <xf numFmtId="0" fontId="16" fillId="0" borderId="0" xfId="0" applyFont="1" applyAlignment="1">
      <alignment horizontal="centerContinuous"/>
    </xf>
    <xf numFmtId="168" fontId="0" fillId="0" borderId="15" xfId="0" applyNumberFormat="1" applyBorder="1" applyAlignment="1">
      <alignment horizontal="center"/>
    </xf>
    <xf numFmtId="0" fontId="22" fillId="0" borderId="15" xfId="1" applyNumberFormat="1" applyFont="1" applyBorder="1" applyAlignment="1">
      <alignment horizontal="center" vertical="top"/>
    </xf>
    <xf numFmtId="0" fontId="19" fillId="0" borderId="0" xfId="0" applyFont="1"/>
    <xf numFmtId="0" fontId="16" fillId="0" borderId="0" xfId="0" quotePrefix="1" applyFont="1"/>
    <xf numFmtId="0" fontId="22" fillId="0" borderId="0" xfId="0" applyFont="1" applyAlignment="1">
      <alignment horizontal="center"/>
    </xf>
    <xf numFmtId="174" fontId="4" fillId="0" borderId="0" xfId="0" applyNumberFormat="1" applyFont="1" applyAlignment="1">
      <alignment horizontal="left"/>
    </xf>
    <xf numFmtId="0" fontId="23" fillId="0" borderId="0" xfId="0" applyFont="1" applyAlignment="1">
      <alignment horizontal="center"/>
    </xf>
    <xf numFmtId="0" fontId="21" fillId="0" borderId="0" xfId="0" applyFont="1"/>
    <xf numFmtId="168" fontId="8" fillId="6" borderId="16" xfId="0" applyNumberFormat="1" applyFont="1" applyFill="1" applyBorder="1" applyAlignment="1">
      <alignment horizontal="center"/>
    </xf>
    <xf numFmtId="173" fontId="7" fillId="3" borderId="10" xfId="1" applyNumberFormat="1" applyFont="1" applyFill="1" applyBorder="1" applyAlignment="1">
      <alignment horizontal="center"/>
    </xf>
    <xf numFmtId="0" fontId="0" fillId="0" borderId="0" xfId="0" applyAlignment="1">
      <alignment vertical="center"/>
    </xf>
    <xf numFmtId="0" fontId="8" fillId="0" borderId="0" xfId="0" applyFont="1" applyAlignment="1">
      <alignment horizontal="center" vertical="center"/>
    </xf>
    <xf numFmtId="0" fontId="26" fillId="0" borderId="0" xfId="0" applyFont="1" applyAlignment="1">
      <alignment horizontal="center" vertical="center"/>
    </xf>
    <xf numFmtId="0" fontId="27" fillId="0" borderId="0" xfId="0" applyFont="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0" fillId="0" borderId="0" xfId="0" applyFont="1" applyAlignment="1">
      <alignment horizontal="center" vertical="center"/>
    </xf>
    <xf numFmtId="0" fontId="31" fillId="0" borderId="0" xfId="0" applyFont="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14" fontId="0" fillId="0" borderId="0" xfId="0" applyNumberFormat="1" applyAlignment="1">
      <alignment horizontal="center" vertical="center"/>
    </xf>
    <xf numFmtId="0" fontId="0" fillId="0" borderId="0" xfId="0" applyAlignment="1">
      <alignment horizontal="center"/>
    </xf>
    <xf numFmtId="0" fontId="8" fillId="0" borderId="0" xfId="0" applyFont="1" applyAlignment="1">
      <alignment horizontal="center"/>
    </xf>
    <xf numFmtId="0" fontId="37" fillId="0" borderId="0" xfId="3"/>
    <xf numFmtId="0" fontId="10" fillId="0" borderId="5" xfId="0" applyFont="1" applyBorder="1" applyAlignment="1">
      <alignment horizontal="center" vertical="center" wrapText="1"/>
    </xf>
    <xf numFmtId="0" fontId="23" fillId="0" borderId="0" xfId="0" applyFont="1" applyAlignment="1">
      <alignment horizontal="center" wrapText="1"/>
    </xf>
    <xf numFmtId="2" fontId="7" fillId="3" borderId="10" xfId="1" applyNumberFormat="1" applyFont="1" applyFill="1" applyBorder="1" applyAlignment="1">
      <alignment horizontal="center"/>
    </xf>
    <xf numFmtId="166" fontId="3" fillId="0" borderId="1" xfId="0" applyNumberFormat="1" applyFont="1" applyBorder="1" applyAlignment="1">
      <alignment horizontal="center"/>
    </xf>
    <xf numFmtId="166" fontId="5" fillId="2" borderId="1" xfId="0" applyNumberFormat="1" applyFont="1" applyFill="1" applyBorder="1" applyAlignment="1">
      <alignment horizontal="center"/>
    </xf>
    <xf numFmtId="170" fontId="3" fillId="0" borderId="1" xfId="0" applyNumberFormat="1" applyFont="1" applyBorder="1" applyAlignment="1">
      <alignment horizontal="center"/>
    </xf>
    <xf numFmtId="171" fontId="3" fillId="0" borderId="1" xfId="0" applyNumberFormat="1" applyFont="1" applyBorder="1" applyAlignment="1">
      <alignment horizontal="center"/>
    </xf>
    <xf numFmtId="169" fontId="3" fillId="0" borderId="1" xfId="0" applyNumberFormat="1" applyFont="1" applyBorder="1" applyAlignment="1">
      <alignment horizontal="center"/>
    </xf>
    <xf numFmtId="2" fontId="3" fillId="0" borderId="1" xfId="0" applyNumberFormat="1" applyFont="1" applyBorder="1" applyAlignment="1">
      <alignment horizontal="center"/>
    </xf>
    <xf numFmtId="1" fontId="3" fillId="0" borderId="1" xfId="0" applyNumberFormat="1" applyFont="1" applyBorder="1" applyAlignment="1">
      <alignment horizontal="center"/>
    </xf>
    <xf numFmtId="1" fontId="7" fillId="3" borderId="10" xfId="1" applyNumberFormat="1" applyFont="1" applyFill="1" applyBorder="1" applyAlignment="1">
      <alignment horizontal="center"/>
    </xf>
    <xf numFmtId="0" fontId="8" fillId="0" borderId="0" xfId="0" applyFont="1"/>
    <xf numFmtId="0" fontId="0" fillId="0" borderId="0" xfId="0" applyAlignment="1">
      <alignment vertical="center" wrapText="1"/>
    </xf>
    <xf numFmtId="166" fontId="3" fillId="8" borderId="1" xfId="0" applyNumberFormat="1" applyFont="1" applyFill="1" applyBorder="1" applyAlignment="1">
      <alignment horizontal="center"/>
    </xf>
    <xf numFmtId="0" fontId="3" fillId="8" borderId="0" xfId="0" applyFont="1" applyFill="1"/>
    <xf numFmtId="170" fontId="3" fillId="8" borderId="1" xfId="0" applyNumberFormat="1" applyFont="1" applyFill="1" applyBorder="1" applyAlignment="1">
      <alignment horizontal="center"/>
    </xf>
    <xf numFmtId="171" fontId="3" fillId="8" borderId="1" xfId="0" applyNumberFormat="1" applyFont="1" applyFill="1" applyBorder="1" applyAlignment="1">
      <alignment horizontal="center"/>
    </xf>
    <xf numFmtId="169" fontId="3" fillId="8" borderId="1" xfId="0" applyNumberFormat="1" applyFont="1" applyFill="1" applyBorder="1" applyAlignment="1">
      <alignment horizontal="center"/>
    </xf>
    <xf numFmtId="2" fontId="3" fillId="8" borderId="1" xfId="0" applyNumberFormat="1" applyFont="1" applyFill="1" applyBorder="1" applyAlignment="1">
      <alignment horizontal="center"/>
    </xf>
    <xf numFmtId="1" fontId="3" fillId="8" borderId="1" xfId="0" applyNumberFormat="1" applyFont="1" applyFill="1" applyBorder="1" applyAlignment="1">
      <alignment horizontal="center"/>
    </xf>
    <xf numFmtId="14" fontId="3" fillId="8" borderId="1" xfId="0" applyNumberFormat="1" applyFont="1" applyFill="1" applyBorder="1" applyAlignment="1">
      <alignment horizontal="center"/>
    </xf>
    <xf numFmtId="167" fontId="0" fillId="0" borderId="0" xfId="0" applyNumberFormat="1" applyAlignment="1">
      <alignment horizontal="center"/>
    </xf>
    <xf numFmtId="0" fontId="8" fillId="9" borderId="0" xfId="0" applyFont="1" applyFill="1" applyAlignment="1">
      <alignment horizontal="center" vertical="center"/>
    </xf>
    <xf numFmtId="0" fontId="0" fillId="9" borderId="0" xfId="0" applyFill="1"/>
    <xf numFmtId="0" fontId="8" fillId="9" borderId="0" xfId="0" applyFont="1" applyFill="1"/>
    <xf numFmtId="0" fontId="8" fillId="9" borderId="0" xfId="0" applyFont="1" applyFill="1" applyAlignment="1">
      <alignment vertical="center"/>
    </xf>
    <xf numFmtId="167" fontId="8" fillId="9" borderId="0" xfId="0" applyNumberFormat="1" applyFont="1" applyFill="1"/>
    <xf numFmtId="17" fontId="8" fillId="0" borderId="20" xfId="0" applyNumberFormat="1" applyFont="1" applyBorder="1"/>
    <xf numFmtId="17" fontId="8" fillId="0" borderId="21" xfId="0" applyNumberFormat="1" applyFont="1" applyBorder="1"/>
    <xf numFmtId="0" fontId="37" fillId="0" borderId="0" xfId="3" applyAlignment="1"/>
    <xf numFmtId="0" fontId="8" fillId="0" borderId="18" xfId="0" applyFont="1" applyBorder="1"/>
    <xf numFmtId="0" fontId="8" fillId="0" borderId="19" xfId="0" applyFont="1" applyBorder="1"/>
    <xf numFmtId="0" fontId="8" fillId="0" borderId="17" xfId="0" applyFont="1" applyBorder="1" applyAlignment="1">
      <alignment horizontal="right"/>
    </xf>
    <xf numFmtId="0" fontId="0" fillId="0" borderId="17" xfId="0" applyBorder="1"/>
    <xf numFmtId="0" fontId="0" fillId="0" borderId="17" xfId="0" applyBorder="1" applyAlignment="1">
      <alignment horizontal="right"/>
    </xf>
    <xf numFmtId="0" fontId="8" fillId="0" borderId="17" xfId="0" applyFont="1" applyBorder="1"/>
    <xf numFmtId="0" fontId="0" fillId="0" borderId="20" xfId="0" applyBorder="1"/>
    <xf numFmtId="0" fontId="0" fillId="0" borderId="22" xfId="0" applyBorder="1"/>
    <xf numFmtId="0" fontId="0" fillId="0" borderId="21" xfId="0" applyBorder="1"/>
    <xf numFmtId="4" fontId="0" fillId="0" borderId="17" xfId="0" applyNumberFormat="1" applyBorder="1" applyAlignment="1">
      <alignment horizontal="right"/>
    </xf>
    <xf numFmtId="0" fontId="38" fillId="0" borderId="0" xfId="0" applyFont="1" applyAlignment="1">
      <alignment horizontal="right"/>
    </xf>
    <xf numFmtId="0" fontId="3" fillId="0" borderId="0" xfId="0" applyFont="1" applyAlignment="1">
      <alignment horizontal="right"/>
    </xf>
    <xf numFmtId="0" fontId="12" fillId="10" borderId="23" xfId="0" applyFont="1" applyFill="1" applyBorder="1" applyAlignment="1">
      <alignment horizontal="right" vertical="center"/>
    </xf>
    <xf numFmtId="0" fontId="11" fillId="10" borderId="23" xfId="0" applyFont="1" applyFill="1" applyBorder="1" applyAlignment="1">
      <alignment horizontal="right" vertical="center"/>
    </xf>
    <xf numFmtId="0" fontId="13" fillId="10" borderId="23" xfId="0" applyFont="1" applyFill="1" applyBorder="1" applyAlignment="1">
      <alignment horizontal="right" vertical="center"/>
    </xf>
    <xf numFmtId="0" fontId="39" fillId="10" borderId="23" xfId="0" applyFont="1" applyFill="1" applyBorder="1" applyAlignment="1">
      <alignment horizontal="right" vertical="center"/>
    </xf>
    <xf numFmtId="0" fontId="10" fillId="10" borderId="23" xfId="0" applyFont="1" applyFill="1" applyBorder="1" applyAlignment="1">
      <alignment horizontal="right" vertical="center"/>
    </xf>
    <xf numFmtId="0" fontId="14" fillId="10" borderId="23" xfId="0" applyFont="1" applyFill="1" applyBorder="1" applyAlignment="1">
      <alignment horizontal="right" vertical="center"/>
    </xf>
    <xf numFmtId="0" fontId="40" fillId="10" borderId="23" xfId="0" applyFont="1" applyFill="1" applyBorder="1" applyAlignment="1">
      <alignment horizontal="right" vertical="center"/>
    </xf>
    <xf numFmtId="0" fontId="41" fillId="10" borderId="23" xfId="0" applyFont="1" applyFill="1" applyBorder="1" applyAlignment="1">
      <alignment horizontal="right" vertical="center"/>
    </xf>
    <xf numFmtId="0" fontId="41" fillId="10" borderId="0" xfId="0" applyFont="1" applyFill="1" applyAlignment="1">
      <alignment horizontal="right" vertical="center"/>
    </xf>
    <xf numFmtId="0" fontId="42" fillId="10" borderId="23" xfId="0" applyFont="1" applyFill="1" applyBorder="1" applyAlignment="1">
      <alignment horizontal="right" vertical="center"/>
    </xf>
    <xf numFmtId="0" fontId="8" fillId="0" borderId="17" xfId="0" applyFont="1" applyBorder="1" applyAlignment="1">
      <alignment horizontal="center" vertical="center" wrapText="1"/>
    </xf>
    <xf numFmtId="171" fontId="0" fillId="0" borderId="0" xfId="0" applyNumberFormat="1"/>
    <xf numFmtId="10" fontId="0" fillId="0" borderId="0" xfId="4" applyNumberFormat="1" applyFont="1"/>
    <xf numFmtId="167" fontId="8" fillId="6" borderId="24" xfId="1" applyNumberFormat="1" applyFont="1" applyFill="1" applyBorder="1"/>
    <xf numFmtId="15" fontId="0" fillId="0" borderId="0" xfId="0" applyNumberFormat="1" applyAlignment="1">
      <alignment horizontal="center"/>
    </xf>
    <xf numFmtId="0" fontId="31" fillId="0" borderId="0" xfId="0" applyFont="1" applyAlignment="1">
      <alignment horizontal="right" vertical="center"/>
    </xf>
    <xf numFmtId="14" fontId="0" fillId="0" borderId="0" xfId="0" applyNumberFormat="1"/>
    <xf numFmtId="0" fontId="0" fillId="11" borderId="17" xfId="0" applyFill="1" applyBorder="1"/>
    <xf numFmtId="0" fontId="0" fillId="11" borderId="17" xfId="0" applyFill="1" applyBorder="1" applyAlignment="1">
      <alignment horizontal="right"/>
    </xf>
    <xf numFmtId="0" fontId="0" fillId="12" borderId="17" xfId="0" applyFill="1" applyBorder="1"/>
    <xf numFmtId="0" fontId="0" fillId="12" borderId="17" xfId="0" applyFill="1" applyBorder="1" applyAlignment="1">
      <alignment horizontal="right"/>
    </xf>
    <xf numFmtId="0" fontId="0" fillId="13" borderId="17" xfId="0" applyFill="1" applyBorder="1"/>
    <xf numFmtId="0" fontId="0" fillId="13" borderId="17" xfId="0" applyFill="1" applyBorder="1" applyAlignment="1">
      <alignment horizontal="right"/>
    </xf>
    <xf numFmtId="0" fontId="0" fillId="14" borderId="17" xfId="0" applyFill="1" applyBorder="1"/>
    <xf numFmtId="0" fontId="0" fillId="14" borderId="17" xfId="0" applyFill="1" applyBorder="1" applyAlignment="1">
      <alignment horizontal="right"/>
    </xf>
    <xf numFmtId="0" fontId="0" fillId="15" borderId="17" xfId="0" applyFill="1" applyBorder="1"/>
    <xf numFmtId="0" fontId="0" fillId="15" borderId="17" xfId="0" applyFill="1" applyBorder="1" applyAlignment="1">
      <alignment horizontal="right"/>
    </xf>
    <xf numFmtId="0" fontId="0" fillId="16" borderId="17" xfId="0" applyFill="1" applyBorder="1"/>
    <xf numFmtId="0" fontId="0" fillId="16" borderId="17" xfId="0" applyFill="1" applyBorder="1" applyAlignment="1">
      <alignment horizontal="right"/>
    </xf>
    <xf numFmtId="0" fontId="0" fillId="17" borderId="17" xfId="0" applyFill="1" applyBorder="1"/>
    <xf numFmtId="0" fontId="8" fillId="17" borderId="17" xfId="0" applyFont="1" applyFill="1" applyBorder="1" applyAlignment="1">
      <alignment horizontal="right"/>
    </xf>
    <xf numFmtId="43" fontId="0" fillId="0" borderId="0" xfId="1" applyFont="1"/>
    <xf numFmtId="170" fontId="0" fillId="0" borderId="0" xfId="0" applyNumberFormat="1"/>
    <xf numFmtId="0" fontId="0" fillId="18" borderId="17" xfId="0" applyFill="1" applyBorder="1"/>
    <xf numFmtId="0" fontId="0" fillId="18" borderId="17" xfId="0" applyFill="1" applyBorder="1" applyAlignment="1">
      <alignment horizontal="right"/>
    </xf>
    <xf numFmtId="0" fontId="0" fillId="19" borderId="17" xfId="0" applyFill="1" applyBorder="1"/>
    <xf numFmtId="0" fontId="0" fillId="19" borderId="17" xfId="0" applyFill="1" applyBorder="1" applyAlignment="1">
      <alignment horizontal="right"/>
    </xf>
    <xf numFmtId="166" fontId="0" fillId="0" borderId="0" xfId="0" applyNumberFormat="1"/>
    <xf numFmtId="0" fontId="43" fillId="0" borderId="0" xfId="0" applyFont="1" applyAlignment="1">
      <alignment horizontal="right" vertical="center" wrapText="1"/>
    </xf>
    <xf numFmtId="0" fontId="44" fillId="0" borderId="0" xfId="0" applyFont="1" applyAlignment="1">
      <alignment horizontal="center" vertical="center" wrapText="1"/>
    </xf>
    <xf numFmtId="0" fontId="45" fillId="0" borderId="25" xfId="0" applyFont="1" applyBorder="1" applyAlignment="1">
      <alignment horizontal="center" vertical="center" wrapText="1"/>
    </xf>
    <xf numFmtId="0" fontId="46" fillId="0" borderId="25" xfId="0" applyFont="1" applyBorder="1" applyAlignment="1">
      <alignment horizontal="center" vertical="center" wrapText="1"/>
    </xf>
    <xf numFmtId="0" fontId="47" fillId="0" borderId="25" xfId="0" applyFont="1" applyBorder="1" applyAlignment="1">
      <alignment horizontal="center" vertical="center" wrapText="1"/>
    </xf>
    <xf numFmtId="0" fontId="48" fillId="0" borderId="25" xfId="0" applyFont="1" applyBorder="1" applyAlignment="1">
      <alignment horizontal="center" vertical="center" wrapText="1"/>
    </xf>
    <xf numFmtId="0" fontId="49" fillId="0" borderId="25" xfId="0" applyFont="1" applyBorder="1" applyAlignment="1">
      <alignment horizontal="center" vertical="center" wrapText="1"/>
    </xf>
    <xf numFmtId="0" fontId="50" fillId="0" borderId="25" xfId="0" applyFont="1" applyBorder="1" applyAlignment="1">
      <alignment horizontal="center" vertical="center" wrapText="1"/>
    </xf>
    <xf numFmtId="0" fontId="51" fillId="0" borderId="25" xfId="0" applyFont="1" applyBorder="1" applyAlignment="1">
      <alignment horizontal="center" vertical="center" wrapText="1"/>
    </xf>
    <xf numFmtId="0" fontId="52" fillId="0" borderId="25" xfId="0" applyFont="1" applyBorder="1" applyAlignment="1">
      <alignment horizontal="center" vertical="center" wrapText="1"/>
    </xf>
    <xf numFmtId="0" fontId="53" fillId="0" borderId="25" xfId="0" applyFont="1" applyBorder="1" applyAlignment="1">
      <alignment horizontal="center" vertical="center" wrapText="1"/>
    </xf>
    <xf numFmtId="0" fontId="54" fillId="0" borderId="25" xfId="0" applyFont="1" applyBorder="1" applyAlignment="1">
      <alignment horizontal="center" vertical="center" wrapText="1"/>
    </xf>
    <xf numFmtId="0" fontId="55" fillId="0" borderId="0" xfId="0" applyFont="1" applyAlignment="1">
      <alignment horizontal="left" vertical="center" wrapText="1"/>
    </xf>
    <xf numFmtId="0" fontId="55" fillId="0" borderId="25" xfId="0" applyFont="1" applyBorder="1" applyAlignment="1">
      <alignment vertical="center" wrapText="1"/>
    </xf>
    <xf numFmtId="0" fontId="55" fillId="0" borderId="26" xfId="0" applyFont="1" applyBorder="1" applyAlignment="1">
      <alignment horizontal="left" vertical="center" wrapText="1"/>
    </xf>
    <xf numFmtId="0" fontId="55" fillId="0" borderId="27" xfId="0" applyFont="1" applyBorder="1" applyAlignment="1">
      <alignment vertical="center" wrapText="1"/>
    </xf>
    <xf numFmtId="0" fontId="56" fillId="0" borderId="0" xfId="0" applyFont="1" applyAlignment="1">
      <alignment horizontal="left" vertical="center" wrapText="1"/>
    </xf>
    <xf numFmtId="0" fontId="56" fillId="0" borderId="25" xfId="0" applyFont="1" applyBorder="1" applyAlignment="1">
      <alignment vertical="center" wrapText="1"/>
    </xf>
    <xf numFmtId="0" fontId="56" fillId="20" borderId="25" xfId="0" applyFont="1" applyFill="1" applyBorder="1" applyAlignment="1">
      <alignment vertical="center" wrapText="1"/>
    </xf>
    <xf numFmtId="0" fontId="56" fillId="0" borderId="0" xfId="0" applyFont="1" applyAlignment="1">
      <alignment vertical="center" wrapText="1"/>
    </xf>
    <xf numFmtId="14" fontId="57" fillId="10" borderId="30" xfId="0" applyNumberFormat="1" applyFont="1" applyFill="1" applyBorder="1" applyAlignment="1">
      <alignment horizontal="center" vertical="center" wrapText="1"/>
    </xf>
    <xf numFmtId="14" fontId="57" fillId="10" borderId="32" xfId="0" applyNumberFormat="1" applyFont="1" applyFill="1" applyBorder="1" applyAlignment="1">
      <alignment horizontal="center" vertical="center" wrapText="1"/>
    </xf>
    <xf numFmtId="0" fontId="58" fillId="21" borderId="28" xfId="0" applyFont="1" applyFill="1" applyBorder="1" applyAlignment="1">
      <alignment horizontal="center" vertical="center" wrapText="1"/>
    </xf>
    <xf numFmtId="0" fontId="58" fillId="21" borderId="29" xfId="0" applyFont="1" applyFill="1" applyBorder="1" applyAlignment="1">
      <alignment horizontal="center" vertical="center" wrapText="1"/>
    </xf>
    <xf numFmtId="167" fontId="0" fillId="0" borderId="0" xfId="0" applyNumberFormat="1"/>
    <xf numFmtId="43" fontId="0" fillId="0" borderId="0" xfId="1" applyFont="1" applyAlignment="1">
      <alignment vertical="center" wrapText="1"/>
    </xf>
    <xf numFmtId="166" fontId="57" fillId="10" borderId="31" xfId="0" applyNumberFormat="1" applyFont="1" applyFill="1" applyBorder="1" applyAlignment="1">
      <alignment horizontal="right" vertical="center" wrapText="1"/>
    </xf>
    <xf numFmtId="166" fontId="57" fillId="10" borderId="33" xfId="0" applyNumberFormat="1" applyFont="1" applyFill="1" applyBorder="1" applyAlignment="1">
      <alignment horizontal="right" vertical="center" wrapText="1"/>
    </xf>
    <xf numFmtId="0" fontId="57" fillId="10" borderId="31" xfId="0" applyFont="1" applyFill="1" applyBorder="1" applyAlignment="1">
      <alignment horizontal="center" vertical="center" wrapText="1"/>
    </xf>
    <xf numFmtId="0" fontId="57" fillId="10" borderId="33" xfId="0" applyFont="1" applyFill="1" applyBorder="1" applyAlignment="1">
      <alignment horizontal="center" vertical="center" wrapText="1"/>
    </xf>
    <xf numFmtId="0" fontId="24" fillId="7" borderId="13" xfId="0" applyFont="1" applyFill="1" applyBorder="1" applyAlignment="1">
      <alignment horizontal="center" wrapText="1"/>
    </xf>
    <xf numFmtId="0" fontId="24" fillId="7" borderId="14" xfId="0" applyFont="1" applyFill="1" applyBorder="1" applyAlignment="1">
      <alignment horizontal="center" wrapText="1"/>
    </xf>
    <xf numFmtId="0" fontId="24" fillId="7" borderId="8" xfId="0" applyFont="1" applyFill="1" applyBorder="1" applyAlignment="1">
      <alignment horizontal="center" wrapText="1"/>
    </xf>
    <xf numFmtId="0" fontId="24" fillId="7" borderId="9" xfId="0" applyFont="1" applyFill="1" applyBorder="1" applyAlignment="1">
      <alignment horizontal="center" wrapText="1"/>
    </xf>
    <xf numFmtId="0" fontId="24" fillId="7" borderId="3" xfId="0" applyFont="1" applyFill="1" applyBorder="1" applyAlignment="1">
      <alignment horizontal="center" wrapText="1"/>
    </xf>
    <xf numFmtId="0" fontId="24" fillId="7" borderId="4" xfId="0" applyFont="1" applyFill="1" applyBorder="1" applyAlignment="1">
      <alignment horizontal="center" wrapText="1"/>
    </xf>
    <xf numFmtId="0" fontId="25" fillId="5" borderId="7" xfId="0" applyFont="1" applyFill="1" applyBorder="1" applyAlignment="1">
      <alignment horizontal="center"/>
    </xf>
    <xf numFmtId="0" fontId="25" fillId="5" borderId="6" xfId="0" applyFont="1" applyFill="1" applyBorder="1" applyAlignment="1">
      <alignment horizontal="center"/>
    </xf>
  </cellXfs>
  <cellStyles count="5">
    <cellStyle name="Hipervínculo" xfId="3" builtinId="8"/>
    <cellStyle name="Millares" xfId="1" builtinId="3"/>
    <cellStyle name="Normal" xfId="0" builtinId="0"/>
    <cellStyle name="Normal 2 10" xfId="2" xr:uid="{00000000-0005-0000-0000-000003000000}"/>
    <cellStyle name="Porcentaje" xfId="4" builtinId="5"/>
  </cellStyles>
  <dxfs count="0"/>
  <tableStyles count="0" defaultTableStyle="TableStyleMedium2" defaultPivotStyle="PivotStyleLight16"/>
  <colors>
    <mruColors>
      <color rgb="FFCCFFFF"/>
      <color rgb="FFFF9999"/>
      <color rgb="FF33CCCC"/>
      <color rgb="FFCCCCFF"/>
      <color rgb="FF66FFFF"/>
      <color rgb="FFFF7C80"/>
      <color rgb="FFCA00D5"/>
      <color rgb="FFCA00FF"/>
      <color rgb="FFCC66FF"/>
      <color rgb="FF0000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hyperlink" Target="https://fxds-hcc.oanda.com/lang/es" TargetMode="External"/><Relationship Id="rId2" Type="http://schemas.openxmlformats.org/officeDocument/2006/relationships/hyperlink" Target="https://www.banxico.org.mx/tipcamb/main.do?page=tip&amp;idioma=sp" TargetMode="External"/><Relationship Id="rId1" Type="http://schemas.openxmlformats.org/officeDocument/2006/relationships/hyperlink" Target="https://dof.gob.mx/indicadores.php" TargetMode="External"/><Relationship Id="rId4"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BI121"/>
  <sheetViews>
    <sheetView showGridLines="0" tabSelected="1" workbookViewId="0">
      <pane xSplit="5" ySplit="9" topLeftCell="F113" activePane="bottomRight" state="frozen"/>
      <selection pane="topRight" activeCell="F1" sqref="F1"/>
      <selection pane="bottomLeft" activeCell="A10" sqref="A10"/>
      <selection pane="bottomRight" activeCell="G3" sqref="G3"/>
    </sheetView>
  </sheetViews>
  <sheetFormatPr baseColWidth="10" defaultRowHeight="13" x14ac:dyDescent="0.3"/>
  <cols>
    <col min="1" max="1" width="2.77734375" customWidth="1"/>
    <col min="2" max="2" width="13" customWidth="1"/>
    <col min="3" max="3" width="15.77734375" bestFit="1" customWidth="1"/>
    <col min="5" max="5" width="1.77734375" customWidth="1"/>
    <col min="8" max="8" width="1.77734375" customWidth="1"/>
    <col min="9" max="10" width="12.6640625" bestFit="1" customWidth="1"/>
    <col min="11" max="11" width="1.77734375" customWidth="1"/>
    <col min="14" max="14" width="1.77734375" customWidth="1"/>
    <col min="17" max="17" width="1.77734375" customWidth="1"/>
    <col min="20" max="20" width="1.77734375" customWidth="1"/>
    <col min="23" max="23" width="1.77734375" customWidth="1"/>
    <col min="26" max="26" width="1.77734375" customWidth="1"/>
    <col min="29" max="29" width="1.77734375" customWidth="1"/>
    <col min="32" max="32" width="1.77734375" customWidth="1"/>
    <col min="35" max="35" width="1.77734375" customWidth="1"/>
    <col min="38" max="38" width="1.77734375" customWidth="1"/>
    <col min="41" max="41" width="1.77734375" customWidth="1"/>
    <col min="44" max="44" width="1.77734375" customWidth="1"/>
    <col min="47" max="47" width="1.77734375" customWidth="1"/>
    <col min="50" max="50" width="1.77734375" customWidth="1"/>
    <col min="53" max="53" width="1.77734375" customWidth="1"/>
    <col min="56" max="56" width="1.77734375" customWidth="1"/>
    <col min="59" max="59" width="1.77734375" customWidth="1"/>
    <col min="62" max="62" width="2.77734375" customWidth="1"/>
  </cols>
  <sheetData>
    <row r="1" spans="1:61" s="1" customFormat="1" ht="18" x14ac:dyDescent="0.4">
      <c r="B1" s="20" t="s">
        <v>34</v>
      </c>
      <c r="D1" s="2"/>
      <c r="G1" s="2"/>
      <c r="J1" s="3"/>
      <c r="M1" s="3"/>
      <c r="P1" s="3"/>
      <c r="S1" s="3"/>
      <c r="V1" s="3"/>
      <c r="Y1" s="3"/>
      <c r="AB1" s="3"/>
      <c r="AE1" s="3"/>
      <c r="AH1" s="3"/>
      <c r="AK1" s="3"/>
      <c r="AN1" s="3"/>
      <c r="AQ1" s="3"/>
      <c r="AT1" s="3"/>
      <c r="AW1" s="3"/>
      <c r="AZ1" s="3"/>
      <c r="BC1" s="3"/>
      <c r="BF1" s="3"/>
      <c r="BI1" s="3"/>
    </row>
    <row r="2" spans="1:61" s="1" customFormat="1" ht="11.5" x14ac:dyDescent="0.25">
      <c r="B2" s="4" t="s">
        <v>409</v>
      </c>
      <c r="D2" s="2"/>
      <c r="G2" s="2"/>
      <c r="J2" s="3"/>
      <c r="M2" s="3"/>
      <c r="N2" s="5"/>
      <c r="P2" s="3"/>
      <c r="S2" s="3"/>
      <c r="V2" s="3"/>
      <c r="Y2" s="3"/>
      <c r="AB2" s="3"/>
      <c r="AE2" s="3"/>
      <c r="AH2" s="3"/>
      <c r="AK2" s="3"/>
      <c r="AN2" s="3"/>
      <c r="AQ2" s="3"/>
      <c r="AT2" s="3"/>
      <c r="AW2" s="3"/>
      <c r="AZ2" s="3"/>
      <c r="BC2" s="3"/>
      <c r="BF2" s="3"/>
      <c r="BI2" s="3"/>
    </row>
    <row r="3" spans="1:61" s="1" customFormat="1" ht="11.5" x14ac:dyDescent="0.25">
      <c r="B3" s="4" t="s">
        <v>57</v>
      </c>
      <c r="D3" s="2"/>
      <c r="G3" s="2"/>
      <c r="J3" s="3"/>
      <c r="M3" s="3"/>
      <c r="N3" s="5"/>
      <c r="P3" s="3"/>
      <c r="S3" s="3"/>
      <c r="V3" s="3"/>
      <c r="Y3" s="3"/>
      <c r="AB3" s="3"/>
      <c r="AE3" s="3"/>
      <c r="AH3" s="3"/>
      <c r="AK3" s="3"/>
      <c r="AN3" s="3"/>
      <c r="AQ3" s="3"/>
      <c r="AT3" s="3"/>
      <c r="AW3" s="3"/>
      <c r="AZ3" s="3"/>
      <c r="BC3" s="3"/>
      <c r="BF3" s="3"/>
      <c r="BI3" s="3"/>
    </row>
    <row r="4" spans="1:61" s="1" customFormat="1" ht="11.5" x14ac:dyDescent="0.25">
      <c r="B4" s="4" t="s">
        <v>453</v>
      </c>
      <c r="C4" s="57"/>
      <c r="D4" s="2"/>
      <c r="F4" s="8"/>
      <c r="G4" s="2"/>
      <c r="I4" s="8"/>
      <c r="U4" s="8"/>
      <c r="X4" s="8"/>
      <c r="AA4" s="8"/>
      <c r="AD4" s="8"/>
      <c r="AG4" s="8"/>
      <c r="AJ4" s="8"/>
      <c r="AP4" s="8"/>
      <c r="AV4" s="8"/>
      <c r="AY4" s="8"/>
      <c r="BH4" s="8"/>
    </row>
    <row r="5" spans="1:61" s="1" customFormat="1" ht="11.5" x14ac:dyDescent="0.25">
      <c r="C5" s="22" t="str">
        <f>C6&amp;C8</f>
        <v>MÉXICOBG</v>
      </c>
      <c r="D5" s="22" t="str">
        <f>C6&amp;D8</f>
        <v>MÉXICOER</v>
      </c>
      <c r="F5" s="22" t="str">
        <f>F6&amp;F8</f>
        <v>ESPAÑABG</v>
      </c>
      <c r="G5" s="22" t="str">
        <f>F6&amp;G8</f>
        <v>ESPAÑAER</v>
      </c>
      <c r="I5" s="22" t="str">
        <f>I6&amp;I8</f>
        <v>ARGENTINABG</v>
      </c>
      <c r="J5" s="22" t="str">
        <f>I6&amp;J8</f>
        <v>ARGENTINAER</v>
      </c>
      <c r="K5" s="22"/>
      <c r="L5" s="22" t="str">
        <f>L6&amp;L8</f>
        <v>BOLIVIABG</v>
      </c>
      <c r="M5" s="22" t="str">
        <f>L6&amp;M8</f>
        <v>BOLIVIAER</v>
      </c>
      <c r="O5" s="22" t="str">
        <f>O6&amp;O8</f>
        <v>BRASILBG</v>
      </c>
      <c r="P5" s="22" t="str">
        <f>O6&amp;P8</f>
        <v>BRASILER</v>
      </c>
      <c r="R5" s="22" t="str">
        <f>R6&amp;R8</f>
        <v>CHILEBG</v>
      </c>
      <c r="S5" s="22" t="str">
        <f>R6&amp;S8</f>
        <v>CHILEER</v>
      </c>
      <c r="U5" s="22" t="str">
        <f>U6&amp;U8</f>
        <v>COLOMBIABG</v>
      </c>
      <c r="V5" s="22" t="str">
        <f>U6&amp;V8</f>
        <v>COLOMBIAER</v>
      </c>
      <c r="X5" s="22" t="str">
        <f>X6&amp;X8</f>
        <v>PARAGUAYBG</v>
      </c>
      <c r="Y5" s="22" t="str">
        <f>X6&amp;Y8</f>
        <v>PARAGUAYER</v>
      </c>
      <c r="AA5" s="50" t="s">
        <v>58</v>
      </c>
      <c r="AB5" s="22" t="str">
        <f>AA6&amp;AB8</f>
        <v>PARAGUAY [REAL]ER</v>
      </c>
      <c r="AD5" s="22" t="str">
        <f>AD6&amp;AD8</f>
        <v>PERÚBG</v>
      </c>
      <c r="AE5" s="22" t="str">
        <f>AD6&amp;AE8</f>
        <v>PERÚER</v>
      </c>
      <c r="AG5" s="22" t="str">
        <f>AG6&amp;AG8</f>
        <v>URUGUAYBG</v>
      </c>
      <c r="AH5" s="22" t="str">
        <f>AG6&amp;AH8</f>
        <v>URUGUAYER</v>
      </c>
      <c r="AJ5" s="50" t="s">
        <v>58</v>
      </c>
      <c r="AK5" s="51" t="str">
        <f>AJ6&amp;AK8</f>
        <v>URUGUAY [REAL]ER</v>
      </c>
      <c r="AM5" s="22" t="str">
        <f>AM6&amp;AM8</f>
        <v>COSTA RICABG</v>
      </c>
      <c r="AN5" s="22" t="str">
        <f>AM6&amp;AN8</f>
        <v>COSTA RICAER</v>
      </c>
      <c r="AP5" s="22" t="str">
        <f>AP6&amp;AP8</f>
        <v>DOMINICANABG</v>
      </c>
      <c r="AQ5" s="22" t="str">
        <f>AP6&amp;AQ8</f>
        <v>DOMINICANAER</v>
      </c>
      <c r="AS5" s="22" t="str">
        <f>AS6&amp;AS8</f>
        <v>PANAMÁBG</v>
      </c>
      <c r="AT5" s="22" t="str">
        <f>AS6&amp;AT8</f>
        <v>PANAMÁER</v>
      </c>
      <c r="AV5" s="22" t="str">
        <f>AV6&amp;AV8</f>
        <v>GUATEMALABG</v>
      </c>
      <c r="AW5" s="22" t="str">
        <f>AV6&amp;AW8</f>
        <v>GUATEMALAER</v>
      </c>
      <c r="AY5" s="22" t="str">
        <f>AY6&amp;AY8</f>
        <v>EL SALVADORBG</v>
      </c>
      <c r="AZ5" s="22" t="str">
        <f>AY6&amp;AZ8</f>
        <v>EL SALVADORER</v>
      </c>
      <c r="BB5" s="22" t="str">
        <f>BB6&amp;BB8</f>
        <v>HONDURASBG</v>
      </c>
      <c r="BC5" s="22" t="str">
        <f>BB6&amp;BC8</f>
        <v>HONDURASER</v>
      </c>
      <c r="BE5" s="22" t="str">
        <f>BE6&amp;BE8</f>
        <v>NICARAGUABG</v>
      </c>
      <c r="BF5" s="22" t="str">
        <f>BE6&amp;BF8</f>
        <v>NICARAGUAER</v>
      </c>
      <c r="BH5" s="22" t="str">
        <f>BH6&amp;BH8</f>
        <v>TRINIDAD Y TOBAGOBG</v>
      </c>
      <c r="BI5" s="22" t="str">
        <f>BH6&amp;BI8</f>
        <v>TRINIDAD Y TOBAGOER</v>
      </c>
    </row>
    <row r="6" spans="1:61" s="1" customFormat="1" ht="15.75" customHeight="1" x14ac:dyDescent="0.35">
      <c r="C6" s="192" t="s">
        <v>6</v>
      </c>
      <c r="D6" s="193"/>
      <c r="E6"/>
      <c r="F6" s="188" t="s">
        <v>35</v>
      </c>
      <c r="G6" s="189"/>
      <c r="H6"/>
      <c r="I6" s="192" t="s">
        <v>4</v>
      </c>
      <c r="J6" s="193"/>
      <c r="L6" s="192" t="s">
        <v>3</v>
      </c>
      <c r="M6" s="193"/>
      <c r="N6"/>
      <c r="O6" s="192" t="s">
        <v>5</v>
      </c>
      <c r="P6" s="193"/>
      <c r="R6" s="192" t="s">
        <v>13</v>
      </c>
      <c r="S6" s="193"/>
      <c r="U6" s="192" t="s">
        <v>37</v>
      </c>
      <c r="V6" s="193"/>
      <c r="X6" s="192" t="s">
        <v>38</v>
      </c>
      <c r="Y6" s="193"/>
      <c r="AA6" s="192" t="s">
        <v>41</v>
      </c>
      <c r="AB6" s="193"/>
      <c r="AD6" s="192" t="s">
        <v>7</v>
      </c>
      <c r="AE6" s="193"/>
      <c r="AG6" s="192" t="s">
        <v>39</v>
      </c>
      <c r="AH6" s="193"/>
      <c r="AJ6" s="192" t="s">
        <v>40</v>
      </c>
      <c r="AK6" s="193"/>
      <c r="AM6" s="190" t="s">
        <v>12</v>
      </c>
      <c r="AN6" s="191"/>
      <c r="AP6" s="190" t="s">
        <v>33</v>
      </c>
      <c r="AQ6" s="191"/>
      <c r="AS6" s="190" t="s">
        <v>36</v>
      </c>
      <c r="AT6" s="191"/>
      <c r="AV6" s="190" t="s">
        <v>8</v>
      </c>
      <c r="AW6" s="191"/>
      <c r="AY6" s="190" t="s">
        <v>9</v>
      </c>
      <c r="AZ6" s="191"/>
      <c r="BB6" s="190" t="s">
        <v>10</v>
      </c>
      <c r="BC6" s="191"/>
      <c r="BE6" s="190" t="s">
        <v>11</v>
      </c>
      <c r="BF6" s="191"/>
      <c r="BH6" s="190" t="s">
        <v>407</v>
      </c>
      <c r="BI6" s="191"/>
    </row>
    <row r="7" spans="1:61" s="1" customFormat="1" ht="13.5" x14ac:dyDescent="0.35">
      <c r="C7" s="194" t="s">
        <v>43</v>
      </c>
      <c r="D7" s="195"/>
      <c r="E7"/>
      <c r="F7" s="194" t="s">
        <v>42</v>
      </c>
      <c r="G7" s="195"/>
      <c r="H7"/>
      <c r="I7" s="194" t="s">
        <v>43</v>
      </c>
      <c r="J7" s="195"/>
      <c r="K7"/>
      <c r="L7" s="194" t="s">
        <v>44</v>
      </c>
      <c r="M7" s="195"/>
      <c r="N7"/>
      <c r="O7" s="194" t="s">
        <v>45</v>
      </c>
      <c r="P7" s="195"/>
      <c r="Q7"/>
      <c r="R7" s="194" t="s">
        <v>43</v>
      </c>
      <c r="S7" s="195"/>
      <c r="T7"/>
      <c r="U7" s="194" t="s">
        <v>43</v>
      </c>
      <c r="V7" s="195"/>
      <c r="W7"/>
      <c r="X7" s="194" t="s">
        <v>47</v>
      </c>
      <c r="Y7" s="195"/>
      <c r="Z7"/>
      <c r="AA7" s="194" t="s">
        <v>47</v>
      </c>
      <c r="AB7" s="195"/>
      <c r="AC7"/>
      <c r="AD7" s="194" t="s">
        <v>46</v>
      </c>
      <c r="AE7" s="195"/>
      <c r="AF7"/>
      <c r="AG7" s="194" t="s">
        <v>43</v>
      </c>
      <c r="AH7" s="195"/>
      <c r="AI7"/>
      <c r="AJ7" s="194" t="s">
        <v>43</v>
      </c>
      <c r="AK7" s="195"/>
      <c r="AL7"/>
      <c r="AM7" s="194" t="s">
        <v>54</v>
      </c>
      <c r="AN7" s="195"/>
      <c r="AO7"/>
      <c r="AP7" s="194" t="s">
        <v>43</v>
      </c>
      <c r="AQ7" s="195"/>
      <c r="AR7"/>
      <c r="AS7" s="194" t="s">
        <v>48</v>
      </c>
      <c r="AT7" s="195"/>
      <c r="AU7"/>
      <c r="AV7" s="194" t="s">
        <v>49</v>
      </c>
      <c r="AW7" s="195"/>
      <c r="AX7"/>
      <c r="AY7" s="194" t="s">
        <v>54</v>
      </c>
      <c r="AZ7" s="195"/>
      <c r="BA7"/>
      <c r="BB7" s="194" t="s">
        <v>50</v>
      </c>
      <c r="BC7" s="195"/>
      <c r="BD7"/>
      <c r="BE7" s="194" t="s">
        <v>51</v>
      </c>
      <c r="BF7" s="195"/>
      <c r="BG7"/>
      <c r="BH7" s="194" t="s">
        <v>52</v>
      </c>
      <c r="BI7" s="195"/>
    </row>
    <row r="8" spans="1:61" s="1" customFormat="1" x14ac:dyDescent="0.3">
      <c r="B8" s="15" t="s">
        <v>56</v>
      </c>
      <c r="C8" s="39" t="s">
        <v>1</v>
      </c>
      <c r="D8" s="40" t="s">
        <v>2</v>
      </c>
      <c r="E8"/>
      <c r="F8" s="39" t="s">
        <v>1</v>
      </c>
      <c r="G8" s="40" t="s">
        <v>2</v>
      </c>
      <c r="H8"/>
      <c r="I8" s="39" t="s">
        <v>1</v>
      </c>
      <c r="J8" s="40" t="s">
        <v>2</v>
      </c>
      <c r="L8" s="39" t="s">
        <v>1</v>
      </c>
      <c r="M8" s="40" t="s">
        <v>2</v>
      </c>
      <c r="N8"/>
      <c r="O8" s="39" t="s">
        <v>1</v>
      </c>
      <c r="P8" s="40" t="s">
        <v>2</v>
      </c>
      <c r="R8" s="39" t="s">
        <v>1</v>
      </c>
      <c r="S8" s="40" t="s">
        <v>2</v>
      </c>
      <c r="U8" s="39" t="s">
        <v>1</v>
      </c>
      <c r="V8" s="40" t="s">
        <v>2</v>
      </c>
      <c r="X8" s="39" t="s">
        <v>1</v>
      </c>
      <c r="Y8" s="40" t="s">
        <v>2</v>
      </c>
      <c r="AA8" s="39" t="s">
        <v>1</v>
      </c>
      <c r="AB8" s="40" t="s">
        <v>2</v>
      </c>
      <c r="AD8" s="39" t="s">
        <v>1</v>
      </c>
      <c r="AE8" s="40" t="s">
        <v>2</v>
      </c>
      <c r="AG8" s="39" t="s">
        <v>1</v>
      </c>
      <c r="AH8" s="40" t="s">
        <v>2</v>
      </c>
      <c r="AJ8" s="39" t="s">
        <v>1</v>
      </c>
      <c r="AK8" s="40" t="s">
        <v>2</v>
      </c>
      <c r="AM8" s="39" t="s">
        <v>1</v>
      </c>
      <c r="AN8" s="40" t="s">
        <v>2</v>
      </c>
      <c r="AP8" s="39" t="s">
        <v>1</v>
      </c>
      <c r="AQ8" s="40" t="s">
        <v>2</v>
      </c>
      <c r="AS8" s="39" t="s">
        <v>1</v>
      </c>
      <c r="AT8" s="40" t="s">
        <v>2</v>
      </c>
      <c r="AV8" s="39" t="s">
        <v>1</v>
      </c>
      <c r="AW8" s="40" t="s">
        <v>2</v>
      </c>
      <c r="AY8" s="39" t="s">
        <v>1</v>
      </c>
      <c r="AZ8" s="40" t="s">
        <v>2</v>
      </c>
      <c r="BB8" s="39" t="s">
        <v>1</v>
      </c>
      <c r="BC8" s="40" t="s">
        <v>2</v>
      </c>
      <c r="BE8" s="39" t="s">
        <v>1</v>
      </c>
      <c r="BF8" s="40" t="s">
        <v>2</v>
      </c>
      <c r="BH8" s="39" t="s">
        <v>1</v>
      </c>
      <c r="BI8" s="40" t="s">
        <v>2</v>
      </c>
    </row>
    <row r="9" spans="1:61" s="1" customFormat="1" ht="8.25" customHeight="1" x14ac:dyDescent="0.3">
      <c r="B9" s="52"/>
      <c r="C9" s="53">
        <f>COLUMN()</f>
        <v>3</v>
      </c>
      <c r="D9" s="53">
        <f>COLUMN()</f>
        <v>4</v>
      </c>
      <c r="E9" s="54"/>
      <c r="F9" s="53">
        <f>COLUMN()</f>
        <v>6</v>
      </c>
      <c r="G9" s="53">
        <f>COLUMN()</f>
        <v>7</v>
      </c>
      <c r="H9" s="54"/>
      <c r="I9" s="53">
        <f>COLUMN()</f>
        <v>9</v>
      </c>
      <c r="J9" s="53">
        <f>COLUMN()</f>
        <v>10</v>
      </c>
      <c r="K9" s="22"/>
      <c r="L9" s="53">
        <f>COLUMN()</f>
        <v>12</v>
      </c>
      <c r="M9" s="53">
        <f>COLUMN()</f>
        <v>13</v>
      </c>
      <c r="N9" s="54"/>
      <c r="O9" s="53">
        <f>COLUMN()</f>
        <v>15</v>
      </c>
      <c r="P9" s="53">
        <f>COLUMN()</f>
        <v>16</v>
      </c>
      <c r="Q9" s="22"/>
      <c r="R9" s="53">
        <f>COLUMN()</f>
        <v>18</v>
      </c>
      <c r="S9" s="53">
        <f>COLUMN()</f>
        <v>19</v>
      </c>
      <c r="T9" s="22"/>
      <c r="U9" s="53">
        <f>COLUMN()</f>
        <v>21</v>
      </c>
      <c r="V9" s="53">
        <f>COLUMN()</f>
        <v>22</v>
      </c>
      <c r="W9" s="22"/>
      <c r="X9" s="53">
        <f>COLUMN()</f>
        <v>24</v>
      </c>
      <c r="Y9" s="53">
        <f>COLUMN()</f>
        <v>25</v>
      </c>
      <c r="Z9" s="22"/>
      <c r="AA9" s="53">
        <f>COLUMN()</f>
        <v>27</v>
      </c>
      <c r="AB9" s="53">
        <f>COLUMN()</f>
        <v>28</v>
      </c>
      <c r="AC9" s="22"/>
      <c r="AD9" s="53">
        <f>COLUMN()</f>
        <v>30</v>
      </c>
      <c r="AE9" s="53">
        <f>COLUMN()</f>
        <v>31</v>
      </c>
      <c r="AF9" s="22"/>
      <c r="AG9" s="53">
        <f>COLUMN()</f>
        <v>33</v>
      </c>
      <c r="AH9" s="53">
        <f>COLUMN()</f>
        <v>34</v>
      </c>
      <c r="AI9" s="22"/>
      <c r="AJ9" s="53">
        <f>COLUMN()</f>
        <v>36</v>
      </c>
      <c r="AK9" s="53">
        <f>COLUMN()</f>
        <v>37</v>
      </c>
      <c r="AL9" s="22"/>
      <c r="AM9" s="53">
        <f>COLUMN()</f>
        <v>39</v>
      </c>
      <c r="AN9" s="53">
        <f>COLUMN()</f>
        <v>40</v>
      </c>
      <c r="AO9" s="22"/>
      <c r="AP9" s="53">
        <f>COLUMN()</f>
        <v>42</v>
      </c>
      <c r="AQ9" s="53">
        <f>COLUMN()</f>
        <v>43</v>
      </c>
      <c r="AR9" s="22"/>
      <c r="AS9" s="53">
        <f>COLUMN()</f>
        <v>45</v>
      </c>
      <c r="AT9" s="53">
        <f>COLUMN()</f>
        <v>46</v>
      </c>
      <c r="AU9" s="22"/>
      <c r="AV9" s="53">
        <f>COLUMN()</f>
        <v>48</v>
      </c>
      <c r="AW9" s="53">
        <f>COLUMN()</f>
        <v>49</v>
      </c>
      <c r="AX9" s="22"/>
      <c r="AY9" s="53">
        <f>COLUMN()</f>
        <v>51</v>
      </c>
      <c r="AZ9" s="53">
        <f>COLUMN()</f>
        <v>52</v>
      </c>
      <c r="BA9" s="22"/>
      <c r="BB9" s="53">
        <f>COLUMN()</f>
        <v>54</v>
      </c>
      <c r="BC9" s="53">
        <f>COLUMN()</f>
        <v>55</v>
      </c>
      <c r="BD9" s="22"/>
      <c r="BE9" s="53">
        <f>COLUMN()</f>
        <v>57</v>
      </c>
      <c r="BF9" s="53">
        <f>COLUMN()</f>
        <v>58</v>
      </c>
      <c r="BG9" s="22"/>
      <c r="BH9" s="53">
        <f>COLUMN()</f>
        <v>60</v>
      </c>
      <c r="BI9" s="53">
        <f>COLUMN()</f>
        <v>61</v>
      </c>
    </row>
    <row r="10" spans="1:61" s="1" customFormat="1" x14ac:dyDescent="0.3">
      <c r="A10" s="55" t="s">
        <v>60</v>
      </c>
      <c r="B10" s="18">
        <v>42735</v>
      </c>
      <c r="C10" s="13">
        <v>20.664000000000001</v>
      </c>
      <c r="D10" s="13">
        <v>20.5199</v>
      </c>
      <c r="E10"/>
      <c r="F10" s="46">
        <v>0.95053900000000002</v>
      </c>
      <c r="G10" s="46">
        <v>0.94891499999999995</v>
      </c>
      <c r="H10"/>
      <c r="I10" s="38">
        <v>15.9681</v>
      </c>
      <c r="J10" s="38">
        <v>15.8584</v>
      </c>
      <c r="L10" s="38">
        <v>6.9333499999999999</v>
      </c>
      <c r="M10" s="38">
        <v>6.9273100000000003</v>
      </c>
      <c r="N10"/>
      <c r="O10" s="46">
        <v>3.25542</v>
      </c>
      <c r="P10" s="46">
        <v>3.3588399999999998</v>
      </c>
      <c r="R10" s="44">
        <v>669.07399999999996</v>
      </c>
      <c r="S10" s="44">
        <v>667.18299999999999</v>
      </c>
      <c r="U10" s="32">
        <v>3009.53</v>
      </c>
      <c r="V10" s="32">
        <v>3012.94</v>
      </c>
      <c r="X10" s="32">
        <v>5786.5</v>
      </c>
      <c r="Y10" s="32">
        <v>5803.31</v>
      </c>
      <c r="AA10" s="32">
        <v>1777.53</v>
      </c>
      <c r="AB10" s="32">
        <v>1728.4</v>
      </c>
      <c r="AD10" s="38">
        <v>3.3698999999999999</v>
      </c>
      <c r="AE10" s="38">
        <v>3.3983500000000002</v>
      </c>
      <c r="AG10" s="38">
        <v>29.193000000000001</v>
      </c>
      <c r="AH10" s="38">
        <v>28.752749999999999</v>
      </c>
      <c r="AJ10" s="38">
        <v>8.9677000000000007</v>
      </c>
      <c r="AK10" s="38">
        <v>8.5636299999999999</v>
      </c>
      <c r="AM10" s="13">
        <v>552.87</v>
      </c>
      <c r="AN10" s="13">
        <v>551.33500000000004</v>
      </c>
      <c r="AP10" s="13">
        <v>46.698</v>
      </c>
      <c r="AQ10" s="13">
        <v>46.518799999999999</v>
      </c>
      <c r="AS10" s="13">
        <v>1</v>
      </c>
      <c r="AT10" s="13">
        <v>1</v>
      </c>
      <c r="AV10" s="38">
        <v>7.5475500000000002</v>
      </c>
      <c r="AW10" s="38">
        <v>7.5093399999999999</v>
      </c>
      <c r="AY10" s="38">
        <v>8.7799499999999995</v>
      </c>
      <c r="AZ10" s="38">
        <v>8.7508099999999995</v>
      </c>
      <c r="BB10" s="38">
        <v>23.359000000000002</v>
      </c>
      <c r="BC10" s="38">
        <v>23.274650000000001</v>
      </c>
      <c r="BE10" s="38">
        <v>29.56</v>
      </c>
      <c r="BF10" s="38">
        <v>29.283370000000001</v>
      </c>
      <c r="BH10" s="38">
        <v>6.74275</v>
      </c>
      <c r="BI10" s="38">
        <v>6.7331899999999996</v>
      </c>
    </row>
    <row r="11" spans="1:61" s="1" customFormat="1" x14ac:dyDescent="0.3">
      <c r="A11" s="55" t="s">
        <v>71</v>
      </c>
      <c r="B11" s="18">
        <v>42766</v>
      </c>
      <c r="C11" s="13">
        <v>20.758800000000001</v>
      </c>
      <c r="D11" s="13">
        <v>21.3368</v>
      </c>
      <c r="E11"/>
      <c r="F11" s="46">
        <v>0.93184500000000003</v>
      </c>
      <c r="G11" s="46">
        <v>0.941137</v>
      </c>
      <c r="H11"/>
      <c r="I11" s="38">
        <v>15.9099</v>
      </c>
      <c r="J11" s="38">
        <v>15.892200000000001</v>
      </c>
      <c r="L11" s="38">
        <v>6.9158299999999997</v>
      </c>
      <c r="M11" s="38">
        <v>6.9217300000000002</v>
      </c>
      <c r="N11"/>
      <c r="O11" s="46">
        <v>3.1316899999999999</v>
      </c>
      <c r="P11" s="46">
        <v>3.1985600000000001</v>
      </c>
      <c r="R11" s="44">
        <v>647.71600000000001</v>
      </c>
      <c r="S11" s="44">
        <v>660.36900000000003</v>
      </c>
      <c r="U11" s="32">
        <v>2924.13</v>
      </c>
      <c r="V11" s="32">
        <v>2942.94</v>
      </c>
      <c r="X11" s="32">
        <v>5769.2</v>
      </c>
      <c r="Y11" s="32">
        <v>5754.05</v>
      </c>
      <c r="AA11" s="32">
        <v>1842.22</v>
      </c>
      <c r="AB11" s="32">
        <v>1799.19</v>
      </c>
      <c r="AD11" s="38">
        <v>3.2819099999999999</v>
      </c>
      <c r="AE11" s="38">
        <v>3.3395800000000002</v>
      </c>
      <c r="AG11" s="38">
        <v>28.113600000000002</v>
      </c>
      <c r="AH11" s="38">
        <v>28.6313</v>
      </c>
      <c r="AJ11" s="38">
        <v>8.9771999999999998</v>
      </c>
      <c r="AK11" s="38">
        <v>8.9515799999999999</v>
      </c>
      <c r="AM11" s="13">
        <v>549.87400000000002</v>
      </c>
      <c r="AN11" s="13">
        <v>551.41099999999994</v>
      </c>
      <c r="AP11" s="13">
        <v>46.572499999999998</v>
      </c>
      <c r="AQ11" s="13">
        <v>46.529400000000003</v>
      </c>
      <c r="AS11" s="13">
        <v>1</v>
      </c>
      <c r="AT11" s="13">
        <v>1</v>
      </c>
      <c r="AV11" s="38">
        <v>7.4586600000000001</v>
      </c>
      <c r="AW11" s="38">
        <v>7.5205700000000002</v>
      </c>
      <c r="AY11" s="38">
        <v>8.7315699999999996</v>
      </c>
      <c r="AZ11" s="38">
        <v>8.7461500000000001</v>
      </c>
      <c r="BB11" s="38">
        <v>23.5669</v>
      </c>
      <c r="BC11" s="38">
        <v>23.32938</v>
      </c>
      <c r="BE11" s="38">
        <v>29.358000000000001</v>
      </c>
      <c r="BF11" s="38">
        <v>29.38383</v>
      </c>
      <c r="BH11" s="38">
        <v>6.7178500000000003</v>
      </c>
      <c r="BI11" s="38">
        <v>6.7244000000000002</v>
      </c>
    </row>
    <row r="12" spans="1:61" s="1" customFormat="1" x14ac:dyDescent="0.3">
      <c r="A12" s="55" t="s">
        <v>59</v>
      </c>
      <c r="B12" s="18">
        <v>42794</v>
      </c>
      <c r="C12" s="13">
        <v>19.8322</v>
      </c>
      <c r="D12" s="13">
        <v>20.2911</v>
      </c>
      <c r="E12"/>
      <c r="F12" s="46">
        <v>0.943882</v>
      </c>
      <c r="G12" s="46">
        <v>0.93928699999999998</v>
      </c>
      <c r="H12"/>
      <c r="I12" s="38">
        <v>15.4749</v>
      </c>
      <c r="J12" s="38">
        <v>15.583600000000001</v>
      </c>
      <c r="L12" s="38">
        <v>6.9316000000000004</v>
      </c>
      <c r="M12" s="38">
        <v>6.9217700000000004</v>
      </c>
      <c r="N12"/>
      <c r="O12" s="46">
        <v>3.1090800000000001</v>
      </c>
      <c r="P12" s="46">
        <v>3.1066799999999999</v>
      </c>
      <c r="R12" s="44">
        <v>647.96100000000001</v>
      </c>
      <c r="S12" s="44">
        <v>643.25900000000001</v>
      </c>
      <c r="U12" s="32">
        <v>2910.97</v>
      </c>
      <c r="V12" s="32">
        <v>2875.88</v>
      </c>
      <c r="X12" s="32">
        <v>5537.49</v>
      </c>
      <c r="Y12" s="32">
        <v>5698.65</v>
      </c>
      <c r="AA12" s="32">
        <v>1781.09</v>
      </c>
      <c r="AB12" s="32">
        <v>1834.34</v>
      </c>
      <c r="AD12" s="38">
        <v>3.25746</v>
      </c>
      <c r="AE12" s="38">
        <v>3.2589999999999999</v>
      </c>
      <c r="AG12" s="38">
        <v>28.2561</v>
      </c>
      <c r="AH12" s="38">
        <v>28.322399999999998</v>
      </c>
      <c r="AJ12" s="38">
        <v>9.0883099999999999</v>
      </c>
      <c r="AK12" s="38">
        <v>9.1171000000000006</v>
      </c>
      <c r="AM12" s="13">
        <v>557.62699999999995</v>
      </c>
      <c r="AN12" s="13">
        <v>556.78</v>
      </c>
      <c r="AP12" s="13">
        <v>47.103299999999997</v>
      </c>
      <c r="AQ12" s="13">
        <v>46.854599999999998</v>
      </c>
      <c r="AS12" s="13">
        <v>1</v>
      </c>
      <c r="AT12" s="13">
        <v>1</v>
      </c>
      <c r="AV12" s="38">
        <v>7.3623500000000002</v>
      </c>
      <c r="AW12" s="38">
        <v>7.4141599999999999</v>
      </c>
      <c r="AY12" s="38">
        <v>8.7521100000000001</v>
      </c>
      <c r="AZ12" s="38">
        <v>8.7510300000000001</v>
      </c>
      <c r="BB12" s="38">
        <v>23.522500000000001</v>
      </c>
      <c r="BC12" s="38">
        <v>23.554400000000001</v>
      </c>
      <c r="BE12" s="38">
        <v>29.598600000000001</v>
      </c>
      <c r="BF12" s="38">
        <v>29.516300000000001</v>
      </c>
      <c r="BH12" s="38">
        <v>6.7228199999999996</v>
      </c>
      <c r="BI12" s="38">
        <v>6.7301700000000002</v>
      </c>
    </row>
    <row r="13" spans="1:61" s="1" customFormat="1" x14ac:dyDescent="0.3">
      <c r="A13" s="55" t="s">
        <v>61</v>
      </c>
      <c r="B13" s="18">
        <v>42825</v>
      </c>
      <c r="C13" s="13">
        <v>18.707899999999999</v>
      </c>
      <c r="D13" s="13">
        <v>19.296199999999999</v>
      </c>
      <c r="E13"/>
      <c r="F13" s="46">
        <v>0.93612799999999996</v>
      </c>
      <c r="G13" s="46">
        <v>0.93532999999999999</v>
      </c>
      <c r="H13"/>
      <c r="I13" s="38">
        <v>15.409599999999999</v>
      </c>
      <c r="J13" s="38">
        <v>15.52</v>
      </c>
      <c r="L13" s="38">
        <v>6.9498699999999998</v>
      </c>
      <c r="M13" s="38">
        <v>6.9217300000000002</v>
      </c>
      <c r="N13"/>
      <c r="O13" s="46">
        <v>3.1482800000000002</v>
      </c>
      <c r="P13" s="46">
        <v>3.1234000000000002</v>
      </c>
      <c r="R13" s="44">
        <v>662.70699999999999</v>
      </c>
      <c r="S13" s="44">
        <v>661.14400000000001</v>
      </c>
      <c r="U13" s="32">
        <v>2885.07</v>
      </c>
      <c r="V13" s="32">
        <v>2941.56</v>
      </c>
      <c r="X13" s="32">
        <v>5765.77</v>
      </c>
      <c r="Y13" s="32">
        <v>5514.91</v>
      </c>
      <c r="AA13" s="32">
        <v>1831.42</v>
      </c>
      <c r="AB13" s="32">
        <v>1765.85</v>
      </c>
      <c r="AD13" s="38">
        <v>3.2544200000000001</v>
      </c>
      <c r="AE13" s="38">
        <v>3.2625299999999999</v>
      </c>
      <c r="AG13" s="38">
        <v>28.630210000000002</v>
      </c>
      <c r="AH13" s="38">
        <v>28.231200000000001</v>
      </c>
      <c r="AJ13" s="38">
        <v>9.0939899999999998</v>
      </c>
      <c r="AK13" s="38">
        <v>9.0391100000000009</v>
      </c>
      <c r="AM13" s="13">
        <v>558.13</v>
      </c>
      <c r="AN13" s="13">
        <v>557.529</v>
      </c>
      <c r="AP13" s="13">
        <v>47.267699999999998</v>
      </c>
      <c r="AQ13" s="13">
        <v>47.102499999999999</v>
      </c>
      <c r="AS13" s="13">
        <v>1</v>
      </c>
      <c r="AT13" s="13">
        <v>1</v>
      </c>
      <c r="AV13" s="38">
        <v>7.3560699999999999</v>
      </c>
      <c r="AW13" s="38">
        <v>7.3521599999999996</v>
      </c>
      <c r="AY13" s="38">
        <v>8.7756699999999999</v>
      </c>
      <c r="AZ13" s="38">
        <v>8.7395899999999997</v>
      </c>
      <c r="BB13" s="38">
        <v>23.420850000000002</v>
      </c>
      <c r="BC13" s="38">
        <v>23.490690000000001</v>
      </c>
      <c r="BE13" s="38">
        <v>29.677289999999999</v>
      </c>
      <c r="BF13" s="38">
        <v>29.551179999999999</v>
      </c>
      <c r="BH13" s="38">
        <v>6.7507799999999998</v>
      </c>
      <c r="BI13" s="38">
        <v>6.7235899999999997</v>
      </c>
    </row>
    <row r="14" spans="1:61" s="1" customFormat="1" x14ac:dyDescent="0.3">
      <c r="A14" s="55" t="s">
        <v>62</v>
      </c>
      <c r="B14" s="18">
        <v>42855</v>
      </c>
      <c r="C14" s="13">
        <v>19.067</v>
      </c>
      <c r="D14" s="13">
        <v>18.7437</v>
      </c>
      <c r="E14"/>
      <c r="F14" s="46">
        <v>0.91775099999999998</v>
      </c>
      <c r="G14" s="46">
        <v>0.93401000000000001</v>
      </c>
      <c r="H14"/>
      <c r="I14" s="38">
        <v>15.388400000000001</v>
      </c>
      <c r="J14" s="38">
        <v>15.3443</v>
      </c>
      <c r="L14" s="38">
        <v>6.9770500000000002</v>
      </c>
      <c r="M14" s="38">
        <v>6.9316500000000003</v>
      </c>
      <c r="N14"/>
      <c r="O14" s="46">
        <v>3.1767400000000001</v>
      </c>
      <c r="P14" s="46">
        <v>3.14039</v>
      </c>
      <c r="R14" s="44">
        <v>667.1</v>
      </c>
      <c r="S14" s="44">
        <v>655.73199999999997</v>
      </c>
      <c r="U14" s="32">
        <v>2941.89</v>
      </c>
      <c r="V14" s="32">
        <v>2876.11</v>
      </c>
      <c r="X14" s="32">
        <v>5601.8</v>
      </c>
      <c r="Y14" s="32">
        <v>5612.81</v>
      </c>
      <c r="AA14" s="32">
        <v>1763.41</v>
      </c>
      <c r="AB14" s="32">
        <v>1787.45</v>
      </c>
      <c r="AD14" s="38">
        <v>3.2581500000000001</v>
      </c>
      <c r="AE14" s="38">
        <v>3.24905</v>
      </c>
      <c r="AG14" s="38">
        <v>28.224</v>
      </c>
      <c r="AH14" s="38">
        <v>28.475200000000001</v>
      </c>
      <c r="AJ14" s="38">
        <v>8.8847400000000007</v>
      </c>
      <c r="AK14" s="38">
        <v>9.0680599999999991</v>
      </c>
      <c r="AM14" s="13">
        <v>560.66999999999996</v>
      </c>
      <c r="AN14" s="13">
        <v>557.54600000000005</v>
      </c>
      <c r="AP14" s="13">
        <v>47.444000000000003</v>
      </c>
      <c r="AQ14" s="13">
        <v>47.211500000000001</v>
      </c>
      <c r="AS14" s="13">
        <v>1</v>
      </c>
      <c r="AT14" s="13">
        <v>1</v>
      </c>
      <c r="AV14" s="38">
        <v>7.3720499999999998</v>
      </c>
      <c r="AW14" s="38">
        <v>7.3393699999999997</v>
      </c>
      <c r="AY14" s="38">
        <v>8.7839500000000008</v>
      </c>
      <c r="AZ14" s="38">
        <v>8.7507400000000004</v>
      </c>
      <c r="BB14" s="38">
        <v>23.531500000000001</v>
      </c>
      <c r="BC14" s="38">
        <v>23.421510000000001</v>
      </c>
      <c r="BE14" s="38">
        <v>29.695</v>
      </c>
      <c r="BF14" s="38">
        <v>29.611799999999999</v>
      </c>
      <c r="BH14" s="38">
        <v>6.7561499999999999</v>
      </c>
      <c r="BI14" s="38">
        <v>6.73454</v>
      </c>
    </row>
    <row r="15" spans="1:61" s="1" customFormat="1" x14ac:dyDescent="0.3">
      <c r="A15" s="55" t="s">
        <v>63</v>
      </c>
      <c r="B15" s="18">
        <v>42886</v>
      </c>
      <c r="C15" s="13">
        <v>18.664300000000001</v>
      </c>
      <c r="D15" s="13">
        <v>18.768799999999999</v>
      </c>
      <c r="E15"/>
      <c r="F15" s="46">
        <v>0.89276599999999995</v>
      </c>
      <c r="G15" s="46">
        <v>0.90462500000000001</v>
      </c>
      <c r="H15"/>
      <c r="I15" s="38">
        <v>16.138999999999999</v>
      </c>
      <c r="J15" s="38">
        <v>15.6853</v>
      </c>
      <c r="L15" s="38">
        <v>6.9411699999999996</v>
      </c>
      <c r="M15" s="38">
        <v>6.9417600000000004</v>
      </c>
      <c r="N15"/>
      <c r="O15" s="46">
        <v>3.2521</v>
      </c>
      <c r="P15" s="46">
        <v>3.2045400000000002</v>
      </c>
      <c r="R15" s="44">
        <v>673.61699999999996</v>
      </c>
      <c r="S15" s="44">
        <v>671.40700000000004</v>
      </c>
      <c r="U15" s="32">
        <v>2913.38</v>
      </c>
      <c r="V15" s="32">
        <v>2923.88</v>
      </c>
      <c r="X15" s="32">
        <v>5585.7</v>
      </c>
      <c r="Y15" s="32">
        <v>5603.25</v>
      </c>
      <c r="AA15" s="32">
        <v>1717.59</v>
      </c>
      <c r="AB15" s="32">
        <v>1749.12</v>
      </c>
      <c r="AD15" s="38">
        <v>3.2730000000000001</v>
      </c>
      <c r="AE15" s="38">
        <v>3.2709600000000001</v>
      </c>
      <c r="AG15" s="38">
        <v>28.27093</v>
      </c>
      <c r="AH15" s="38">
        <v>28.100580000000001</v>
      </c>
      <c r="AJ15" s="38">
        <v>8.6932200000000002</v>
      </c>
      <c r="AK15" s="38">
        <v>8.7716999999999992</v>
      </c>
      <c r="AM15" s="13">
        <v>574.38499999999999</v>
      </c>
      <c r="AN15" s="13">
        <v>568.53</v>
      </c>
      <c r="AP15" s="13">
        <v>47.1798</v>
      </c>
      <c r="AQ15" s="13">
        <v>47.235399999999998</v>
      </c>
      <c r="AS15" s="13">
        <v>1</v>
      </c>
      <c r="AT15" s="13">
        <v>1</v>
      </c>
      <c r="AV15" s="38">
        <v>7.3401500000000004</v>
      </c>
      <c r="AW15" s="38">
        <v>7.33521</v>
      </c>
      <c r="AY15" s="38">
        <v>8.7387200000000007</v>
      </c>
      <c r="AZ15" s="38">
        <v>8.7438900000000004</v>
      </c>
      <c r="BB15" s="38">
        <v>23.496310000000001</v>
      </c>
      <c r="BC15" s="38">
        <v>23.452670000000001</v>
      </c>
      <c r="BE15" s="38">
        <v>29.795909999999999</v>
      </c>
      <c r="BF15" s="38">
        <v>29.73893</v>
      </c>
      <c r="BH15" s="38">
        <v>6.7214200000000002</v>
      </c>
      <c r="BI15" s="38">
        <v>6.7301299999999999</v>
      </c>
    </row>
    <row r="16" spans="1:61" s="1" customFormat="1" x14ac:dyDescent="0.3">
      <c r="A16" s="55" t="s">
        <v>64</v>
      </c>
      <c r="B16" s="18">
        <v>42916</v>
      </c>
      <c r="C16" s="13">
        <v>18.027899999999999</v>
      </c>
      <c r="D16" s="13">
        <v>18.159199999999998</v>
      </c>
      <c r="E16"/>
      <c r="F16" s="46">
        <v>0.87540399999999996</v>
      </c>
      <c r="G16" s="46">
        <v>0.89064699999999997</v>
      </c>
      <c r="H16"/>
      <c r="I16" s="38">
        <v>16.527200000000001</v>
      </c>
      <c r="J16" s="38">
        <v>16.084199999999999</v>
      </c>
      <c r="L16" s="38">
        <v>6.9296600000000002</v>
      </c>
      <c r="M16" s="38">
        <v>6.9424400000000004</v>
      </c>
      <c r="N16"/>
      <c r="O16" s="46">
        <v>3.3058900000000002</v>
      </c>
      <c r="P16" s="46">
        <v>3.29223</v>
      </c>
      <c r="R16" s="44">
        <v>664.56200000000001</v>
      </c>
      <c r="S16" s="44">
        <v>665.11099999999999</v>
      </c>
      <c r="U16" s="32">
        <v>3034.74</v>
      </c>
      <c r="V16" s="32">
        <v>2960.75</v>
      </c>
      <c r="X16" s="32">
        <v>5562.91</v>
      </c>
      <c r="Y16" s="32">
        <v>5576.14</v>
      </c>
      <c r="AA16" s="32">
        <v>1682.75</v>
      </c>
      <c r="AB16" s="32">
        <v>1693.89</v>
      </c>
      <c r="AD16" s="38">
        <v>3.2440799999999999</v>
      </c>
      <c r="AE16" s="38">
        <v>3.2652199999999998</v>
      </c>
      <c r="AG16" s="38">
        <v>28.325199999999999</v>
      </c>
      <c r="AH16" s="38">
        <v>28.333880000000001</v>
      </c>
      <c r="AJ16" s="38">
        <v>8.5681700000000003</v>
      </c>
      <c r="AK16" s="38">
        <v>8.6070100000000007</v>
      </c>
      <c r="AM16" s="13">
        <v>567.06500000000005</v>
      </c>
      <c r="AN16" s="13">
        <v>568.24800000000005</v>
      </c>
      <c r="AP16" s="13">
        <v>47.257399999999997</v>
      </c>
      <c r="AQ16" s="13">
        <v>47.284100000000002</v>
      </c>
      <c r="AS16" s="13">
        <v>1</v>
      </c>
      <c r="AT16" s="13">
        <v>1</v>
      </c>
      <c r="AV16" s="38">
        <v>7.32498</v>
      </c>
      <c r="AW16" s="38">
        <v>7.3396400000000002</v>
      </c>
      <c r="AY16" s="38">
        <v>8.7357700000000005</v>
      </c>
      <c r="AZ16" s="38">
        <v>8.7412100000000006</v>
      </c>
      <c r="BB16" s="38">
        <v>23.32902</v>
      </c>
      <c r="BC16" s="38">
        <v>23.430959999999999</v>
      </c>
      <c r="BE16" s="38">
        <v>29.869330000000001</v>
      </c>
      <c r="BF16" s="38">
        <v>29.78087</v>
      </c>
      <c r="BH16" s="38">
        <v>6.7254800000000001</v>
      </c>
      <c r="BI16" s="38">
        <v>6.72675</v>
      </c>
    </row>
    <row r="17" spans="1:61" s="1" customFormat="1" x14ac:dyDescent="0.3">
      <c r="A17" s="55" t="s">
        <v>65</v>
      </c>
      <c r="B17" s="18">
        <v>42947</v>
      </c>
      <c r="C17" s="13">
        <v>17.743500000000001</v>
      </c>
      <c r="D17" s="13">
        <v>17.8294</v>
      </c>
      <c r="E17"/>
      <c r="F17" s="46">
        <v>0.84966399999999997</v>
      </c>
      <c r="G17" s="46">
        <v>0.86768199999999995</v>
      </c>
      <c r="H17"/>
      <c r="I17" s="38">
        <v>17.739899999999999</v>
      </c>
      <c r="J17" s="38">
        <v>17.142499999999998</v>
      </c>
      <c r="L17" s="38">
        <v>6.94238</v>
      </c>
      <c r="M17" s="38">
        <v>6.9481599999999997</v>
      </c>
      <c r="N17"/>
      <c r="O17" s="46">
        <v>3.1298900000000001</v>
      </c>
      <c r="P17" s="46">
        <v>3.2066699999999999</v>
      </c>
      <c r="R17" s="44">
        <v>652.19200000000001</v>
      </c>
      <c r="S17" s="44">
        <v>657.96900000000005</v>
      </c>
      <c r="U17" s="32">
        <v>2996.88</v>
      </c>
      <c r="V17" s="32">
        <v>3036.57</v>
      </c>
      <c r="X17" s="32">
        <v>5544.65</v>
      </c>
      <c r="Y17" s="32">
        <v>5547.41</v>
      </c>
      <c r="AA17" s="32">
        <v>1771.53</v>
      </c>
      <c r="AB17" s="32">
        <v>1730.66</v>
      </c>
      <c r="AD17" s="38">
        <v>3.2387899999999998</v>
      </c>
      <c r="AE17" s="38">
        <v>3.2446799999999998</v>
      </c>
      <c r="AG17" s="38">
        <v>28.30959</v>
      </c>
      <c r="AH17" s="38">
        <v>28.594889999999999</v>
      </c>
      <c r="AJ17" s="38">
        <v>9.0449800000000007</v>
      </c>
      <c r="AK17" s="38">
        <v>8.9207000000000001</v>
      </c>
      <c r="AM17" s="13">
        <v>572.755</v>
      </c>
      <c r="AN17" s="13">
        <v>571.30700000000002</v>
      </c>
      <c r="AP17" s="13">
        <v>47.197200000000002</v>
      </c>
      <c r="AQ17" s="13">
        <v>47.292099999999998</v>
      </c>
      <c r="AS17" s="13">
        <v>1</v>
      </c>
      <c r="AT17" s="13">
        <v>1</v>
      </c>
      <c r="AV17" s="38">
        <v>7.2730800000000002</v>
      </c>
      <c r="AW17" s="38">
        <v>7.3001300000000002</v>
      </c>
      <c r="AY17" s="38">
        <v>8.7279300000000006</v>
      </c>
      <c r="AZ17" s="38">
        <v>8.73672</v>
      </c>
      <c r="BB17" s="38">
        <v>23.391590000000001</v>
      </c>
      <c r="BC17" s="38">
        <v>23.413489999999999</v>
      </c>
      <c r="BE17" s="38">
        <v>29.941020000000002</v>
      </c>
      <c r="BF17" s="38">
        <v>29.962900000000001</v>
      </c>
      <c r="BH17" s="38">
        <v>6.7281899999999997</v>
      </c>
      <c r="BI17" s="38">
        <v>6.7401</v>
      </c>
    </row>
    <row r="18" spans="1:61" s="1" customFormat="1" x14ac:dyDescent="0.3">
      <c r="A18" s="55" t="s">
        <v>66</v>
      </c>
      <c r="B18" s="18">
        <v>42978</v>
      </c>
      <c r="C18" s="13">
        <v>17.775300000000001</v>
      </c>
      <c r="D18" s="13">
        <v>17.7957</v>
      </c>
      <c r="E18"/>
      <c r="F18" s="46">
        <v>0.84153800000000001</v>
      </c>
      <c r="G18" s="46">
        <v>0.84631999999999996</v>
      </c>
      <c r="H18"/>
      <c r="I18" s="38">
        <v>17.370799999999999</v>
      </c>
      <c r="J18" s="38">
        <v>17.419799999999999</v>
      </c>
      <c r="L18" s="38">
        <v>6.9735300000000002</v>
      </c>
      <c r="M18" s="38">
        <v>6.95573</v>
      </c>
      <c r="N18"/>
      <c r="O18" s="46">
        <v>3.15462</v>
      </c>
      <c r="P18" s="46">
        <v>3.1536</v>
      </c>
      <c r="R18" s="44">
        <v>629.46400000000006</v>
      </c>
      <c r="S18" s="44">
        <v>643.6</v>
      </c>
      <c r="U18" s="32">
        <v>2951.25</v>
      </c>
      <c r="V18" s="32">
        <v>2970.18</v>
      </c>
      <c r="X18" s="32">
        <v>5669.71</v>
      </c>
      <c r="Y18" s="32">
        <v>5581.3</v>
      </c>
      <c r="AA18" s="32">
        <v>1797.29</v>
      </c>
      <c r="AB18" s="32">
        <v>1769.92</v>
      </c>
      <c r="AD18" s="38">
        <v>3.24458</v>
      </c>
      <c r="AE18" s="38">
        <v>3.2389999999999999</v>
      </c>
      <c r="AG18" s="38">
        <v>28.775829999999999</v>
      </c>
      <c r="AH18" s="38">
        <v>28.608560000000001</v>
      </c>
      <c r="AJ18" s="38">
        <v>9.1218500000000002</v>
      </c>
      <c r="AK18" s="38">
        <v>9.0719499999999993</v>
      </c>
      <c r="AM18" s="13">
        <v>577.30999999999995</v>
      </c>
      <c r="AN18" s="13">
        <v>576.178</v>
      </c>
      <c r="AP18" s="13">
        <v>47.305399999999999</v>
      </c>
      <c r="AQ18" s="13">
        <v>47.195300000000003</v>
      </c>
      <c r="AS18" s="13">
        <v>1</v>
      </c>
      <c r="AT18" s="13">
        <v>1</v>
      </c>
      <c r="AV18" s="38">
        <v>7.3040099999999999</v>
      </c>
      <c r="AW18" s="38">
        <v>7.2688699999999997</v>
      </c>
      <c r="AY18" s="38">
        <v>8.7691599999999994</v>
      </c>
      <c r="AZ18" s="38">
        <v>8.7416</v>
      </c>
      <c r="BB18" s="38">
        <v>23.431039999999999</v>
      </c>
      <c r="BC18" s="38">
        <v>23.365010000000002</v>
      </c>
      <c r="BE18" s="38">
        <v>29.97362</v>
      </c>
      <c r="BF18" s="38">
        <v>29.91742</v>
      </c>
      <c r="BH18" s="38">
        <v>6.7425300000000004</v>
      </c>
      <c r="BI18" s="38">
        <v>6.7506399999999998</v>
      </c>
    </row>
    <row r="19" spans="1:61" s="1" customFormat="1" x14ac:dyDescent="0.3">
      <c r="A19" s="55" t="s">
        <v>67</v>
      </c>
      <c r="B19" s="18">
        <v>43008</v>
      </c>
      <c r="C19" s="13">
        <v>18.197900000000001</v>
      </c>
      <c r="D19" s="13">
        <v>17.820799999999998</v>
      </c>
      <c r="E19"/>
      <c r="F19" s="46">
        <v>0.846418</v>
      </c>
      <c r="G19" s="46">
        <v>0.83914100000000003</v>
      </c>
      <c r="H19"/>
      <c r="I19" s="38">
        <v>17.634</v>
      </c>
      <c r="J19" s="38">
        <v>17.255700000000001</v>
      </c>
      <c r="L19" s="38">
        <v>7.0072000000000001</v>
      </c>
      <c r="M19" s="38">
        <v>6.9694900000000004</v>
      </c>
      <c r="N19"/>
      <c r="O19" s="46">
        <v>3.1631</v>
      </c>
      <c r="P19" s="46">
        <v>3.1310699999999998</v>
      </c>
      <c r="R19" s="44">
        <v>640.1</v>
      </c>
      <c r="S19" s="44">
        <v>625.86800000000005</v>
      </c>
      <c r="U19" s="32">
        <v>2961.3</v>
      </c>
      <c r="V19" s="32">
        <v>2918.45</v>
      </c>
      <c r="X19" s="32">
        <v>5689.4</v>
      </c>
      <c r="Y19" s="32">
        <v>5667.48</v>
      </c>
      <c r="AA19" s="32">
        <v>1798.7</v>
      </c>
      <c r="AB19" s="32">
        <v>1810.21</v>
      </c>
      <c r="AD19" s="38">
        <v>3.2866499999999998</v>
      </c>
      <c r="AE19" s="38">
        <v>3.24837</v>
      </c>
      <c r="AG19" s="38">
        <v>29.321999999999999</v>
      </c>
      <c r="AH19" s="38">
        <v>28.92333</v>
      </c>
      <c r="AJ19" s="38">
        <v>9.27013</v>
      </c>
      <c r="AK19" s="38">
        <v>9.2380600000000008</v>
      </c>
      <c r="AM19" s="13">
        <v>575.78499999999997</v>
      </c>
      <c r="AN19" s="13">
        <v>577.04100000000005</v>
      </c>
      <c r="AP19" s="13">
        <v>48.0595</v>
      </c>
      <c r="AQ19" s="13">
        <v>47.434899999999999</v>
      </c>
      <c r="AS19" s="13">
        <v>1</v>
      </c>
      <c r="AT19" s="13">
        <v>1</v>
      </c>
      <c r="AV19" s="38">
        <v>7.3789499999999997</v>
      </c>
      <c r="AW19" s="38">
        <v>7.30802</v>
      </c>
      <c r="AY19" s="38">
        <v>8.8030000000000008</v>
      </c>
      <c r="AZ19" s="38">
        <v>8.7610200000000003</v>
      </c>
      <c r="BB19" s="38">
        <v>23.55</v>
      </c>
      <c r="BC19" s="38">
        <v>23.42127</v>
      </c>
      <c r="BE19" s="38">
        <v>30.544</v>
      </c>
      <c r="BF19" s="38">
        <v>30.31597</v>
      </c>
      <c r="BH19" s="38">
        <v>6.7937500000000002</v>
      </c>
      <c r="BI19" s="38">
        <v>6.7660499999999999</v>
      </c>
    </row>
    <row r="20" spans="1:61" s="1" customFormat="1" x14ac:dyDescent="0.3">
      <c r="A20" s="55" t="s">
        <v>68</v>
      </c>
      <c r="B20" s="18">
        <v>43039</v>
      </c>
      <c r="C20" s="13">
        <v>19.218800000000002</v>
      </c>
      <c r="D20" s="13">
        <v>18.8157</v>
      </c>
      <c r="E20"/>
      <c r="F20" s="46">
        <v>0.85897800000000002</v>
      </c>
      <c r="G20" s="46">
        <v>0.85085900000000003</v>
      </c>
      <c r="H20"/>
      <c r="I20" s="38">
        <v>17.6769</v>
      </c>
      <c r="J20" s="38">
        <v>17.4528</v>
      </c>
      <c r="L20" s="38">
        <v>6.9171300000000002</v>
      </c>
      <c r="M20" s="38">
        <v>6.9188999999999998</v>
      </c>
      <c r="N20"/>
      <c r="O20" s="46">
        <v>3.2814000000000001</v>
      </c>
      <c r="P20" s="46">
        <v>3.1881300000000001</v>
      </c>
      <c r="R20" s="44">
        <v>635.65</v>
      </c>
      <c r="S20" s="44">
        <v>630.36300000000006</v>
      </c>
      <c r="U20" s="32">
        <v>3022.68</v>
      </c>
      <c r="V20" s="32">
        <v>2954.99</v>
      </c>
      <c r="X20" s="32">
        <v>5644.33</v>
      </c>
      <c r="Y20" s="32">
        <v>5647.77</v>
      </c>
      <c r="AA20" s="32">
        <v>1720.11</v>
      </c>
      <c r="AB20" s="32">
        <v>1771.82</v>
      </c>
      <c r="AD20" s="38">
        <v>3.24594</v>
      </c>
      <c r="AE20" s="38">
        <v>3.2518600000000002</v>
      </c>
      <c r="AG20" s="38">
        <v>29.316569999999999</v>
      </c>
      <c r="AH20" s="38">
        <v>29.36767</v>
      </c>
      <c r="AJ20" s="38">
        <v>8.9342100000000002</v>
      </c>
      <c r="AK20" s="38">
        <v>9.2126900000000003</v>
      </c>
      <c r="AM20" s="13">
        <v>569.51599999999996</v>
      </c>
      <c r="AN20" s="13">
        <v>571.77599999999995</v>
      </c>
      <c r="AP20" s="13">
        <v>47.971600000000002</v>
      </c>
      <c r="AQ20" s="13">
        <v>47.6892</v>
      </c>
      <c r="AS20" s="13">
        <v>1</v>
      </c>
      <c r="AT20" s="13">
        <v>1</v>
      </c>
      <c r="AV20" s="38">
        <v>7.3483099999999997</v>
      </c>
      <c r="AW20" s="38">
        <v>7.3514400000000002</v>
      </c>
      <c r="AY20" s="38">
        <v>8.7445699999999995</v>
      </c>
      <c r="AZ20" s="38">
        <v>8.7544799999999992</v>
      </c>
      <c r="BB20" s="38">
        <v>23.570319999999999</v>
      </c>
      <c r="BC20" s="38">
        <v>23.492989999999999</v>
      </c>
      <c r="BE20" s="38">
        <v>30.65391</v>
      </c>
      <c r="BF20" s="38">
        <v>30.507829999999998</v>
      </c>
      <c r="BH20" s="38">
        <v>6.7311800000000002</v>
      </c>
      <c r="BI20" s="38">
        <v>6.7460100000000001</v>
      </c>
    </row>
    <row r="21" spans="1:61" s="1" customFormat="1" x14ac:dyDescent="0.3">
      <c r="A21" s="55" t="s">
        <v>69</v>
      </c>
      <c r="B21" s="18">
        <v>43069</v>
      </c>
      <c r="C21" s="13">
        <v>18.518999999999998</v>
      </c>
      <c r="D21" s="13">
        <v>18.9346</v>
      </c>
      <c r="E21"/>
      <c r="F21" s="46">
        <v>0.84223800000000004</v>
      </c>
      <c r="G21" s="46">
        <v>0.85178799999999999</v>
      </c>
      <c r="H21"/>
      <c r="I21" s="38">
        <v>17.384</v>
      </c>
      <c r="J21" s="38">
        <v>17.488499999999998</v>
      </c>
      <c r="L21" s="38">
        <v>6.94597</v>
      </c>
      <c r="M21" s="38">
        <v>6.9372100000000003</v>
      </c>
      <c r="N21"/>
      <c r="O21" s="46">
        <v>3.2576900000000002</v>
      </c>
      <c r="P21" s="46">
        <v>3.26369</v>
      </c>
      <c r="R21" s="44">
        <v>645.17399999999998</v>
      </c>
      <c r="S21" s="44">
        <v>633.16200000000003</v>
      </c>
      <c r="U21" s="32">
        <v>3001.07</v>
      </c>
      <c r="V21" s="32">
        <v>3014.21</v>
      </c>
      <c r="X21" s="32">
        <v>5658.02</v>
      </c>
      <c r="Y21" s="32">
        <v>5652.05</v>
      </c>
      <c r="AA21" s="32">
        <v>1736.83</v>
      </c>
      <c r="AB21" s="32">
        <v>1731.94</v>
      </c>
      <c r="AD21" s="38">
        <v>3.2302300000000002</v>
      </c>
      <c r="AE21" s="38">
        <v>3.24369</v>
      </c>
      <c r="AG21" s="38">
        <v>28.962440000000001</v>
      </c>
      <c r="AH21" s="38">
        <v>29.269110000000001</v>
      </c>
      <c r="AJ21" s="38">
        <v>8.89053</v>
      </c>
      <c r="AK21" s="38">
        <v>8.96875</v>
      </c>
      <c r="AM21" s="13">
        <v>565.39400000000001</v>
      </c>
      <c r="AN21" s="13">
        <v>567.899</v>
      </c>
      <c r="AP21" s="13">
        <v>48.0762</v>
      </c>
      <c r="AQ21" s="13">
        <v>47.995800000000003</v>
      </c>
      <c r="AS21" s="13">
        <v>1</v>
      </c>
      <c r="AT21" s="13">
        <v>1</v>
      </c>
      <c r="AV21" s="38">
        <v>7.3437000000000001</v>
      </c>
      <c r="AW21" s="38">
        <v>7.3418200000000002</v>
      </c>
      <c r="AY21" s="38">
        <v>8.75</v>
      </c>
      <c r="AZ21" s="38">
        <v>8.7460100000000001</v>
      </c>
      <c r="BB21" s="38">
        <v>23.611789999999999</v>
      </c>
      <c r="BC21" s="38">
        <v>23.611599999999999</v>
      </c>
      <c r="BE21" s="38">
        <v>30.763909999999999</v>
      </c>
      <c r="BF21" s="38">
        <v>30.714559999999999</v>
      </c>
      <c r="BH21" s="38">
        <v>6.7268100000000004</v>
      </c>
      <c r="BI21" s="38">
        <v>6.7350399999999997</v>
      </c>
    </row>
    <row r="22" spans="1:61" s="1" customFormat="1" x14ac:dyDescent="0.3">
      <c r="A22" s="55" t="s">
        <v>70</v>
      </c>
      <c r="B22" s="18">
        <v>43100</v>
      </c>
      <c r="C22" s="13">
        <v>19.735399999999998</v>
      </c>
      <c r="D22" s="13">
        <v>19.192399999999999</v>
      </c>
      <c r="E22"/>
      <c r="F22" s="46">
        <v>0.834758</v>
      </c>
      <c r="G22" s="46">
        <v>0.844557</v>
      </c>
      <c r="H22"/>
      <c r="I22" s="38">
        <v>18.6435</v>
      </c>
      <c r="J22" s="38">
        <v>17.702500000000001</v>
      </c>
      <c r="L22" s="38">
        <v>6.9230799999999997</v>
      </c>
      <c r="M22" s="38">
        <v>6.9222200000000003</v>
      </c>
      <c r="N22"/>
      <c r="O22" s="46">
        <v>3.31257</v>
      </c>
      <c r="P22" s="46">
        <v>3.2969400000000002</v>
      </c>
      <c r="R22" s="44">
        <v>615.35400000000004</v>
      </c>
      <c r="S22" s="44">
        <v>635.67899999999997</v>
      </c>
      <c r="U22" s="32">
        <v>2985.41</v>
      </c>
      <c r="V22" s="32">
        <v>2993.06</v>
      </c>
      <c r="X22" s="32">
        <v>5591.92</v>
      </c>
      <c r="Y22" s="32">
        <v>5642.53</v>
      </c>
      <c r="AA22" s="32">
        <v>1688.1</v>
      </c>
      <c r="AB22" s="32">
        <v>1711.61</v>
      </c>
      <c r="AD22" s="38">
        <v>3.23956</v>
      </c>
      <c r="AE22" s="38">
        <v>3.2457400000000001</v>
      </c>
      <c r="AG22" s="38">
        <v>28.813949999999998</v>
      </c>
      <c r="AH22" s="38">
        <v>28.893609999999999</v>
      </c>
      <c r="AJ22" s="38">
        <v>8.6983800000000002</v>
      </c>
      <c r="AK22" s="38">
        <v>8.7645499999999998</v>
      </c>
      <c r="AM22" s="13">
        <v>568.21900000000005</v>
      </c>
      <c r="AN22" s="13">
        <v>566.60299999999995</v>
      </c>
      <c r="AP22" s="13">
        <v>48.0946</v>
      </c>
      <c r="AQ22" s="13">
        <v>48.1691</v>
      </c>
      <c r="AS22" s="13">
        <v>1</v>
      </c>
      <c r="AT22" s="13">
        <v>1</v>
      </c>
      <c r="AV22" s="38">
        <v>7.3420500000000004</v>
      </c>
      <c r="AW22" s="38">
        <v>7.3448500000000001</v>
      </c>
      <c r="AY22" s="38">
        <v>8.75</v>
      </c>
      <c r="AZ22" s="38">
        <v>8.75</v>
      </c>
      <c r="BB22" s="38">
        <v>23.58624</v>
      </c>
      <c r="BC22" s="38">
        <v>23.58248</v>
      </c>
      <c r="BE22" s="38">
        <v>30.827670000000001</v>
      </c>
      <c r="BF22" s="38">
        <v>30.815429999999999</v>
      </c>
      <c r="BH22" s="38">
        <v>6.76837</v>
      </c>
      <c r="BI22" s="38">
        <v>6.7294</v>
      </c>
    </row>
    <row r="23" spans="1:61" s="1" customFormat="1" x14ac:dyDescent="0.3">
      <c r="A23" s="55" t="s">
        <v>72</v>
      </c>
      <c r="B23" s="18">
        <v>43131</v>
      </c>
      <c r="C23" s="13">
        <v>18.6982</v>
      </c>
      <c r="D23" s="13">
        <v>18.9345</v>
      </c>
      <c r="E23"/>
      <c r="F23" s="46">
        <v>0.80441399999999996</v>
      </c>
      <c r="G23" s="46">
        <v>0.82019900000000001</v>
      </c>
      <c r="H23"/>
      <c r="I23" s="38">
        <v>19.6342</v>
      </c>
      <c r="J23" s="38">
        <v>18.996700000000001</v>
      </c>
      <c r="L23" s="38">
        <v>6.9219400000000002</v>
      </c>
      <c r="M23" s="38">
        <v>6.9217000000000004</v>
      </c>
      <c r="N23"/>
      <c r="O23" s="46">
        <v>3.17808</v>
      </c>
      <c r="P23" s="46">
        <v>3.2113100000000001</v>
      </c>
      <c r="R23" s="44">
        <v>604.73099999999999</v>
      </c>
      <c r="S23" s="44">
        <v>605.721</v>
      </c>
      <c r="U23" s="32">
        <v>2841.31</v>
      </c>
      <c r="V23" s="32">
        <v>2867.53</v>
      </c>
      <c r="X23" s="32">
        <v>5625.84</v>
      </c>
      <c r="Y23" s="32">
        <v>5623.77</v>
      </c>
      <c r="AA23" s="32">
        <v>1770.21</v>
      </c>
      <c r="AB23" s="32">
        <v>1751.5</v>
      </c>
      <c r="AD23" s="38">
        <v>3.2165499999999998</v>
      </c>
      <c r="AE23" s="38">
        <v>3.21591</v>
      </c>
      <c r="AG23" s="38">
        <v>28.436440000000001</v>
      </c>
      <c r="AH23" s="38">
        <v>28.590890000000002</v>
      </c>
      <c r="AJ23" s="38">
        <v>8.9476899999999997</v>
      </c>
      <c r="AK23" s="38">
        <v>8.9039999999999999</v>
      </c>
      <c r="AM23" s="13">
        <v>569.28499999999997</v>
      </c>
      <c r="AN23" s="13">
        <v>568.34299999999996</v>
      </c>
      <c r="AP23" s="13">
        <v>48.793700000000001</v>
      </c>
      <c r="AQ23" s="13">
        <v>48.3688</v>
      </c>
      <c r="AS23" s="13">
        <v>1</v>
      </c>
      <c r="AT23" s="13">
        <v>1</v>
      </c>
      <c r="AV23" s="38">
        <v>7.3481500000000004</v>
      </c>
      <c r="AW23" s="38">
        <v>7.3429399999999996</v>
      </c>
      <c r="AY23" s="38">
        <v>8.75</v>
      </c>
      <c r="AZ23" s="38">
        <v>8.75</v>
      </c>
      <c r="BB23" s="38">
        <v>23.6157</v>
      </c>
      <c r="BC23" s="38">
        <v>23.601089999999999</v>
      </c>
      <c r="BE23" s="38">
        <v>31.122489999999999</v>
      </c>
      <c r="BF23" s="38">
        <v>30.931249999999999</v>
      </c>
      <c r="BH23" s="38">
        <v>6.72098</v>
      </c>
      <c r="BI23" s="38">
        <v>6.7411000000000003</v>
      </c>
    </row>
    <row r="24" spans="1:61" s="1" customFormat="1" x14ac:dyDescent="0.3">
      <c r="A24" s="55" t="s">
        <v>73</v>
      </c>
      <c r="B24" s="18">
        <v>43159</v>
      </c>
      <c r="C24" s="13">
        <v>18.790199999999999</v>
      </c>
      <c r="D24" s="13">
        <v>18.631</v>
      </c>
      <c r="E24"/>
      <c r="F24" s="46">
        <v>0.81867199999999996</v>
      </c>
      <c r="G24" s="46">
        <v>0.80959000000000003</v>
      </c>
      <c r="H24"/>
      <c r="I24" s="38">
        <v>20.172899999999998</v>
      </c>
      <c r="J24" s="38">
        <v>19.8215</v>
      </c>
      <c r="L24" s="38">
        <v>6.9287900000000002</v>
      </c>
      <c r="M24" s="38">
        <v>6.9229399999999996</v>
      </c>
      <c r="N24"/>
      <c r="O24" s="46">
        <v>3.2480899999999999</v>
      </c>
      <c r="P24" s="46">
        <v>3.2466499999999998</v>
      </c>
      <c r="R24" s="44">
        <v>593.03800000000001</v>
      </c>
      <c r="S24" s="44">
        <v>596.971</v>
      </c>
      <c r="U24" s="32">
        <v>2862.24</v>
      </c>
      <c r="V24" s="32">
        <v>2859.44</v>
      </c>
      <c r="X24" s="32">
        <v>5585.13</v>
      </c>
      <c r="Y24" s="32">
        <v>5592.39</v>
      </c>
      <c r="AA24" s="32">
        <v>1719.52</v>
      </c>
      <c r="AB24" s="32">
        <v>1722.67</v>
      </c>
      <c r="AD24" s="38">
        <v>3.25956</v>
      </c>
      <c r="AE24" s="38">
        <v>3.2489400000000002</v>
      </c>
      <c r="AG24" s="38">
        <v>28.426880000000001</v>
      </c>
      <c r="AH24" s="38">
        <v>28.550999999999998</v>
      </c>
      <c r="AJ24" s="38">
        <v>8.7518899999999995</v>
      </c>
      <c r="AK24" s="38">
        <v>8.7946000000000009</v>
      </c>
      <c r="AM24" s="13">
        <v>571.50699999999995</v>
      </c>
      <c r="AN24" s="13">
        <v>571.71900000000005</v>
      </c>
      <c r="AP24" s="13">
        <v>49.309800000000003</v>
      </c>
      <c r="AQ24" s="13">
        <v>49.0092</v>
      </c>
      <c r="AS24" s="13">
        <v>1</v>
      </c>
      <c r="AT24" s="13">
        <v>1</v>
      </c>
      <c r="AV24" s="38">
        <v>7.3645300000000002</v>
      </c>
      <c r="AW24" s="38">
        <v>7.3497700000000004</v>
      </c>
      <c r="AY24" s="38">
        <v>8.75</v>
      </c>
      <c r="AZ24" s="38">
        <v>8.75</v>
      </c>
      <c r="BB24" s="38">
        <v>23.636310000000002</v>
      </c>
      <c r="BC24" s="38">
        <v>23.581800000000001</v>
      </c>
      <c r="BE24" s="38">
        <v>31.17353</v>
      </c>
      <c r="BF24" s="38">
        <v>31.1389</v>
      </c>
      <c r="BH24" s="38">
        <v>6.72403</v>
      </c>
      <c r="BI24" s="38">
        <v>6.7330100000000002</v>
      </c>
    </row>
    <row r="25" spans="1:61" s="1" customFormat="1" x14ac:dyDescent="0.3">
      <c r="A25" s="55" t="s">
        <v>74</v>
      </c>
      <c r="B25" s="18">
        <v>43190</v>
      </c>
      <c r="C25" s="13">
        <v>18.3445</v>
      </c>
      <c r="D25" s="13">
        <v>18.613</v>
      </c>
      <c r="E25"/>
      <c r="F25" s="46">
        <v>0.81144400000000005</v>
      </c>
      <c r="G25" s="46">
        <v>0.81099200000000005</v>
      </c>
      <c r="H25"/>
      <c r="I25" s="38">
        <v>20.125499999999999</v>
      </c>
      <c r="J25" s="38">
        <v>20.2178</v>
      </c>
      <c r="L25" s="38">
        <v>6.9233500000000001</v>
      </c>
      <c r="M25" s="38">
        <v>6.9214799999999999</v>
      </c>
      <c r="N25"/>
      <c r="O25" s="46">
        <v>3.30525</v>
      </c>
      <c r="P25" s="46">
        <v>3.2780399999999998</v>
      </c>
      <c r="R25" s="44">
        <v>603.9</v>
      </c>
      <c r="S25" s="44">
        <v>604.02</v>
      </c>
      <c r="U25" s="32">
        <v>2790.75</v>
      </c>
      <c r="V25" s="32">
        <v>2847</v>
      </c>
      <c r="X25" s="32">
        <v>5563.95</v>
      </c>
      <c r="Y25" s="32">
        <v>5541.79</v>
      </c>
      <c r="AA25" s="32">
        <v>1683.38</v>
      </c>
      <c r="AB25" s="32">
        <v>1690.68</v>
      </c>
      <c r="AD25" s="38">
        <v>3.2271000000000001</v>
      </c>
      <c r="AE25" s="38">
        <v>3.2497799999999999</v>
      </c>
      <c r="AG25" s="38">
        <v>28.385000000000002</v>
      </c>
      <c r="AH25" s="38">
        <v>28.38739</v>
      </c>
      <c r="AJ25" s="38">
        <v>8.5878599999999992</v>
      </c>
      <c r="AK25" s="38">
        <v>8.6604600000000005</v>
      </c>
      <c r="AM25" s="13">
        <v>567.18299999999999</v>
      </c>
      <c r="AN25" s="13">
        <v>568.66999999999996</v>
      </c>
      <c r="AP25" s="13">
        <v>49.465000000000003</v>
      </c>
      <c r="AQ25" s="13">
        <v>49.482999999999997</v>
      </c>
      <c r="AS25" s="13">
        <v>1</v>
      </c>
      <c r="AT25" s="13">
        <v>1</v>
      </c>
      <c r="AV25" s="38">
        <v>7.3771800000000001</v>
      </c>
      <c r="AW25" s="38">
        <v>7.3683800000000002</v>
      </c>
      <c r="AY25" s="38">
        <v>8.75</v>
      </c>
      <c r="AZ25" s="38">
        <v>8.75</v>
      </c>
      <c r="BB25" s="38">
        <v>23.624500000000001</v>
      </c>
      <c r="BC25" s="38">
        <v>23.611560000000001</v>
      </c>
      <c r="BE25" s="38">
        <v>31.222249999999999</v>
      </c>
      <c r="BF25" s="38">
        <v>31.148630000000001</v>
      </c>
      <c r="BH25" s="38">
        <v>6.7373799999999999</v>
      </c>
      <c r="BI25" s="38">
        <v>6.7386600000000003</v>
      </c>
    </row>
    <row r="26" spans="1:61" s="1" customFormat="1" x14ac:dyDescent="0.3">
      <c r="A26" s="55" t="s">
        <v>75</v>
      </c>
      <c r="B26" s="18">
        <v>43220</v>
      </c>
      <c r="C26" s="13">
        <v>18.684699999999999</v>
      </c>
      <c r="D26" s="13">
        <v>18.366</v>
      </c>
      <c r="E26"/>
      <c r="F26" s="46">
        <v>0.82643999999999995</v>
      </c>
      <c r="G26" s="46">
        <v>0.81470600000000004</v>
      </c>
      <c r="H26"/>
      <c r="I26" s="38">
        <v>20.516200000000001</v>
      </c>
      <c r="J26" s="38">
        <v>20.236799999999999</v>
      </c>
      <c r="L26" s="38">
        <v>6.9191599999999998</v>
      </c>
      <c r="M26" s="38">
        <v>6.9222299999999999</v>
      </c>
      <c r="N26"/>
      <c r="O26" s="46">
        <v>3.47451</v>
      </c>
      <c r="P26" s="46">
        <v>3.40402</v>
      </c>
      <c r="R26" s="44">
        <v>609.32899999999995</v>
      </c>
      <c r="S26" s="44">
        <v>600.952</v>
      </c>
      <c r="U26" s="32">
        <v>2808.1</v>
      </c>
      <c r="V26" s="32">
        <v>2770.4</v>
      </c>
      <c r="X26" s="32">
        <v>5555</v>
      </c>
      <c r="Y26" s="32">
        <v>5549.23</v>
      </c>
      <c r="AA26" s="32">
        <v>1598.79</v>
      </c>
      <c r="AB26" s="32">
        <v>1630.56</v>
      </c>
      <c r="AD26" s="38">
        <v>3.2401800000000001</v>
      </c>
      <c r="AE26" s="38">
        <v>3.2287300000000001</v>
      </c>
      <c r="AG26" s="38">
        <v>28.421029999999998</v>
      </c>
      <c r="AH26" s="38">
        <v>28.3066</v>
      </c>
      <c r="AJ26" s="38">
        <v>8.1798800000000007</v>
      </c>
      <c r="AK26" s="38">
        <v>8.3175000000000008</v>
      </c>
      <c r="AM26" s="13">
        <v>566.10599999999999</v>
      </c>
      <c r="AN26" s="13">
        <v>566.89099999999996</v>
      </c>
      <c r="AP26" s="13">
        <v>49.521599999999999</v>
      </c>
      <c r="AQ26" s="13">
        <v>49.5351</v>
      </c>
      <c r="AS26" s="13">
        <v>1</v>
      </c>
      <c r="AT26" s="13">
        <v>1</v>
      </c>
      <c r="AV26" s="38">
        <v>7.3732300000000004</v>
      </c>
      <c r="AW26" s="38">
        <v>7.3766699999999998</v>
      </c>
      <c r="AY26" s="38">
        <v>8.75</v>
      </c>
      <c r="AZ26" s="38">
        <v>8.75</v>
      </c>
      <c r="BB26" s="38">
        <v>23.639939999999999</v>
      </c>
      <c r="BC26" s="38">
        <v>23.645420000000001</v>
      </c>
      <c r="BE26" s="38">
        <v>31.260110000000001</v>
      </c>
      <c r="BF26" s="38">
        <v>31.218599999999999</v>
      </c>
      <c r="BH26" s="38">
        <v>6.7543699999999998</v>
      </c>
      <c r="BI26" s="38">
        <v>6.7332799999999997</v>
      </c>
    </row>
    <row r="27" spans="1:61" s="1" customFormat="1" x14ac:dyDescent="0.3">
      <c r="A27" s="55" t="s">
        <v>76</v>
      </c>
      <c r="B27" s="18">
        <v>43251</v>
      </c>
      <c r="C27" s="13">
        <v>19.732199999999999</v>
      </c>
      <c r="D27" s="13">
        <v>19.526199999999999</v>
      </c>
      <c r="E27"/>
      <c r="F27" s="46">
        <v>0.85610600000000003</v>
      </c>
      <c r="G27" s="46">
        <v>0.84579099999999996</v>
      </c>
      <c r="H27"/>
      <c r="I27" s="38">
        <v>24.939599999999999</v>
      </c>
      <c r="J27" s="38">
        <v>23.475899999999999</v>
      </c>
      <c r="L27" s="38">
        <v>6.9218900000000003</v>
      </c>
      <c r="M27" s="38">
        <v>6.9229799999999999</v>
      </c>
      <c r="N27"/>
      <c r="O27" s="46">
        <v>3.72498</v>
      </c>
      <c r="P27" s="46">
        <v>3.6280999999999999</v>
      </c>
      <c r="R27" s="44">
        <v>629.28</v>
      </c>
      <c r="S27" s="44">
        <v>626.226</v>
      </c>
      <c r="U27" s="32">
        <v>2885.82</v>
      </c>
      <c r="V27" s="32">
        <v>2862.03</v>
      </c>
      <c r="X27" s="32">
        <v>5750.18</v>
      </c>
      <c r="Y27" s="32">
        <v>5631.02</v>
      </c>
      <c r="AA27" s="32">
        <v>1543.69</v>
      </c>
      <c r="AB27" s="32">
        <v>1552.48</v>
      </c>
      <c r="AD27" s="38">
        <v>3.2709100000000002</v>
      </c>
      <c r="AE27" s="38">
        <v>3.2723100000000001</v>
      </c>
      <c r="AG27" s="38">
        <v>31.116669999999999</v>
      </c>
      <c r="AH27" s="38">
        <v>30.21454</v>
      </c>
      <c r="AJ27" s="38">
        <v>8.3535400000000006</v>
      </c>
      <c r="AK27" s="38">
        <v>8.3261199999999995</v>
      </c>
      <c r="AM27" s="13">
        <v>566.91800000000001</v>
      </c>
      <c r="AN27" s="13">
        <v>566.73900000000003</v>
      </c>
      <c r="AP27" s="13">
        <v>49.5349</v>
      </c>
      <c r="AQ27" s="13">
        <v>49.592300000000002</v>
      </c>
      <c r="AS27" s="13">
        <v>1</v>
      </c>
      <c r="AT27" s="13">
        <v>1</v>
      </c>
      <c r="AV27" s="38">
        <v>7.4056800000000003</v>
      </c>
      <c r="AW27" s="38">
        <v>7.3906200000000002</v>
      </c>
      <c r="AY27" s="38">
        <v>8.75</v>
      </c>
      <c r="AZ27" s="38">
        <v>8.75</v>
      </c>
      <c r="BB27" s="38">
        <v>23.870899999999999</v>
      </c>
      <c r="BC27" s="38">
        <v>23.776789999999998</v>
      </c>
      <c r="BE27" s="38">
        <v>31.50384</v>
      </c>
      <c r="BF27" s="38">
        <v>31.370360000000002</v>
      </c>
      <c r="BH27" s="38">
        <v>6.7034700000000003</v>
      </c>
      <c r="BI27" s="38">
        <v>6.7209599999999998</v>
      </c>
    </row>
    <row r="28" spans="1:61" s="1" customFormat="1" x14ac:dyDescent="0.3">
      <c r="A28" s="55" t="s">
        <v>77</v>
      </c>
      <c r="B28" s="18">
        <v>43281</v>
      </c>
      <c r="C28" s="13">
        <v>19.863299999999999</v>
      </c>
      <c r="D28" s="13">
        <v>20.271799999999999</v>
      </c>
      <c r="E28"/>
      <c r="F28" s="46">
        <v>0.85589999999999999</v>
      </c>
      <c r="G28" s="46">
        <v>0.85647600000000002</v>
      </c>
      <c r="H28"/>
      <c r="I28" s="38">
        <v>28.936900000000001</v>
      </c>
      <c r="J28" s="38">
        <v>26.568200000000001</v>
      </c>
      <c r="L28" s="38">
        <v>6.92028</v>
      </c>
      <c r="M28" s="38">
        <v>6.9221899999999996</v>
      </c>
      <c r="N28"/>
      <c r="O28" s="46">
        <v>3.8777499999999998</v>
      </c>
      <c r="P28" s="46">
        <v>3.7720600000000002</v>
      </c>
      <c r="R28" s="44">
        <v>653.91999999999996</v>
      </c>
      <c r="S28" s="44">
        <v>636.32899999999995</v>
      </c>
      <c r="U28" s="32">
        <v>2931.05</v>
      </c>
      <c r="V28" s="32">
        <v>2891.42</v>
      </c>
      <c r="X28" s="32">
        <v>5692.2</v>
      </c>
      <c r="Y28" s="32">
        <v>5687.68</v>
      </c>
      <c r="AA28" s="32">
        <v>1467.92</v>
      </c>
      <c r="AB28" s="32">
        <v>1508.09</v>
      </c>
      <c r="AD28" s="38">
        <v>3.2790499999999998</v>
      </c>
      <c r="AE28" s="38">
        <v>3.2717700000000001</v>
      </c>
      <c r="AG28" s="38">
        <v>31.35</v>
      </c>
      <c r="AH28" s="38">
        <v>31.385100000000001</v>
      </c>
      <c r="AJ28" s="38">
        <v>8.0845900000000004</v>
      </c>
      <c r="AK28" s="38">
        <v>8.3218800000000002</v>
      </c>
      <c r="AM28" s="13">
        <v>568.22</v>
      </c>
      <c r="AN28" s="13">
        <v>568.45299999999997</v>
      </c>
      <c r="AP28" s="13">
        <v>49.602499999999999</v>
      </c>
      <c r="AQ28" s="13">
        <v>49.587400000000002</v>
      </c>
      <c r="AS28" s="13">
        <v>1</v>
      </c>
      <c r="AT28" s="13">
        <v>1</v>
      </c>
      <c r="AV28" s="38">
        <v>7.4934000000000003</v>
      </c>
      <c r="AW28" s="38">
        <v>7.4467299999999996</v>
      </c>
      <c r="AY28" s="38">
        <v>8.75</v>
      </c>
      <c r="AZ28" s="38">
        <v>8.75</v>
      </c>
      <c r="BB28" s="38">
        <v>23.9985</v>
      </c>
      <c r="BC28" s="38">
        <v>23.9435</v>
      </c>
      <c r="BE28" s="38">
        <v>31.52</v>
      </c>
      <c r="BF28" s="38">
        <v>31.591699999999999</v>
      </c>
      <c r="BH28" s="38">
        <v>6.7051299999999996</v>
      </c>
      <c r="BI28" s="38">
        <v>6.7162899999999999</v>
      </c>
    </row>
    <row r="29" spans="1:61" s="1" customFormat="1" x14ac:dyDescent="0.3">
      <c r="A29" s="55" t="s">
        <v>79</v>
      </c>
      <c r="B29" s="18">
        <v>43312</v>
      </c>
      <c r="C29" s="13">
        <v>18.5413</v>
      </c>
      <c r="D29" s="13">
        <v>19.0229</v>
      </c>
      <c r="E29"/>
      <c r="F29" s="46">
        <v>0.85402699999999998</v>
      </c>
      <c r="G29" s="46">
        <v>0.85547899999999999</v>
      </c>
      <c r="H29"/>
      <c r="I29" s="38">
        <v>27.314599999999999</v>
      </c>
      <c r="J29" s="38">
        <v>27.655899999999999</v>
      </c>
      <c r="L29" s="38">
        <v>6.9109699999999998</v>
      </c>
      <c r="M29" s="38">
        <v>6.9180000000000001</v>
      </c>
      <c r="N29"/>
      <c r="O29" s="46">
        <v>3.74085</v>
      </c>
      <c r="P29" s="46">
        <v>3.8223600000000002</v>
      </c>
      <c r="R29" s="44">
        <v>638.37699999999995</v>
      </c>
      <c r="S29" s="44">
        <v>652.31100000000004</v>
      </c>
      <c r="U29" s="32">
        <v>2879.93</v>
      </c>
      <c r="V29" s="32">
        <v>2883.97</v>
      </c>
      <c r="X29" s="32">
        <v>5731.93</v>
      </c>
      <c r="Y29" s="32">
        <v>5722</v>
      </c>
      <c r="AA29" s="32">
        <v>1532.26</v>
      </c>
      <c r="AB29" s="32">
        <v>1497.51</v>
      </c>
      <c r="AD29" s="38">
        <v>3.2690000000000001</v>
      </c>
      <c r="AE29" s="38">
        <v>3.2754400000000001</v>
      </c>
      <c r="AG29" s="38">
        <v>30.668939999999999</v>
      </c>
      <c r="AH29" s="38">
        <v>31.233830000000001</v>
      </c>
      <c r="AJ29" s="38">
        <v>8.1983999999999995</v>
      </c>
      <c r="AK29" s="38">
        <v>8.1727500000000006</v>
      </c>
      <c r="AM29" s="13">
        <v>567.84400000000005</v>
      </c>
      <c r="AN29" s="13">
        <v>568.08500000000004</v>
      </c>
      <c r="AP29" s="13">
        <v>49.742699999999999</v>
      </c>
      <c r="AQ29" s="13">
        <v>49.720599999999997</v>
      </c>
      <c r="AS29" s="13">
        <v>1</v>
      </c>
      <c r="AT29" s="13">
        <v>1</v>
      </c>
      <c r="AV29" s="38">
        <v>7.4889799999999997</v>
      </c>
      <c r="AW29" s="38">
        <v>7.4906199999999998</v>
      </c>
      <c r="AY29" s="38">
        <v>8.75</v>
      </c>
      <c r="AZ29" s="38">
        <v>8.75</v>
      </c>
      <c r="BB29" s="38">
        <v>23.941579999999998</v>
      </c>
      <c r="BC29" s="38">
        <v>23.96651</v>
      </c>
      <c r="BE29" s="38">
        <v>31.750979999999998</v>
      </c>
      <c r="BF29" s="38">
        <v>31.680440000000001</v>
      </c>
      <c r="BH29" s="38">
        <v>6.7414699999999996</v>
      </c>
      <c r="BI29" s="38">
        <v>6.7340200000000001</v>
      </c>
    </row>
    <row r="30" spans="1:61" s="1" customFormat="1" x14ac:dyDescent="0.3">
      <c r="A30" s="55" t="s">
        <v>80</v>
      </c>
      <c r="B30" s="18">
        <v>43343</v>
      </c>
      <c r="C30" s="13">
        <v>19.125800000000002</v>
      </c>
      <c r="D30" s="13">
        <v>18.8413</v>
      </c>
      <c r="E30"/>
      <c r="F30" s="46">
        <v>0.85904999999999998</v>
      </c>
      <c r="G30" s="46">
        <v>0.86675500000000005</v>
      </c>
      <c r="H30"/>
      <c r="I30" s="38">
        <v>38.064900000000002</v>
      </c>
      <c r="J30" s="38">
        <v>29.787800000000001</v>
      </c>
      <c r="L30" s="38">
        <v>6.9314499999999999</v>
      </c>
      <c r="M30" s="38">
        <v>6.9176900000000003</v>
      </c>
      <c r="N30"/>
      <c r="O30" s="46">
        <v>4.1236899999999999</v>
      </c>
      <c r="P30" s="46">
        <v>3.9169100000000001</v>
      </c>
      <c r="R30" s="44">
        <v>680.31200000000001</v>
      </c>
      <c r="S30" s="44">
        <v>658.05200000000002</v>
      </c>
      <c r="U30" s="32">
        <v>3043.05</v>
      </c>
      <c r="V30" s="32">
        <v>2962.03</v>
      </c>
      <c r="X30" s="32">
        <v>5852.84</v>
      </c>
      <c r="Y30" s="32">
        <v>5773.13</v>
      </c>
      <c r="AA30" s="32">
        <v>1419.33</v>
      </c>
      <c r="AB30" s="32">
        <v>1475.71</v>
      </c>
      <c r="AD30" s="38">
        <v>3.3039700000000001</v>
      </c>
      <c r="AE30" s="38">
        <v>3.28843</v>
      </c>
      <c r="AG30" s="38">
        <v>32.075620000000001</v>
      </c>
      <c r="AH30" s="38">
        <v>31.2012</v>
      </c>
      <c r="AJ30" s="38">
        <v>7.7783899999999999</v>
      </c>
      <c r="AK30" s="38">
        <v>7.9717799999999999</v>
      </c>
      <c r="AM30" s="13">
        <v>573.36500000000001</v>
      </c>
      <c r="AN30" s="13">
        <v>568.99</v>
      </c>
      <c r="AP30" s="13">
        <v>50.116300000000003</v>
      </c>
      <c r="AQ30" s="13">
        <v>49.880400000000002</v>
      </c>
      <c r="AS30" s="13">
        <v>1</v>
      </c>
      <c r="AT30" s="13">
        <v>1</v>
      </c>
      <c r="AV30" s="38">
        <v>7.5677000000000003</v>
      </c>
      <c r="AW30" s="38">
        <v>7.5020699999999998</v>
      </c>
      <c r="AY30" s="38">
        <v>8.75</v>
      </c>
      <c r="AZ30" s="38">
        <v>8.75</v>
      </c>
      <c r="BB30" s="38">
        <v>24.026589999999999</v>
      </c>
      <c r="BC30" s="38">
        <v>23.983930000000001</v>
      </c>
      <c r="BE30" s="38">
        <v>31.895379999999999</v>
      </c>
      <c r="BF30" s="38">
        <v>31.86084</v>
      </c>
      <c r="BH30" s="38">
        <v>6.7429699999999997</v>
      </c>
      <c r="BI30" s="38">
        <v>6.7449500000000002</v>
      </c>
    </row>
    <row r="31" spans="1:61" s="1" customFormat="1" x14ac:dyDescent="0.3">
      <c r="A31" s="55" t="s">
        <v>81</v>
      </c>
      <c r="B31" s="18">
        <v>43373</v>
      </c>
      <c r="C31" s="13">
        <v>18.812000000000001</v>
      </c>
      <c r="D31" s="13">
        <v>19.008199999999999</v>
      </c>
      <c r="E31"/>
      <c r="F31" s="46">
        <v>0.86172199999999999</v>
      </c>
      <c r="G31" s="46">
        <v>0.85841299999999998</v>
      </c>
      <c r="H31"/>
      <c r="I31" s="38">
        <v>41.29</v>
      </c>
      <c r="J31" s="38">
        <v>38.490499999999997</v>
      </c>
      <c r="L31" s="38">
        <v>6.91838</v>
      </c>
      <c r="M31" s="38">
        <v>6.9212899999999999</v>
      </c>
      <c r="N31"/>
      <c r="O31" s="46">
        <v>4.0519699999999998</v>
      </c>
      <c r="P31" s="46">
        <v>4.0997599999999998</v>
      </c>
      <c r="R31" s="44">
        <v>657.80499999999995</v>
      </c>
      <c r="S31" s="44">
        <v>679.173</v>
      </c>
      <c r="U31" s="32">
        <v>2962.52</v>
      </c>
      <c r="V31" s="32">
        <v>3031.77</v>
      </c>
      <c r="X31" s="32">
        <v>5899.78</v>
      </c>
      <c r="Y31" s="32">
        <v>5858.1</v>
      </c>
      <c r="AA31" s="32">
        <v>1456.03</v>
      </c>
      <c r="AB31" s="32">
        <v>1429.15</v>
      </c>
      <c r="AD31" s="38">
        <v>3.3005100000000001</v>
      </c>
      <c r="AE31" s="38">
        <v>3.3097500000000002</v>
      </c>
      <c r="AG31" s="38">
        <v>32.722499999999997</v>
      </c>
      <c r="AH31" s="38">
        <v>32.675519999999999</v>
      </c>
      <c r="AJ31" s="38">
        <v>8.0756999999999994</v>
      </c>
      <c r="AK31" s="38">
        <v>7.9712699999999996</v>
      </c>
      <c r="AM31" s="13">
        <v>580.22799999999995</v>
      </c>
      <c r="AN31" s="13">
        <v>580.30799999999999</v>
      </c>
      <c r="AP31" s="13">
        <v>49.9099</v>
      </c>
      <c r="AQ31" s="13">
        <v>50.016500000000001</v>
      </c>
      <c r="AS31" s="13">
        <v>1</v>
      </c>
      <c r="AT31" s="13">
        <v>1</v>
      </c>
      <c r="AV31" s="38">
        <v>7.6434800000000003</v>
      </c>
      <c r="AW31" s="38">
        <v>7.6328199999999997</v>
      </c>
      <c r="AY31" s="38">
        <v>8.75</v>
      </c>
      <c r="AZ31" s="38">
        <v>8.75</v>
      </c>
      <c r="BB31" s="38">
        <v>24.070350000000001</v>
      </c>
      <c r="BC31" s="38">
        <v>24.033650000000002</v>
      </c>
      <c r="BE31" s="38">
        <v>32.299750000000003</v>
      </c>
      <c r="BF31" s="38">
        <v>32.047499999999999</v>
      </c>
      <c r="BH31" s="38">
        <v>6.7168299999999999</v>
      </c>
      <c r="BI31" s="38">
        <v>6.7365300000000001</v>
      </c>
    </row>
    <row r="32" spans="1:61" s="1" customFormat="1" x14ac:dyDescent="0.3">
      <c r="A32" s="55" t="s">
        <v>82</v>
      </c>
      <c r="B32" s="18">
        <v>43404</v>
      </c>
      <c r="C32" s="13">
        <v>20.0258</v>
      </c>
      <c r="D32" s="13">
        <v>19.1418</v>
      </c>
      <c r="E32"/>
      <c r="F32" s="46">
        <v>0.88251199999999996</v>
      </c>
      <c r="G32" s="46">
        <v>0.87029900000000004</v>
      </c>
      <c r="H32"/>
      <c r="I32" s="38">
        <v>36.515999999999998</v>
      </c>
      <c r="J32" s="38">
        <v>37.119100000000003</v>
      </c>
      <c r="L32" s="38">
        <v>6.9167500000000004</v>
      </c>
      <c r="M32" s="38">
        <v>6.9189100000000003</v>
      </c>
      <c r="N32"/>
      <c r="O32" s="46">
        <v>3.7070099999999999</v>
      </c>
      <c r="P32" s="46">
        <v>3.7643599999999999</v>
      </c>
      <c r="R32" s="44">
        <v>695.78399999999999</v>
      </c>
      <c r="S32" s="44">
        <v>678.97799999999995</v>
      </c>
      <c r="U32" s="32">
        <v>3207.86</v>
      </c>
      <c r="V32" s="32">
        <v>3088.99</v>
      </c>
      <c r="X32" s="32">
        <v>6006.04</v>
      </c>
      <c r="Y32" s="32">
        <v>5959.09</v>
      </c>
      <c r="AA32" s="32">
        <v>1620.19</v>
      </c>
      <c r="AB32" s="32">
        <v>1584.16</v>
      </c>
      <c r="AD32" s="38">
        <v>3.3624900000000002</v>
      </c>
      <c r="AE32" s="38">
        <v>3.3319999999999999</v>
      </c>
      <c r="AG32" s="38">
        <v>32.921559999999999</v>
      </c>
      <c r="AH32" s="38">
        <v>32.882910000000003</v>
      </c>
      <c r="AJ32" s="38">
        <v>8.8809000000000005</v>
      </c>
      <c r="AK32" s="38">
        <v>8.7409499999999998</v>
      </c>
      <c r="AM32" s="13">
        <v>605.43200000000002</v>
      </c>
      <c r="AN32" s="13">
        <v>592.91999999999996</v>
      </c>
      <c r="AP32" s="13">
        <v>49.9831</v>
      </c>
      <c r="AQ32" s="13">
        <v>49.9527</v>
      </c>
      <c r="AS32" s="13">
        <v>1</v>
      </c>
      <c r="AT32" s="13">
        <v>1</v>
      </c>
      <c r="AV32" s="38">
        <v>7.7303100000000002</v>
      </c>
      <c r="AW32" s="38">
        <v>7.7040100000000002</v>
      </c>
      <c r="AY32" s="38">
        <v>8.75</v>
      </c>
      <c r="AZ32" s="38">
        <v>8.75</v>
      </c>
      <c r="BB32" s="38">
        <v>24.0867</v>
      </c>
      <c r="BC32" s="38">
        <v>24.06371</v>
      </c>
      <c r="BE32" s="38">
        <v>32.215089999999996</v>
      </c>
      <c r="BF32" s="38">
        <v>32.14761</v>
      </c>
      <c r="BH32" s="38">
        <v>6.75908</v>
      </c>
      <c r="BI32" s="38">
        <v>6.7492999999999999</v>
      </c>
    </row>
    <row r="33" spans="1:61" s="1" customFormat="1" x14ac:dyDescent="0.3">
      <c r="A33" s="55" t="s">
        <v>83</v>
      </c>
      <c r="B33" s="18">
        <v>43434</v>
      </c>
      <c r="C33" s="13">
        <v>20.221699999999998</v>
      </c>
      <c r="D33" s="13">
        <v>20.221900000000002</v>
      </c>
      <c r="E33"/>
      <c r="F33" s="46">
        <v>0.88046199999999997</v>
      </c>
      <c r="G33" s="46">
        <v>0.87979600000000002</v>
      </c>
      <c r="H33"/>
      <c r="I33" s="38">
        <v>37.735300000000002</v>
      </c>
      <c r="J33" s="38">
        <v>36.3369</v>
      </c>
      <c r="L33" s="38">
        <v>6.9171399999999998</v>
      </c>
      <c r="M33" s="38">
        <v>6.9196900000000001</v>
      </c>
      <c r="N33"/>
      <c r="O33" s="46">
        <v>3.8588900000000002</v>
      </c>
      <c r="P33" s="46">
        <v>3.7742300000000002</v>
      </c>
      <c r="R33" s="44">
        <v>671.01599999999996</v>
      </c>
      <c r="S33" s="44">
        <v>677.76599999999996</v>
      </c>
      <c r="U33" s="32">
        <v>3237.67</v>
      </c>
      <c r="V33" s="32">
        <v>3193.99</v>
      </c>
      <c r="X33" s="32">
        <v>5947.32</v>
      </c>
      <c r="Y33" s="32">
        <v>5942.77</v>
      </c>
      <c r="AA33" s="32">
        <v>1541.21</v>
      </c>
      <c r="AB33" s="32">
        <v>1574.96</v>
      </c>
      <c r="AD33" s="38">
        <v>3.3796499999999998</v>
      </c>
      <c r="AE33" s="38">
        <v>3.3730000000000002</v>
      </c>
      <c r="AG33" s="38">
        <v>32.370959999999997</v>
      </c>
      <c r="AH33" s="38">
        <v>32.71949</v>
      </c>
      <c r="AJ33" s="38">
        <v>8.3886900000000004</v>
      </c>
      <c r="AK33" s="38">
        <v>8.6715999999999998</v>
      </c>
      <c r="AM33" s="13">
        <v>598.63199999999995</v>
      </c>
      <c r="AN33" s="13">
        <v>610.81299999999999</v>
      </c>
      <c r="AP33" s="13">
        <v>50.106400000000001</v>
      </c>
      <c r="AQ33" s="13">
        <v>50.070399999999999</v>
      </c>
      <c r="AS33" s="13">
        <v>1</v>
      </c>
      <c r="AT33" s="13">
        <v>1</v>
      </c>
      <c r="AV33" s="38">
        <v>7.7000700000000002</v>
      </c>
      <c r="AW33" s="38">
        <v>7.7079000000000004</v>
      </c>
      <c r="AY33" s="38">
        <v>8.75</v>
      </c>
      <c r="AZ33" s="38">
        <v>8.75</v>
      </c>
      <c r="BB33" s="38">
        <v>24.319369999999999</v>
      </c>
      <c r="BC33" s="38">
        <v>24.22682</v>
      </c>
      <c r="BE33" s="38">
        <v>32.338819999999998</v>
      </c>
      <c r="BF33" s="38">
        <v>32.280279999999998</v>
      </c>
      <c r="BH33" s="38">
        <v>6.7557200000000002</v>
      </c>
      <c r="BI33" s="38">
        <v>6.7388399999999997</v>
      </c>
    </row>
    <row r="34" spans="1:61" s="1" customFormat="1" x14ac:dyDescent="0.3">
      <c r="A34" s="55" t="s">
        <v>84</v>
      </c>
      <c r="B34" s="18">
        <v>43465</v>
      </c>
      <c r="C34" s="13">
        <v>19.656600000000001</v>
      </c>
      <c r="D34" s="13">
        <v>20.099699999999999</v>
      </c>
      <c r="E34"/>
      <c r="F34" s="46">
        <v>0.87375100000000006</v>
      </c>
      <c r="G34" s="46">
        <v>0.87906200000000001</v>
      </c>
      <c r="H34"/>
      <c r="I34" s="38">
        <v>37.674700000000001</v>
      </c>
      <c r="J34" s="38">
        <v>37.817900000000002</v>
      </c>
      <c r="L34" s="38">
        <v>6.9235899999999999</v>
      </c>
      <c r="M34" s="38">
        <v>6.9204100000000004</v>
      </c>
      <c r="N34"/>
      <c r="O34" s="46">
        <v>3.8796900000000001</v>
      </c>
      <c r="P34" s="46">
        <v>3.8889399999999998</v>
      </c>
      <c r="R34" s="44">
        <v>693.91600000000005</v>
      </c>
      <c r="S34" s="44">
        <v>683.89099999999996</v>
      </c>
      <c r="U34" s="32">
        <v>3247.09</v>
      </c>
      <c r="V34" s="32">
        <v>3219.99</v>
      </c>
      <c r="X34" s="32">
        <v>5978.15</v>
      </c>
      <c r="Y34" s="32">
        <v>5934.14</v>
      </c>
      <c r="AA34" s="32">
        <v>1540.89</v>
      </c>
      <c r="AB34" s="32">
        <v>1525.96</v>
      </c>
      <c r="AD34" s="38">
        <v>3.3769499999999999</v>
      </c>
      <c r="AE34" s="38">
        <v>3.3639899999999998</v>
      </c>
      <c r="AG34" s="38">
        <v>32.398260000000001</v>
      </c>
      <c r="AH34" s="38">
        <v>32.220219999999998</v>
      </c>
      <c r="AJ34" s="38">
        <v>8.3507499999999997</v>
      </c>
      <c r="AK34" s="38">
        <v>8.2853399999999997</v>
      </c>
      <c r="AM34" s="13">
        <v>605.61699999999996</v>
      </c>
      <c r="AN34" s="13">
        <v>599.85500000000002</v>
      </c>
      <c r="AP34" s="13">
        <v>50.460299999999997</v>
      </c>
      <c r="AQ34" s="13">
        <v>50.345300000000002</v>
      </c>
      <c r="AS34" s="13">
        <v>1</v>
      </c>
      <c r="AT34" s="13">
        <v>1</v>
      </c>
      <c r="AV34" s="38">
        <v>7.7383300000000004</v>
      </c>
      <c r="AW34" s="38">
        <v>7.7295400000000001</v>
      </c>
      <c r="AY34" s="38">
        <v>8.75</v>
      </c>
      <c r="AZ34" s="38">
        <v>8.75</v>
      </c>
      <c r="BB34" s="38">
        <v>24.358529999999998</v>
      </c>
      <c r="BC34" s="38">
        <v>24.355360000000001</v>
      </c>
      <c r="BE34" s="38">
        <v>32.506320000000002</v>
      </c>
      <c r="BF34" s="38">
        <v>32.424469999999999</v>
      </c>
      <c r="BH34" s="38">
        <v>6.7967700000000004</v>
      </c>
      <c r="BI34" s="38">
        <v>6.7626400000000002</v>
      </c>
    </row>
    <row r="35" spans="1:61" s="1" customFormat="1" x14ac:dyDescent="0.3">
      <c r="A35" s="55" t="s">
        <v>85</v>
      </c>
      <c r="B35" s="18">
        <v>43496</v>
      </c>
      <c r="C35" s="13">
        <v>19.162299999999998</v>
      </c>
      <c r="D35" s="13">
        <v>19.191199999999998</v>
      </c>
      <c r="E35"/>
      <c r="F35" s="46">
        <v>0.87122699999999997</v>
      </c>
      <c r="G35" s="46">
        <v>0.87575499999999995</v>
      </c>
      <c r="H35"/>
      <c r="I35" s="38">
        <v>37.368299999999998</v>
      </c>
      <c r="J35" s="38">
        <v>37.368299999999998</v>
      </c>
      <c r="L35" s="38">
        <v>6.9096099999999998</v>
      </c>
      <c r="M35" s="38">
        <v>6.9174800000000003</v>
      </c>
      <c r="N35"/>
      <c r="O35" s="46">
        <v>3.6659199999999998</v>
      </c>
      <c r="P35" s="46">
        <v>3.7446999999999999</v>
      </c>
      <c r="R35" s="44">
        <v>660.28200000000004</v>
      </c>
      <c r="S35" s="44">
        <v>675.76300000000003</v>
      </c>
      <c r="U35" s="32">
        <v>3143.69</v>
      </c>
      <c r="V35" s="32">
        <v>3160.29</v>
      </c>
      <c r="X35" s="32">
        <v>6068.66</v>
      </c>
      <c r="Y35" s="32">
        <v>6031.94</v>
      </c>
      <c r="AA35" s="32">
        <v>1655.44</v>
      </c>
      <c r="AB35" s="32">
        <v>1611.04</v>
      </c>
      <c r="AD35" s="38">
        <v>3.3428599999999999</v>
      </c>
      <c r="AE35" s="38">
        <v>3.3430300000000002</v>
      </c>
      <c r="AG35" s="38">
        <v>32.562240000000003</v>
      </c>
      <c r="AH35" s="38">
        <v>32.608969999999999</v>
      </c>
      <c r="AJ35" s="38">
        <v>8.8824500000000004</v>
      </c>
      <c r="AK35" s="38">
        <v>8.7092899999999993</v>
      </c>
      <c r="AM35" s="13">
        <v>609.96400000000006</v>
      </c>
      <c r="AN35" s="13">
        <v>604.90700000000004</v>
      </c>
      <c r="AP35" s="13">
        <v>50.42</v>
      </c>
      <c r="AQ35" s="13">
        <v>50.457799999999999</v>
      </c>
      <c r="AS35" s="13">
        <v>1</v>
      </c>
      <c r="AT35" s="13">
        <v>1</v>
      </c>
      <c r="AV35" s="38">
        <v>7.7394499999999997</v>
      </c>
      <c r="AW35" s="38">
        <v>7.7274900000000004</v>
      </c>
      <c r="AY35" s="38">
        <v>8.75</v>
      </c>
      <c r="AZ35" s="38">
        <v>8.75</v>
      </c>
      <c r="BB35" s="38">
        <v>24.345680000000002</v>
      </c>
      <c r="BC35" s="38">
        <v>24.371569999999998</v>
      </c>
      <c r="BE35" s="38">
        <v>32.530790000000003</v>
      </c>
      <c r="BF35" s="38">
        <v>32.502000000000002</v>
      </c>
      <c r="BH35" s="38">
        <v>6.7610900000000003</v>
      </c>
      <c r="BI35" s="38">
        <v>6.7737400000000001</v>
      </c>
    </row>
    <row r="36" spans="1:61" s="1" customFormat="1" x14ac:dyDescent="0.3">
      <c r="A36" s="55" t="s">
        <v>86</v>
      </c>
      <c r="B36" s="18">
        <v>43524</v>
      </c>
      <c r="C36" s="13">
        <v>19.220099999999999</v>
      </c>
      <c r="D36" s="13">
        <v>19.177099999999999</v>
      </c>
      <c r="E36"/>
      <c r="F36" s="46">
        <v>0.87851599999999996</v>
      </c>
      <c r="G36" s="46">
        <v>0.88104700000000002</v>
      </c>
      <c r="H36"/>
      <c r="I36" s="38">
        <v>38.910400000000003</v>
      </c>
      <c r="J36" s="38">
        <v>38.304900000000004</v>
      </c>
      <c r="L36" s="38">
        <v>6.9232699999999996</v>
      </c>
      <c r="M36" s="38">
        <v>6.9198000000000004</v>
      </c>
      <c r="N36"/>
      <c r="O36" s="46">
        <v>3.7371400000000001</v>
      </c>
      <c r="P36" s="46">
        <v>3.7178100000000001</v>
      </c>
      <c r="R36" s="44">
        <v>651.68100000000004</v>
      </c>
      <c r="S36" s="44">
        <v>656.16300000000001</v>
      </c>
      <c r="U36" s="32">
        <v>3076.61</v>
      </c>
      <c r="V36" s="32">
        <v>3113</v>
      </c>
      <c r="X36" s="32">
        <v>6102.98</v>
      </c>
      <c r="Y36" s="32">
        <v>6059.32</v>
      </c>
      <c r="AA36" s="32">
        <v>1633.07</v>
      </c>
      <c r="AB36" s="32">
        <v>1629.9</v>
      </c>
      <c r="AD36" s="38">
        <v>3.3035299999999999</v>
      </c>
      <c r="AE36" s="38">
        <v>3.3224200000000002</v>
      </c>
      <c r="AG36" s="38">
        <v>32.712319999999998</v>
      </c>
      <c r="AH36" s="38">
        <v>32.6188</v>
      </c>
      <c r="AJ36" s="38">
        <v>8.7533300000000001</v>
      </c>
      <c r="AK36" s="38">
        <v>8.7741799999999994</v>
      </c>
      <c r="AM36" s="13">
        <v>609.19899999999996</v>
      </c>
      <c r="AN36" s="13">
        <v>610.95399999999995</v>
      </c>
      <c r="AP36" s="13">
        <v>50.606999999999999</v>
      </c>
      <c r="AQ36" s="13">
        <v>50.572600000000001</v>
      </c>
      <c r="AS36" s="13">
        <v>1</v>
      </c>
      <c r="AT36" s="13">
        <v>1</v>
      </c>
      <c r="AV36" s="38">
        <v>7.71591</v>
      </c>
      <c r="AW36" s="38">
        <v>7.7433500000000004</v>
      </c>
      <c r="AY36" s="38">
        <v>8.75</v>
      </c>
      <c r="AZ36" s="38">
        <v>8.75</v>
      </c>
      <c r="BB36" s="38">
        <v>24.458480000000002</v>
      </c>
      <c r="BC36" s="38">
        <v>24.422499999999999</v>
      </c>
      <c r="BE36" s="38">
        <v>32.751429999999999</v>
      </c>
      <c r="BF36" s="38">
        <v>32.697099999999999</v>
      </c>
      <c r="BH36" s="38">
        <v>6.7624500000000003</v>
      </c>
      <c r="BI36" s="38">
        <v>6.7656999999999998</v>
      </c>
    </row>
    <row r="37" spans="1:61" s="1" customFormat="1" x14ac:dyDescent="0.3">
      <c r="A37" s="55" t="s">
        <v>87</v>
      </c>
      <c r="B37" s="18">
        <v>43555</v>
      </c>
      <c r="C37" s="13">
        <v>19.379300000000001</v>
      </c>
      <c r="D37" s="13">
        <v>19.253900000000002</v>
      </c>
      <c r="E37"/>
      <c r="F37" s="46">
        <v>0.89137999999999995</v>
      </c>
      <c r="G37" s="46">
        <v>0.88505</v>
      </c>
      <c r="H37"/>
      <c r="I37" s="38">
        <v>43.362400000000001</v>
      </c>
      <c r="J37" s="38">
        <v>41.214700000000001</v>
      </c>
      <c r="L37" s="38">
        <v>6.9222799999999998</v>
      </c>
      <c r="M37" s="38">
        <v>6.91791</v>
      </c>
      <c r="N37"/>
      <c r="O37" s="46">
        <v>3.9239799999999998</v>
      </c>
      <c r="P37" s="46">
        <v>3.8420399999999999</v>
      </c>
      <c r="R37" s="44">
        <v>680.44500000000005</v>
      </c>
      <c r="S37" s="44">
        <v>670.101</v>
      </c>
      <c r="U37" s="32">
        <v>3188.03</v>
      </c>
      <c r="V37" s="32">
        <v>3132.37</v>
      </c>
      <c r="X37" s="32">
        <v>6186.83</v>
      </c>
      <c r="Y37" s="32">
        <v>6122.17</v>
      </c>
      <c r="AA37" s="32">
        <v>1576.68</v>
      </c>
      <c r="AB37" s="32">
        <v>1593.7</v>
      </c>
      <c r="AD37" s="38">
        <v>3.3185600000000002</v>
      </c>
      <c r="AE37" s="38">
        <v>3.30592</v>
      </c>
      <c r="AG37" s="38">
        <v>33.792499999999997</v>
      </c>
      <c r="AH37" s="38">
        <v>33.202649999999998</v>
      </c>
      <c r="AJ37" s="38">
        <v>8.6118000000000006</v>
      </c>
      <c r="AK37" s="38">
        <v>8.6428700000000003</v>
      </c>
      <c r="AM37" s="13">
        <v>601.90300000000002</v>
      </c>
      <c r="AN37" s="13">
        <v>604.54300000000001</v>
      </c>
      <c r="AP37" s="13">
        <v>50.635800000000003</v>
      </c>
      <c r="AQ37" s="13">
        <v>50.630499999999998</v>
      </c>
      <c r="AS37" s="13">
        <v>1</v>
      </c>
      <c r="AT37" s="13">
        <v>1</v>
      </c>
      <c r="AV37" s="38">
        <v>7.6858000000000004</v>
      </c>
      <c r="AW37" s="38">
        <v>7.6938800000000001</v>
      </c>
      <c r="AY37" s="38">
        <v>8.75</v>
      </c>
      <c r="AZ37" s="38">
        <v>8.75</v>
      </c>
      <c r="BB37" s="38">
        <v>24.497430000000001</v>
      </c>
      <c r="BC37" s="38">
        <v>24.45523</v>
      </c>
      <c r="BE37" s="38">
        <v>32.799979999999998</v>
      </c>
      <c r="BF37" s="38">
        <v>32.818379999999998</v>
      </c>
      <c r="BH37" s="38">
        <v>6.7661300000000004</v>
      </c>
      <c r="BI37" s="38">
        <v>6.7740099999999996</v>
      </c>
    </row>
    <row r="38" spans="1:61" s="1" customFormat="1" x14ac:dyDescent="0.3">
      <c r="A38" s="55" t="s">
        <v>88</v>
      </c>
      <c r="B38" s="18">
        <v>43585</v>
      </c>
      <c r="C38" s="13">
        <v>19.012</v>
      </c>
      <c r="D38" s="13">
        <v>19.004100000000001</v>
      </c>
      <c r="E38"/>
      <c r="F38" s="46">
        <v>0.89251199999999997</v>
      </c>
      <c r="G38" s="46">
        <v>0.89017900000000005</v>
      </c>
      <c r="H38"/>
      <c r="I38" s="38">
        <v>44.285800000000002</v>
      </c>
      <c r="J38" s="38">
        <v>43.141199999999998</v>
      </c>
      <c r="L38" s="38">
        <v>6.9109499999999997</v>
      </c>
      <c r="M38" s="38">
        <v>6.92211</v>
      </c>
      <c r="N38"/>
      <c r="O38" s="46">
        <v>3.93743</v>
      </c>
      <c r="P38" s="46">
        <v>3.8986499999999999</v>
      </c>
      <c r="R38" s="44">
        <v>678.101</v>
      </c>
      <c r="S38" s="44">
        <v>666.81700000000001</v>
      </c>
      <c r="U38" s="32">
        <v>3244.5</v>
      </c>
      <c r="V38" s="32">
        <v>3156.24</v>
      </c>
      <c r="X38" s="32">
        <v>6273.29</v>
      </c>
      <c r="Y38" s="32">
        <v>6223.41</v>
      </c>
      <c r="AA38" s="32">
        <v>1593.25</v>
      </c>
      <c r="AB38" s="32">
        <v>1596.39</v>
      </c>
      <c r="AD38" s="38">
        <v>3.3117000000000001</v>
      </c>
      <c r="AE38" s="38">
        <v>3.30409</v>
      </c>
      <c r="AG38" s="38">
        <v>34.648879999999998</v>
      </c>
      <c r="AH38" s="38">
        <v>34.098599999999998</v>
      </c>
      <c r="AJ38" s="38">
        <v>8.7998799999999999</v>
      </c>
      <c r="AK38" s="38">
        <v>8.7463499999999996</v>
      </c>
      <c r="AM38" s="13">
        <v>598.17899999999997</v>
      </c>
      <c r="AN38" s="13">
        <v>601.10599999999999</v>
      </c>
      <c r="AP38" s="13">
        <v>50.740200000000002</v>
      </c>
      <c r="AQ38" s="13">
        <v>50.651600000000002</v>
      </c>
      <c r="AS38" s="13">
        <v>1</v>
      </c>
      <c r="AT38" s="13">
        <v>1</v>
      </c>
      <c r="AV38" s="38">
        <v>7.6439599999999999</v>
      </c>
      <c r="AW38" s="38">
        <v>7.6481500000000002</v>
      </c>
      <c r="AY38" s="38">
        <v>8.75</v>
      </c>
      <c r="AZ38" s="38">
        <v>8.75</v>
      </c>
      <c r="BB38" s="38">
        <v>24.439489999999999</v>
      </c>
      <c r="BC38" s="38">
        <v>24.462520000000001</v>
      </c>
      <c r="BE38" s="38">
        <v>32.893909999999998</v>
      </c>
      <c r="BF38" s="38">
        <v>32.921520000000001</v>
      </c>
      <c r="BH38" s="38">
        <v>6.7705599999999997</v>
      </c>
      <c r="BI38" s="38">
        <v>6.7712700000000003</v>
      </c>
    </row>
    <row r="39" spans="1:61" s="1" customFormat="1" x14ac:dyDescent="0.3">
      <c r="A39" s="55" t="s">
        <v>89</v>
      </c>
      <c r="B39" s="18">
        <v>43616</v>
      </c>
      <c r="C39" s="13">
        <v>19.068300000000001</v>
      </c>
      <c r="D39" s="13">
        <v>19.093699999999998</v>
      </c>
      <c r="E39"/>
      <c r="F39" s="46">
        <v>0.89675800000000006</v>
      </c>
      <c r="G39" s="46">
        <v>0.89368000000000003</v>
      </c>
      <c r="H39"/>
      <c r="I39" s="38">
        <v>44.670499999999997</v>
      </c>
      <c r="J39" s="38">
        <v>44.841900000000003</v>
      </c>
      <c r="L39" s="38">
        <v>6.9132199999999999</v>
      </c>
      <c r="M39" s="38">
        <v>6.9096700000000002</v>
      </c>
      <c r="N39"/>
      <c r="O39" s="46">
        <v>3.9569299999999998</v>
      </c>
      <c r="P39" s="46">
        <v>3.9983200000000001</v>
      </c>
      <c r="R39" s="44">
        <v>709.94100000000003</v>
      </c>
      <c r="S39" s="44">
        <v>691.43399999999997</v>
      </c>
      <c r="U39" s="32">
        <v>3366.31</v>
      </c>
      <c r="V39" s="32">
        <v>3307.86</v>
      </c>
      <c r="X39" s="32">
        <v>6305.69</v>
      </c>
      <c r="Y39" s="32">
        <v>6314.99</v>
      </c>
      <c r="AA39" s="32">
        <v>1593.6</v>
      </c>
      <c r="AB39" s="32">
        <v>1579.68</v>
      </c>
      <c r="AD39" s="38">
        <v>3.3665600000000002</v>
      </c>
      <c r="AE39" s="38">
        <v>3.3290600000000001</v>
      </c>
      <c r="AG39" s="38">
        <v>35.192819999999998</v>
      </c>
      <c r="AH39" s="38">
        <v>35.134929999999997</v>
      </c>
      <c r="AJ39" s="38">
        <v>8.8940199999999994</v>
      </c>
      <c r="AK39" s="38">
        <v>8.7886399999999991</v>
      </c>
      <c r="AM39" s="13">
        <v>589.79700000000003</v>
      </c>
      <c r="AN39" s="13">
        <v>592.57600000000002</v>
      </c>
      <c r="AP39" s="13">
        <v>50.573</v>
      </c>
      <c r="AQ39" s="13">
        <v>50.633099999999999</v>
      </c>
      <c r="AS39" s="13">
        <v>1</v>
      </c>
      <c r="AT39" s="13">
        <v>1</v>
      </c>
      <c r="AV39" s="38">
        <v>7.7058</v>
      </c>
      <c r="AW39" s="38">
        <v>7.6653900000000004</v>
      </c>
      <c r="AY39" s="38">
        <v>8.75</v>
      </c>
      <c r="AZ39" s="38">
        <v>8.75</v>
      </c>
      <c r="BB39" s="38">
        <v>24.49654</v>
      </c>
      <c r="BC39" s="38">
        <v>24.42493</v>
      </c>
      <c r="BE39" s="38">
        <v>33.057690000000001</v>
      </c>
      <c r="BF39" s="38">
        <v>33.0105</v>
      </c>
      <c r="BH39" s="38">
        <v>6.7759400000000003</v>
      </c>
      <c r="BI39" s="38">
        <v>6.7728799999999998</v>
      </c>
    </row>
    <row r="40" spans="1:61" s="1" customFormat="1" x14ac:dyDescent="0.3">
      <c r="A40" s="55" t="s">
        <v>90</v>
      </c>
      <c r="B40" s="18">
        <v>43646</v>
      </c>
      <c r="C40" s="13">
        <v>19.168500000000002</v>
      </c>
      <c r="D40" s="13">
        <v>19.270099999999999</v>
      </c>
      <c r="E40"/>
      <c r="F40" s="46">
        <v>0.87943400000000005</v>
      </c>
      <c r="G40" s="46">
        <v>0.885571</v>
      </c>
      <c r="H40"/>
      <c r="I40" s="38">
        <v>42.476999999999997</v>
      </c>
      <c r="J40" s="38">
        <v>43.783799999999999</v>
      </c>
      <c r="L40" s="38">
        <v>6.9162499999999998</v>
      </c>
      <c r="M40" s="38">
        <v>6.9100700000000002</v>
      </c>
      <c r="N40"/>
      <c r="O40" s="46">
        <v>3.8484699999999998</v>
      </c>
      <c r="P40" s="46">
        <v>3.8652799999999998</v>
      </c>
      <c r="R40" s="44">
        <v>677.49099999999999</v>
      </c>
      <c r="S40" s="44">
        <v>692.19100000000003</v>
      </c>
      <c r="U40" s="32">
        <v>3213.1</v>
      </c>
      <c r="V40" s="32">
        <v>3258.96</v>
      </c>
      <c r="X40" s="32">
        <v>6205.2</v>
      </c>
      <c r="Y40" s="32">
        <v>6245.28</v>
      </c>
      <c r="AA40" s="32">
        <v>1612.39</v>
      </c>
      <c r="AB40" s="32">
        <v>1615.78</v>
      </c>
      <c r="AD40" s="38">
        <v>3.29128</v>
      </c>
      <c r="AE40" s="38">
        <v>3.3298000000000001</v>
      </c>
      <c r="AG40" s="38">
        <v>35.251469999999998</v>
      </c>
      <c r="AH40" s="38">
        <v>35.252600000000001</v>
      </c>
      <c r="AJ40" s="38">
        <v>9.15991</v>
      </c>
      <c r="AK40" s="38">
        <v>9.1208399999999994</v>
      </c>
      <c r="AM40" s="13">
        <v>583.16800000000001</v>
      </c>
      <c r="AN40" s="13">
        <v>586.601</v>
      </c>
      <c r="AP40" s="13">
        <v>51.002499999999998</v>
      </c>
      <c r="AQ40" s="13">
        <v>50.814599999999999</v>
      </c>
      <c r="AS40" s="13">
        <v>1</v>
      </c>
      <c r="AT40" s="13">
        <v>1</v>
      </c>
      <c r="AV40" s="38">
        <v>7.7090500000000004</v>
      </c>
      <c r="AW40" s="38">
        <v>7.7006699999999997</v>
      </c>
      <c r="AY40" s="38">
        <v>8.75</v>
      </c>
      <c r="AZ40" s="38">
        <v>8.75</v>
      </c>
      <c r="BB40" s="38">
        <v>24.591480000000001</v>
      </c>
      <c r="BC40" s="38">
        <v>24.554500000000001</v>
      </c>
      <c r="BE40" s="38">
        <v>33.208750000000002</v>
      </c>
      <c r="BF40" s="38">
        <v>33.145000000000003</v>
      </c>
      <c r="BH40" s="38">
        <v>6.7745499999999996</v>
      </c>
      <c r="BI40" s="38">
        <v>6.7716500000000002</v>
      </c>
    </row>
    <row r="41" spans="1:61" s="1" customFormat="1" x14ac:dyDescent="0.3">
      <c r="A41" s="55" t="s">
        <v>108</v>
      </c>
      <c r="B41" s="18">
        <v>43677</v>
      </c>
      <c r="C41" s="13">
        <v>19.0747</v>
      </c>
      <c r="D41" s="13">
        <v>19.058900000000001</v>
      </c>
      <c r="E41"/>
      <c r="F41" s="46">
        <v>0.89846800000000004</v>
      </c>
      <c r="G41" s="46">
        <v>0.89153400000000005</v>
      </c>
      <c r="H41"/>
      <c r="I41" s="38">
        <v>43.858600000000003</v>
      </c>
      <c r="J41" s="38">
        <v>42.408200000000001</v>
      </c>
      <c r="L41" s="38">
        <v>6.9107900000000004</v>
      </c>
      <c r="M41" s="38">
        <v>6.9118500000000003</v>
      </c>
      <c r="N41"/>
      <c r="O41" s="46">
        <v>3.78783</v>
      </c>
      <c r="P41" s="46">
        <v>3.77921</v>
      </c>
      <c r="R41" s="44">
        <v>700.60599999999999</v>
      </c>
      <c r="S41" s="44">
        <v>686.68700000000001</v>
      </c>
      <c r="U41" s="32">
        <v>3293.44</v>
      </c>
      <c r="V41" s="32">
        <v>3209.75</v>
      </c>
      <c r="X41" s="32">
        <v>6006.57</v>
      </c>
      <c r="Y41" s="32">
        <v>6084.77</v>
      </c>
      <c r="AA41" s="32">
        <v>1585.77</v>
      </c>
      <c r="AB41" s="32">
        <v>1610.08</v>
      </c>
      <c r="AD41" s="38">
        <v>3.2979500000000002</v>
      </c>
      <c r="AE41" s="38">
        <v>3.2909799999999998</v>
      </c>
      <c r="AG41" s="38">
        <v>34.203440000000001</v>
      </c>
      <c r="AH41" s="38">
        <v>34.927199999999999</v>
      </c>
      <c r="AJ41" s="38">
        <v>9.0298499999999997</v>
      </c>
      <c r="AK41" s="38">
        <v>9.2425999999999995</v>
      </c>
      <c r="AM41" s="13">
        <v>572.05899999999997</v>
      </c>
      <c r="AN41" s="13">
        <v>578.06200000000001</v>
      </c>
      <c r="AP41" s="13">
        <v>51.080599999999997</v>
      </c>
      <c r="AQ41" s="13">
        <v>50.932499999999997</v>
      </c>
      <c r="AS41" s="13">
        <v>1</v>
      </c>
      <c r="AT41" s="13">
        <v>1</v>
      </c>
      <c r="AV41" s="38">
        <v>7.6866899999999996</v>
      </c>
      <c r="AW41" s="38">
        <v>7.6841999999999997</v>
      </c>
      <c r="AY41" s="38">
        <v>8.75</v>
      </c>
      <c r="AZ41" s="38">
        <v>8.75</v>
      </c>
      <c r="BB41" s="38">
        <v>24.506139999999998</v>
      </c>
      <c r="BC41" s="38">
        <v>24.54327</v>
      </c>
      <c r="BE41" s="38">
        <v>33.125210000000003</v>
      </c>
      <c r="BF41" s="38">
        <v>33.162059999999997</v>
      </c>
      <c r="BH41" s="38">
        <v>6.7742599999999999</v>
      </c>
      <c r="BI41" s="38">
        <v>6.7735099999999999</v>
      </c>
    </row>
    <row r="42" spans="1:61" s="1" customFormat="1" x14ac:dyDescent="0.3">
      <c r="A42" s="55" t="s">
        <v>109</v>
      </c>
      <c r="B42" s="18">
        <v>43708</v>
      </c>
      <c r="C42" s="13">
        <v>20.098800000000001</v>
      </c>
      <c r="D42" s="13">
        <v>19.619599999999998</v>
      </c>
      <c r="E42"/>
      <c r="F42" s="46">
        <v>0.90991</v>
      </c>
      <c r="G42" s="46">
        <v>0.89898400000000001</v>
      </c>
      <c r="H42"/>
      <c r="I42" s="38">
        <v>59.503799999999998</v>
      </c>
      <c r="J42" s="38">
        <v>51.852699999999999</v>
      </c>
      <c r="L42" s="38">
        <v>6.9096500000000001</v>
      </c>
      <c r="M42" s="38">
        <v>6.9103700000000003</v>
      </c>
      <c r="N42"/>
      <c r="O42" s="46">
        <v>4.1460999999999997</v>
      </c>
      <c r="P42" s="46">
        <v>4.0146300000000004</v>
      </c>
      <c r="R42" s="44">
        <v>721.28499999999997</v>
      </c>
      <c r="S42" s="44">
        <v>713.649</v>
      </c>
      <c r="U42" s="32">
        <v>3435.05</v>
      </c>
      <c r="V42" s="32">
        <v>3414.81</v>
      </c>
      <c r="X42" s="32">
        <v>6238.1</v>
      </c>
      <c r="Y42" s="32">
        <v>6102.47</v>
      </c>
      <c r="AA42" s="32">
        <v>1504.58</v>
      </c>
      <c r="AB42" s="32">
        <v>1520.53</v>
      </c>
      <c r="AD42" s="38">
        <v>3.3942299999999999</v>
      </c>
      <c r="AE42" s="38">
        <v>3.3767499999999999</v>
      </c>
      <c r="AG42" s="38">
        <v>36.64</v>
      </c>
      <c r="AH42" s="38">
        <v>35.712859999999999</v>
      </c>
      <c r="AJ42" s="38">
        <v>8.8372499999999992</v>
      </c>
      <c r="AK42" s="38">
        <v>8.8963199999999993</v>
      </c>
      <c r="AM42" s="13">
        <v>567.83299999999997</v>
      </c>
      <c r="AN42" s="13">
        <v>569.55499999999995</v>
      </c>
      <c r="AP42" s="13">
        <v>51.384999999999998</v>
      </c>
      <c r="AQ42" s="13">
        <v>51.159100000000002</v>
      </c>
      <c r="AS42" s="13">
        <v>1</v>
      </c>
      <c r="AT42" s="13">
        <v>1</v>
      </c>
      <c r="AV42" s="38">
        <v>7.6802000000000001</v>
      </c>
      <c r="AW42" s="38">
        <v>7.6741799999999998</v>
      </c>
      <c r="AY42" s="38">
        <v>8.75</v>
      </c>
      <c r="AZ42" s="38">
        <v>8.75</v>
      </c>
      <c r="BB42" s="38">
        <v>24.58248</v>
      </c>
      <c r="BC42" s="38">
        <v>24.510549999999999</v>
      </c>
      <c r="BE42" s="38">
        <v>33.638750000000002</v>
      </c>
      <c r="BF42" s="38">
        <v>33.480930000000001</v>
      </c>
      <c r="BH42" s="38">
        <v>6.7787499999999996</v>
      </c>
      <c r="BI42" s="38">
        <v>6.7709700000000002</v>
      </c>
    </row>
    <row r="43" spans="1:61" s="1" customFormat="1" x14ac:dyDescent="0.3">
      <c r="A43" s="55" t="s">
        <v>110</v>
      </c>
      <c r="B43" s="18">
        <v>43738</v>
      </c>
      <c r="C43" s="13">
        <v>19.680800000000001</v>
      </c>
      <c r="D43" s="13">
        <v>19.596</v>
      </c>
      <c r="E43"/>
      <c r="F43" s="46">
        <v>0.91600800000000004</v>
      </c>
      <c r="G43" s="46">
        <v>0.90824000000000005</v>
      </c>
      <c r="H43"/>
      <c r="I43" s="38">
        <v>57.400300000000001</v>
      </c>
      <c r="J43" s="38">
        <v>56.658000000000001</v>
      </c>
      <c r="L43" s="38">
        <v>6.9208299999999996</v>
      </c>
      <c r="M43" s="38">
        <v>6.9126000000000003</v>
      </c>
      <c r="N43"/>
      <c r="O43" s="46">
        <v>4.1585200000000002</v>
      </c>
      <c r="P43" s="46">
        <v>4.1201999999999996</v>
      </c>
      <c r="R43" s="44">
        <v>727.30899999999997</v>
      </c>
      <c r="S43" s="44">
        <v>717.96299999999997</v>
      </c>
      <c r="U43" s="32">
        <v>3462.39</v>
      </c>
      <c r="V43" s="32">
        <v>3400.95</v>
      </c>
      <c r="X43" s="32">
        <v>6391.55</v>
      </c>
      <c r="Y43" s="32">
        <v>6306.99</v>
      </c>
      <c r="AA43" s="32">
        <v>1536.99</v>
      </c>
      <c r="AB43" s="32">
        <v>1530.84</v>
      </c>
      <c r="AD43" s="38">
        <v>3.3822299999999998</v>
      </c>
      <c r="AE43" s="38">
        <v>3.3574299999999999</v>
      </c>
      <c r="AG43" s="38">
        <v>36.891109999999998</v>
      </c>
      <c r="AH43" s="38">
        <v>36.67624</v>
      </c>
      <c r="AJ43" s="38">
        <v>8.8712499999999999</v>
      </c>
      <c r="AK43" s="38">
        <v>8.9022199999999998</v>
      </c>
      <c r="AM43" s="13">
        <v>583.08100000000002</v>
      </c>
      <c r="AN43" s="13">
        <v>576.32899999999995</v>
      </c>
      <c r="AP43" s="13">
        <v>52.117899999999999</v>
      </c>
      <c r="AQ43" s="13">
        <v>51.487000000000002</v>
      </c>
      <c r="AS43" s="13">
        <v>1</v>
      </c>
      <c r="AT43" s="13">
        <v>1</v>
      </c>
      <c r="AV43" s="38">
        <v>7.7359400000000003</v>
      </c>
      <c r="AW43" s="38">
        <v>7.7020200000000001</v>
      </c>
      <c r="AY43" s="38">
        <v>8.75</v>
      </c>
      <c r="AZ43" s="38">
        <v>8.75</v>
      </c>
      <c r="BB43" s="38">
        <v>24.635649999999998</v>
      </c>
      <c r="BC43" s="38">
        <v>24.584689999999998</v>
      </c>
      <c r="BE43" s="38">
        <v>33.589480000000002</v>
      </c>
      <c r="BF43" s="38">
        <v>33.559429999999999</v>
      </c>
      <c r="BH43" s="38">
        <v>6.7795500000000004</v>
      </c>
      <c r="BI43" s="38">
        <v>6.7762599999999997</v>
      </c>
    </row>
    <row r="44" spans="1:61" s="1" customFormat="1" x14ac:dyDescent="0.3">
      <c r="A44" s="55" t="s">
        <v>111</v>
      </c>
      <c r="B44" s="18">
        <v>43769</v>
      </c>
      <c r="C44" s="13">
        <v>19.164300000000001</v>
      </c>
      <c r="D44" s="13">
        <v>19.3522</v>
      </c>
      <c r="E44"/>
      <c r="F44" s="46">
        <v>0.89632999999999996</v>
      </c>
      <c r="G44" s="46">
        <v>0.90451899999999996</v>
      </c>
      <c r="H44"/>
      <c r="I44" s="38">
        <v>59.632300000000001</v>
      </c>
      <c r="J44" s="38">
        <v>58.4191</v>
      </c>
      <c r="L44" s="38">
        <v>6.90679</v>
      </c>
      <c r="M44" s="38">
        <v>6.9129199999999997</v>
      </c>
      <c r="N44"/>
      <c r="O44" s="46">
        <v>3.9998999999999998</v>
      </c>
      <c r="P44" s="46">
        <v>4.0846600000000004</v>
      </c>
      <c r="R44" s="44">
        <v>743.37800000000004</v>
      </c>
      <c r="S44" s="44">
        <v>721.07799999999997</v>
      </c>
      <c r="U44" s="32">
        <v>3376.09</v>
      </c>
      <c r="V44" s="32">
        <v>3432.47</v>
      </c>
      <c r="X44" s="32">
        <v>6454.09</v>
      </c>
      <c r="Y44" s="32">
        <v>6426.54</v>
      </c>
      <c r="AA44" s="32">
        <v>1613.57</v>
      </c>
      <c r="AB44" s="32">
        <v>1573.69</v>
      </c>
      <c r="AD44" s="38">
        <v>3.3393999999999999</v>
      </c>
      <c r="AE44" s="38">
        <v>3.3601899999999998</v>
      </c>
      <c r="AG44" s="38">
        <v>37.41375</v>
      </c>
      <c r="AH44" s="38">
        <v>37.246420000000001</v>
      </c>
      <c r="AJ44" s="38">
        <v>9.3537199999999991</v>
      </c>
      <c r="AK44" s="38">
        <v>9.1205499999999997</v>
      </c>
      <c r="AM44" s="13">
        <v>581.17499999999995</v>
      </c>
      <c r="AN44" s="13">
        <v>581.60900000000004</v>
      </c>
      <c r="AP44" s="13">
        <v>52.851599999999998</v>
      </c>
      <c r="AQ44" s="13">
        <v>52.706800000000001</v>
      </c>
      <c r="AS44" s="13">
        <v>1</v>
      </c>
      <c r="AT44" s="13">
        <v>1</v>
      </c>
      <c r="AV44" s="38">
        <v>7.7229999999999999</v>
      </c>
      <c r="AW44" s="38">
        <v>7.7579200000000004</v>
      </c>
      <c r="AY44" s="38">
        <v>8.75</v>
      </c>
      <c r="AZ44" s="38">
        <v>8.75</v>
      </c>
      <c r="BB44" s="38">
        <v>24.665459999999999</v>
      </c>
      <c r="BC44" s="38">
        <v>24.643039999999999</v>
      </c>
      <c r="BE44" s="38">
        <v>33.807340000000003</v>
      </c>
      <c r="BF44" s="38">
        <v>33.642989999999998</v>
      </c>
      <c r="BH44" s="38">
        <v>6.7519999999999998</v>
      </c>
      <c r="BI44" s="38">
        <v>6.7694099999999997</v>
      </c>
    </row>
    <row r="45" spans="1:61" s="1" customFormat="1" x14ac:dyDescent="0.3">
      <c r="A45" s="55" t="s">
        <v>112</v>
      </c>
      <c r="B45" s="18">
        <v>43799</v>
      </c>
      <c r="C45" s="13">
        <v>19.6113</v>
      </c>
      <c r="D45" s="13">
        <v>19.322399999999998</v>
      </c>
      <c r="E45"/>
      <c r="F45" s="46">
        <v>0.90753600000000001</v>
      </c>
      <c r="G45" s="46">
        <v>0.90468099999999996</v>
      </c>
      <c r="H45"/>
      <c r="I45" s="38">
        <v>59.930100000000003</v>
      </c>
      <c r="J45" s="38">
        <v>59.670999999999999</v>
      </c>
      <c r="L45" s="38">
        <v>6.9140600000000001</v>
      </c>
      <c r="M45" s="38">
        <v>6.9152800000000001</v>
      </c>
      <c r="N45"/>
      <c r="O45" s="46">
        <v>4.2379600000000002</v>
      </c>
      <c r="P45" s="46">
        <v>4.1525499999999997</v>
      </c>
      <c r="R45" s="44">
        <v>857.89800000000002</v>
      </c>
      <c r="S45" s="44">
        <v>780.87400000000002</v>
      </c>
      <c r="U45" s="32">
        <v>3517.32</v>
      </c>
      <c r="V45" s="32">
        <v>3403.8</v>
      </c>
      <c r="X45" s="32">
        <v>6458.32</v>
      </c>
      <c r="Y45" s="32">
        <v>6452.59</v>
      </c>
      <c r="AA45" s="32">
        <v>1523.94</v>
      </c>
      <c r="AB45" s="32">
        <v>1554.5</v>
      </c>
      <c r="AD45" s="38">
        <v>3.3936500000000001</v>
      </c>
      <c r="AE45" s="38">
        <v>3.3660899999999998</v>
      </c>
      <c r="AG45" s="38">
        <v>37.960760000000001</v>
      </c>
      <c r="AH45" s="38">
        <v>37.604190000000003</v>
      </c>
      <c r="AJ45" s="38">
        <v>8.9573999999999998</v>
      </c>
      <c r="AK45" s="38">
        <v>9.0587900000000001</v>
      </c>
      <c r="AM45" s="13">
        <v>570.53399999999999</v>
      </c>
      <c r="AN45" s="13">
        <v>580.13900000000001</v>
      </c>
      <c r="AP45" s="13">
        <v>52.829000000000001</v>
      </c>
      <c r="AQ45" s="13">
        <v>52.833300000000001</v>
      </c>
      <c r="AS45" s="13">
        <v>1</v>
      </c>
      <c r="AT45" s="13">
        <v>1</v>
      </c>
      <c r="AV45" s="38">
        <v>7.6992599999999998</v>
      </c>
      <c r="AW45" s="38">
        <v>7.7073999999999998</v>
      </c>
      <c r="AY45" s="38">
        <v>8.75</v>
      </c>
      <c r="AZ45" s="38">
        <v>8.75</v>
      </c>
      <c r="BB45" s="38">
        <v>24.685199999999998</v>
      </c>
      <c r="BC45" s="38">
        <v>24.653919999999999</v>
      </c>
      <c r="BE45" s="38">
        <v>33.856749999999998</v>
      </c>
      <c r="BF45" s="38">
        <v>33.848909999999997</v>
      </c>
      <c r="BH45" s="38">
        <v>6.7558199999999999</v>
      </c>
      <c r="BI45" s="38">
        <v>6.7686400000000004</v>
      </c>
    </row>
    <row r="46" spans="1:61" s="1" customFormat="1" x14ac:dyDescent="0.3">
      <c r="A46" s="55" t="s">
        <v>113</v>
      </c>
      <c r="B46" s="18">
        <v>43830</v>
      </c>
      <c r="C46" s="13">
        <v>18.872699999999998</v>
      </c>
      <c r="D46" s="13">
        <v>19.145499999999998</v>
      </c>
      <c r="E46"/>
      <c r="F46" s="46">
        <v>0.89161400000000002</v>
      </c>
      <c r="G46" s="46">
        <v>0.90027599999999997</v>
      </c>
      <c r="H46"/>
      <c r="I46" s="38">
        <v>59.878999999999998</v>
      </c>
      <c r="J46" s="38">
        <v>59.822499999999998</v>
      </c>
      <c r="L46" s="38">
        <v>6.90421</v>
      </c>
      <c r="M46" s="38">
        <v>6.9125300000000003</v>
      </c>
      <c r="N46"/>
      <c r="O46" s="46">
        <v>4.0198600000000004</v>
      </c>
      <c r="P46" s="46">
        <v>4.1123900000000004</v>
      </c>
      <c r="R46" s="44">
        <v>736.35</v>
      </c>
      <c r="S46" s="44">
        <v>769.99</v>
      </c>
      <c r="U46" s="32">
        <v>3283.32</v>
      </c>
      <c r="V46" s="32">
        <v>3373.84</v>
      </c>
      <c r="X46" s="32">
        <v>6457.95</v>
      </c>
      <c r="Y46" s="32">
        <v>6448.52</v>
      </c>
      <c r="AA46" s="32">
        <v>1606.54</v>
      </c>
      <c r="AB46" s="32">
        <v>1568.4</v>
      </c>
      <c r="AD46" s="38">
        <v>3.3136199999999998</v>
      </c>
      <c r="AE46" s="38">
        <v>3.3531499999999999</v>
      </c>
      <c r="AG46" s="38">
        <v>37.094749999999998</v>
      </c>
      <c r="AH46" s="38">
        <v>37.648409999999998</v>
      </c>
      <c r="AJ46" s="38">
        <v>9.2279599999999995</v>
      </c>
      <c r="AK46" s="38">
        <v>9.1560900000000007</v>
      </c>
      <c r="AM46" s="13">
        <v>568.53499999999997</v>
      </c>
      <c r="AN46" s="13">
        <v>568.66899999999998</v>
      </c>
      <c r="AP46" s="13">
        <v>53.030700000000003</v>
      </c>
      <c r="AQ46" s="13">
        <v>53.015099999999997</v>
      </c>
      <c r="AS46" s="13">
        <v>1</v>
      </c>
      <c r="AT46" s="13">
        <v>1</v>
      </c>
      <c r="AV46" s="38">
        <v>7.7011500000000002</v>
      </c>
      <c r="AW46" s="38">
        <v>7.6882400000000004</v>
      </c>
      <c r="AY46" s="38">
        <v>8.75</v>
      </c>
      <c r="AZ46" s="38">
        <v>8.75</v>
      </c>
      <c r="BB46" s="38">
        <v>24.62527</v>
      </c>
      <c r="BC46" s="38">
        <v>24.65691</v>
      </c>
      <c r="BE46" s="38">
        <v>33.77957</v>
      </c>
      <c r="BF46" s="38">
        <v>33.822929999999999</v>
      </c>
      <c r="BH46" s="38">
        <v>6.7542299999999997</v>
      </c>
      <c r="BI46" s="38">
        <v>6.7560700000000002</v>
      </c>
    </row>
    <row r="47" spans="1:61" s="1" customFormat="1" x14ac:dyDescent="0.3">
      <c r="A47" s="55" t="s">
        <v>114</v>
      </c>
      <c r="B47" s="18">
        <v>43861</v>
      </c>
      <c r="C47" s="13">
        <v>18.785299999999999</v>
      </c>
      <c r="D47" s="13">
        <v>18.811599999999999</v>
      </c>
      <c r="E47"/>
      <c r="F47" s="46">
        <v>0.904864</v>
      </c>
      <c r="G47" s="46">
        <v>0.90059400000000001</v>
      </c>
      <c r="H47"/>
      <c r="I47" s="38">
        <v>60.219000000000001</v>
      </c>
      <c r="J47" s="38">
        <v>59.928899999999999</v>
      </c>
      <c r="L47" s="38">
        <v>6.9134399999999996</v>
      </c>
      <c r="M47" s="38">
        <v>6.9157200000000003</v>
      </c>
      <c r="N47"/>
      <c r="O47" s="46">
        <v>4.2604899999999999</v>
      </c>
      <c r="P47" s="46">
        <v>4.1369300000000004</v>
      </c>
      <c r="R47" s="44">
        <v>799.10199999999998</v>
      </c>
      <c r="S47" s="44">
        <v>773.22400000000005</v>
      </c>
      <c r="U47" s="32">
        <v>3414.76</v>
      </c>
      <c r="V47" s="32">
        <v>3313.07</v>
      </c>
      <c r="X47" s="32">
        <v>6525.55</v>
      </c>
      <c r="Y47" s="32">
        <v>6504.66</v>
      </c>
      <c r="AA47" s="32">
        <v>1531.66</v>
      </c>
      <c r="AB47" s="32">
        <v>1572.67</v>
      </c>
      <c r="AD47" s="38">
        <v>3.3473799999999998</v>
      </c>
      <c r="AE47" s="38">
        <v>3.3237399999999999</v>
      </c>
      <c r="AG47" s="38">
        <v>37.421210000000002</v>
      </c>
      <c r="AH47" s="38">
        <v>37.329000000000001</v>
      </c>
      <c r="AJ47" s="38">
        <v>8.7833500000000004</v>
      </c>
      <c r="AK47" s="38">
        <v>9.02562</v>
      </c>
      <c r="AM47" s="13">
        <v>565.52</v>
      </c>
      <c r="AN47" s="13">
        <v>568.37300000000005</v>
      </c>
      <c r="AP47" s="13">
        <v>53.314100000000003</v>
      </c>
      <c r="AQ47" s="13">
        <v>53.203600000000002</v>
      </c>
      <c r="AS47" s="13">
        <v>1</v>
      </c>
      <c r="AT47" s="13">
        <v>1</v>
      </c>
      <c r="AV47" s="38">
        <v>7.6663500000000004</v>
      </c>
      <c r="AW47" s="38">
        <v>7.7019399999999996</v>
      </c>
      <c r="AY47" s="38">
        <v>8.75</v>
      </c>
      <c r="AZ47" s="38">
        <v>8.75</v>
      </c>
      <c r="BB47" s="38">
        <v>24.679359999999999</v>
      </c>
      <c r="BC47" s="38">
        <v>24.682749999999999</v>
      </c>
      <c r="BE47" s="38">
        <v>33.930639999999997</v>
      </c>
      <c r="BF47" s="38">
        <v>33.927720000000001</v>
      </c>
      <c r="BH47" s="38">
        <v>6.7564799999999998</v>
      </c>
      <c r="BI47" s="38">
        <v>6.7614000000000001</v>
      </c>
    </row>
    <row r="48" spans="1:61" s="1" customFormat="1" x14ac:dyDescent="0.3">
      <c r="A48" s="55" t="s">
        <v>115</v>
      </c>
      <c r="B48" s="18">
        <v>43890</v>
      </c>
      <c r="C48" s="13">
        <v>19.397300000000001</v>
      </c>
      <c r="D48" s="13">
        <v>18.798200000000001</v>
      </c>
      <c r="E48"/>
      <c r="F48" s="46">
        <v>0.90680799999999995</v>
      </c>
      <c r="G48" s="46">
        <v>0.91602600000000001</v>
      </c>
      <c r="H48"/>
      <c r="I48" s="38">
        <v>62.122599999999998</v>
      </c>
      <c r="J48" s="38">
        <v>61.244599999999998</v>
      </c>
      <c r="L48" s="38">
        <v>6.9093200000000001</v>
      </c>
      <c r="M48" s="38">
        <v>6.9144699999999997</v>
      </c>
      <c r="N48"/>
      <c r="O48" s="46">
        <v>4.4725999999999999</v>
      </c>
      <c r="P48" s="46">
        <v>4.3427100000000003</v>
      </c>
      <c r="R48" s="44">
        <v>817.9</v>
      </c>
      <c r="S48" s="44">
        <v>798.19500000000005</v>
      </c>
      <c r="U48" s="32">
        <v>3500.31</v>
      </c>
      <c r="V48" s="32">
        <v>3412.49</v>
      </c>
      <c r="X48" s="32">
        <v>6519.74</v>
      </c>
      <c r="Y48" s="32">
        <v>6522.43</v>
      </c>
      <c r="AA48" s="32">
        <v>1457.72</v>
      </c>
      <c r="AB48" s="32">
        <v>1502.25</v>
      </c>
      <c r="AD48" s="38">
        <v>3.4264000000000001</v>
      </c>
      <c r="AE48" s="38">
        <v>3.3850500000000001</v>
      </c>
      <c r="AG48" s="38">
        <v>38.886229999999998</v>
      </c>
      <c r="AH48" s="38">
        <v>37.924300000000002</v>
      </c>
      <c r="AJ48" s="38">
        <v>8.6943599999999996</v>
      </c>
      <c r="AK48" s="38">
        <v>8.7337299999999995</v>
      </c>
      <c r="AM48" s="13">
        <v>568.98</v>
      </c>
      <c r="AN48" s="13">
        <v>568.63599999999997</v>
      </c>
      <c r="AP48" s="13">
        <v>53.615000000000002</v>
      </c>
      <c r="AQ48" s="13">
        <v>53.410600000000002</v>
      </c>
      <c r="AS48" s="13">
        <v>1</v>
      </c>
      <c r="AT48" s="13">
        <v>1</v>
      </c>
      <c r="AV48" s="38">
        <v>7.6577700000000002</v>
      </c>
      <c r="AW48" s="38">
        <v>7.6472199999999999</v>
      </c>
      <c r="AY48" s="38">
        <v>8.75</v>
      </c>
      <c r="AZ48" s="38">
        <v>8.75</v>
      </c>
      <c r="BB48" s="38">
        <v>24.773479999999999</v>
      </c>
      <c r="BC48" s="38">
        <v>24.703869999999998</v>
      </c>
      <c r="BE48" s="38">
        <v>34.174750000000003</v>
      </c>
      <c r="BF48" s="38">
        <v>33.954039999999999</v>
      </c>
      <c r="BH48" s="38">
        <v>6.7561499999999999</v>
      </c>
      <c r="BI48" s="38">
        <v>6.7587700000000002</v>
      </c>
    </row>
    <row r="49" spans="1:61" s="1" customFormat="1" x14ac:dyDescent="0.3">
      <c r="A49" s="55" t="s">
        <v>116</v>
      </c>
      <c r="B49" s="18">
        <v>43921</v>
      </c>
      <c r="C49" s="13">
        <v>24.285299999999999</v>
      </c>
      <c r="D49" s="13">
        <v>22.131499999999999</v>
      </c>
      <c r="E49"/>
      <c r="F49" s="46">
        <v>0.90904799999999997</v>
      </c>
      <c r="G49" s="46">
        <v>0.90425199999999994</v>
      </c>
      <c r="H49"/>
      <c r="I49" s="38">
        <v>64.371799999999993</v>
      </c>
      <c r="J49" s="38">
        <v>63.144399999999997</v>
      </c>
      <c r="L49" s="38">
        <v>6.9209300000000002</v>
      </c>
      <c r="M49" s="38">
        <v>6.8890900000000004</v>
      </c>
      <c r="N49"/>
      <c r="O49" s="46">
        <v>5.1961399999999998</v>
      </c>
      <c r="P49" s="46">
        <v>4.8726700000000003</v>
      </c>
      <c r="R49" s="44">
        <v>857.44600000000003</v>
      </c>
      <c r="S49" s="44">
        <v>840.697</v>
      </c>
      <c r="U49" s="32">
        <v>4057.44</v>
      </c>
      <c r="V49" s="32">
        <v>3885.41</v>
      </c>
      <c r="X49" s="32">
        <v>6570.11</v>
      </c>
      <c r="Y49" s="32">
        <v>6567.65</v>
      </c>
      <c r="AA49" s="32">
        <v>1264.43</v>
      </c>
      <c r="AB49" s="32">
        <v>1350.64</v>
      </c>
      <c r="AD49" s="38">
        <v>3.4368099999999999</v>
      </c>
      <c r="AE49" s="38">
        <v>3.4846400000000002</v>
      </c>
      <c r="AG49" s="38">
        <v>43.111800000000002</v>
      </c>
      <c r="AH49" s="38">
        <v>42.727139999999999</v>
      </c>
      <c r="AJ49" s="38">
        <v>8.2969299999999997</v>
      </c>
      <c r="AK49" s="38">
        <v>8.7689000000000004</v>
      </c>
      <c r="AM49" s="13">
        <v>581.01800000000003</v>
      </c>
      <c r="AN49" s="13">
        <v>569.07500000000005</v>
      </c>
      <c r="AP49" s="13">
        <v>54.025500000000001</v>
      </c>
      <c r="AQ49" s="13">
        <v>53.813099999999999</v>
      </c>
      <c r="AS49" s="13">
        <v>1</v>
      </c>
      <c r="AT49" s="13">
        <v>1</v>
      </c>
      <c r="AV49" s="38">
        <v>7.7461500000000001</v>
      </c>
      <c r="AW49" s="38">
        <v>7.6696299999999997</v>
      </c>
      <c r="AY49" s="38">
        <v>8.75</v>
      </c>
      <c r="AZ49" s="38">
        <v>8.75</v>
      </c>
      <c r="BB49" s="38">
        <v>24.820879999999999</v>
      </c>
      <c r="BC49" s="38">
        <v>24.739509999999999</v>
      </c>
      <c r="BE49" s="38">
        <v>33.886310000000002</v>
      </c>
      <c r="BF49" s="38">
        <v>33.96087</v>
      </c>
      <c r="BH49" s="38">
        <v>6.78207</v>
      </c>
      <c r="BI49" s="38">
        <v>6.7538</v>
      </c>
    </row>
    <row r="50" spans="1:61" s="1" customFormat="1" x14ac:dyDescent="0.3">
      <c r="A50" s="55" t="s">
        <v>117</v>
      </c>
      <c r="B50" s="18">
        <v>43951</v>
      </c>
      <c r="C50" s="13">
        <v>24.0002</v>
      </c>
      <c r="D50" s="13">
        <v>24.230399999999999</v>
      </c>
      <c r="E50"/>
      <c r="F50" s="46">
        <v>0.91758200000000001</v>
      </c>
      <c r="G50" s="46">
        <v>0.92016900000000001</v>
      </c>
      <c r="H50"/>
      <c r="I50" s="38">
        <v>66.740399999999994</v>
      </c>
      <c r="J50" s="38">
        <v>65.503900000000002</v>
      </c>
      <c r="L50" s="38">
        <v>6.9021499999999998</v>
      </c>
      <c r="M50" s="38">
        <v>6.8931100000000001</v>
      </c>
      <c r="N50"/>
      <c r="O50" s="46">
        <v>5.3910900000000002</v>
      </c>
      <c r="P50" s="46">
        <v>5.3130800000000002</v>
      </c>
      <c r="R50" s="44">
        <v>835.85</v>
      </c>
      <c r="S50" s="44">
        <v>853.91</v>
      </c>
      <c r="U50" s="32">
        <v>3944.24</v>
      </c>
      <c r="V50" s="32">
        <v>3967.3</v>
      </c>
      <c r="X50" s="32">
        <v>6537.59</v>
      </c>
      <c r="Y50" s="32">
        <v>6510.93</v>
      </c>
      <c r="AA50" s="32">
        <v>1212.68</v>
      </c>
      <c r="AB50" s="32">
        <v>1226.47</v>
      </c>
      <c r="AD50" s="38">
        <v>3.37459</v>
      </c>
      <c r="AE50" s="38">
        <v>3.4000699999999999</v>
      </c>
      <c r="AG50" s="38">
        <v>43.208860000000001</v>
      </c>
      <c r="AH50" s="38">
        <v>43.372729999999997</v>
      </c>
      <c r="AJ50" s="38">
        <v>8.0148899999999994</v>
      </c>
      <c r="AK50" s="38">
        <v>8.1702700000000004</v>
      </c>
      <c r="AM50" s="13">
        <v>567.24</v>
      </c>
      <c r="AN50" s="13">
        <v>571.23400000000004</v>
      </c>
      <c r="AP50" s="13">
        <v>54.619199999999999</v>
      </c>
      <c r="AQ50" s="13">
        <v>54.280299999999997</v>
      </c>
      <c r="AS50" s="13">
        <v>1</v>
      </c>
      <c r="AT50" s="13">
        <v>1</v>
      </c>
      <c r="AV50" s="38">
        <v>7.7148199999999996</v>
      </c>
      <c r="AW50" s="38">
        <v>7.7102700000000004</v>
      </c>
      <c r="AY50" s="38">
        <v>8.75</v>
      </c>
      <c r="AZ50" s="38">
        <v>8.75</v>
      </c>
      <c r="BB50" s="38">
        <v>24.844650000000001</v>
      </c>
      <c r="BC50" s="38">
        <v>24.837050000000001</v>
      </c>
      <c r="BE50" s="38">
        <v>34.344670000000001</v>
      </c>
      <c r="BF50" s="38">
        <v>34.151159999999997</v>
      </c>
      <c r="BH50" s="38">
        <v>6.7575099999999999</v>
      </c>
      <c r="BI50" s="38">
        <v>6.7540699999999996</v>
      </c>
    </row>
    <row r="51" spans="1:61" s="1" customFormat="1" x14ac:dyDescent="0.3">
      <c r="A51" s="55" t="s">
        <v>118</v>
      </c>
      <c r="B51" s="18">
        <v>43982</v>
      </c>
      <c r="C51" s="13">
        <v>22.204000000000001</v>
      </c>
      <c r="D51" s="13">
        <v>23.522400000000001</v>
      </c>
      <c r="E51"/>
      <c r="F51" s="46">
        <v>0.90042299999999997</v>
      </c>
      <c r="G51" s="46">
        <v>0.91660299999999995</v>
      </c>
      <c r="H51"/>
      <c r="I51" s="38">
        <v>68.461799999999997</v>
      </c>
      <c r="J51" s="38">
        <v>67.613100000000003</v>
      </c>
      <c r="L51" s="38">
        <v>6.9030199999999997</v>
      </c>
      <c r="M51" s="38">
        <v>6.8958000000000004</v>
      </c>
      <c r="N51"/>
      <c r="O51" s="46">
        <v>5.33765</v>
      </c>
      <c r="P51" s="46">
        <v>5.6187199999999997</v>
      </c>
      <c r="R51" s="44">
        <v>799.02300000000002</v>
      </c>
      <c r="S51" s="44">
        <v>820.87199999999996</v>
      </c>
      <c r="U51" s="32">
        <v>3729.96</v>
      </c>
      <c r="V51" s="32">
        <v>3860.61</v>
      </c>
      <c r="X51" s="32">
        <v>6636.35</v>
      </c>
      <c r="Y51" s="32">
        <v>6563.8</v>
      </c>
      <c r="AA51" s="32">
        <v>1243.32</v>
      </c>
      <c r="AB51" s="32">
        <v>1169.58</v>
      </c>
      <c r="AD51" s="38">
        <v>3.42815</v>
      </c>
      <c r="AE51" s="38">
        <v>3.4145599999999998</v>
      </c>
      <c r="AG51" s="38">
        <v>43.243429999999996</v>
      </c>
      <c r="AH51" s="38">
        <v>43.327030000000001</v>
      </c>
      <c r="AJ51" s="38">
        <v>8.1016100000000009</v>
      </c>
      <c r="AK51" s="38">
        <v>7.7175900000000004</v>
      </c>
      <c r="AM51" s="13">
        <v>569.37599999999998</v>
      </c>
      <c r="AN51" s="13">
        <v>568.39300000000003</v>
      </c>
      <c r="AP51" s="13">
        <v>56.204999999999998</v>
      </c>
      <c r="AQ51" s="13">
        <v>55.209299999999999</v>
      </c>
      <c r="AS51" s="13">
        <v>1</v>
      </c>
      <c r="AT51" s="13">
        <v>1</v>
      </c>
      <c r="AV51" s="38">
        <v>7.6859299999999999</v>
      </c>
      <c r="AW51" s="38">
        <v>7.6971299999999996</v>
      </c>
      <c r="AY51" s="38">
        <v>8.75</v>
      </c>
      <c r="AZ51" s="38">
        <v>8.75</v>
      </c>
      <c r="BB51" s="38">
        <v>24.890730000000001</v>
      </c>
      <c r="BC51" s="38">
        <v>24.873149999999999</v>
      </c>
      <c r="BE51" s="38">
        <v>34.174750000000003</v>
      </c>
      <c r="BF51" s="38">
        <v>34.223460000000003</v>
      </c>
      <c r="BH51" s="38">
        <v>6.7549400000000004</v>
      </c>
      <c r="BI51" s="38">
        <v>6.7485299999999997</v>
      </c>
    </row>
    <row r="52" spans="1:61" x14ac:dyDescent="0.3">
      <c r="B52" s="18">
        <v>44012</v>
      </c>
      <c r="C52" s="13">
        <v>23.1325</v>
      </c>
      <c r="D52" s="13">
        <v>22.3001</v>
      </c>
      <c r="F52" s="46">
        <v>0.89055399999999996</v>
      </c>
      <c r="G52" s="46">
        <v>0.88880000000000003</v>
      </c>
      <c r="I52" s="38">
        <v>70.387100000000004</v>
      </c>
      <c r="J52" s="38">
        <v>69.481499999999997</v>
      </c>
      <c r="K52" s="1"/>
      <c r="L52" s="38">
        <v>6.9331699999999996</v>
      </c>
      <c r="M52" s="38">
        <v>6.9078999999999997</v>
      </c>
      <c r="O52" s="46">
        <v>5.4314200000000001</v>
      </c>
      <c r="P52" s="46">
        <v>5.1909000000000001</v>
      </c>
      <c r="Q52" s="1"/>
      <c r="R52" s="44">
        <v>821.428</v>
      </c>
      <c r="S52" s="44">
        <v>796.77</v>
      </c>
      <c r="T52" s="1"/>
      <c r="U52" s="32">
        <v>3750.25</v>
      </c>
      <c r="V52" s="32">
        <v>3708.24</v>
      </c>
      <c r="W52" s="1"/>
      <c r="X52" s="32">
        <v>6786.92</v>
      </c>
      <c r="Y52" s="32">
        <v>6690.37</v>
      </c>
      <c r="Z52" s="1"/>
      <c r="AA52" s="32">
        <v>1249.57</v>
      </c>
      <c r="AB52" s="32">
        <v>1290.29</v>
      </c>
      <c r="AC52" s="1"/>
      <c r="AD52" s="38">
        <v>3.5375299999999998</v>
      </c>
      <c r="AE52" s="38">
        <v>3.4725000000000001</v>
      </c>
      <c r="AF52" s="1"/>
      <c r="AG52" s="38">
        <v>42.160449999999997</v>
      </c>
      <c r="AH52" s="38">
        <v>42.716999999999999</v>
      </c>
      <c r="AI52" s="1"/>
      <c r="AJ52" s="38">
        <v>7.7623499999999996</v>
      </c>
      <c r="AK52" s="38">
        <v>8.2406000000000006</v>
      </c>
      <c r="AL52" s="1"/>
      <c r="AM52" s="13">
        <v>581.19000000000005</v>
      </c>
      <c r="AN52" s="13">
        <v>576.30700000000002</v>
      </c>
      <c r="AO52" s="1"/>
      <c r="AP52" s="13">
        <v>58.483499999999999</v>
      </c>
      <c r="AQ52" s="13">
        <v>57.965899999999998</v>
      </c>
      <c r="AR52" s="1"/>
      <c r="AS52" s="13">
        <v>1</v>
      </c>
      <c r="AT52" s="13">
        <v>1</v>
      </c>
      <c r="AU52" s="1"/>
      <c r="AV52" s="38">
        <v>7.7185800000000002</v>
      </c>
      <c r="AW52" s="38">
        <v>7.6943999999999999</v>
      </c>
      <c r="AX52" s="1"/>
      <c r="AY52" s="38">
        <v>8.75</v>
      </c>
      <c r="AZ52" s="38">
        <v>8.75</v>
      </c>
      <c r="BA52" s="1"/>
      <c r="BB52" s="38">
        <v>24.867650000000001</v>
      </c>
      <c r="BC52" s="38">
        <v>24.846800000000002</v>
      </c>
      <c r="BD52" s="1"/>
      <c r="BE52" s="38">
        <v>34.237479999999998</v>
      </c>
      <c r="BF52" s="38">
        <v>34.136000000000003</v>
      </c>
      <c r="BG52" s="1"/>
      <c r="BH52" s="38">
        <v>6.7787100000000002</v>
      </c>
      <c r="BI52" s="38">
        <v>6.7596999999999996</v>
      </c>
    </row>
    <row r="53" spans="1:61" x14ac:dyDescent="0.3">
      <c r="B53" s="18">
        <v>44043</v>
      </c>
      <c r="C53" s="13">
        <v>22.172699999999999</v>
      </c>
      <c r="D53" s="13">
        <v>22.449300000000001</v>
      </c>
      <c r="F53" s="46">
        <v>0.84476399999999996</v>
      </c>
      <c r="G53" s="46">
        <v>0.87353499999999995</v>
      </c>
      <c r="I53" s="38">
        <v>72.295689999999993</v>
      </c>
      <c r="J53" s="38">
        <v>71.308192000000005</v>
      </c>
      <c r="K53" s="1"/>
      <c r="L53" s="38">
        <v>6.8904199999999998</v>
      </c>
      <c r="M53" s="38">
        <v>6.9029400000000001</v>
      </c>
      <c r="O53" s="46">
        <v>5.1818160000000004</v>
      </c>
      <c r="P53" s="46">
        <v>5.293533</v>
      </c>
      <c r="Q53" s="1"/>
      <c r="R53" s="44">
        <v>759.41200000000003</v>
      </c>
      <c r="S53" s="44">
        <v>784.95600000000002</v>
      </c>
      <c r="T53" s="1"/>
      <c r="U53" s="32">
        <v>3726.21</v>
      </c>
      <c r="V53" s="32">
        <v>3657.32</v>
      </c>
      <c r="W53" s="1"/>
      <c r="X53" s="32">
        <v>6929.3</v>
      </c>
      <c r="Y53" s="32">
        <v>6872.45</v>
      </c>
      <c r="Z53" s="1"/>
      <c r="AA53" s="32">
        <v>1337.24</v>
      </c>
      <c r="AB53" s="32">
        <v>1298.71</v>
      </c>
      <c r="AC53" s="1"/>
      <c r="AD53" s="38">
        <v>3.5099900000000002</v>
      </c>
      <c r="AE53" s="38">
        <v>3.5148100000000002</v>
      </c>
      <c r="AF53" s="1"/>
      <c r="AG53" s="38">
        <v>42.361939999999997</v>
      </c>
      <c r="AH53" s="38">
        <v>43.040869999999998</v>
      </c>
      <c r="AI53" s="1"/>
      <c r="AJ53" s="38">
        <v>8.1751400000000007</v>
      </c>
      <c r="AK53" s="38">
        <v>8.1321100000000008</v>
      </c>
      <c r="AL53" s="1"/>
      <c r="AM53" s="13">
        <v>580.81449999999995</v>
      </c>
      <c r="AN53" s="13">
        <v>581.63199999999995</v>
      </c>
      <c r="AO53" s="1"/>
      <c r="AP53" s="13">
        <v>58.415100000000002</v>
      </c>
      <c r="AQ53" s="13">
        <v>58.445700000000002</v>
      </c>
      <c r="AR53" s="1"/>
      <c r="AS53" s="13">
        <v>1</v>
      </c>
      <c r="AT53" s="13">
        <v>1</v>
      </c>
      <c r="AU53" s="1"/>
      <c r="AV53" s="38">
        <v>7.6844979999999996</v>
      </c>
      <c r="AW53" s="38">
        <v>7.6947099999999997</v>
      </c>
      <c r="AX53" s="1"/>
      <c r="AY53" s="38">
        <v>8.75</v>
      </c>
      <c r="AZ53" s="38">
        <v>8.75</v>
      </c>
      <c r="BA53" s="1"/>
      <c r="BB53" s="38">
        <v>24.698779999999999</v>
      </c>
      <c r="BC53" s="38">
        <v>24.787669999999999</v>
      </c>
      <c r="BD53" s="1"/>
      <c r="BE53" s="38">
        <v>34.474620000000002</v>
      </c>
      <c r="BF53" s="38">
        <v>34.562190000000001</v>
      </c>
      <c r="BG53" s="1"/>
      <c r="BH53" s="38">
        <v>6.7445899999999996</v>
      </c>
      <c r="BI53" s="38">
        <v>6.7560099999999998</v>
      </c>
    </row>
    <row r="54" spans="1:61" x14ac:dyDescent="0.3">
      <c r="B54" s="18">
        <v>44074</v>
      </c>
      <c r="C54" s="13">
        <v>21.860199999999999</v>
      </c>
      <c r="D54" s="13">
        <v>22.221</v>
      </c>
      <c r="F54" s="46">
        <v>0.83862999999999999</v>
      </c>
      <c r="G54" s="46">
        <v>0.84556500000000001</v>
      </c>
      <c r="I54" s="38">
        <v>74.020799999999994</v>
      </c>
      <c r="J54" s="38">
        <v>73.196347000000003</v>
      </c>
      <c r="K54" s="1"/>
      <c r="L54" s="38">
        <v>6.8967499999999999</v>
      </c>
      <c r="M54" s="38">
        <v>6.9043000000000001</v>
      </c>
      <c r="O54" s="46">
        <v>5.4327699999999997</v>
      </c>
      <c r="P54" s="46">
        <v>5.4424489999999999</v>
      </c>
      <c r="Q54" s="1"/>
      <c r="R54" s="44">
        <v>778.03499999999997</v>
      </c>
      <c r="S54" s="44">
        <v>784.92700000000002</v>
      </c>
      <c r="T54" s="1"/>
      <c r="U54" s="32">
        <v>3744.58</v>
      </c>
      <c r="V54" s="32">
        <v>3780.84</v>
      </c>
      <c r="W54" s="1"/>
      <c r="X54" s="32">
        <v>6967.67</v>
      </c>
      <c r="Y54" s="32">
        <v>6946.26</v>
      </c>
      <c r="Z54" s="1"/>
      <c r="AA54" s="32">
        <v>1282.53</v>
      </c>
      <c r="AB54" s="32">
        <v>1276.83</v>
      </c>
      <c r="AC54" s="1"/>
      <c r="AD54" s="38">
        <v>3.5417999999999998</v>
      </c>
      <c r="AE54" s="38">
        <v>3.5611799999999998</v>
      </c>
      <c r="AF54" s="1"/>
      <c r="AG54" s="38">
        <v>42.673439999999999</v>
      </c>
      <c r="AH54" s="38">
        <v>42.676940000000002</v>
      </c>
      <c r="AI54" s="1"/>
      <c r="AJ54" s="38">
        <v>7.8548499999999999</v>
      </c>
      <c r="AK54" s="38">
        <v>7.8444000000000003</v>
      </c>
      <c r="AL54" s="1"/>
      <c r="AM54" s="13">
        <v>594.87180000000001</v>
      </c>
      <c r="AN54" s="13">
        <v>590.90719999999999</v>
      </c>
      <c r="AO54" s="1"/>
      <c r="AP54" s="13">
        <v>58.391199999999998</v>
      </c>
      <c r="AQ54" s="13">
        <v>58.494399999999999</v>
      </c>
      <c r="AR54" s="1"/>
      <c r="AS54" s="13">
        <v>1</v>
      </c>
      <c r="AT54" s="13">
        <v>1</v>
      </c>
      <c r="AU54" s="1"/>
      <c r="AV54" s="38">
        <v>7.7074939999999996</v>
      </c>
      <c r="AW54" s="38">
        <v>7.7024999999999997</v>
      </c>
      <c r="AX54" s="1"/>
      <c r="AY54" s="38">
        <v>8.75</v>
      </c>
      <c r="AZ54" s="38">
        <v>8.75</v>
      </c>
      <c r="BA54" s="1"/>
      <c r="BB54" s="38">
        <v>24.650600000000001</v>
      </c>
      <c r="BC54" s="38">
        <v>24.700880000000002</v>
      </c>
      <c r="BD54" s="1"/>
      <c r="BE54" s="38">
        <v>34.84854</v>
      </c>
      <c r="BF54" s="38">
        <v>34.757629999999999</v>
      </c>
      <c r="BG54" s="1"/>
      <c r="BH54" s="38">
        <v>6.77468</v>
      </c>
      <c r="BI54" s="38">
        <v>6.76851</v>
      </c>
    </row>
    <row r="55" spans="1:61" x14ac:dyDescent="0.3">
      <c r="B55" s="18">
        <v>44104</v>
      </c>
      <c r="C55" s="13">
        <v>22.3598</v>
      </c>
      <c r="D55" s="13">
        <v>21.6218</v>
      </c>
      <c r="F55" s="46">
        <v>0.85290500000000002</v>
      </c>
      <c r="G55" s="46">
        <v>0.84819999999999995</v>
      </c>
      <c r="I55" s="38">
        <v>76.141499999999994</v>
      </c>
      <c r="J55" s="38">
        <v>75.110699999999994</v>
      </c>
      <c r="K55" s="1"/>
      <c r="L55" s="38">
        <v>6.8956600000000003</v>
      </c>
      <c r="M55" s="38">
        <v>6.9080000000000004</v>
      </c>
      <c r="O55" s="46">
        <v>5.6291219999999997</v>
      </c>
      <c r="P55" s="46">
        <v>5.3955000000000002</v>
      </c>
      <c r="Q55" s="1"/>
      <c r="R55" s="44">
        <v>785.48099999999999</v>
      </c>
      <c r="S55" s="44">
        <v>773.38699999999994</v>
      </c>
      <c r="T55" s="1"/>
      <c r="U55" s="32">
        <v>3866.93</v>
      </c>
      <c r="V55" s="32">
        <v>3753.6</v>
      </c>
      <c r="W55" s="1"/>
      <c r="X55" s="32">
        <v>6967.75</v>
      </c>
      <c r="Y55" s="32">
        <v>6984.11</v>
      </c>
      <c r="Z55" s="1"/>
      <c r="AA55" s="32">
        <v>1237.81</v>
      </c>
      <c r="AB55" s="32">
        <v>1295.07</v>
      </c>
      <c r="AC55" s="1"/>
      <c r="AD55" s="38">
        <v>3.5883500000000002</v>
      </c>
      <c r="AE55" s="38">
        <v>3.5558999999999998</v>
      </c>
      <c r="AF55" s="1"/>
      <c r="AG55" s="38">
        <v>42.461370000000002</v>
      </c>
      <c r="AH55" s="38">
        <v>42.520600000000002</v>
      </c>
      <c r="AI55" s="1"/>
      <c r="AJ55" s="38">
        <v>7.5431800000000004</v>
      </c>
      <c r="AK55" s="38">
        <v>7.8848000000000003</v>
      </c>
      <c r="AL55" s="1"/>
      <c r="AM55" s="13">
        <v>602.18430000000001</v>
      </c>
      <c r="AN55" s="13">
        <v>597.50019999999995</v>
      </c>
      <c r="AO55" s="1"/>
      <c r="AP55" s="13">
        <v>58.324100000000001</v>
      </c>
      <c r="AQ55" s="13">
        <v>58.464399999999998</v>
      </c>
      <c r="AR55" s="1"/>
      <c r="AS55" s="13">
        <v>1</v>
      </c>
      <c r="AT55" s="13">
        <v>1</v>
      </c>
      <c r="AU55" s="1"/>
      <c r="AV55" s="38">
        <v>7.7717790000000004</v>
      </c>
      <c r="AW55" s="38">
        <v>7.7554999999999996</v>
      </c>
      <c r="AX55" s="1"/>
      <c r="AY55" s="38">
        <v>8.75</v>
      </c>
      <c r="AZ55" s="38">
        <v>8.75</v>
      </c>
      <c r="BA55" s="1"/>
      <c r="BB55" s="38">
        <v>24.59609</v>
      </c>
      <c r="BC55" s="38">
        <v>24.682400000000001</v>
      </c>
      <c r="BD55" s="1"/>
      <c r="BE55" s="38">
        <v>34.727249999999998</v>
      </c>
      <c r="BF55" s="38">
        <v>34.770000000000003</v>
      </c>
      <c r="BG55" s="1"/>
      <c r="BH55" s="38">
        <v>6.7865500000000001</v>
      </c>
      <c r="BI55" s="38">
        <v>6.7801</v>
      </c>
    </row>
    <row r="56" spans="1:61" x14ac:dyDescent="0.3">
      <c r="B56" s="18">
        <v>44135</v>
      </c>
      <c r="C56" s="13">
        <v>21.376999999999999</v>
      </c>
      <c r="D56" s="13">
        <v>21.3491</v>
      </c>
      <c r="F56" s="46">
        <v>0.85851599999999995</v>
      </c>
      <c r="G56" s="46">
        <v>0.8498</v>
      </c>
      <c r="I56" s="38">
        <v>78.333150000000003</v>
      </c>
      <c r="J56" s="38">
        <v>77.492699999999999</v>
      </c>
      <c r="K56" s="1"/>
      <c r="L56" s="38">
        <v>6.9073500000000001</v>
      </c>
      <c r="M56" s="38">
        <v>6.9053000000000004</v>
      </c>
      <c r="O56" s="46">
        <v>5.7423000000000002</v>
      </c>
      <c r="P56" s="46">
        <v>5.6222000000000003</v>
      </c>
      <c r="Q56" s="1"/>
      <c r="R56" s="44">
        <v>773.3</v>
      </c>
      <c r="S56" s="44">
        <v>788.62099999999998</v>
      </c>
      <c r="T56" s="1"/>
      <c r="U56" s="32">
        <v>3869.2</v>
      </c>
      <c r="V56" s="32">
        <v>3833.1</v>
      </c>
      <c r="W56" s="1"/>
      <c r="X56" s="32">
        <v>7031.65</v>
      </c>
      <c r="Y56" s="32">
        <v>7010.08</v>
      </c>
      <c r="Z56" s="1"/>
      <c r="AA56" s="32">
        <v>1224.54</v>
      </c>
      <c r="AB56" s="32">
        <v>1247</v>
      </c>
      <c r="AC56" s="1"/>
      <c r="AD56" s="38">
        <v>3.61585</v>
      </c>
      <c r="AE56" s="38">
        <v>3.5958999999999999</v>
      </c>
      <c r="AF56" s="1"/>
      <c r="AG56" s="38">
        <v>43.03</v>
      </c>
      <c r="AH56" s="38">
        <v>42.6496</v>
      </c>
      <c r="AI56" s="1"/>
      <c r="AJ56" s="38">
        <v>7.4935499999999999</v>
      </c>
      <c r="AK56" s="38">
        <v>7.5867000000000004</v>
      </c>
      <c r="AL56" s="1"/>
      <c r="AM56" s="13">
        <v>606.16999999999996</v>
      </c>
      <c r="AN56" s="13">
        <v>603.17930000000001</v>
      </c>
      <c r="AO56" s="1"/>
      <c r="AP56" s="13">
        <v>58.5</v>
      </c>
      <c r="AQ56" s="13">
        <v>58.433700000000002</v>
      </c>
      <c r="AR56" s="1"/>
      <c r="AS56" s="13">
        <v>1</v>
      </c>
      <c r="AT56" s="13">
        <v>1</v>
      </c>
      <c r="AU56" s="1"/>
      <c r="AV56" s="38">
        <v>7.7888000000000002</v>
      </c>
      <c r="AW56" s="38">
        <v>7.7804000000000002</v>
      </c>
      <c r="AX56" s="1"/>
      <c r="AY56" s="38">
        <v>8.75</v>
      </c>
      <c r="AZ56" s="38">
        <v>8.75</v>
      </c>
      <c r="BA56" s="1"/>
      <c r="BB56" s="38">
        <v>24.5822</v>
      </c>
      <c r="BC56" s="38">
        <v>24.6084</v>
      </c>
      <c r="BD56" s="1"/>
      <c r="BE56" s="38">
        <v>34.805500000000002</v>
      </c>
      <c r="BF56" s="38">
        <v>34.777099999999997</v>
      </c>
      <c r="BG56" s="1"/>
      <c r="BH56" s="38">
        <v>6.8036500000000002</v>
      </c>
      <c r="BI56" s="38">
        <v>6.7834000000000003</v>
      </c>
    </row>
    <row r="57" spans="1:61" x14ac:dyDescent="0.3">
      <c r="B57" s="18">
        <v>44165</v>
      </c>
      <c r="C57" s="13">
        <v>20.0777</v>
      </c>
      <c r="D57" s="13">
        <v>20.49</v>
      </c>
      <c r="F57" s="46">
        <v>0.83577599999999996</v>
      </c>
      <c r="G57" s="46">
        <v>0.84460000000000002</v>
      </c>
      <c r="I57" s="38">
        <v>81.028760000000005</v>
      </c>
      <c r="J57" s="38">
        <v>79.821600000000004</v>
      </c>
      <c r="K57" s="1"/>
      <c r="L57" s="38">
        <v>6.8905000000000003</v>
      </c>
      <c r="M57" s="38">
        <v>6.8978000000000002</v>
      </c>
      <c r="O57" s="46">
        <v>5.3431629999999997</v>
      </c>
      <c r="P57" s="46">
        <v>5.4390000000000001</v>
      </c>
      <c r="Q57" s="1"/>
      <c r="R57" s="44">
        <v>766.88199999999995</v>
      </c>
      <c r="S57" s="44">
        <v>762.90899999999999</v>
      </c>
      <c r="T57" s="1"/>
      <c r="U57" s="32">
        <v>3600.64</v>
      </c>
      <c r="V57" s="32">
        <v>3679.47</v>
      </c>
      <c r="W57" s="1"/>
      <c r="X57" s="32">
        <v>7036.87</v>
      </c>
      <c r="Y57" s="32">
        <v>7032.96</v>
      </c>
      <c r="Z57" s="1"/>
      <c r="AA57" s="32">
        <v>1316.99</v>
      </c>
      <c r="AB57" s="32">
        <v>1293.8</v>
      </c>
      <c r="AC57" s="1"/>
      <c r="AD57" s="38">
        <v>3.60025</v>
      </c>
      <c r="AE57" s="38">
        <v>3.6084000000000001</v>
      </c>
      <c r="AF57" s="1"/>
      <c r="AG57" s="38">
        <v>42.582850000000001</v>
      </c>
      <c r="AH57" s="38">
        <v>42.786900000000003</v>
      </c>
      <c r="AI57" s="1"/>
      <c r="AJ57" s="38">
        <v>7.9696300000000004</v>
      </c>
      <c r="AK57" s="38">
        <v>7.8707000000000003</v>
      </c>
      <c r="AL57" s="1"/>
      <c r="AM57" s="13">
        <v>601.85209999999995</v>
      </c>
      <c r="AN57" s="13">
        <v>609.08870000000002</v>
      </c>
      <c r="AO57" s="1"/>
      <c r="AP57" s="13">
        <v>58.084600000000002</v>
      </c>
      <c r="AQ57" s="13">
        <v>58.2044</v>
      </c>
      <c r="AR57" s="1"/>
      <c r="AS57" s="13">
        <v>1</v>
      </c>
      <c r="AT57" s="13">
        <v>1</v>
      </c>
      <c r="AU57" s="1"/>
      <c r="AV57" s="38">
        <v>7.798095</v>
      </c>
      <c r="AW57" s="38">
        <v>7.7888000000000002</v>
      </c>
      <c r="AX57" s="1"/>
      <c r="AY57" s="38">
        <v>8.75</v>
      </c>
      <c r="AZ57" s="38">
        <v>8.75</v>
      </c>
      <c r="BA57" s="1"/>
      <c r="BB57" s="38">
        <v>24.227239999999998</v>
      </c>
      <c r="BC57" s="38">
        <v>24.465299999999999</v>
      </c>
      <c r="BD57" s="1"/>
      <c r="BE57" s="38">
        <v>34.806260000000002</v>
      </c>
      <c r="BF57" s="38">
        <v>34.890999999999998</v>
      </c>
      <c r="BG57" s="1"/>
      <c r="BH57" s="38">
        <v>6.7778700000000001</v>
      </c>
      <c r="BI57" s="38">
        <v>6.7888999999999999</v>
      </c>
    </row>
    <row r="58" spans="1:61" x14ac:dyDescent="0.3">
      <c r="B58" s="18">
        <v>44196</v>
      </c>
      <c r="C58" s="13">
        <v>19.935199999999998</v>
      </c>
      <c r="D58" s="13">
        <v>19.973600000000001</v>
      </c>
      <c r="F58" s="46">
        <v>0.81535199999999997</v>
      </c>
      <c r="G58" s="46">
        <v>0.82179999999999997</v>
      </c>
      <c r="I58" s="38">
        <v>84.116259999999997</v>
      </c>
      <c r="J58" s="38">
        <v>82.517799999999994</v>
      </c>
      <c r="K58" s="1"/>
      <c r="L58" s="38">
        <v>6.8805899999999998</v>
      </c>
      <c r="M58" s="38">
        <v>6.8914999999999997</v>
      </c>
      <c r="O58" s="46">
        <v>5.1939650000000004</v>
      </c>
      <c r="P58" s="46">
        <v>5.1486000000000001</v>
      </c>
      <c r="Q58" s="1"/>
      <c r="R58" s="44">
        <v>710.67200000000003</v>
      </c>
      <c r="S58" s="44">
        <v>731.19299999999998</v>
      </c>
      <c r="T58" s="1"/>
      <c r="U58" s="32">
        <v>3433.23</v>
      </c>
      <c r="V58" s="32">
        <v>3465.42</v>
      </c>
      <c r="W58" s="1"/>
      <c r="X58" s="32">
        <v>6911.21</v>
      </c>
      <c r="Y58" s="32">
        <v>6980.77</v>
      </c>
      <c r="Z58" s="1"/>
      <c r="AA58" s="32">
        <v>1330.63</v>
      </c>
      <c r="AB58" s="32">
        <v>1356.13</v>
      </c>
      <c r="AC58" s="1"/>
      <c r="AD58" s="38">
        <v>3.6116700000000002</v>
      </c>
      <c r="AE58" s="38">
        <v>3.5996999999999999</v>
      </c>
      <c r="AF58" s="1"/>
      <c r="AG58" s="38">
        <v>42.149659999999997</v>
      </c>
      <c r="AH58" s="38">
        <v>42.422499999999999</v>
      </c>
      <c r="AI58" s="1"/>
      <c r="AJ58" s="38">
        <v>8.1151599999999995</v>
      </c>
      <c r="AK58" s="38">
        <v>8.2409999999999997</v>
      </c>
      <c r="AL58" s="1"/>
      <c r="AM58" s="13">
        <v>609.05219999999997</v>
      </c>
      <c r="AN58" s="13">
        <v>604.86</v>
      </c>
      <c r="AO58" s="1"/>
      <c r="AP58" s="13">
        <v>58.064999999999998</v>
      </c>
      <c r="AQ58" s="13">
        <v>58.158999999999999</v>
      </c>
      <c r="AR58" s="1"/>
      <c r="AS58" s="13">
        <v>1</v>
      </c>
      <c r="AT58" s="13">
        <v>1</v>
      </c>
      <c r="AU58" s="1"/>
      <c r="AV58" s="38">
        <v>7.787147</v>
      </c>
      <c r="AW58" s="38">
        <v>7.8033999999999999</v>
      </c>
      <c r="AX58" s="1"/>
      <c r="AY58" s="38">
        <v>8.75</v>
      </c>
      <c r="AZ58" s="38">
        <v>8.75</v>
      </c>
      <c r="BA58" s="1"/>
      <c r="BB58" s="38">
        <v>24.125689999999999</v>
      </c>
      <c r="BC58" s="38">
        <v>24.200700000000001</v>
      </c>
      <c r="BD58" s="1"/>
      <c r="BE58" s="38">
        <v>34.837510000000002</v>
      </c>
      <c r="BF58" s="38">
        <v>34.845399999999998</v>
      </c>
      <c r="BG58" s="1"/>
      <c r="BH58" s="38">
        <v>6.7681800000000001</v>
      </c>
      <c r="BI58" s="38">
        <v>6.7911000000000001</v>
      </c>
    </row>
    <row r="59" spans="1:61" x14ac:dyDescent="0.3">
      <c r="B59" s="18">
        <v>44227</v>
      </c>
      <c r="C59" s="13">
        <v>20.2697</v>
      </c>
      <c r="D59" s="13">
        <v>19.913399999999999</v>
      </c>
      <c r="F59" s="46">
        <v>0.82394599999999996</v>
      </c>
      <c r="G59" s="46">
        <v>0.8216</v>
      </c>
      <c r="I59" s="38">
        <v>87.283799999999999</v>
      </c>
      <c r="J59" s="38">
        <v>85.831000000000003</v>
      </c>
      <c r="K59" s="1"/>
      <c r="L59" s="38">
        <v>6.8978599999999997</v>
      </c>
      <c r="M59" s="38">
        <v>6.8872</v>
      </c>
      <c r="O59" s="46">
        <v>5.4630000000000001</v>
      </c>
      <c r="P59" s="46">
        <v>5.3522999999999996</v>
      </c>
      <c r="Q59" s="1"/>
      <c r="R59" s="44">
        <v>734.81</v>
      </c>
      <c r="S59" s="44">
        <v>723.23199999999997</v>
      </c>
      <c r="T59" s="1"/>
      <c r="U59" s="32">
        <v>3569.23</v>
      </c>
      <c r="V59" s="32">
        <v>3492.52</v>
      </c>
      <c r="W59" s="1"/>
      <c r="X59" s="32">
        <v>6955.33</v>
      </c>
      <c r="Y59" s="32">
        <v>6906.43</v>
      </c>
      <c r="Z59" s="1"/>
      <c r="AA59" s="32">
        <v>1273.18</v>
      </c>
      <c r="AB59" s="32">
        <v>1290.75</v>
      </c>
      <c r="AC59" s="1"/>
      <c r="AD59" s="38">
        <v>3.6377299999999999</v>
      </c>
      <c r="AE59" s="38">
        <v>3.6252</v>
      </c>
      <c r="AF59" s="1"/>
      <c r="AG59" s="38">
        <v>42.234270000000002</v>
      </c>
      <c r="AH59" s="38">
        <v>42.311</v>
      </c>
      <c r="AI59" s="1"/>
      <c r="AJ59" s="38">
        <v>7.7309900000000003</v>
      </c>
      <c r="AK59" s="38">
        <v>7.9077000000000002</v>
      </c>
      <c r="AL59" s="1"/>
      <c r="AM59" s="13">
        <v>612.59010000000001</v>
      </c>
      <c r="AN59" s="13">
        <v>611.94640000000004</v>
      </c>
      <c r="AO59" s="1"/>
      <c r="AP59" s="13">
        <v>58.032499999999999</v>
      </c>
      <c r="AQ59" s="13">
        <v>58.191899999999997</v>
      </c>
      <c r="AR59" s="1"/>
      <c r="AS59" s="13">
        <v>1</v>
      </c>
      <c r="AT59" s="13">
        <v>1</v>
      </c>
      <c r="AU59" s="1"/>
      <c r="AV59" s="38">
        <v>7.773892</v>
      </c>
      <c r="AW59" s="38">
        <v>7.7923999999999998</v>
      </c>
      <c r="AX59" s="1"/>
      <c r="AY59" s="38">
        <v>8.75</v>
      </c>
      <c r="AZ59" s="38">
        <v>8.75</v>
      </c>
      <c r="BA59" s="1"/>
      <c r="BB59" s="38">
        <v>24.18263</v>
      </c>
      <c r="BC59" s="38">
        <v>24.164999999999999</v>
      </c>
      <c r="BD59" s="1"/>
      <c r="BE59" s="38">
        <v>35.02975</v>
      </c>
      <c r="BF59" s="38">
        <v>34.961300000000001</v>
      </c>
      <c r="BG59" s="1"/>
      <c r="BH59" s="38">
        <v>6.7977600000000002</v>
      </c>
      <c r="BI59" s="38">
        <v>6.7893999999999997</v>
      </c>
    </row>
    <row r="60" spans="1:61" x14ac:dyDescent="0.3">
      <c r="B60" s="18">
        <v>44255</v>
      </c>
      <c r="C60" s="13">
        <v>20.8523</v>
      </c>
      <c r="D60" s="13">
        <v>20.313300000000002</v>
      </c>
      <c r="F60" s="46">
        <v>0.828318</v>
      </c>
      <c r="G60" s="46">
        <v>0.82679999999999998</v>
      </c>
      <c r="I60" s="38">
        <v>89.821910000000003</v>
      </c>
      <c r="J60" s="38">
        <v>88.636600000000001</v>
      </c>
      <c r="K60" s="1"/>
      <c r="L60" s="38">
        <v>6.8966799999999999</v>
      </c>
      <c r="M60" s="38">
        <v>6.9046000000000003</v>
      </c>
      <c r="O60" s="46">
        <v>5.5989000000000004</v>
      </c>
      <c r="P60" s="46">
        <v>5.4145000000000003</v>
      </c>
      <c r="Q60" s="1"/>
      <c r="R60" s="44">
        <v>724.14800000000002</v>
      </c>
      <c r="S60" s="44">
        <v>722.61500000000001</v>
      </c>
      <c r="T60" s="1"/>
      <c r="U60" s="32">
        <v>3646.48</v>
      </c>
      <c r="V60" s="32">
        <v>3558.13</v>
      </c>
      <c r="W60" s="1"/>
      <c r="X60" s="32">
        <v>6617.71</v>
      </c>
      <c r="Y60" s="32">
        <v>6775.23</v>
      </c>
      <c r="Z60" s="1"/>
      <c r="AA60" s="32">
        <v>1181.97</v>
      </c>
      <c r="AB60" s="32">
        <v>1251.6199999999999</v>
      </c>
      <c r="AC60" s="1"/>
      <c r="AD60" s="38">
        <v>3.6484200000000002</v>
      </c>
      <c r="AE60" s="38">
        <v>3.645</v>
      </c>
      <c r="AF60" s="1"/>
      <c r="AG60" s="38">
        <v>43.113630000000001</v>
      </c>
      <c r="AH60" s="38">
        <v>42.665700000000001</v>
      </c>
      <c r="AI60" s="1"/>
      <c r="AJ60" s="38">
        <v>7.7004000000000001</v>
      </c>
      <c r="AK60" s="38">
        <v>7.8806000000000003</v>
      </c>
      <c r="AL60" s="1"/>
      <c r="AM60" s="13">
        <v>611.58140000000003</v>
      </c>
      <c r="AN60" s="13">
        <v>611.8587</v>
      </c>
      <c r="AO60" s="1"/>
      <c r="AP60" s="13">
        <v>57.8444</v>
      </c>
      <c r="AQ60" s="13">
        <v>57.959099999999999</v>
      </c>
      <c r="AR60" s="1"/>
      <c r="AS60" s="13">
        <v>1</v>
      </c>
      <c r="AT60" s="13">
        <v>1</v>
      </c>
      <c r="AU60" s="1"/>
      <c r="AV60" s="38">
        <v>7.7036100000000003</v>
      </c>
      <c r="AW60" s="38">
        <v>7.7462</v>
      </c>
      <c r="AX60" s="1"/>
      <c r="AY60" s="38">
        <v>8.75</v>
      </c>
      <c r="AZ60" s="38">
        <v>8.75</v>
      </c>
      <c r="BA60" s="1"/>
      <c r="BB60" s="38">
        <v>24.083100000000002</v>
      </c>
      <c r="BC60" s="38">
        <v>24.134599999999999</v>
      </c>
      <c r="BD60" s="1"/>
      <c r="BE60" s="38">
        <v>34.885170000000002</v>
      </c>
      <c r="BF60" s="38">
        <v>34.939599999999999</v>
      </c>
      <c r="BG60" s="1"/>
      <c r="BH60" s="38">
        <v>6.7865399999999996</v>
      </c>
      <c r="BI60" s="38">
        <v>6.7839</v>
      </c>
    </row>
    <row r="61" spans="1:61" x14ac:dyDescent="0.3">
      <c r="B61" s="18">
        <v>44286</v>
      </c>
      <c r="C61" s="13">
        <v>20.602499999999999</v>
      </c>
      <c r="D61" s="13">
        <v>20.754000000000001</v>
      </c>
      <c r="F61" s="46">
        <v>0.85267999999999999</v>
      </c>
      <c r="G61" s="46">
        <v>0.84040000000000004</v>
      </c>
      <c r="I61" s="38">
        <v>91.965459999999993</v>
      </c>
      <c r="J61" s="38">
        <v>91.0214</v>
      </c>
      <c r="K61" s="1"/>
      <c r="L61" s="38">
        <v>6.9118199999999996</v>
      </c>
      <c r="M61" s="38">
        <v>6.9073000000000002</v>
      </c>
      <c r="O61" s="46">
        <v>5.7202289999999998</v>
      </c>
      <c r="P61" s="46">
        <v>5.6378000000000004</v>
      </c>
      <c r="Q61" s="1"/>
      <c r="R61" s="44">
        <v>724.86400000000003</v>
      </c>
      <c r="S61" s="44">
        <v>726.04499999999996</v>
      </c>
      <c r="T61" s="1"/>
      <c r="U61" s="32">
        <v>3701.58</v>
      </c>
      <c r="V61" s="32">
        <v>3616.31</v>
      </c>
      <c r="W61" s="1"/>
      <c r="X61" s="32">
        <v>6450.21</v>
      </c>
      <c r="Y61" s="32">
        <v>6590.36</v>
      </c>
      <c r="Z61" s="1"/>
      <c r="AA61" s="32">
        <v>1127.6199999999999</v>
      </c>
      <c r="AB61" s="32">
        <v>1169.32</v>
      </c>
      <c r="AC61" s="1"/>
      <c r="AD61" s="38">
        <v>3.7644199999999999</v>
      </c>
      <c r="AE61" s="38">
        <v>3.7054</v>
      </c>
      <c r="AF61" s="1"/>
      <c r="AG61" s="38">
        <v>44.511879999999998</v>
      </c>
      <c r="AH61" s="38">
        <v>44.201300000000003</v>
      </c>
      <c r="AI61" s="1"/>
      <c r="AJ61" s="38">
        <v>7.7815099999999999</v>
      </c>
      <c r="AK61" s="38">
        <v>7.8426</v>
      </c>
      <c r="AL61" s="1"/>
      <c r="AM61" s="13">
        <v>613.31489999999997</v>
      </c>
      <c r="AN61" s="13">
        <v>611.77790000000005</v>
      </c>
      <c r="AO61" s="1"/>
      <c r="AP61" s="13">
        <v>56.934199999999997</v>
      </c>
      <c r="AQ61" s="13">
        <v>57.384500000000003</v>
      </c>
      <c r="AR61" s="1"/>
      <c r="AS61" s="13">
        <v>1</v>
      </c>
      <c r="AT61" s="13">
        <v>1</v>
      </c>
      <c r="AU61" s="1"/>
      <c r="AV61" s="38">
        <v>7.7193839999999998</v>
      </c>
      <c r="AW61" s="38">
        <v>7.7178000000000004</v>
      </c>
      <c r="AX61" s="1"/>
      <c r="AY61" s="38">
        <v>8.75</v>
      </c>
      <c r="AZ61" s="38">
        <v>8.75</v>
      </c>
      <c r="BA61" s="1"/>
      <c r="BB61" s="38">
        <v>24.064589999999999</v>
      </c>
      <c r="BC61" s="38">
        <v>24.128699999999998</v>
      </c>
      <c r="BD61" s="1"/>
      <c r="BE61" s="38">
        <v>35.010309999999997</v>
      </c>
      <c r="BF61" s="38">
        <v>35.003399999999999</v>
      </c>
      <c r="BG61" s="1"/>
      <c r="BH61" s="38">
        <v>6.7950900000000001</v>
      </c>
      <c r="BI61" s="38">
        <v>6.7923999999999998</v>
      </c>
    </row>
    <row r="62" spans="1:61" x14ac:dyDescent="0.3">
      <c r="B62" s="18">
        <v>44316</v>
      </c>
      <c r="C62" s="13">
        <v>20.097799999999999</v>
      </c>
      <c r="D62" s="13">
        <v>20.092600000000001</v>
      </c>
      <c r="F62" s="46">
        <v>0.82827799999999996</v>
      </c>
      <c r="G62" s="46">
        <v>0.83660000000000001</v>
      </c>
      <c r="I62" s="38">
        <v>93.50909</v>
      </c>
      <c r="J62" s="38">
        <v>92.631399999999999</v>
      </c>
      <c r="K62" s="1"/>
      <c r="L62" s="38">
        <v>6.9036499999999998</v>
      </c>
      <c r="M62" s="38">
        <v>6.9013</v>
      </c>
      <c r="O62" s="46">
        <v>5.3777910000000002</v>
      </c>
      <c r="P62" s="46">
        <v>5.5830000000000002</v>
      </c>
      <c r="Q62" s="1"/>
      <c r="R62" s="44">
        <v>710.01499999999999</v>
      </c>
      <c r="S62" s="44">
        <v>708.92200000000003</v>
      </c>
      <c r="T62" s="1"/>
      <c r="U62" s="32">
        <v>3726.67</v>
      </c>
      <c r="V62" s="32">
        <v>3651.59</v>
      </c>
      <c r="W62" s="1"/>
      <c r="X62" s="32">
        <v>6496.62</v>
      </c>
      <c r="Y62" s="32">
        <v>6394.81</v>
      </c>
      <c r="Z62" s="1"/>
      <c r="AA62" s="32">
        <v>1208.05</v>
      </c>
      <c r="AB62" s="32">
        <v>1145.99</v>
      </c>
      <c r="AC62" s="1"/>
      <c r="AD62" s="38">
        <v>3.7851699999999999</v>
      </c>
      <c r="AE62" s="38">
        <v>3.6962000000000002</v>
      </c>
      <c r="AF62" s="1"/>
      <c r="AG62" s="38">
        <v>43.984720000000003</v>
      </c>
      <c r="AH62" s="38">
        <v>44.155500000000004</v>
      </c>
      <c r="AI62" s="1"/>
      <c r="AJ62" s="38">
        <v>8.1789799999999993</v>
      </c>
      <c r="AK62" s="38">
        <v>7.9116</v>
      </c>
      <c r="AL62" s="1"/>
      <c r="AM62" s="13">
        <v>615.98310000000004</v>
      </c>
      <c r="AN62" s="13">
        <v>613.35749999999996</v>
      </c>
      <c r="AO62" s="1"/>
      <c r="AP62" s="13">
        <v>56.843200000000003</v>
      </c>
      <c r="AQ62" s="13">
        <v>56.870600000000003</v>
      </c>
      <c r="AR62" s="1"/>
      <c r="AS62" s="13">
        <v>1</v>
      </c>
      <c r="AT62" s="13">
        <v>1</v>
      </c>
      <c r="AU62" s="1"/>
      <c r="AV62" s="38">
        <v>7.7152779999999996</v>
      </c>
      <c r="AW62" s="38">
        <v>7.7123999999999997</v>
      </c>
      <c r="AX62" s="1"/>
      <c r="AY62" s="38">
        <v>8.75</v>
      </c>
      <c r="AZ62" s="38">
        <v>8.75</v>
      </c>
      <c r="BA62" s="1"/>
      <c r="BB62" s="38">
        <v>24.051600000000001</v>
      </c>
      <c r="BC62" s="38">
        <v>24.049299999999999</v>
      </c>
      <c r="BD62" s="1"/>
      <c r="BE62" s="38">
        <v>35.072719999999997</v>
      </c>
      <c r="BF62" s="38">
        <v>35.014699999999998</v>
      </c>
      <c r="BG62" s="1"/>
      <c r="BH62" s="38">
        <v>6.7907999999999999</v>
      </c>
      <c r="BI62" s="38">
        <v>6.7858999999999998</v>
      </c>
    </row>
    <row r="63" spans="1:61" x14ac:dyDescent="0.3">
      <c r="B63" s="18">
        <v>44347</v>
      </c>
      <c r="C63" s="13">
        <v>19.944199999999999</v>
      </c>
      <c r="D63" s="13">
        <v>19.9938</v>
      </c>
      <c r="F63" s="46">
        <v>0.81914399999999998</v>
      </c>
      <c r="G63" s="46">
        <v>0.82350000000000001</v>
      </c>
      <c r="I63" s="38">
        <v>94.556759999999997</v>
      </c>
      <c r="J63" s="38">
        <v>94.042000000000002</v>
      </c>
      <c r="K63" s="1"/>
      <c r="L63" s="38">
        <v>6.9033499999999997</v>
      </c>
      <c r="M63" s="38">
        <v>6.9020000000000001</v>
      </c>
      <c r="O63" s="46">
        <v>5.2299360000000004</v>
      </c>
      <c r="P63" s="46">
        <v>5.3028000000000004</v>
      </c>
      <c r="Q63" s="1"/>
      <c r="R63" s="44">
        <v>723.53200000000004</v>
      </c>
      <c r="S63" s="44">
        <v>711.899</v>
      </c>
      <c r="T63" s="1"/>
      <c r="U63" s="32">
        <v>3708.17</v>
      </c>
      <c r="V63" s="32">
        <v>3736.51</v>
      </c>
      <c r="W63" s="1"/>
      <c r="X63" s="32">
        <v>6748.09</v>
      </c>
      <c r="Y63" s="32">
        <v>6688.17</v>
      </c>
      <c r="Z63" s="1"/>
      <c r="AA63" s="32">
        <v>1290.29</v>
      </c>
      <c r="AB63" s="32">
        <v>1261.6099999999999</v>
      </c>
      <c r="AC63" s="1"/>
      <c r="AD63" s="38">
        <v>3.8229799999999998</v>
      </c>
      <c r="AE63" s="38">
        <v>3.77</v>
      </c>
      <c r="AF63" s="1"/>
      <c r="AG63" s="38">
        <v>43.842919999999999</v>
      </c>
      <c r="AH63" s="38">
        <v>44.024500000000003</v>
      </c>
      <c r="AI63" s="1"/>
      <c r="AJ63" s="38">
        <v>8.3831000000000007</v>
      </c>
      <c r="AK63" s="38">
        <v>8.3035999999999994</v>
      </c>
      <c r="AL63" s="1"/>
      <c r="AM63" s="13">
        <v>617.64400000000001</v>
      </c>
      <c r="AN63" s="13">
        <v>616.51859999999999</v>
      </c>
      <c r="AO63" s="1"/>
      <c r="AP63" s="13">
        <v>56.867600000000003</v>
      </c>
      <c r="AQ63" s="13">
        <v>56.929900000000004</v>
      </c>
      <c r="AR63" s="1"/>
      <c r="AS63" s="13">
        <v>1</v>
      </c>
      <c r="AT63" s="13">
        <v>1</v>
      </c>
      <c r="AU63" s="1"/>
      <c r="AV63" s="38">
        <v>7.7230290000000004</v>
      </c>
      <c r="AW63" s="38">
        <v>7.718</v>
      </c>
      <c r="AX63" s="1"/>
      <c r="AY63" s="38">
        <v>8.75</v>
      </c>
      <c r="AZ63" s="38">
        <v>8.75</v>
      </c>
      <c r="BA63" s="1"/>
      <c r="BB63" s="38">
        <v>24.023230000000002</v>
      </c>
      <c r="BC63" s="38">
        <v>24.052099999999999</v>
      </c>
      <c r="BD63" s="1"/>
      <c r="BE63" s="38">
        <v>35.009689999999999</v>
      </c>
      <c r="BF63" s="38">
        <v>35.109499999999997</v>
      </c>
      <c r="BG63" s="1"/>
      <c r="BH63" s="38">
        <v>6.79399</v>
      </c>
      <c r="BI63" s="38">
        <v>6.7915000000000001</v>
      </c>
    </row>
    <row r="64" spans="1:61" x14ac:dyDescent="0.3">
      <c r="B64" s="18">
        <v>44377</v>
      </c>
      <c r="C64" s="13">
        <v>19.8157</v>
      </c>
      <c r="D64" s="13">
        <v>20.038399999999999</v>
      </c>
      <c r="F64" s="46">
        <v>0.84185200000000004</v>
      </c>
      <c r="G64" s="46">
        <v>0.8306</v>
      </c>
      <c r="I64" s="38">
        <v>95.661919999999995</v>
      </c>
      <c r="J64" s="38">
        <v>95.200599999999994</v>
      </c>
      <c r="K64" s="1"/>
      <c r="L64" s="38">
        <v>6.9166699999999999</v>
      </c>
      <c r="M64" s="38">
        <v>6.9130000000000003</v>
      </c>
      <c r="O64" s="46">
        <v>4.9716060000000004</v>
      </c>
      <c r="P64" s="46">
        <v>5.0377999999999998</v>
      </c>
      <c r="Q64" s="1"/>
      <c r="R64" s="44">
        <v>728.94399999999996</v>
      </c>
      <c r="S64" s="44">
        <v>728.93</v>
      </c>
      <c r="T64" s="1"/>
      <c r="U64" s="32">
        <v>3760.53</v>
      </c>
      <c r="V64" s="32">
        <v>3691.77</v>
      </c>
      <c r="W64" s="1"/>
      <c r="X64" s="32">
        <v>6766.64</v>
      </c>
      <c r="Y64" s="32">
        <v>6749.38</v>
      </c>
      <c r="Z64" s="1"/>
      <c r="AA64" s="32">
        <v>1361.07</v>
      </c>
      <c r="AB64" s="32">
        <v>1340.02</v>
      </c>
      <c r="AC64" s="1"/>
      <c r="AD64" s="38">
        <v>3.8801399999999999</v>
      </c>
      <c r="AE64" s="38">
        <v>3.9037999999999999</v>
      </c>
      <c r="AF64" s="1"/>
      <c r="AG64" s="38">
        <v>43.511710000000001</v>
      </c>
      <c r="AH64" s="38">
        <v>43.632899999999999</v>
      </c>
      <c r="AI64" s="1"/>
      <c r="AJ64" s="38">
        <v>8.7520799999999994</v>
      </c>
      <c r="AK64" s="38">
        <v>8.6624999999999996</v>
      </c>
      <c r="AL64" s="1"/>
      <c r="AM64" s="13">
        <v>620.03520000000003</v>
      </c>
      <c r="AN64" s="13">
        <v>619.03819999999996</v>
      </c>
      <c r="AO64" s="1"/>
      <c r="AP64" s="13">
        <v>57.096800000000002</v>
      </c>
      <c r="AQ64" s="13">
        <v>57.033000000000001</v>
      </c>
      <c r="AR64" s="1"/>
      <c r="AS64" s="13">
        <v>1</v>
      </c>
      <c r="AT64" s="13">
        <v>1</v>
      </c>
      <c r="AU64" s="1"/>
      <c r="AV64" s="38">
        <v>7.7529060000000003</v>
      </c>
      <c r="AW64" s="38">
        <v>7.7314999999999996</v>
      </c>
      <c r="AX64" s="1"/>
      <c r="AY64" s="38">
        <v>8.75</v>
      </c>
      <c r="AZ64" s="38">
        <v>8.75</v>
      </c>
      <c r="BA64" s="1"/>
      <c r="BB64" s="38">
        <v>23.959050000000001</v>
      </c>
      <c r="BC64" s="38">
        <v>24.028199999999998</v>
      </c>
      <c r="BD64" s="1"/>
      <c r="BE64" s="38">
        <v>35.232419999999998</v>
      </c>
      <c r="BF64" s="38">
        <v>35.041200000000003</v>
      </c>
      <c r="BG64" s="1"/>
      <c r="BH64" s="38">
        <v>6.7957200000000002</v>
      </c>
      <c r="BI64" s="38">
        <v>6.7864000000000004</v>
      </c>
    </row>
    <row r="65" spans="2:61" x14ac:dyDescent="0.3">
      <c r="B65" s="18">
        <v>44408</v>
      </c>
      <c r="C65" s="13">
        <v>19.844799999999999</v>
      </c>
      <c r="D65" s="13">
        <v>19.986499999999999</v>
      </c>
      <c r="F65" s="46">
        <v>0.84265199999999996</v>
      </c>
      <c r="G65" s="46">
        <v>0.84560000000000002</v>
      </c>
      <c r="I65" s="38">
        <v>96.714500000000001</v>
      </c>
      <c r="J65" s="38">
        <v>96.173100000000005</v>
      </c>
      <c r="K65" s="1"/>
      <c r="L65" s="38">
        <v>6.9041499999999996</v>
      </c>
      <c r="M65" s="38">
        <v>6.9031000000000002</v>
      </c>
      <c r="O65" s="46">
        <v>5.2122000000000002</v>
      </c>
      <c r="P65" s="46">
        <v>5.1589999999999998</v>
      </c>
      <c r="Q65" s="1"/>
      <c r="R65" s="44">
        <v>756.71299999999997</v>
      </c>
      <c r="S65" s="44">
        <v>751.827</v>
      </c>
      <c r="T65" s="1"/>
      <c r="U65" s="32">
        <v>3877.75</v>
      </c>
      <c r="V65" s="32">
        <v>3830.28</v>
      </c>
      <c r="W65" s="1"/>
      <c r="X65" s="32">
        <v>6906.93</v>
      </c>
      <c r="Y65" s="32">
        <v>6830.55</v>
      </c>
      <c r="Z65" s="1"/>
      <c r="AA65" s="32">
        <v>1325.15</v>
      </c>
      <c r="AB65" s="32">
        <v>1324.24</v>
      </c>
      <c r="AC65" s="1"/>
      <c r="AD65" s="38">
        <v>3.92387</v>
      </c>
      <c r="AE65" s="38">
        <v>3.9308000000000001</v>
      </c>
      <c r="AF65" s="1"/>
      <c r="AG65" s="38">
        <v>43.738680000000002</v>
      </c>
      <c r="AH65" s="38">
        <v>43.8262</v>
      </c>
      <c r="AI65" s="1"/>
      <c r="AJ65" s="38">
        <v>8.3916199999999996</v>
      </c>
      <c r="AK65" s="38">
        <v>8.4964999999999993</v>
      </c>
      <c r="AL65" s="1"/>
      <c r="AM65" s="13">
        <v>619.66719999999998</v>
      </c>
      <c r="AN65" s="13">
        <v>619.87850000000003</v>
      </c>
      <c r="AO65" s="1"/>
      <c r="AP65" s="13">
        <v>57.000500000000002</v>
      </c>
      <c r="AQ65" s="13">
        <v>57.057299999999998</v>
      </c>
      <c r="AR65" s="1"/>
      <c r="AS65" s="13">
        <v>1</v>
      </c>
      <c r="AT65" s="13">
        <v>1</v>
      </c>
      <c r="AU65" s="1"/>
      <c r="AV65" s="38">
        <v>7.748062</v>
      </c>
      <c r="AW65" s="38">
        <v>7.7477</v>
      </c>
      <c r="AX65" s="1"/>
      <c r="AY65" s="38">
        <v>8.75</v>
      </c>
      <c r="AZ65" s="38">
        <v>8.75</v>
      </c>
      <c r="BA65" s="1"/>
      <c r="BB65" s="38">
        <v>23.72137</v>
      </c>
      <c r="BC65" s="38">
        <v>23.855399999999999</v>
      </c>
      <c r="BD65" s="1"/>
      <c r="BE65" s="38">
        <v>35.104649999999999</v>
      </c>
      <c r="BF65" s="38">
        <v>35.096699999999998</v>
      </c>
      <c r="BG65" s="1"/>
      <c r="BH65" s="38">
        <v>6.79162</v>
      </c>
      <c r="BI65" s="38">
        <v>6.7884000000000002</v>
      </c>
    </row>
    <row r="66" spans="2:61" x14ac:dyDescent="0.3">
      <c r="B66" s="18">
        <v>44439</v>
      </c>
      <c r="C66" s="13">
        <v>20.1403</v>
      </c>
      <c r="D66" s="13">
        <v>20.0608</v>
      </c>
      <c r="F66" s="46">
        <v>0.84629900000000002</v>
      </c>
      <c r="G66" s="46">
        <v>0.84960000000000002</v>
      </c>
      <c r="I66" s="38">
        <v>97.66816</v>
      </c>
      <c r="J66" s="38">
        <v>97.1374</v>
      </c>
      <c r="K66" s="1"/>
      <c r="L66" s="38">
        <v>6.8953499999999996</v>
      </c>
      <c r="M66" s="38">
        <v>6.9042000000000003</v>
      </c>
      <c r="O66" s="46">
        <v>5.1703020000000004</v>
      </c>
      <c r="P66" s="46">
        <v>5.2554999999999996</v>
      </c>
      <c r="Q66" s="1"/>
      <c r="R66" s="44">
        <v>779.5</v>
      </c>
      <c r="S66" s="44">
        <v>780.66700000000003</v>
      </c>
      <c r="T66" s="1"/>
      <c r="U66" s="32">
        <v>3796.47</v>
      </c>
      <c r="V66" s="32">
        <v>3882.86</v>
      </c>
      <c r="W66" s="1"/>
      <c r="X66" s="32">
        <v>6923.49</v>
      </c>
      <c r="Y66" s="32">
        <v>6926.82</v>
      </c>
      <c r="Z66" s="1"/>
      <c r="AA66" s="32">
        <v>1339.09</v>
      </c>
      <c r="AB66" s="32">
        <v>1318.22</v>
      </c>
      <c r="AC66" s="1"/>
      <c r="AD66" s="38">
        <v>4.0768399999999998</v>
      </c>
      <c r="AE66" s="38">
        <v>4.0766999999999998</v>
      </c>
      <c r="AF66" s="1"/>
      <c r="AG66" s="38">
        <v>42.534419999999997</v>
      </c>
      <c r="AH66" s="38">
        <v>43.341200000000001</v>
      </c>
      <c r="AI66" s="1"/>
      <c r="AJ66" s="38">
        <v>8.2267100000000006</v>
      </c>
      <c r="AK66" s="38">
        <v>8.2483000000000004</v>
      </c>
      <c r="AL66" s="1"/>
      <c r="AM66" s="13">
        <v>621.31209999999999</v>
      </c>
      <c r="AN66" s="13">
        <v>620.9126</v>
      </c>
      <c r="AO66" s="1"/>
      <c r="AP66" s="13">
        <v>56.923499999999997</v>
      </c>
      <c r="AQ66" s="13">
        <v>57.057400000000001</v>
      </c>
      <c r="AR66" s="1"/>
      <c r="AS66" s="13">
        <v>1</v>
      </c>
      <c r="AT66" s="13">
        <v>1</v>
      </c>
      <c r="AU66" s="1"/>
      <c r="AV66" s="38">
        <v>7.7342139999999997</v>
      </c>
      <c r="AW66" s="38">
        <v>7.7468000000000004</v>
      </c>
      <c r="AX66" s="1"/>
      <c r="AY66" s="38">
        <v>8.75</v>
      </c>
      <c r="AZ66" s="38">
        <v>8.75</v>
      </c>
      <c r="BA66" s="1"/>
      <c r="BB66" s="38">
        <v>23.81241</v>
      </c>
      <c r="BC66" s="38">
        <v>23.767499999999998</v>
      </c>
      <c r="BD66" s="1"/>
      <c r="BE66" s="38">
        <v>35.086269999999999</v>
      </c>
      <c r="BF66" s="38">
        <v>35.1248</v>
      </c>
      <c r="BG66" s="1"/>
      <c r="BH66" s="38">
        <v>6.7889200000000001</v>
      </c>
      <c r="BI66" s="38">
        <v>6.7912999999999997</v>
      </c>
    </row>
    <row r="67" spans="2:61" x14ac:dyDescent="0.3">
      <c r="B67" s="18">
        <v>44469</v>
      </c>
      <c r="C67" s="13">
        <v>20.497699999999998</v>
      </c>
      <c r="D67" s="13">
        <v>20.002800000000001</v>
      </c>
      <c r="F67" s="46">
        <v>0.862846</v>
      </c>
      <c r="G67" s="46">
        <v>0.84930000000000005</v>
      </c>
      <c r="I67" s="38">
        <v>98.680120000000002</v>
      </c>
      <c r="J67" s="38">
        <v>98.215599999999995</v>
      </c>
      <c r="K67" s="1"/>
      <c r="L67" s="38">
        <v>6.9160199999999996</v>
      </c>
      <c r="M67" s="38">
        <v>6.9024000000000001</v>
      </c>
      <c r="O67" s="46">
        <v>5.4284629999999998</v>
      </c>
      <c r="P67" s="46">
        <v>5.2697000000000003</v>
      </c>
      <c r="Q67" s="1"/>
      <c r="R67" s="44">
        <v>810.63300000000004</v>
      </c>
      <c r="S67" s="44">
        <v>784.81700000000001</v>
      </c>
      <c r="T67" s="1"/>
      <c r="U67" s="32">
        <v>3825.39</v>
      </c>
      <c r="V67" s="32">
        <v>3821.94</v>
      </c>
      <c r="W67" s="1"/>
      <c r="X67" s="32">
        <v>6896.54</v>
      </c>
      <c r="Y67" s="32">
        <v>6901.38</v>
      </c>
      <c r="Z67" s="1"/>
      <c r="AA67" s="32">
        <v>1270.45</v>
      </c>
      <c r="AB67" s="32">
        <v>1309.93</v>
      </c>
      <c r="AC67" s="1"/>
      <c r="AD67" s="38">
        <v>4.1364999999999998</v>
      </c>
      <c r="AE67" s="38">
        <v>4.1074000000000002</v>
      </c>
      <c r="AF67" s="1"/>
      <c r="AG67" s="38">
        <v>42.880229999999997</v>
      </c>
      <c r="AH67" s="38">
        <v>42.6676</v>
      </c>
      <c r="AI67" s="1"/>
      <c r="AJ67" s="38">
        <v>7.8991699999999998</v>
      </c>
      <c r="AK67" s="38">
        <v>8.0982000000000003</v>
      </c>
      <c r="AL67" s="1"/>
      <c r="AM67" s="13">
        <v>626.6191</v>
      </c>
      <c r="AN67" s="13">
        <v>624.4126</v>
      </c>
      <c r="AO67" s="1"/>
      <c r="AP67" s="13">
        <v>56.487299999999998</v>
      </c>
      <c r="AQ67" s="13">
        <v>56.679299999999998</v>
      </c>
      <c r="AR67" s="1"/>
      <c r="AS67" s="13">
        <v>1</v>
      </c>
      <c r="AT67" s="13">
        <v>1</v>
      </c>
      <c r="AU67" s="1"/>
      <c r="AV67" s="38">
        <v>7.7508290000000004</v>
      </c>
      <c r="AW67" s="38">
        <v>7.7380000000000004</v>
      </c>
      <c r="AX67" s="1"/>
      <c r="AY67" s="38">
        <v>8.75</v>
      </c>
      <c r="AZ67" s="38">
        <v>8.75</v>
      </c>
      <c r="BA67" s="1"/>
      <c r="BB67" s="38">
        <v>24.179539999999999</v>
      </c>
      <c r="BC67" s="38">
        <v>24.0761</v>
      </c>
      <c r="BD67" s="1"/>
      <c r="BE67" s="38">
        <v>35.230440000000002</v>
      </c>
      <c r="BF67" s="38">
        <v>35.143599999999999</v>
      </c>
      <c r="BG67" s="1"/>
      <c r="BH67" s="38">
        <v>6.8022799999999997</v>
      </c>
      <c r="BI67" s="38">
        <v>6.7930000000000001</v>
      </c>
    </row>
    <row r="68" spans="2:61" x14ac:dyDescent="0.3">
      <c r="B68" s="18">
        <v>44500</v>
      </c>
      <c r="C68" s="13">
        <v>20.325500000000002</v>
      </c>
      <c r="D68" s="13">
        <v>20.466899999999999</v>
      </c>
      <c r="F68" s="46">
        <v>0.86491600000000002</v>
      </c>
      <c r="G68" s="46">
        <v>0.86219999999999997</v>
      </c>
      <c r="I68" s="38">
        <v>99.682259999999999</v>
      </c>
      <c r="J68" s="38">
        <v>99.155900000000003</v>
      </c>
      <c r="K68" s="1"/>
      <c r="L68" s="38">
        <v>6.8946500000000004</v>
      </c>
      <c r="M68" s="38">
        <v>6.9042000000000003</v>
      </c>
      <c r="O68" s="46">
        <v>5.6358839999999999</v>
      </c>
      <c r="P68" s="46">
        <v>5.5311000000000003</v>
      </c>
      <c r="Q68" s="1"/>
      <c r="R68" s="44">
        <v>813.5</v>
      </c>
      <c r="S68" s="44">
        <v>814.74900000000002</v>
      </c>
      <c r="T68" s="1"/>
      <c r="U68" s="32">
        <v>3761.58</v>
      </c>
      <c r="V68" s="32">
        <v>3770.24</v>
      </c>
      <c r="W68" s="1"/>
      <c r="X68" s="32">
        <v>6912.36</v>
      </c>
      <c r="Y68" s="32">
        <v>6906.39</v>
      </c>
      <c r="Z68" s="1"/>
      <c r="AA68" s="32">
        <v>1226.5</v>
      </c>
      <c r="AB68" s="32">
        <v>1248.93</v>
      </c>
      <c r="AC68" s="1"/>
      <c r="AD68" s="38">
        <v>3.9777300000000002</v>
      </c>
      <c r="AE68" s="38">
        <v>4.0227000000000004</v>
      </c>
      <c r="AF68" s="1"/>
      <c r="AG68" s="38">
        <v>43.83813</v>
      </c>
      <c r="AH68" s="38">
        <v>43.515500000000003</v>
      </c>
      <c r="AI68" s="1"/>
      <c r="AJ68" s="38">
        <v>7.7784300000000002</v>
      </c>
      <c r="AK68" s="38">
        <v>7.8685999999999998</v>
      </c>
      <c r="AL68" s="1"/>
      <c r="AM68" s="13">
        <v>634.12699999999995</v>
      </c>
      <c r="AN68" s="13">
        <v>627.92660000000001</v>
      </c>
      <c r="AO68" s="1"/>
      <c r="AP68" s="13">
        <v>56.454999999999998</v>
      </c>
      <c r="AQ68" s="13">
        <v>56.384799999999998</v>
      </c>
      <c r="AR68" s="1"/>
      <c r="AS68" s="13">
        <v>1</v>
      </c>
      <c r="AT68" s="13">
        <v>1</v>
      </c>
      <c r="AU68" s="1"/>
      <c r="AV68" s="38">
        <v>7.7417809999999996</v>
      </c>
      <c r="AW68" s="38">
        <v>7.7385000000000002</v>
      </c>
      <c r="AX68" s="1"/>
      <c r="AY68" s="38">
        <v>8.75</v>
      </c>
      <c r="AZ68" s="38">
        <v>8.75</v>
      </c>
      <c r="BA68" s="1"/>
      <c r="BB68" s="38">
        <v>24.125830000000001</v>
      </c>
      <c r="BC68" s="38">
        <v>24.1372</v>
      </c>
      <c r="BD68" s="1"/>
      <c r="BE68" s="38">
        <v>35.199750000000002</v>
      </c>
      <c r="BF68" s="38">
        <v>35.193100000000001</v>
      </c>
      <c r="BG68" s="1"/>
      <c r="BH68" s="38">
        <v>6.7755400000000003</v>
      </c>
      <c r="BI68" s="38">
        <v>6.7906000000000004</v>
      </c>
    </row>
    <row r="69" spans="2:61" x14ac:dyDescent="0.3">
      <c r="B69" s="18">
        <v>44530</v>
      </c>
      <c r="C69" s="13">
        <v>21.7333</v>
      </c>
      <c r="D69" s="13">
        <v>20.829499999999999</v>
      </c>
      <c r="F69" s="46">
        <v>0.88295000000000001</v>
      </c>
      <c r="G69" s="46">
        <v>0.87660000000000005</v>
      </c>
      <c r="I69" s="38">
        <v>100.90996</v>
      </c>
      <c r="J69" s="38">
        <v>100.288</v>
      </c>
      <c r="K69" s="1"/>
      <c r="L69" s="38">
        <v>6.8925400000000003</v>
      </c>
      <c r="M69" s="38">
        <v>6.9021999999999997</v>
      </c>
      <c r="O69" s="46">
        <v>5.6131409999999997</v>
      </c>
      <c r="P69" s="46">
        <v>5.5572999999999997</v>
      </c>
      <c r="Q69" s="1"/>
      <c r="R69" s="44">
        <v>838.26</v>
      </c>
      <c r="S69" s="44">
        <v>815.11500000000001</v>
      </c>
      <c r="T69" s="1"/>
      <c r="U69" s="32">
        <v>4019.87</v>
      </c>
      <c r="V69" s="32">
        <v>3905.47</v>
      </c>
      <c r="W69" s="1"/>
      <c r="X69" s="32">
        <v>6829.22</v>
      </c>
      <c r="Y69" s="32">
        <v>6865.65</v>
      </c>
      <c r="Z69" s="1"/>
      <c r="AA69" s="32">
        <v>1216.6600000000001</v>
      </c>
      <c r="AB69" s="32">
        <v>1235.6199999999999</v>
      </c>
      <c r="AC69" s="1"/>
      <c r="AD69" s="38">
        <v>4.0538100000000004</v>
      </c>
      <c r="AE69" s="38">
        <v>4.0187999999999997</v>
      </c>
      <c r="AF69" s="1"/>
      <c r="AG69" s="38">
        <v>44.094239999999999</v>
      </c>
      <c r="AH69" s="38">
        <v>44.023000000000003</v>
      </c>
      <c r="AI69" s="1"/>
      <c r="AJ69" s="38">
        <v>7.8555700000000002</v>
      </c>
      <c r="AK69" s="38">
        <v>7.9225000000000003</v>
      </c>
      <c r="AL69" s="1"/>
      <c r="AM69" s="13">
        <v>630.85050000000001</v>
      </c>
      <c r="AN69" s="13">
        <v>639.77650000000006</v>
      </c>
      <c r="AO69" s="1"/>
      <c r="AP69" s="13">
        <v>56.583100000000002</v>
      </c>
      <c r="AQ69" s="13">
        <v>56.549799999999998</v>
      </c>
      <c r="AR69" s="1"/>
      <c r="AS69" s="13">
        <v>1</v>
      </c>
      <c r="AT69" s="13">
        <v>1</v>
      </c>
      <c r="AU69" s="1"/>
      <c r="AV69" s="38">
        <v>7.73698</v>
      </c>
      <c r="AW69" s="38">
        <v>7.7403000000000004</v>
      </c>
      <c r="AX69" s="1"/>
      <c r="AY69" s="38">
        <v>8.75</v>
      </c>
      <c r="AZ69" s="38">
        <v>8.75</v>
      </c>
      <c r="BA69" s="1"/>
      <c r="BB69" s="38">
        <v>24.133620000000001</v>
      </c>
      <c r="BC69" s="38">
        <v>24.1433</v>
      </c>
      <c r="BD69" s="1"/>
      <c r="BE69" s="38">
        <v>35.221960000000003</v>
      </c>
      <c r="BF69" s="38">
        <v>35.2331</v>
      </c>
      <c r="BG69" s="1"/>
      <c r="BH69" s="38">
        <v>6.7815500000000002</v>
      </c>
      <c r="BI69" s="38">
        <v>6.7896999999999998</v>
      </c>
    </row>
    <row r="70" spans="2:61" x14ac:dyDescent="0.3">
      <c r="B70" s="18">
        <v>44561</v>
      </c>
      <c r="C70" s="13">
        <v>20.515699999999999</v>
      </c>
      <c r="D70" s="13">
        <v>20.946000000000002</v>
      </c>
      <c r="F70" s="46">
        <v>0.88159399999999999</v>
      </c>
      <c r="G70" s="46">
        <v>0.88480000000000003</v>
      </c>
      <c r="I70" s="38">
        <v>102.68828999999999</v>
      </c>
      <c r="J70" s="38">
        <v>101.81870000000001</v>
      </c>
      <c r="K70" s="1"/>
      <c r="L70" s="38">
        <v>6.9032099999999996</v>
      </c>
      <c r="M70" s="38">
        <v>6.9002999999999997</v>
      </c>
      <c r="O70" s="46">
        <v>5.5716710000000003</v>
      </c>
      <c r="P70" s="46">
        <v>5.6559999999999997</v>
      </c>
      <c r="Q70" s="1"/>
      <c r="R70" s="44">
        <v>851.54100000000005</v>
      </c>
      <c r="S70" s="44">
        <v>849.18100000000004</v>
      </c>
      <c r="T70" s="1"/>
      <c r="U70" s="32">
        <v>4057.28</v>
      </c>
      <c r="V70" s="32">
        <v>3968.37</v>
      </c>
      <c r="W70" s="1"/>
      <c r="X70" s="32">
        <v>6823.78</v>
      </c>
      <c r="Y70" s="32">
        <v>6815.73</v>
      </c>
      <c r="Z70" s="1"/>
      <c r="AA70" s="32">
        <v>1224.73</v>
      </c>
      <c r="AB70" s="32">
        <v>1205.1300000000001</v>
      </c>
      <c r="AC70" s="1"/>
      <c r="AD70" s="38">
        <v>3.9874999999999998</v>
      </c>
      <c r="AE70" s="38">
        <v>4.0435999999999996</v>
      </c>
      <c r="AF70" s="1"/>
      <c r="AG70" s="38">
        <v>44.578650000000003</v>
      </c>
      <c r="AH70" s="38">
        <v>44.302</v>
      </c>
      <c r="AI70" s="1"/>
      <c r="AJ70" s="38">
        <v>8.0009700000000006</v>
      </c>
      <c r="AK70" s="38">
        <v>7.8331</v>
      </c>
      <c r="AL70" s="1"/>
      <c r="AM70" s="13">
        <v>642.2183</v>
      </c>
      <c r="AN70" s="13">
        <v>636.68380000000002</v>
      </c>
      <c r="AO70" s="1"/>
      <c r="AP70" s="13">
        <v>57.293199999999999</v>
      </c>
      <c r="AQ70" s="13">
        <v>56.890700000000002</v>
      </c>
      <c r="AR70" s="1"/>
      <c r="AS70" s="13">
        <v>1</v>
      </c>
      <c r="AT70" s="13">
        <v>1</v>
      </c>
      <c r="AU70" s="1"/>
      <c r="AV70" s="38">
        <v>7.71896</v>
      </c>
      <c r="AW70" s="38">
        <v>7.7295999999999996</v>
      </c>
      <c r="AX70" s="1"/>
      <c r="AY70" s="38">
        <v>8.75</v>
      </c>
      <c r="AZ70" s="38">
        <v>8.75</v>
      </c>
      <c r="BA70" s="1"/>
      <c r="BB70" s="38">
        <v>24.44275</v>
      </c>
      <c r="BC70" s="38">
        <v>24.287600000000001</v>
      </c>
      <c r="BD70" s="1"/>
      <c r="BE70" s="38">
        <v>35.405709999999999</v>
      </c>
      <c r="BF70" s="38">
        <v>35.321300000000001</v>
      </c>
      <c r="BG70" s="1"/>
      <c r="BH70" s="38">
        <v>6.7946400000000002</v>
      </c>
      <c r="BI70" s="38">
        <v>6.7930999999999999</v>
      </c>
    </row>
    <row r="71" spans="2:61" x14ac:dyDescent="0.3">
      <c r="B71" s="18">
        <v>44592</v>
      </c>
      <c r="C71" s="13">
        <v>20.8597</v>
      </c>
      <c r="D71" s="13">
        <v>20.494599999999998</v>
      </c>
      <c r="F71" s="46">
        <v>0.89386500000000002</v>
      </c>
      <c r="G71" s="46">
        <v>0.88319999999999999</v>
      </c>
      <c r="I71" s="38">
        <v>104.83852</v>
      </c>
      <c r="J71" s="38">
        <v>103.8693</v>
      </c>
      <c r="K71" s="1"/>
      <c r="L71" s="38">
        <v>6.8834299999999997</v>
      </c>
      <c r="M71" s="38">
        <v>6.8907999999999996</v>
      </c>
      <c r="O71" s="46">
        <v>5.3451680000000001</v>
      </c>
      <c r="P71" s="46">
        <v>5.5288000000000004</v>
      </c>
      <c r="Q71" s="1"/>
      <c r="R71" s="44">
        <v>807.74199999999996</v>
      </c>
      <c r="S71" s="44">
        <v>821.31399999999996</v>
      </c>
      <c r="T71" s="1"/>
      <c r="U71" s="32">
        <v>3951.42</v>
      </c>
      <c r="V71" s="32">
        <v>4003.36</v>
      </c>
      <c r="W71" s="1"/>
      <c r="X71" s="32">
        <v>7056.61</v>
      </c>
      <c r="Y71" s="32">
        <v>6951.25</v>
      </c>
      <c r="Z71" s="1"/>
      <c r="AA71" s="32">
        <v>1320.2</v>
      </c>
      <c r="AB71" s="32">
        <v>1257.8499999999999</v>
      </c>
      <c r="AC71" s="1"/>
      <c r="AD71" s="38">
        <v>3.8408500000000001</v>
      </c>
      <c r="AE71" s="38">
        <v>3.8948999999999998</v>
      </c>
      <c r="AF71" s="1"/>
      <c r="AG71" s="38">
        <v>43.928489999999996</v>
      </c>
      <c r="AH71" s="38">
        <v>44.551099999999998</v>
      </c>
      <c r="AI71" s="1"/>
      <c r="AJ71" s="38">
        <v>8.2183899999999994</v>
      </c>
      <c r="AK71" s="38">
        <v>8.0602</v>
      </c>
      <c r="AL71" s="1"/>
      <c r="AM71" s="13">
        <v>640.5498</v>
      </c>
      <c r="AN71" s="13">
        <v>639.00419999999997</v>
      </c>
      <c r="AO71" s="1"/>
      <c r="AP71" s="13">
        <v>57.613599999999998</v>
      </c>
      <c r="AQ71" s="13">
        <v>57.618000000000002</v>
      </c>
      <c r="AR71" s="1"/>
      <c r="AS71" s="13">
        <v>1</v>
      </c>
      <c r="AT71" s="13">
        <v>1</v>
      </c>
      <c r="AU71" s="1"/>
      <c r="AV71" s="38">
        <v>7.6822939999999997</v>
      </c>
      <c r="AW71" s="38">
        <v>7.7068000000000003</v>
      </c>
      <c r="AX71" s="1"/>
      <c r="AY71" s="38">
        <v>8.75</v>
      </c>
      <c r="AZ71" s="38">
        <v>8.75</v>
      </c>
      <c r="BA71" s="1"/>
      <c r="BB71" s="38">
        <v>24.57386</v>
      </c>
      <c r="BC71" s="38">
        <v>24.548100000000002</v>
      </c>
      <c r="BD71" s="1"/>
      <c r="BE71" s="38">
        <v>35.414999999999999</v>
      </c>
      <c r="BF71" s="38">
        <v>35.427</v>
      </c>
      <c r="BG71" s="1"/>
      <c r="BH71" s="38">
        <v>6.7871699999999997</v>
      </c>
      <c r="BI71" s="38">
        <v>6.7901999999999996</v>
      </c>
    </row>
    <row r="72" spans="2:61" x14ac:dyDescent="0.3">
      <c r="B72" s="18">
        <v>44620</v>
      </c>
      <c r="C72" s="13">
        <v>20.4465</v>
      </c>
      <c r="D72" s="13">
        <v>20.4696</v>
      </c>
      <c r="F72" s="46">
        <v>0.89344599999999996</v>
      </c>
      <c r="G72" s="46">
        <v>0.88170000000000004</v>
      </c>
      <c r="I72" s="38">
        <v>107.44714</v>
      </c>
      <c r="J72" s="38">
        <v>106.33750000000001</v>
      </c>
      <c r="K72" s="1"/>
      <c r="L72" s="38">
        <v>6.8815200000000001</v>
      </c>
      <c r="M72" s="38">
        <v>6.8841000000000001</v>
      </c>
      <c r="O72" s="46">
        <v>5.1634289999999998</v>
      </c>
      <c r="P72" s="46">
        <v>5.2035</v>
      </c>
      <c r="Q72" s="1"/>
      <c r="R72" s="44">
        <v>802.03499999999997</v>
      </c>
      <c r="S72" s="44">
        <v>808.28700000000003</v>
      </c>
      <c r="T72" s="1"/>
      <c r="U72" s="32">
        <v>3918.67</v>
      </c>
      <c r="V72" s="32">
        <v>3936.1</v>
      </c>
      <c r="W72" s="1"/>
      <c r="X72" s="32">
        <v>6961.77</v>
      </c>
      <c r="Y72" s="32">
        <v>6977.63</v>
      </c>
      <c r="Z72" s="1"/>
      <c r="AA72" s="32">
        <v>1348.29</v>
      </c>
      <c r="AB72" s="32">
        <v>1341.18</v>
      </c>
      <c r="AC72" s="1"/>
      <c r="AD72" s="38">
        <v>3.77887</v>
      </c>
      <c r="AE72" s="38">
        <v>3.7913000000000001</v>
      </c>
      <c r="AF72" s="1"/>
      <c r="AG72" s="38">
        <v>42.361750000000001</v>
      </c>
      <c r="AH72" s="38">
        <v>43.232799999999997</v>
      </c>
      <c r="AI72" s="1"/>
      <c r="AJ72" s="38">
        <v>8.2042099999999998</v>
      </c>
      <c r="AK72" s="38">
        <v>8.3093000000000004</v>
      </c>
      <c r="AL72" s="1"/>
      <c r="AM72" s="13">
        <v>641.08619999999996</v>
      </c>
      <c r="AN72" s="13">
        <v>641.57460000000003</v>
      </c>
      <c r="AO72" s="1"/>
      <c r="AP72" s="13">
        <v>55.150500000000001</v>
      </c>
      <c r="AQ72" s="13">
        <v>56.847700000000003</v>
      </c>
      <c r="AR72" s="1"/>
      <c r="AS72" s="13">
        <v>1</v>
      </c>
      <c r="AT72" s="13">
        <v>1</v>
      </c>
      <c r="AU72" s="1"/>
      <c r="AV72" s="38">
        <v>7.7192119999999997</v>
      </c>
      <c r="AW72" s="38">
        <v>7.6981000000000002</v>
      </c>
      <c r="AX72" s="1"/>
      <c r="AY72" s="38">
        <v>8.75</v>
      </c>
      <c r="AZ72" s="38">
        <v>8.75</v>
      </c>
      <c r="BA72" s="1"/>
      <c r="BB72" s="38">
        <v>24.57836</v>
      </c>
      <c r="BC72" s="38">
        <v>24.601500000000001</v>
      </c>
      <c r="BD72" s="1"/>
      <c r="BE72" s="38">
        <v>35.476329999999997</v>
      </c>
      <c r="BF72" s="38">
        <v>35.490600000000001</v>
      </c>
      <c r="BG72" s="1"/>
      <c r="BH72" s="38">
        <v>6.7901999999999996</v>
      </c>
      <c r="BI72" s="38">
        <v>6.7855999999999996</v>
      </c>
    </row>
    <row r="73" spans="2:61" x14ac:dyDescent="0.3">
      <c r="B73" s="18">
        <v>44651</v>
      </c>
      <c r="C73" s="13">
        <v>19.863199999999999</v>
      </c>
      <c r="D73" s="13">
        <v>20.582100000000001</v>
      </c>
      <c r="F73" s="46">
        <v>0.899698</v>
      </c>
      <c r="G73" s="46">
        <v>0.90859999999999996</v>
      </c>
      <c r="I73" s="38">
        <v>110.93463</v>
      </c>
      <c r="J73" s="38">
        <v>109.31529999999999</v>
      </c>
      <c r="K73" s="1"/>
      <c r="L73" s="38">
        <v>6.8630800000000001</v>
      </c>
      <c r="M73" s="38">
        <v>6.8779000000000003</v>
      </c>
      <c r="O73" s="46">
        <v>4.7585769999999998</v>
      </c>
      <c r="P73" s="46">
        <v>4.9805000000000001</v>
      </c>
      <c r="Q73" s="1"/>
      <c r="R73" s="44">
        <v>788.10699999999997</v>
      </c>
      <c r="S73" s="44">
        <v>798.54899999999998</v>
      </c>
      <c r="T73" s="1"/>
      <c r="U73" s="32">
        <v>3755.79</v>
      </c>
      <c r="V73" s="32">
        <v>3805.81</v>
      </c>
      <c r="W73" s="1"/>
      <c r="X73" s="32">
        <v>6948.05</v>
      </c>
      <c r="Y73" s="32">
        <v>6970.35</v>
      </c>
      <c r="Z73" s="1"/>
      <c r="AA73" s="32">
        <v>1460.12</v>
      </c>
      <c r="AB73" s="32">
        <v>1400.59</v>
      </c>
      <c r="AC73" s="1"/>
      <c r="AD73" s="38">
        <v>3.7154699999999998</v>
      </c>
      <c r="AE73" s="38">
        <v>3.7399</v>
      </c>
      <c r="AF73" s="1"/>
      <c r="AG73" s="38">
        <v>41.205350000000003</v>
      </c>
      <c r="AH73" s="38">
        <v>42.439300000000003</v>
      </c>
      <c r="AI73" s="1"/>
      <c r="AJ73" s="38">
        <v>8.6592099999999999</v>
      </c>
      <c r="AK73" s="38">
        <v>8.5258000000000003</v>
      </c>
      <c r="AL73" s="1"/>
      <c r="AM73" s="13">
        <v>654.08029999999997</v>
      </c>
      <c r="AN73" s="13">
        <v>646.46659999999997</v>
      </c>
      <c r="AO73" s="1"/>
      <c r="AP73" s="13">
        <v>54.884900000000002</v>
      </c>
      <c r="AQ73" s="13">
        <v>54.911999999999999</v>
      </c>
      <c r="AR73" s="1"/>
      <c r="AS73" s="13">
        <v>1</v>
      </c>
      <c r="AT73" s="13">
        <v>1</v>
      </c>
      <c r="AU73" s="1"/>
      <c r="AV73" s="38">
        <v>7.6727309999999997</v>
      </c>
      <c r="AW73" s="38">
        <v>7.7041000000000004</v>
      </c>
      <c r="AX73" s="1"/>
      <c r="AY73" s="38">
        <v>8.75</v>
      </c>
      <c r="AZ73" s="38">
        <v>8.75</v>
      </c>
      <c r="BA73" s="1"/>
      <c r="BB73" s="38">
        <v>24.451239999999999</v>
      </c>
      <c r="BC73" s="38">
        <v>24.530799999999999</v>
      </c>
      <c r="BD73" s="1"/>
      <c r="BE73" s="38">
        <v>35.693429999999999</v>
      </c>
      <c r="BF73" s="38">
        <v>35.784599999999998</v>
      </c>
      <c r="BG73" s="1"/>
      <c r="BH73" s="38">
        <v>6.7844699999999998</v>
      </c>
      <c r="BI73" s="38">
        <v>6.7887000000000004</v>
      </c>
    </row>
    <row r="74" spans="2:61" x14ac:dyDescent="0.3">
      <c r="B74" s="18">
        <v>44681</v>
      </c>
      <c r="C74" s="13">
        <v>20.567</v>
      </c>
      <c r="D74" s="13">
        <v>20.068000000000001</v>
      </c>
      <c r="F74" s="46">
        <v>0.94828999999999997</v>
      </c>
      <c r="G74" s="46">
        <v>0.92400000000000004</v>
      </c>
      <c r="I74" s="38">
        <v>115.3145</v>
      </c>
      <c r="J74" s="38">
        <v>113.2324</v>
      </c>
      <c r="K74" s="1"/>
      <c r="L74" s="38">
        <v>6.8822400000000004</v>
      </c>
      <c r="M74" s="38">
        <v>6.8876999999999997</v>
      </c>
      <c r="O74" s="46">
        <v>4.9737999999999998</v>
      </c>
      <c r="P74" s="46">
        <v>4.7416</v>
      </c>
      <c r="Q74" s="1"/>
      <c r="R74" s="44">
        <v>852.51</v>
      </c>
      <c r="S74" s="44">
        <v>816.86699999999996</v>
      </c>
      <c r="T74" s="1"/>
      <c r="U74" s="32">
        <v>3960.02</v>
      </c>
      <c r="V74" s="32">
        <v>3792.75</v>
      </c>
      <c r="W74" s="1"/>
      <c r="X74" s="32">
        <v>6841.93</v>
      </c>
      <c r="Y74" s="32">
        <v>6887.67</v>
      </c>
      <c r="Z74" s="1"/>
      <c r="AA74" s="32">
        <v>1375.6</v>
      </c>
      <c r="AB74" s="32">
        <v>1453.48</v>
      </c>
      <c r="AC74" s="1"/>
      <c r="AD74" s="38">
        <v>3.8367300000000002</v>
      </c>
      <c r="AE74" s="38">
        <v>3.7382</v>
      </c>
      <c r="AF74" s="1"/>
      <c r="AG74" s="38">
        <v>41.144489999999998</v>
      </c>
      <c r="AH74" s="38">
        <v>41.256900000000002</v>
      </c>
      <c r="AI74" s="1"/>
      <c r="AJ74" s="38">
        <v>8.2722800000000003</v>
      </c>
      <c r="AK74" s="38">
        <v>8.7066999999999997</v>
      </c>
      <c r="AL74" s="1"/>
      <c r="AM74" s="13">
        <v>661.97029999999995</v>
      </c>
      <c r="AN74" s="13">
        <v>657.63520000000005</v>
      </c>
      <c r="AO74" s="1"/>
      <c r="AP74" s="13">
        <v>55.022500000000001</v>
      </c>
      <c r="AQ74" s="13">
        <v>55.101599999999998</v>
      </c>
      <c r="AR74" s="1"/>
      <c r="AS74" s="13">
        <v>1</v>
      </c>
      <c r="AT74" s="13">
        <v>1</v>
      </c>
      <c r="AU74" s="1"/>
      <c r="AV74" s="38">
        <v>7.6619710000000003</v>
      </c>
      <c r="AW74" s="38">
        <v>7.6813000000000002</v>
      </c>
      <c r="AX74" s="1"/>
      <c r="AY74" s="38">
        <v>8.75</v>
      </c>
      <c r="AZ74" s="38">
        <v>8.75</v>
      </c>
      <c r="BA74" s="1"/>
      <c r="BB74" s="38">
        <v>24.517230000000001</v>
      </c>
      <c r="BC74" s="38">
        <v>24.536200000000001</v>
      </c>
      <c r="BD74" s="1"/>
      <c r="BE74" s="38">
        <v>35.77525</v>
      </c>
      <c r="BF74" s="38">
        <v>35.809199999999997</v>
      </c>
      <c r="BG74" s="1"/>
      <c r="BH74" s="38">
        <v>6.7966899999999999</v>
      </c>
      <c r="BI74" s="38">
        <v>6.7996999999999996</v>
      </c>
    </row>
    <row r="75" spans="2:61" x14ac:dyDescent="0.3">
      <c r="B75" s="18">
        <v>44712</v>
      </c>
      <c r="C75" s="13">
        <v>19.4953</v>
      </c>
      <c r="D75" s="13">
        <v>20.078700000000001</v>
      </c>
      <c r="F75" s="46">
        <v>0.93172200000000005</v>
      </c>
      <c r="G75" s="46">
        <v>0.94610000000000005</v>
      </c>
      <c r="I75" s="38">
        <v>120.08277</v>
      </c>
      <c r="J75" s="38">
        <v>117.69119999999999</v>
      </c>
      <c r="K75" s="1"/>
      <c r="L75" s="38">
        <v>6.8987999999999996</v>
      </c>
      <c r="M75" s="38">
        <v>6.8769</v>
      </c>
      <c r="O75" s="46">
        <v>4.7455189999999998</v>
      </c>
      <c r="P75" s="46">
        <v>4.9532999999999996</v>
      </c>
      <c r="Q75" s="1"/>
      <c r="R75" s="44">
        <v>827.57</v>
      </c>
      <c r="S75" s="44">
        <v>847.86800000000005</v>
      </c>
      <c r="T75" s="1"/>
      <c r="U75" s="32">
        <v>3936.87</v>
      </c>
      <c r="V75" s="32">
        <v>4019.17</v>
      </c>
      <c r="W75" s="1"/>
      <c r="X75" s="32">
        <v>6878.33</v>
      </c>
      <c r="Y75" s="32">
        <v>6851.37</v>
      </c>
      <c r="Z75" s="1"/>
      <c r="AA75" s="32">
        <v>1449.45</v>
      </c>
      <c r="AB75" s="32">
        <v>1384.24</v>
      </c>
      <c r="AC75" s="1"/>
      <c r="AD75" s="38">
        <v>3.6813899999999999</v>
      </c>
      <c r="AE75" s="38">
        <v>3.7570999999999999</v>
      </c>
      <c r="AF75" s="1"/>
      <c r="AG75" s="38">
        <v>39.944920000000003</v>
      </c>
      <c r="AH75" s="38">
        <v>40.9375</v>
      </c>
      <c r="AI75" s="1"/>
      <c r="AJ75" s="38">
        <v>8.4174399999999991</v>
      </c>
      <c r="AK75" s="38">
        <v>8.2675000000000001</v>
      </c>
      <c r="AL75" s="1"/>
      <c r="AM75" s="13">
        <v>675.98450000000003</v>
      </c>
      <c r="AN75" s="13">
        <v>669.04589999999996</v>
      </c>
      <c r="AO75" s="1"/>
      <c r="AP75" s="13">
        <v>55.188000000000002</v>
      </c>
      <c r="AQ75" s="13">
        <v>55.175199999999997</v>
      </c>
      <c r="AR75" s="1"/>
      <c r="AS75" s="13">
        <v>1</v>
      </c>
      <c r="AT75" s="13">
        <v>1</v>
      </c>
      <c r="AU75" s="1"/>
      <c r="AV75" s="38">
        <v>7.6852720000000003</v>
      </c>
      <c r="AW75" s="38">
        <v>7.6715999999999998</v>
      </c>
      <c r="AX75" s="1"/>
      <c r="AY75" s="38">
        <v>8.75</v>
      </c>
      <c r="AZ75" s="38">
        <v>8.75</v>
      </c>
      <c r="BA75" s="1"/>
      <c r="BB75" s="38">
        <v>24.58764</v>
      </c>
      <c r="BC75" s="38">
        <v>24.520199999999999</v>
      </c>
      <c r="BD75" s="1"/>
      <c r="BE75" s="38">
        <v>35.867350000000002</v>
      </c>
      <c r="BF75" s="38">
        <v>35.796900000000001</v>
      </c>
      <c r="BG75" s="1"/>
      <c r="BH75" s="38">
        <v>6.7835200000000002</v>
      </c>
      <c r="BI75" s="38">
        <v>6.7904</v>
      </c>
    </row>
    <row r="76" spans="2:61" x14ac:dyDescent="0.3">
      <c r="B76" s="18">
        <v>44742</v>
      </c>
      <c r="C76" s="13">
        <v>20.144300000000001</v>
      </c>
      <c r="D76" s="13">
        <v>19.988099999999999</v>
      </c>
      <c r="F76" s="46">
        <v>0.95690900000000001</v>
      </c>
      <c r="G76" s="46">
        <v>0.94610000000000005</v>
      </c>
      <c r="I76" s="38">
        <v>125.12457000000001</v>
      </c>
      <c r="J76" s="38">
        <v>122.56440000000001</v>
      </c>
      <c r="K76" s="1"/>
      <c r="L76" s="38">
        <v>6.9043700000000001</v>
      </c>
      <c r="M76" s="38">
        <v>6.8874000000000004</v>
      </c>
      <c r="O76" s="46">
        <v>5.2077499999999999</v>
      </c>
      <c r="P76" s="46">
        <v>5.0426000000000002</v>
      </c>
      <c r="Q76" s="1"/>
      <c r="R76" s="44">
        <v>925.56299999999999</v>
      </c>
      <c r="S76" s="44">
        <v>864.02499999999998</v>
      </c>
      <c r="T76" s="1"/>
      <c r="U76" s="32">
        <v>4129.3900000000003</v>
      </c>
      <c r="V76" s="32">
        <v>3941</v>
      </c>
      <c r="W76" s="1"/>
      <c r="X76" s="32">
        <v>6879.79</v>
      </c>
      <c r="Y76" s="32">
        <v>6865.52</v>
      </c>
      <c r="Z76" s="1"/>
      <c r="AA76" s="32">
        <v>1321.08</v>
      </c>
      <c r="AB76" s="32">
        <v>1363.06</v>
      </c>
      <c r="AC76" s="1"/>
      <c r="AD76" s="38">
        <v>3.7936899999999998</v>
      </c>
      <c r="AE76" s="38">
        <v>3.7469000000000001</v>
      </c>
      <c r="AF76" s="1"/>
      <c r="AG76" s="38">
        <v>39.51437</v>
      </c>
      <c r="AH76" s="38">
        <v>39.842500000000001</v>
      </c>
      <c r="AI76" s="1"/>
      <c r="AJ76" s="38">
        <v>7.58765</v>
      </c>
      <c r="AK76" s="38">
        <v>7.9108000000000001</v>
      </c>
      <c r="AL76" s="1"/>
      <c r="AM76" s="13">
        <v>689.05619999999999</v>
      </c>
      <c r="AN76" s="13">
        <v>685.75789999999995</v>
      </c>
      <c r="AO76" s="1"/>
      <c r="AP76" s="13">
        <v>54.714399999999998</v>
      </c>
      <c r="AQ76" s="13">
        <v>54.948099999999997</v>
      </c>
      <c r="AR76" s="1"/>
      <c r="AS76" s="13">
        <v>1</v>
      </c>
      <c r="AT76" s="13">
        <v>1</v>
      </c>
      <c r="AU76" s="1"/>
      <c r="AV76" s="38">
        <v>7.7736720000000004</v>
      </c>
      <c r="AW76" s="38">
        <v>7.7309999999999999</v>
      </c>
      <c r="AX76" s="1"/>
      <c r="AY76" s="38">
        <v>8.75</v>
      </c>
      <c r="AZ76" s="38">
        <v>8.75</v>
      </c>
      <c r="BA76" s="1"/>
      <c r="BB76" s="38">
        <v>24.629899999999999</v>
      </c>
      <c r="BC76" s="38">
        <v>24.577000000000002</v>
      </c>
      <c r="BD76" s="1"/>
      <c r="BE76" s="38">
        <v>35.935429999999997</v>
      </c>
      <c r="BF76" s="38">
        <v>35.8476</v>
      </c>
      <c r="BG76" s="1"/>
      <c r="BH76" s="38">
        <v>6.8065499999999997</v>
      </c>
      <c r="BI76" s="38">
        <v>6.7944000000000004</v>
      </c>
    </row>
    <row r="77" spans="2:61" x14ac:dyDescent="0.3">
      <c r="B77" s="18">
        <v>44773</v>
      </c>
      <c r="C77" s="13">
        <v>20.377800000000001</v>
      </c>
      <c r="D77" s="13">
        <v>20.5383</v>
      </c>
      <c r="F77" s="46">
        <v>0.97797500000000004</v>
      </c>
      <c r="G77" s="46">
        <v>0.98060000000000003</v>
      </c>
      <c r="I77" s="38">
        <v>131.29306</v>
      </c>
      <c r="J77" s="38">
        <v>128.26679999999999</v>
      </c>
      <c r="K77" s="1"/>
      <c r="L77" s="38">
        <v>6.8712400000000002</v>
      </c>
      <c r="M77" s="38">
        <v>6.8741000000000003</v>
      </c>
      <c r="O77" s="46">
        <v>5.1733960000000003</v>
      </c>
      <c r="P77" s="46">
        <v>5.3587999999999996</v>
      </c>
      <c r="Q77" s="1"/>
      <c r="R77" s="44">
        <v>901.84799999999996</v>
      </c>
      <c r="S77" s="44">
        <v>963.024</v>
      </c>
      <c r="T77" s="1"/>
      <c r="U77" s="32">
        <v>4291.51</v>
      </c>
      <c r="V77" s="32">
        <v>4377.2</v>
      </c>
      <c r="W77" s="1"/>
      <c r="X77" s="32">
        <v>6900.33</v>
      </c>
      <c r="Y77" s="32">
        <v>6865.39</v>
      </c>
      <c r="Z77" s="1"/>
      <c r="AA77" s="32">
        <v>1333.82</v>
      </c>
      <c r="AB77" s="32">
        <v>1281.56</v>
      </c>
      <c r="AC77" s="1"/>
      <c r="AD77" s="38">
        <v>3.92855</v>
      </c>
      <c r="AE77" s="38">
        <v>3.8929</v>
      </c>
      <c r="AF77" s="1"/>
      <c r="AG77" s="38">
        <v>41.277709999999999</v>
      </c>
      <c r="AH77" s="38">
        <v>40.813499999999998</v>
      </c>
      <c r="AI77" s="1"/>
      <c r="AJ77" s="38">
        <v>7.9788800000000002</v>
      </c>
      <c r="AK77" s="38">
        <v>7.6177999999999999</v>
      </c>
      <c r="AL77" s="1"/>
      <c r="AM77" s="13">
        <v>669.78719999999998</v>
      </c>
      <c r="AN77" s="13">
        <v>680.97820000000002</v>
      </c>
      <c r="AO77" s="1"/>
      <c r="AP77" s="13">
        <v>54.607599999999998</v>
      </c>
      <c r="AQ77" s="13">
        <v>54.5899</v>
      </c>
      <c r="AR77" s="1"/>
      <c r="AS77" s="13">
        <v>1</v>
      </c>
      <c r="AT77" s="13">
        <v>1</v>
      </c>
      <c r="AU77" s="1"/>
      <c r="AV77" s="38">
        <v>7.7490500000000004</v>
      </c>
      <c r="AW77" s="38">
        <v>7.7435999999999998</v>
      </c>
      <c r="AX77" s="1"/>
      <c r="AY77" s="38">
        <v>8.75</v>
      </c>
      <c r="AZ77" s="38">
        <v>8.75</v>
      </c>
      <c r="BA77" s="1"/>
      <c r="BB77" s="38">
        <v>24.570119999999999</v>
      </c>
      <c r="BC77" s="38">
        <v>24.582000000000001</v>
      </c>
      <c r="BD77" s="1"/>
      <c r="BE77" s="38">
        <v>35.915349999999997</v>
      </c>
      <c r="BF77" s="38">
        <v>35.861800000000002</v>
      </c>
      <c r="BG77" s="1"/>
      <c r="BH77" s="38">
        <v>6.7981800000000003</v>
      </c>
      <c r="BI77" s="38">
        <v>6.7900999999999998</v>
      </c>
    </row>
    <row r="78" spans="2:61" x14ac:dyDescent="0.3">
      <c r="B78" s="18">
        <v>44804</v>
      </c>
      <c r="C78" s="13">
        <v>20.1465</v>
      </c>
      <c r="D78" s="13">
        <v>20.1187</v>
      </c>
      <c r="F78" s="46">
        <v>0.99714700000000001</v>
      </c>
      <c r="G78" s="46">
        <v>0.98799999999999999</v>
      </c>
      <c r="I78" s="38">
        <v>138.65889999999999</v>
      </c>
      <c r="J78" s="38">
        <v>135.1592</v>
      </c>
      <c r="K78" s="1"/>
      <c r="L78" s="38">
        <v>6.9104599999999996</v>
      </c>
      <c r="M78" s="38">
        <v>6.9040999999999997</v>
      </c>
      <c r="O78" s="46">
        <v>5.1528479999999997</v>
      </c>
      <c r="P78" s="46">
        <v>5.1378000000000004</v>
      </c>
      <c r="Q78" s="1"/>
      <c r="R78" s="44">
        <v>893.76900000000001</v>
      </c>
      <c r="S78" s="44">
        <v>904.19100000000003</v>
      </c>
      <c r="T78" s="1"/>
      <c r="U78" s="32">
        <v>4417.3100000000004</v>
      </c>
      <c r="V78" s="32">
        <v>4323.1899999999996</v>
      </c>
      <c r="W78" s="1"/>
      <c r="X78" s="32">
        <v>6888.24</v>
      </c>
      <c r="Y78" s="32">
        <v>6878.12</v>
      </c>
      <c r="Z78" s="1"/>
      <c r="AA78" s="32">
        <v>1336.79</v>
      </c>
      <c r="AB78" s="32">
        <v>1338.91</v>
      </c>
      <c r="AC78" s="1"/>
      <c r="AD78" s="38">
        <v>3.8226800000000001</v>
      </c>
      <c r="AE78" s="38">
        <v>3.8738000000000001</v>
      </c>
      <c r="AF78" s="1"/>
      <c r="AG78" s="38">
        <v>40.588039999999999</v>
      </c>
      <c r="AH78" s="38">
        <v>40.5015</v>
      </c>
      <c r="AI78" s="1"/>
      <c r="AJ78" s="38">
        <v>7.8768500000000001</v>
      </c>
      <c r="AK78" s="38">
        <v>7.8837000000000002</v>
      </c>
      <c r="AL78" s="1"/>
      <c r="AM78" s="13">
        <v>636.56169999999997</v>
      </c>
      <c r="AN78" s="13">
        <v>660.41</v>
      </c>
      <c r="AO78" s="1"/>
      <c r="AP78" s="13">
        <v>52.9863</v>
      </c>
      <c r="AQ78" s="13">
        <v>53.888599999999997</v>
      </c>
      <c r="AR78" s="1"/>
      <c r="AS78" s="13">
        <v>1</v>
      </c>
      <c r="AT78" s="13">
        <v>1</v>
      </c>
      <c r="AU78" s="1"/>
      <c r="AV78" s="38">
        <v>7.7398499999999997</v>
      </c>
      <c r="AW78" s="38">
        <v>7.7424999999999997</v>
      </c>
      <c r="AX78" s="1"/>
      <c r="AY78" s="38">
        <v>8.75</v>
      </c>
      <c r="AZ78" s="38">
        <v>8.75</v>
      </c>
      <c r="BA78" s="1"/>
      <c r="BB78" s="38">
        <v>24.59254</v>
      </c>
      <c r="BC78" s="38">
        <v>24.604399999999998</v>
      </c>
      <c r="BD78" s="1"/>
      <c r="BE78" s="38">
        <v>35.958129999999997</v>
      </c>
      <c r="BF78" s="38">
        <v>35.953600000000002</v>
      </c>
      <c r="BG78" s="1"/>
      <c r="BH78" s="38">
        <v>6.7771800000000004</v>
      </c>
      <c r="BI78" s="38">
        <v>6.7915000000000001</v>
      </c>
    </row>
    <row r="79" spans="2:61" x14ac:dyDescent="0.3">
      <c r="B79" s="18">
        <v>44834</v>
      </c>
      <c r="C79" s="13">
        <v>20.192699999999999</v>
      </c>
      <c r="D79" s="13">
        <v>20.0655</v>
      </c>
      <c r="F79" s="46">
        <v>1.020572</v>
      </c>
      <c r="G79" s="46">
        <v>1.0093000000000001</v>
      </c>
      <c r="I79" s="38">
        <v>147.17497</v>
      </c>
      <c r="J79" s="38">
        <v>142.9479</v>
      </c>
      <c r="K79" s="1"/>
      <c r="L79" s="38">
        <v>6.8930600000000002</v>
      </c>
      <c r="M79" s="38">
        <v>6.9116</v>
      </c>
      <c r="O79" s="46">
        <v>5.397894</v>
      </c>
      <c r="P79" s="46">
        <v>5.2249999999999996</v>
      </c>
      <c r="Q79" s="1"/>
      <c r="R79" s="44">
        <v>964.28</v>
      </c>
      <c r="S79" s="44">
        <v>922.75699999999995</v>
      </c>
      <c r="T79" s="1"/>
      <c r="U79" s="32">
        <v>4561.9399999999996</v>
      </c>
      <c r="V79" s="32">
        <v>4439.59</v>
      </c>
      <c r="W79" s="1"/>
      <c r="X79" s="32">
        <v>7014.48</v>
      </c>
      <c r="Y79" s="32">
        <v>6951.11</v>
      </c>
      <c r="Z79" s="1"/>
      <c r="AA79" s="32">
        <v>1299.49</v>
      </c>
      <c r="AB79" s="32">
        <v>1330.56</v>
      </c>
      <c r="AC79" s="1"/>
      <c r="AD79" s="38">
        <v>3.95113</v>
      </c>
      <c r="AE79" s="38">
        <v>3.8885000000000001</v>
      </c>
      <c r="AF79" s="1"/>
      <c r="AG79" s="38">
        <v>41.167090000000002</v>
      </c>
      <c r="AH79" s="38">
        <v>40.868400000000001</v>
      </c>
      <c r="AI79" s="1"/>
      <c r="AJ79" s="38">
        <v>7.6265400000000003</v>
      </c>
      <c r="AK79" s="38">
        <v>7.8231999999999999</v>
      </c>
      <c r="AL79" s="1"/>
      <c r="AM79" s="13">
        <v>629.57579999999996</v>
      </c>
      <c r="AN79" s="13">
        <v>639.34090000000003</v>
      </c>
      <c r="AO79" s="1"/>
      <c r="AP79" s="13">
        <v>53.080300000000001</v>
      </c>
      <c r="AQ79" s="13">
        <v>53.290500000000002</v>
      </c>
      <c r="AR79" s="1"/>
      <c r="AS79" s="13">
        <v>1</v>
      </c>
      <c r="AT79" s="13">
        <v>1</v>
      </c>
      <c r="AU79" s="1"/>
      <c r="AV79" s="38">
        <v>7.84856</v>
      </c>
      <c r="AW79" s="38">
        <v>7.7934000000000001</v>
      </c>
      <c r="AX79" s="1"/>
      <c r="AY79" s="38">
        <v>8.75</v>
      </c>
      <c r="AZ79" s="38">
        <v>8.75</v>
      </c>
      <c r="BA79" s="1"/>
      <c r="BB79" s="38">
        <v>24.5688</v>
      </c>
      <c r="BC79" s="38">
        <v>24.648700000000002</v>
      </c>
      <c r="BD79" s="1"/>
      <c r="BE79" s="38">
        <v>35.714300000000001</v>
      </c>
      <c r="BF79" s="38">
        <v>35.953499999999998</v>
      </c>
      <c r="BG79" s="1"/>
      <c r="BH79" s="38">
        <v>6.7800500000000001</v>
      </c>
      <c r="BI79" s="38">
        <v>6.7896999999999998</v>
      </c>
    </row>
    <row r="80" spans="2:61" x14ac:dyDescent="0.3">
      <c r="B80" s="18">
        <v>44865</v>
      </c>
      <c r="C80" s="13">
        <v>19.830300000000001</v>
      </c>
      <c r="D80" s="13">
        <v>20.012499999999999</v>
      </c>
      <c r="F80" s="46">
        <v>1.008321</v>
      </c>
      <c r="G80" s="46">
        <v>1.0172000000000001</v>
      </c>
      <c r="I80" s="38">
        <v>156.32912999999999</v>
      </c>
      <c r="J80" s="38">
        <v>151.8766</v>
      </c>
      <c r="K80" s="1"/>
      <c r="L80" s="38">
        <v>6.9093400000000003</v>
      </c>
      <c r="M80" s="38">
        <v>6.9085000000000001</v>
      </c>
      <c r="O80" s="46">
        <v>5.2580359999999997</v>
      </c>
      <c r="P80" s="46">
        <v>5.2653999999999996</v>
      </c>
      <c r="Q80" s="1"/>
      <c r="R80" s="44">
        <v>943.45899999999995</v>
      </c>
      <c r="S80" s="44">
        <v>954.51300000000003</v>
      </c>
      <c r="T80" s="1"/>
      <c r="U80" s="32">
        <v>4874.24</v>
      </c>
      <c r="V80" s="32">
        <v>4729.46</v>
      </c>
      <c r="W80" s="1"/>
      <c r="X80" s="32">
        <v>7259.92</v>
      </c>
      <c r="Y80" s="32">
        <v>7145.76</v>
      </c>
      <c r="Z80" s="1"/>
      <c r="AA80" s="32">
        <v>1380.74</v>
      </c>
      <c r="AB80" s="32">
        <v>1357.34</v>
      </c>
      <c r="AC80" s="1"/>
      <c r="AD80" s="38">
        <v>3.9827400000000002</v>
      </c>
      <c r="AE80" s="38">
        <v>3.9741</v>
      </c>
      <c r="AF80" s="1"/>
      <c r="AG80" s="38">
        <v>40.824359999999999</v>
      </c>
      <c r="AH80" s="38">
        <v>41.155299999999997</v>
      </c>
      <c r="AI80" s="1"/>
      <c r="AJ80" s="38">
        <v>7.7642100000000003</v>
      </c>
      <c r="AK80" s="38">
        <v>7.8174000000000001</v>
      </c>
      <c r="AL80" s="1"/>
      <c r="AM80" s="13">
        <v>619.74390000000005</v>
      </c>
      <c r="AN80" s="13">
        <v>624.33280000000002</v>
      </c>
      <c r="AO80" s="1"/>
      <c r="AP80" s="13">
        <v>54.024999999999999</v>
      </c>
      <c r="AQ80" s="13">
        <v>53.742899999999999</v>
      </c>
      <c r="AR80" s="1"/>
      <c r="AS80" s="13">
        <v>1</v>
      </c>
      <c r="AT80" s="13">
        <v>1</v>
      </c>
      <c r="AU80" s="1"/>
      <c r="AV80" s="38">
        <v>7.8368770000000003</v>
      </c>
      <c r="AW80" s="38">
        <v>7.8598999999999997</v>
      </c>
      <c r="AX80" s="1"/>
      <c r="AY80" s="38">
        <v>8.75</v>
      </c>
      <c r="AZ80" s="38">
        <v>8.75</v>
      </c>
      <c r="BA80" s="1"/>
      <c r="BB80" s="38">
        <v>24.731200000000001</v>
      </c>
      <c r="BC80" s="38">
        <v>24.7349</v>
      </c>
      <c r="BD80" s="1"/>
      <c r="BE80" s="38">
        <v>36.000990000000002</v>
      </c>
      <c r="BF80" s="38">
        <v>35.954799999999999</v>
      </c>
      <c r="BG80" s="1"/>
      <c r="BH80" s="38">
        <v>6.7880900000000004</v>
      </c>
      <c r="BI80" s="38">
        <v>6.7813999999999997</v>
      </c>
    </row>
    <row r="81" spans="2:61" x14ac:dyDescent="0.3">
      <c r="B81" s="18">
        <v>44895</v>
      </c>
      <c r="C81" s="13">
        <v>19.216000000000001</v>
      </c>
      <c r="D81" s="13">
        <v>19.4771</v>
      </c>
      <c r="F81" s="46">
        <v>0.96505099999999999</v>
      </c>
      <c r="G81" s="46">
        <v>0.97929999999999995</v>
      </c>
      <c r="I81" s="38">
        <v>167.10731999999999</v>
      </c>
      <c r="J81" s="38">
        <v>161.91839999999999</v>
      </c>
      <c r="K81" s="1"/>
      <c r="L81" s="38">
        <v>6.9292499999999997</v>
      </c>
      <c r="M81" s="38">
        <v>6.9025999999999996</v>
      </c>
      <c r="O81" s="46">
        <v>5.2533560000000001</v>
      </c>
      <c r="P81" s="46">
        <v>5.2808999999999999</v>
      </c>
      <c r="Q81" s="1"/>
      <c r="R81" s="44">
        <v>896.51800000000003</v>
      </c>
      <c r="S81" s="44">
        <v>918.11500000000001</v>
      </c>
      <c r="T81" s="1"/>
      <c r="U81" s="32">
        <v>4815.83</v>
      </c>
      <c r="V81" s="32">
        <v>4928.88</v>
      </c>
      <c r="W81" s="1"/>
      <c r="X81" s="32">
        <v>7229.78</v>
      </c>
      <c r="Y81" s="32">
        <v>7178.76</v>
      </c>
      <c r="Z81" s="1"/>
      <c r="AA81" s="32">
        <v>1376.23</v>
      </c>
      <c r="AB81" s="32">
        <v>1360.2</v>
      </c>
      <c r="AC81" s="1"/>
      <c r="AD81" s="38">
        <v>3.85928</v>
      </c>
      <c r="AE81" s="38">
        <v>3.8774000000000002</v>
      </c>
      <c r="AF81" s="1"/>
      <c r="AG81" s="38">
        <v>39.46734</v>
      </c>
      <c r="AH81" s="38">
        <v>39.9101</v>
      </c>
      <c r="AI81" s="1"/>
      <c r="AJ81" s="38">
        <v>7.51281</v>
      </c>
      <c r="AK81" s="38">
        <v>7.5621999999999998</v>
      </c>
      <c r="AL81" s="1"/>
      <c r="AM81" s="13">
        <v>603.80730000000005</v>
      </c>
      <c r="AN81" s="13">
        <v>611.39049999999997</v>
      </c>
      <c r="AO81" s="1"/>
      <c r="AP81" s="13">
        <v>54.861699999999999</v>
      </c>
      <c r="AQ81" s="13">
        <v>54.279400000000003</v>
      </c>
      <c r="AR81" s="1"/>
      <c r="AS81" s="13">
        <v>1</v>
      </c>
      <c r="AT81" s="13">
        <v>1</v>
      </c>
      <c r="AU81" s="1"/>
      <c r="AV81" s="38">
        <v>7.8349869999999999</v>
      </c>
      <c r="AW81" s="38">
        <v>7.8055000000000003</v>
      </c>
      <c r="AX81" s="1"/>
      <c r="AY81" s="38">
        <v>8.75</v>
      </c>
      <c r="AZ81" s="38">
        <v>8.75</v>
      </c>
      <c r="BA81" s="1"/>
      <c r="BB81" s="38">
        <v>24.756789999999999</v>
      </c>
      <c r="BC81" s="38">
        <v>24.722999999999999</v>
      </c>
      <c r="BD81" s="1"/>
      <c r="BE81" s="38">
        <v>36.24709</v>
      </c>
      <c r="BF81" s="38">
        <v>35.9497</v>
      </c>
      <c r="BG81" s="1"/>
      <c r="BH81" s="38">
        <v>6.7912600000000003</v>
      </c>
      <c r="BI81" s="38">
        <v>6.7797000000000001</v>
      </c>
    </row>
    <row r="82" spans="2:61" x14ac:dyDescent="0.3">
      <c r="B82" s="18">
        <v>44926</v>
      </c>
      <c r="C82" s="13">
        <v>19.361499999999999</v>
      </c>
      <c r="D82" s="13">
        <v>19.573699999999999</v>
      </c>
      <c r="F82" s="46">
        <v>0.93427400000000005</v>
      </c>
      <c r="G82" s="46">
        <v>0.94469999999999998</v>
      </c>
      <c r="I82" s="38">
        <v>176.73296999999999</v>
      </c>
      <c r="J82" s="38">
        <v>172.1842</v>
      </c>
      <c r="K82" s="1"/>
      <c r="L82" s="38">
        <v>6.9107500000000002</v>
      </c>
      <c r="M82" s="38">
        <v>6.9112</v>
      </c>
      <c r="O82" s="46">
        <v>5.28531</v>
      </c>
      <c r="P82" s="46">
        <v>5.2447999999999997</v>
      </c>
      <c r="Q82" s="1"/>
      <c r="R82" s="44">
        <v>849.74800000000005</v>
      </c>
      <c r="S82" s="44">
        <v>874.01900000000001</v>
      </c>
      <c r="T82" s="1"/>
      <c r="U82" s="32">
        <v>4848.95</v>
      </c>
      <c r="V82" s="32">
        <v>4788.8599999999997</v>
      </c>
      <c r="W82" s="1"/>
      <c r="X82" s="32">
        <v>7343.47</v>
      </c>
      <c r="Y82" s="32">
        <v>7221.82</v>
      </c>
      <c r="Z82" s="1"/>
      <c r="AA82" s="32">
        <v>1389.43</v>
      </c>
      <c r="AB82" s="32">
        <v>1377.1</v>
      </c>
      <c r="AC82" s="1"/>
      <c r="AD82" s="38">
        <v>3.7869999999999999</v>
      </c>
      <c r="AE82" s="38">
        <v>3.8249</v>
      </c>
      <c r="AF82" s="1"/>
      <c r="AG82" s="38">
        <v>39.97148</v>
      </c>
      <c r="AH82" s="38">
        <v>38.973799999999997</v>
      </c>
      <c r="AI82" s="1"/>
      <c r="AJ82" s="38">
        <v>7.5628200000000003</v>
      </c>
      <c r="AK82" s="38">
        <v>7.4314999999999998</v>
      </c>
      <c r="AL82" s="1"/>
      <c r="AM82" s="13">
        <v>587.92269999999996</v>
      </c>
      <c r="AN82" s="13">
        <v>591.01080000000002</v>
      </c>
      <c r="AO82" s="1"/>
      <c r="AP82" s="13">
        <v>56.222499999999997</v>
      </c>
      <c r="AQ82" s="13">
        <v>55.289700000000003</v>
      </c>
      <c r="AR82" s="1"/>
      <c r="AS82" s="13">
        <v>1</v>
      </c>
      <c r="AT82" s="13">
        <v>1</v>
      </c>
      <c r="AU82" s="1"/>
      <c r="AV82" s="38">
        <v>7.8486250000000002</v>
      </c>
      <c r="AW82" s="38">
        <v>7.8653000000000004</v>
      </c>
      <c r="AX82" s="1"/>
      <c r="AY82" s="38">
        <v>8.75</v>
      </c>
      <c r="AZ82" s="38">
        <v>8.75</v>
      </c>
      <c r="BA82" s="1"/>
      <c r="BB82" s="38">
        <v>24.669499999999999</v>
      </c>
      <c r="BC82" s="38">
        <v>24.682400000000001</v>
      </c>
      <c r="BD82" s="1"/>
      <c r="BE82" s="38">
        <v>36.369750000000003</v>
      </c>
      <c r="BF82" s="38">
        <v>36.448300000000003</v>
      </c>
      <c r="BG82" s="1"/>
      <c r="BH82" s="38">
        <v>6.7942999999999998</v>
      </c>
      <c r="BI82" s="38">
        <v>6.7866</v>
      </c>
    </row>
    <row r="83" spans="2:61" x14ac:dyDescent="0.3">
      <c r="B83" s="18">
        <v>44957</v>
      </c>
      <c r="C83" s="13">
        <v>18.779299999999999</v>
      </c>
      <c r="D83" s="13">
        <v>19.030899999999999</v>
      </c>
      <c r="F83" s="46">
        <v>0.92176999999999998</v>
      </c>
      <c r="G83" s="46">
        <v>0.92779999999999996</v>
      </c>
      <c r="I83" s="38">
        <v>186.72900999999999</v>
      </c>
      <c r="J83" s="38">
        <v>181.88910000000001</v>
      </c>
      <c r="K83" s="1"/>
      <c r="L83" s="38">
        <v>6.9151999999999996</v>
      </c>
      <c r="M83" s="38">
        <v>6.9078999999999997</v>
      </c>
      <c r="O83" s="46">
        <v>5.1021729999999996</v>
      </c>
      <c r="P83" s="46">
        <v>5.1929999999999996</v>
      </c>
      <c r="Q83" s="1"/>
      <c r="R83" s="44">
        <v>803.79700000000003</v>
      </c>
      <c r="S83" s="44">
        <v>824.47299999999996</v>
      </c>
      <c r="T83" s="1"/>
      <c r="U83" s="32">
        <v>4626.37</v>
      </c>
      <c r="V83" s="32">
        <v>4716</v>
      </c>
      <c r="W83" s="1"/>
      <c r="X83" s="32">
        <v>7387.28</v>
      </c>
      <c r="Y83" s="32">
        <v>7368.99</v>
      </c>
      <c r="Z83" s="1"/>
      <c r="AA83" s="32">
        <v>1447.88</v>
      </c>
      <c r="AB83" s="32">
        <v>1419.61</v>
      </c>
      <c r="AC83" s="1"/>
      <c r="AD83" s="38">
        <v>3.83954</v>
      </c>
      <c r="AE83" s="38">
        <v>3.8235000000000001</v>
      </c>
      <c r="AF83" s="1"/>
      <c r="AG83" s="38">
        <v>38.961210000000001</v>
      </c>
      <c r="AH83" s="38">
        <v>39.503700000000002</v>
      </c>
      <c r="AI83" s="1"/>
      <c r="AJ83" s="38">
        <v>7.6362300000000003</v>
      </c>
      <c r="AK83" s="38">
        <v>7.6093000000000002</v>
      </c>
      <c r="AL83" s="1"/>
      <c r="AM83" s="13">
        <v>560.67999999999995</v>
      </c>
      <c r="AN83" s="13">
        <v>576.40009999999995</v>
      </c>
      <c r="AO83" s="1"/>
      <c r="AP83" s="13">
        <v>56.7577</v>
      </c>
      <c r="AQ83" s="13">
        <v>56.553800000000003</v>
      </c>
      <c r="AR83" s="1"/>
      <c r="AS83" s="13">
        <v>1</v>
      </c>
      <c r="AT83" s="13">
        <v>1</v>
      </c>
      <c r="AU83" s="1"/>
      <c r="AV83" s="38">
        <v>7.8562159999999999</v>
      </c>
      <c r="AW83" s="38">
        <v>7.8455000000000004</v>
      </c>
      <c r="AX83" s="1"/>
      <c r="AY83" s="38">
        <v>8.75</v>
      </c>
      <c r="AZ83" s="38">
        <v>8.75</v>
      </c>
      <c r="BA83" s="1"/>
      <c r="BB83" s="38">
        <v>24.680990000000001</v>
      </c>
      <c r="BC83" s="38">
        <v>24.6555</v>
      </c>
      <c r="BD83" s="1"/>
      <c r="BE83" s="38">
        <v>36.503059999999998</v>
      </c>
      <c r="BF83" s="38">
        <v>36.441899999999997</v>
      </c>
      <c r="BG83" s="1"/>
      <c r="BH83" s="38">
        <v>6.7936899999999998</v>
      </c>
      <c r="BI83" s="38">
        <v>6.7873999999999999</v>
      </c>
    </row>
    <row r="84" spans="2:61" x14ac:dyDescent="0.3">
      <c r="B84" s="18">
        <v>44985</v>
      </c>
      <c r="C84" s="13">
        <v>18.407699999999998</v>
      </c>
      <c r="D84" s="13">
        <v>18.625699999999998</v>
      </c>
      <c r="F84" s="46">
        <v>0.94340000000000002</v>
      </c>
      <c r="G84" s="46">
        <v>0.9345</v>
      </c>
      <c r="I84" s="38">
        <v>196.79279</v>
      </c>
      <c r="J84" s="38">
        <v>191.73419999999999</v>
      </c>
      <c r="K84" s="1"/>
      <c r="L84" s="38">
        <v>6.9076599999999999</v>
      </c>
      <c r="M84" s="38">
        <v>6.9124999999999996</v>
      </c>
      <c r="O84" s="46">
        <v>5.2101620000000004</v>
      </c>
      <c r="P84" s="46">
        <v>5.1768000000000001</v>
      </c>
      <c r="Q84" s="1"/>
      <c r="R84" s="44">
        <v>830.92100000000005</v>
      </c>
      <c r="S84" s="44">
        <v>800.30700000000002</v>
      </c>
      <c r="T84" s="1"/>
      <c r="U84" s="32">
        <v>4804.8500000000004</v>
      </c>
      <c r="V84" s="32">
        <v>4799.08</v>
      </c>
      <c r="W84" s="1"/>
      <c r="X84" s="32">
        <v>7287.53</v>
      </c>
      <c r="Y84" s="32">
        <v>7310.9</v>
      </c>
      <c r="Z84" s="1"/>
      <c r="AA84" s="32">
        <v>1398.72</v>
      </c>
      <c r="AB84" s="32">
        <v>1412.4</v>
      </c>
      <c r="AC84" s="1"/>
      <c r="AD84" s="38">
        <v>3.81169</v>
      </c>
      <c r="AE84" s="38">
        <v>3.8371</v>
      </c>
      <c r="AF84" s="1"/>
      <c r="AG84" s="38">
        <v>38.886609999999997</v>
      </c>
      <c r="AH84" s="38">
        <v>39.115900000000003</v>
      </c>
      <c r="AI84" s="1"/>
      <c r="AJ84" s="38">
        <v>7.4636399999999998</v>
      </c>
      <c r="AK84" s="38">
        <v>7.5564999999999998</v>
      </c>
      <c r="AL84" s="1"/>
      <c r="AM84" s="13">
        <v>560.21630000000005</v>
      </c>
      <c r="AN84" s="13">
        <v>565.48829999999998</v>
      </c>
      <c r="AO84" s="1"/>
      <c r="AP84" s="13">
        <v>55.657400000000003</v>
      </c>
      <c r="AQ84" s="13">
        <v>56.19</v>
      </c>
      <c r="AR84" s="1"/>
      <c r="AS84" s="13">
        <v>1</v>
      </c>
      <c r="AT84" s="13">
        <v>1</v>
      </c>
      <c r="AU84" s="1"/>
      <c r="AV84" s="38">
        <v>7.81135</v>
      </c>
      <c r="AW84" s="38">
        <v>7.8358999999999996</v>
      </c>
      <c r="AX84" s="1"/>
      <c r="AY84" s="38">
        <v>8.75</v>
      </c>
      <c r="AZ84" s="38">
        <v>8.75</v>
      </c>
      <c r="BA84" s="1"/>
      <c r="BB84" s="38">
        <v>24.63504</v>
      </c>
      <c r="BC84" s="38">
        <v>24.6663</v>
      </c>
      <c r="BD84" s="1"/>
      <c r="BE84" s="38">
        <v>36.506630000000001</v>
      </c>
      <c r="BF84" s="38">
        <v>36.505200000000002</v>
      </c>
      <c r="BG84" s="1"/>
      <c r="BH84" s="38">
        <v>6.7848100000000002</v>
      </c>
      <c r="BI84" s="38">
        <v>6.7903000000000002</v>
      </c>
    </row>
    <row r="85" spans="2:61" x14ac:dyDescent="0.3">
      <c r="B85" s="18">
        <v>45016</v>
      </c>
      <c r="C85" s="13">
        <v>18.0932</v>
      </c>
      <c r="D85" s="13">
        <v>18.407299999999999</v>
      </c>
      <c r="F85" s="46">
        <v>0.91929799999999995</v>
      </c>
      <c r="G85" s="46">
        <v>0.93459999999999999</v>
      </c>
      <c r="I85" s="38">
        <v>208.75639000000001</v>
      </c>
      <c r="J85" s="38">
        <v>202.5719</v>
      </c>
      <c r="K85" s="1"/>
      <c r="L85" s="38">
        <v>6.9038300000000001</v>
      </c>
      <c r="M85" s="38">
        <v>6.9005000000000001</v>
      </c>
      <c r="O85" s="46">
        <v>5.0824639999999999</v>
      </c>
      <c r="P85" s="46">
        <v>5.2159000000000004</v>
      </c>
      <c r="Q85" s="1"/>
      <c r="R85" s="44">
        <v>790.29399999999998</v>
      </c>
      <c r="S85" s="44">
        <v>808.70399999999995</v>
      </c>
      <c r="T85" s="1"/>
      <c r="U85" s="32">
        <v>4645.96</v>
      </c>
      <c r="V85" s="32">
        <v>4765.9399999999996</v>
      </c>
      <c r="W85" s="1"/>
      <c r="X85" s="32">
        <v>7156.25</v>
      </c>
      <c r="Y85" s="32">
        <v>7199.46</v>
      </c>
      <c r="Z85" s="1"/>
      <c r="AA85" s="32">
        <v>1408.04</v>
      </c>
      <c r="AB85" s="32">
        <v>1380.45</v>
      </c>
      <c r="AC85" s="1"/>
      <c r="AD85" s="38">
        <v>3.7571599999999998</v>
      </c>
      <c r="AE85" s="38">
        <v>3.7791999999999999</v>
      </c>
      <c r="AF85" s="1"/>
      <c r="AG85" s="38">
        <v>38.81447</v>
      </c>
      <c r="AH85" s="38">
        <v>39.1252</v>
      </c>
      <c r="AI85" s="1"/>
      <c r="AJ85" s="38">
        <v>7.6369699999999998</v>
      </c>
      <c r="AK85" s="38">
        <v>7.5016999999999996</v>
      </c>
      <c r="AL85" s="1"/>
      <c r="AM85" s="13">
        <v>540.25049999999999</v>
      </c>
      <c r="AN85" s="13">
        <v>546.59280000000001</v>
      </c>
      <c r="AO85" s="1"/>
      <c r="AP85" s="13">
        <v>54.798200000000001</v>
      </c>
      <c r="AQ85" s="13">
        <v>54.929000000000002</v>
      </c>
      <c r="AR85" s="1"/>
      <c r="AS85" s="13">
        <v>1</v>
      </c>
      <c r="AT85" s="13">
        <v>1</v>
      </c>
      <c r="AU85" s="1"/>
      <c r="AV85" s="38">
        <v>7.7900499999999999</v>
      </c>
      <c r="AW85" s="38">
        <v>7.7923</v>
      </c>
      <c r="AX85" s="1"/>
      <c r="AY85" s="38">
        <v>8.75</v>
      </c>
      <c r="AZ85" s="38">
        <v>8.75</v>
      </c>
      <c r="BA85" s="1"/>
      <c r="BB85" s="38">
        <v>24.644380000000002</v>
      </c>
      <c r="BC85" s="38">
        <v>24.621600000000001</v>
      </c>
      <c r="BD85" s="1"/>
      <c r="BE85" s="38">
        <v>36.566229999999997</v>
      </c>
      <c r="BF85" s="38">
        <v>36.479500000000002</v>
      </c>
      <c r="BG85" s="1"/>
      <c r="BH85" s="38">
        <v>6.7820999999999998</v>
      </c>
      <c r="BI85" s="38">
        <v>6.7767999999999997</v>
      </c>
    </row>
    <row r="86" spans="2:61" x14ac:dyDescent="0.3">
      <c r="B86" s="18">
        <v>45046</v>
      </c>
      <c r="C86" s="13">
        <v>18.072299999999998</v>
      </c>
      <c r="D86" s="13">
        <v>18.081199999999999</v>
      </c>
      <c r="F86" s="46">
        <v>0.90769999999999995</v>
      </c>
      <c r="G86" s="46">
        <v>0.91259999999999997</v>
      </c>
      <c r="I86" s="38">
        <v>222.48580999999999</v>
      </c>
      <c r="J86" s="38">
        <v>215.50919999999999</v>
      </c>
      <c r="K86" s="1"/>
      <c r="L86" s="38">
        <v>6.9111599999999997</v>
      </c>
      <c r="M86" s="38">
        <v>6.9142000000000001</v>
      </c>
      <c r="O86" s="46">
        <v>4.9874179999999999</v>
      </c>
      <c r="P86" s="46">
        <v>5.0175000000000001</v>
      </c>
      <c r="Q86" s="1"/>
      <c r="R86" s="44">
        <v>807</v>
      </c>
      <c r="S86" s="44">
        <v>804.66300000000001</v>
      </c>
      <c r="T86" s="1"/>
      <c r="U86" s="32">
        <v>4701.34</v>
      </c>
      <c r="V86" s="32">
        <v>4547.05</v>
      </c>
      <c r="W86" s="1"/>
      <c r="X86" s="32">
        <v>7187.35</v>
      </c>
      <c r="Y86" s="32">
        <v>7159.82</v>
      </c>
      <c r="Z86" s="1"/>
      <c r="AA86" s="32">
        <v>1441.11</v>
      </c>
      <c r="AB86" s="32">
        <v>1427.15</v>
      </c>
      <c r="AC86" s="1"/>
      <c r="AD86" s="38">
        <v>3.7080299999999999</v>
      </c>
      <c r="AE86" s="38">
        <v>3.7606000000000002</v>
      </c>
      <c r="AF86" s="1"/>
      <c r="AG86" s="38">
        <v>38.68882</v>
      </c>
      <c r="AH86" s="38">
        <v>38.802500000000002</v>
      </c>
      <c r="AI86" s="1"/>
      <c r="AJ86" s="38">
        <v>7.7573299999999996</v>
      </c>
      <c r="AK86" s="38">
        <v>7.7343000000000002</v>
      </c>
      <c r="AL86" s="1"/>
      <c r="AM86" s="13">
        <v>536.25139999999999</v>
      </c>
      <c r="AN86" s="13">
        <v>536.51499999999999</v>
      </c>
      <c r="AO86" s="1"/>
      <c r="AP86" s="13">
        <v>54.472799999999999</v>
      </c>
      <c r="AQ86" s="13">
        <v>54.715299999999999</v>
      </c>
      <c r="AR86" s="1"/>
      <c r="AS86" s="13">
        <v>1</v>
      </c>
      <c r="AT86" s="13">
        <v>1</v>
      </c>
      <c r="AU86" s="1"/>
      <c r="AV86" s="38">
        <v>7.8022400000000003</v>
      </c>
      <c r="AW86" s="38">
        <v>7.7994000000000003</v>
      </c>
      <c r="AX86" s="1"/>
      <c r="AY86" s="38">
        <v>8.75</v>
      </c>
      <c r="AZ86" s="38">
        <v>8.75</v>
      </c>
      <c r="BA86" s="1"/>
      <c r="BB86" s="38">
        <v>24.614809999999999</v>
      </c>
      <c r="BC86" s="38">
        <v>24.601299999999998</v>
      </c>
      <c r="BD86" s="1"/>
      <c r="BE86" s="38">
        <v>36.537280000000003</v>
      </c>
      <c r="BF86" s="38">
        <v>36.540300000000002</v>
      </c>
      <c r="BG86" s="1"/>
      <c r="BH86" s="38">
        <v>6.7932399999999999</v>
      </c>
      <c r="BI86" s="38">
        <v>6.7873000000000001</v>
      </c>
    </row>
    <row r="87" spans="2:61" x14ac:dyDescent="0.3">
      <c r="B87" s="18">
        <v>45077</v>
      </c>
      <c r="C87" s="13">
        <v>17.653199999999998</v>
      </c>
      <c r="D87" s="13">
        <v>17.768999999999998</v>
      </c>
      <c r="F87" s="46">
        <v>0.93596400000000002</v>
      </c>
      <c r="G87" s="46">
        <v>0.92049999999999998</v>
      </c>
      <c r="I87" s="38">
        <v>239.10775000000001</v>
      </c>
      <c r="J87" s="38">
        <v>230.8382</v>
      </c>
      <c r="K87" s="1"/>
      <c r="L87" s="38">
        <v>6.9096399999999996</v>
      </c>
      <c r="M87" s="38">
        <v>6.9104000000000001</v>
      </c>
      <c r="O87" s="46">
        <v>5.0563120000000001</v>
      </c>
      <c r="P87" s="46">
        <v>4.9757999999999996</v>
      </c>
      <c r="Q87" s="1"/>
      <c r="R87" s="44">
        <v>807.221</v>
      </c>
      <c r="S87" s="44">
        <v>797.75300000000004</v>
      </c>
      <c r="T87" s="1"/>
      <c r="U87" s="32">
        <v>4410.9799999999996</v>
      </c>
      <c r="V87" s="32">
        <v>4536.6899999999996</v>
      </c>
      <c r="W87" s="1"/>
      <c r="X87" s="32">
        <v>7229.21</v>
      </c>
      <c r="Y87" s="32">
        <v>7204.31</v>
      </c>
      <c r="Z87" s="1"/>
      <c r="AA87" s="32">
        <v>1429.75</v>
      </c>
      <c r="AB87" s="32">
        <v>1447.95</v>
      </c>
      <c r="AC87" s="1"/>
      <c r="AD87" s="38">
        <v>3.6749499999999999</v>
      </c>
      <c r="AE87" s="38">
        <v>3.6865000000000001</v>
      </c>
      <c r="AF87" s="1"/>
      <c r="AG87" s="38">
        <v>38.80603</v>
      </c>
      <c r="AH87" s="38">
        <v>38.879300000000001</v>
      </c>
      <c r="AI87" s="1"/>
      <c r="AJ87" s="38">
        <v>7.6748000000000003</v>
      </c>
      <c r="AK87" s="38">
        <v>7.8141999999999996</v>
      </c>
      <c r="AL87" s="1"/>
      <c r="AM87" s="13">
        <v>539.70799999999997</v>
      </c>
      <c r="AN87" s="13">
        <v>537.4905</v>
      </c>
      <c r="AO87" s="1"/>
      <c r="AP87" s="13">
        <v>54.598500000000001</v>
      </c>
      <c r="AQ87" s="13">
        <v>54.537399999999998</v>
      </c>
      <c r="AR87" s="1"/>
      <c r="AS87" s="13">
        <v>1</v>
      </c>
      <c r="AT87" s="13">
        <v>1</v>
      </c>
      <c r="AU87" s="1"/>
      <c r="AV87" s="38">
        <v>7.8167679999999997</v>
      </c>
      <c r="AW87" s="38">
        <v>7.8040000000000003</v>
      </c>
      <c r="AX87" s="1"/>
      <c r="AY87" s="38">
        <v>8.75</v>
      </c>
      <c r="AZ87" s="38">
        <v>8.75</v>
      </c>
      <c r="BA87" s="1"/>
      <c r="BB87" s="38">
        <v>24.598400000000002</v>
      </c>
      <c r="BC87" s="38">
        <v>24.625</v>
      </c>
      <c r="BD87" s="1"/>
      <c r="BE87" s="38">
        <v>36.556179999999998</v>
      </c>
      <c r="BF87" s="38">
        <v>36.551200000000001</v>
      </c>
      <c r="BG87" s="1"/>
      <c r="BH87" s="38">
        <v>6.7892000000000001</v>
      </c>
      <c r="BI87" s="38">
        <v>6.7859999999999996</v>
      </c>
    </row>
    <row r="88" spans="2:61" x14ac:dyDescent="0.3">
      <c r="B88" s="18">
        <v>45107</v>
      </c>
      <c r="C88" s="13">
        <v>17.1187</v>
      </c>
      <c r="D88" s="13">
        <v>17.285299999999999</v>
      </c>
      <c r="F88" s="46">
        <v>0.91866800000000004</v>
      </c>
      <c r="G88" s="46">
        <v>0.92290000000000005</v>
      </c>
      <c r="I88" s="38">
        <v>256.44600000000003</v>
      </c>
      <c r="J88" s="38">
        <v>247.9984</v>
      </c>
      <c r="K88" s="1"/>
      <c r="L88" s="38">
        <v>6.9173</v>
      </c>
      <c r="M88" s="38">
        <v>6.9088000000000003</v>
      </c>
      <c r="O88" s="46">
        <v>4.8303399999999996</v>
      </c>
      <c r="P88" s="46">
        <v>4.8578000000000001</v>
      </c>
      <c r="Q88" s="1"/>
      <c r="R88" s="44">
        <v>802.52200000000005</v>
      </c>
      <c r="S88" s="44">
        <v>798.21100000000001</v>
      </c>
      <c r="T88" s="1"/>
      <c r="U88" s="32">
        <v>4172.51</v>
      </c>
      <c r="V88" s="32">
        <v>4204.3100000000004</v>
      </c>
      <c r="W88" s="1"/>
      <c r="X88" s="32">
        <v>7282.27</v>
      </c>
      <c r="Y88" s="32">
        <v>7250.84</v>
      </c>
      <c r="Z88" s="1"/>
      <c r="AA88" s="32">
        <v>1507.62</v>
      </c>
      <c r="AB88" s="32">
        <v>1492.96</v>
      </c>
      <c r="AC88" s="1"/>
      <c r="AD88" s="38">
        <v>3.63523</v>
      </c>
      <c r="AE88" s="38">
        <v>3.6476999999999999</v>
      </c>
      <c r="AF88" s="1"/>
      <c r="AG88" s="38">
        <v>37.635800000000003</v>
      </c>
      <c r="AH88" s="38">
        <v>38.359499999999997</v>
      </c>
      <c r="AI88" s="1"/>
      <c r="AJ88" s="38">
        <v>7.7915799999999997</v>
      </c>
      <c r="AK88" s="38">
        <v>7.8971999999999998</v>
      </c>
      <c r="AL88" s="1"/>
      <c r="AM88" s="13">
        <v>543.35799999999995</v>
      </c>
      <c r="AN88" s="13">
        <v>539.9366</v>
      </c>
      <c r="AO88" s="1"/>
      <c r="AP88" s="13">
        <v>55.445599999999999</v>
      </c>
      <c r="AQ88" s="13">
        <v>54.8536</v>
      </c>
      <c r="AR88" s="1"/>
      <c r="AS88" s="13">
        <v>1</v>
      </c>
      <c r="AT88" s="13">
        <v>1</v>
      </c>
      <c r="AU88" s="1"/>
      <c r="AV88" s="38">
        <v>7.85344</v>
      </c>
      <c r="AW88" s="38">
        <v>7.8333000000000004</v>
      </c>
      <c r="AX88" s="1"/>
      <c r="AY88" s="38">
        <v>8.75</v>
      </c>
      <c r="AZ88" s="38">
        <v>8.75</v>
      </c>
      <c r="BA88" s="1"/>
      <c r="BB88" s="38">
        <v>24.717400000000001</v>
      </c>
      <c r="BC88" s="38">
        <v>24.668700000000001</v>
      </c>
      <c r="BD88" s="1"/>
      <c r="BE88" s="38">
        <v>36.653300000000002</v>
      </c>
      <c r="BF88" s="38">
        <v>36.5563</v>
      </c>
      <c r="BG88" s="1"/>
      <c r="BH88" s="38">
        <v>6.7947699999999998</v>
      </c>
      <c r="BI88" s="38">
        <v>6.7827999999999999</v>
      </c>
    </row>
    <row r="89" spans="2:61" x14ac:dyDescent="0.3">
      <c r="B89" s="18">
        <v>45138</v>
      </c>
      <c r="C89" s="13">
        <v>16.689499999999999</v>
      </c>
      <c r="D89" s="13">
        <v>16.9404</v>
      </c>
      <c r="F89" s="46">
        <v>0.90783499999999995</v>
      </c>
      <c r="G89" s="46">
        <v>0.90469999999999995</v>
      </c>
      <c r="I89" s="38">
        <v>274.096</v>
      </c>
      <c r="J89" s="38">
        <v>265.63159999999999</v>
      </c>
      <c r="K89" s="1"/>
      <c r="L89" s="38">
        <v>6.9138999999999999</v>
      </c>
      <c r="M89" s="38">
        <v>6.9055999999999997</v>
      </c>
      <c r="O89" s="46">
        <v>4.7313799999999997</v>
      </c>
      <c r="P89" s="46">
        <v>4.8</v>
      </c>
      <c r="Q89" s="1"/>
      <c r="R89" s="44">
        <v>833.8</v>
      </c>
      <c r="S89" s="44">
        <v>814.65700000000004</v>
      </c>
      <c r="T89" s="1"/>
      <c r="U89" s="32">
        <v>3915.94</v>
      </c>
      <c r="V89" s="32">
        <v>4060.11</v>
      </c>
      <c r="W89" s="1"/>
      <c r="X89" s="32">
        <v>7271.9</v>
      </c>
      <c r="Y89" s="32">
        <v>7267.03</v>
      </c>
      <c r="Z89" s="1"/>
      <c r="AA89" s="32">
        <v>1536.98</v>
      </c>
      <c r="AB89" s="32">
        <v>1514.13</v>
      </c>
      <c r="AC89" s="1"/>
      <c r="AD89" s="38">
        <v>3.5996600000000001</v>
      </c>
      <c r="AE89" s="38">
        <v>3.6032999999999999</v>
      </c>
      <c r="AF89" s="1"/>
      <c r="AG89" s="38">
        <v>37.681399999999996</v>
      </c>
      <c r="AH89" s="38">
        <v>37.881100000000004</v>
      </c>
      <c r="AI89" s="1"/>
      <c r="AJ89" s="38">
        <v>7.9642400000000002</v>
      </c>
      <c r="AK89" s="38">
        <v>7.8926999999999996</v>
      </c>
      <c r="AL89" s="1"/>
      <c r="AM89" s="13">
        <v>542.43899999999996</v>
      </c>
      <c r="AN89" s="13">
        <v>541.58320000000003</v>
      </c>
      <c r="AO89" s="1"/>
      <c r="AP89" s="13">
        <v>56.119599999999998</v>
      </c>
      <c r="AQ89" s="13">
        <v>55.833399999999997</v>
      </c>
      <c r="AR89" s="1"/>
      <c r="AS89" s="13">
        <v>1</v>
      </c>
      <c r="AT89" s="13">
        <v>1</v>
      </c>
      <c r="AU89" s="1"/>
      <c r="AV89" s="38">
        <v>7.8464900000000002</v>
      </c>
      <c r="AW89" s="38">
        <v>7.8411</v>
      </c>
      <c r="AX89" s="1"/>
      <c r="AY89" s="38">
        <v>8.75</v>
      </c>
      <c r="AZ89" s="38">
        <v>8.75</v>
      </c>
      <c r="BA89" s="1"/>
      <c r="BB89" s="38">
        <v>24.587700000000002</v>
      </c>
      <c r="BC89" s="38">
        <v>24.655899999999999</v>
      </c>
      <c r="BD89" s="1"/>
      <c r="BE89" s="38">
        <v>36.523200000000003</v>
      </c>
      <c r="BF89" s="38">
        <v>36.571399999999997</v>
      </c>
      <c r="BG89" s="1"/>
      <c r="BH89" s="38">
        <v>6.78376</v>
      </c>
      <c r="BI89" s="38">
        <v>6.7824</v>
      </c>
    </row>
    <row r="90" spans="2:61" x14ac:dyDescent="0.3">
      <c r="B90" s="18">
        <v>45169</v>
      </c>
      <c r="C90" s="13">
        <v>16.747699999999998</v>
      </c>
      <c r="D90" s="13">
        <v>16.988</v>
      </c>
      <c r="F90" s="46">
        <v>0.91940200000000005</v>
      </c>
      <c r="G90" s="46">
        <v>0.91669999999999996</v>
      </c>
      <c r="I90" s="38">
        <v>349.91699999999997</v>
      </c>
      <c r="J90" s="38">
        <v>319.767</v>
      </c>
      <c r="K90" s="1"/>
      <c r="L90" s="38">
        <v>6.8992800000000001</v>
      </c>
      <c r="M90" s="38">
        <v>6.9112999999999998</v>
      </c>
      <c r="O90" s="46">
        <v>4.9148399999999999</v>
      </c>
      <c r="P90" s="46">
        <v>4.9028</v>
      </c>
      <c r="Q90" s="1"/>
      <c r="R90" s="44">
        <v>852.85400000000004</v>
      </c>
      <c r="S90" s="44">
        <v>856.20399999999995</v>
      </c>
      <c r="T90" s="1"/>
      <c r="U90" s="32">
        <v>4096.5600000000004</v>
      </c>
      <c r="V90" s="32">
        <v>4068.53</v>
      </c>
      <c r="W90" s="1"/>
      <c r="X90" s="32">
        <v>7276.12</v>
      </c>
      <c r="Y90" s="32">
        <v>7272.94</v>
      </c>
      <c r="Z90" s="1"/>
      <c r="AA90" s="32">
        <v>1480.44</v>
      </c>
      <c r="AB90" s="32">
        <v>1483.63</v>
      </c>
      <c r="AC90" s="1"/>
      <c r="AD90" s="38">
        <v>3.6882999999999999</v>
      </c>
      <c r="AE90" s="38">
        <v>3.6945000000000001</v>
      </c>
      <c r="AF90" s="1"/>
      <c r="AG90" s="38">
        <v>37.671399999999998</v>
      </c>
      <c r="AH90" s="38">
        <v>37.868600000000001</v>
      </c>
      <c r="AI90" s="1"/>
      <c r="AJ90" s="38">
        <v>7.66486</v>
      </c>
      <c r="AK90" s="38">
        <v>7.7247000000000003</v>
      </c>
      <c r="AL90" s="1"/>
      <c r="AM90" s="13">
        <v>538.39200000000005</v>
      </c>
      <c r="AN90" s="13">
        <v>538.57190000000003</v>
      </c>
      <c r="AO90" s="1"/>
      <c r="AP90" s="13">
        <v>56.704799999999999</v>
      </c>
      <c r="AQ90" s="13">
        <v>56.628399999999999</v>
      </c>
      <c r="AR90" s="1"/>
      <c r="AS90" s="13">
        <v>1</v>
      </c>
      <c r="AT90" s="13">
        <v>1</v>
      </c>
      <c r="AU90" s="1"/>
      <c r="AV90" s="38">
        <v>7.8429200000000003</v>
      </c>
      <c r="AW90" s="38">
        <v>7.8586999999999998</v>
      </c>
      <c r="AX90" s="1"/>
      <c r="AY90" s="38">
        <v>8.75</v>
      </c>
      <c r="AZ90" s="38">
        <v>8.75</v>
      </c>
      <c r="BA90" s="1"/>
      <c r="BB90" s="38">
        <v>24.584900000000001</v>
      </c>
      <c r="BC90" s="38">
        <v>24.6218</v>
      </c>
      <c r="BD90" s="1"/>
      <c r="BE90" s="38">
        <v>36.538800000000002</v>
      </c>
      <c r="BF90" s="38">
        <v>36.584000000000003</v>
      </c>
      <c r="BG90" s="1"/>
      <c r="BH90" s="38">
        <v>6.7805499999999999</v>
      </c>
      <c r="BI90" s="38">
        <v>6.7869999999999999</v>
      </c>
    </row>
    <row r="91" spans="2:61" x14ac:dyDescent="0.3">
      <c r="B91" s="18">
        <v>45199</v>
      </c>
      <c r="C91" s="13">
        <v>17.619499999999999</v>
      </c>
      <c r="D91" s="13">
        <v>17.268999999999998</v>
      </c>
      <c r="F91" s="46">
        <v>0.94567999999999997</v>
      </c>
      <c r="G91" s="46">
        <v>0.93630000000000002</v>
      </c>
      <c r="I91" s="38">
        <v>350.05700000000002</v>
      </c>
      <c r="J91" s="38">
        <v>349.9941</v>
      </c>
      <c r="K91" s="1"/>
      <c r="L91" s="38">
        <v>6.9171500000000004</v>
      </c>
      <c r="M91" s="38">
        <v>6.9123999999999999</v>
      </c>
      <c r="O91" s="46">
        <v>5.0330000000000004</v>
      </c>
      <c r="P91" s="46">
        <v>4.9435000000000002</v>
      </c>
      <c r="Q91" s="1"/>
      <c r="R91" s="44">
        <v>891.15</v>
      </c>
      <c r="S91" s="44">
        <v>885.01700000000005</v>
      </c>
      <c r="T91" s="1"/>
      <c r="U91" s="32">
        <v>4074.24</v>
      </c>
      <c r="V91" s="32">
        <v>4006.1</v>
      </c>
      <c r="W91" s="1"/>
      <c r="X91" s="32">
        <v>7303.85</v>
      </c>
      <c r="Y91" s="32">
        <v>7279.32</v>
      </c>
      <c r="Z91" s="1"/>
      <c r="AA91" s="32">
        <v>1451.2</v>
      </c>
      <c r="AB91" s="32">
        <v>1472.65</v>
      </c>
      <c r="AC91" s="1"/>
      <c r="AD91" s="38">
        <v>3.78775</v>
      </c>
      <c r="AE91" s="38">
        <v>3.7252000000000001</v>
      </c>
      <c r="AF91" s="1"/>
      <c r="AG91" s="38">
        <v>38.358199999999997</v>
      </c>
      <c r="AH91" s="38">
        <v>38.054000000000002</v>
      </c>
      <c r="AI91" s="1"/>
      <c r="AJ91" s="38">
        <v>7.6213600000000001</v>
      </c>
      <c r="AK91" s="38">
        <v>7.6985999999999999</v>
      </c>
      <c r="AL91" s="1"/>
      <c r="AM91" s="13">
        <v>536.37800000000004</v>
      </c>
      <c r="AN91" s="13">
        <v>535.46640000000002</v>
      </c>
      <c r="AO91" s="1"/>
      <c r="AP91" s="13">
        <v>56.797499999999999</v>
      </c>
      <c r="AQ91" s="13">
        <v>56.802999999999997</v>
      </c>
      <c r="AR91" s="1"/>
      <c r="AS91" s="13">
        <v>1</v>
      </c>
      <c r="AT91" s="13">
        <v>1</v>
      </c>
      <c r="AU91" s="1"/>
      <c r="AV91" s="38">
        <v>7.8688399999999996</v>
      </c>
      <c r="AW91" s="38">
        <v>7.8715999999999999</v>
      </c>
      <c r="AX91" s="1"/>
      <c r="AY91" s="38">
        <v>8.75</v>
      </c>
      <c r="AZ91" s="38">
        <v>8.75</v>
      </c>
      <c r="BA91" s="1"/>
      <c r="BB91" s="38">
        <v>24.8522</v>
      </c>
      <c r="BC91" s="38">
        <v>24.7531</v>
      </c>
      <c r="BD91" s="1"/>
      <c r="BE91" s="38">
        <v>36.579799999999999</v>
      </c>
      <c r="BF91" s="38">
        <v>36.595799999999997</v>
      </c>
      <c r="BG91" s="1"/>
      <c r="BH91" s="38">
        <v>6.79331</v>
      </c>
      <c r="BI91" s="38">
        <v>6.7861000000000002</v>
      </c>
    </row>
    <row r="92" spans="2:61" x14ac:dyDescent="0.3">
      <c r="B92" s="18">
        <v>45230</v>
      </c>
      <c r="C92" s="13">
        <v>18.064</v>
      </c>
      <c r="D92" s="13">
        <v>18.0685</v>
      </c>
      <c r="F92" s="46">
        <v>0.94314100000000001</v>
      </c>
      <c r="G92" s="46">
        <v>0.94669999999999999</v>
      </c>
      <c r="I92" s="38">
        <v>349.98</v>
      </c>
      <c r="J92" s="38">
        <v>350.00330000000002</v>
      </c>
      <c r="K92" s="1"/>
      <c r="L92" s="38">
        <v>6.90137</v>
      </c>
      <c r="M92" s="38">
        <v>6.9085000000000001</v>
      </c>
      <c r="O92" s="46">
        <v>5.0448899999999997</v>
      </c>
      <c r="P92" s="46">
        <v>5.0632000000000001</v>
      </c>
      <c r="Q92" s="1"/>
      <c r="R92" s="44">
        <v>902.93899999999996</v>
      </c>
      <c r="S92" s="44">
        <v>926.55499999999995</v>
      </c>
      <c r="T92" s="1"/>
      <c r="U92" s="32">
        <v>4084.16</v>
      </c>
      <c r="V92" s="32">
        <v>4215.25</v>
      </c>
      <c r="W92" s="1"/>
      <c r="X92" s="32">
        <v>7449.8</v>
      </c>
      <c r="Y92" s="32">
        <v>7367.68</v>
      </c>
      <c r="Z92" s="1"/>
      <c r="AA92" s="32">
        <v>1476.71</v>
      </c>
      <c r="AB92" s="32">
        <v>1455.39</v>
      </c>
      <c r="AC92" s="1"/>
      <c r="AD92" s="38">
        <v>3.8348100000000001</v>
      </c>
      <c r="AE92" s="38">
        <v>3.8409</v>
      </c>
      <c r="AF92" s="1"/>
      <c r="AG92" s="38">
        <v>39.9</v>
      </c>
      <c r="AH92" s="38">
        <v>39.5623</v>
      </c>
      <c r="AI92" s="1"/>
      <c r="AJ92" s="38">
        <v>7.9090400000000001</v>
      </c>
      <c r="AK92" s="38">
        <v>7.8151000000000002</v>
      </c>
      <c r="AL92" s="1"/>
      <c r="AM92" s="13">
        <v>530.28</v>
      </c>
      <c r="AN92" s="13">
        <v>532.34439999999995</v>
      </c>
      <c r="AO92" s="1"/>
      <c r="AP92" s="13">
        <v>56.81</v>
      </c>
      <c r="AQ92" s="13">
        <v>56.829500000000003</v>
      </c>
      <c r="AR92" s="1"/>
      <c r="AS92" s="13">
        <v>1</v>
      </c>
      <c r="AT92" s="13">
        <v>1</v>
      </c>
      <c r="AU92" s="1"/>
      <c r="AV92" s="38">
        <v>7.8300599999999996</v>
      </c>
      <c r="AW92" s="38">
        <v>7.8430999999999997</v>
      </c>
      <c r="AX92" s="1"/>
      <c r="AY92" s="38">
        <v>8.75</v>
      </c>
      <c r="AZ92" s="38">
        <v>8.75</v>
      </c>
      <c r="BA92" s="1"/>
      <c r="BB92" s="38">
        <v>24.691600000000001</v>
      </c>
      <c r="BC92" s="38">
        <v>24.7028</v>
      </c>
      <c r="BD92" s="1"/>
      <c r="BE92" s="38">
        <v>36.569600000000001</v>
      </c>
      <c r="BF92" s="38">
        <v>36.607399999999998</v>
      </c>
      <c r="BG92" s="1"/>
      <c r="BH92" s="38">
        <v>6.7771400000000002</v>
      </c>
      <c r="BI92" s="38">
        <v>6.7859999999999996</v>
      </c>
    </row>
    <row r="93" spans="2:61" x14ac:dyDescent="0.3">
      <c r="B93" s="18">
        <v>45260</v>
      </c>
      <c r="C93" s="13">
        <v>17.187000000000001</v>
      </c>
      <c r="D93" s="13">
        <v>17.441400000000002</v>
      </c>
      <c r="F93" s="46">
        <v>0.91496900000000003</v>
      </c>
      <c r="G93" s="46">
        <v>0.92510000000000003</v>
      </c>
      <c r="I93" s="38">
        <v>360.20100000000002</v>
      </c>
      <c r="J93" s="38">
        <v>353.15769999999998</v>
      </c>
      <c r="K93" s="1"/>
      <c r="L93" s="38">
        <v>6.9116200000000001</v>
      </c>
      <c r="M93" s="38">
        <v>6.9039999999999999</v>
      </c>
      <c r="O93" s="46">
        <v>4.9165200000000002</v>
      </c>
      <c r="P93" s="46">
        <v>4.9024999999999999</v>
      </c>
      <c r="Q93" s="1"/>
      <c r="R93" s="44">
        <v>869.64400000000001</v>
      </c>
      <c r="S93" s="44">
        <v>885.18299999999999</v>
      </c>
      <c r="T93" s="1"/>
      <c r="U93" s="32">
        <v>4004.44</v>
      </c>
      <c r="V93" s="32">
        <v>4036.12</v>
      </c>
      <c r="W93" s="1"/>
      <c r="X93" s="32">
        <v>7434.7</v>
      </c>
      <c r="Y93" s="32">
        <v>7439.91</v>
      </c>
      <c r="Z93" s="1"/>
      <c r="AA93" s="32">
        <v>1512.2</v>
      </c>
      <c r="AB93" s="32">
        <v>1517.64</v>
      </c>
      <c r="AC93" s="1"/>
      <c r="AD93" s="38">
        <v>3.72722</v>
      </c>
      <c r="AE93" s="38">
        <v>3.7730999999999999</v>
      </c>
      <c r="AF93" s="1"/>
      <c r="AG93" s="38">
        <v>39.1648</v>
      </c>
      <c r="AH93" s="38">
        <v>39.658299999999997</v>
      </c>
      <c r="AI93" s="1"/>
      <c r="AJ93" s="38">
        <v>7.9660000000000002</v>
      </c>
      <c r="AK93" s="38">
        <v>8.0897000000000006</v>
      </c>
      <c r="AL93" s="1"/>
      <c r="AM93" s="13">
        <v>529.90599999999995</v>
      </c>
      <c r="AN93" s="13">
        <v>530.66759999999999</v>
      </c>
      <c r="AO93" s="1"/>
      <c r="AP93" s="13">
        <v>56.851199999999999</v>
      </c>
      <c r="AQ93" s="13">
        <v>56.835900000000002</v>
      </c>
      <c r="AR93" s="1"/>
      <c r="AS93" s="13">
        <v>1</v>
      </c>
      <c r="AT93" s="13">
        <v>1</v>
      </c>
      <c r="AU93" s="1"/>
      <c r="AV93" s="38">
        <v>7.8282400000000001</v>
      </c>
      <c r="AW93" s="38">
        <v>7.8243</v>
      </c>
      <c r="AX93" s="1"/>
      <c r="AY93" s="38">
        <v>8.75</v>
      </c>
      <c r="AZ93" s="38">
        <v>8.75</v>
      </c>
      <c r="BA93" s="1"/>
      <c r="BB93" s="38">
        <v>24.704599999999999</v>
      </c>
      <c r="BC93" s="38">
        <v>24.703199999999999</v>
      </c>
      <c r="BD93" s="1"/>
      <c r="BE93" s="38">
        <v>36.639600000000002</v>
      </c>
      <c r="BF93" s="38">
        <v>36.631100000000004</v>
      </c>
      <c r="BG93" s="1"/>
      <c r="BH93" s="38">
        <v>6.7859699999999998</v>
      </c>
      <c r="BI93" s="38">
        <v>6.782</v>
      </c>
    </row>
    <row r="94" spans="2:61" x14ac:dyDescent="0.3">
      <c r="B94" s="18">
        <v>45291</v>
      </c>
      <c r="C94" s="13">
        <v>16.8935</v>
      </c>
      <c r="D94" s="13">
        <v>17.209800000000001</v>
      </c>
      <c r="F94" s="46">
        <v>0.90602300000000002</v>
      </c>
      <c r="G94" s="46">
        <v>0.91620000000000001</v>
      </c>
      <c r="I94" s="38">
        <v>808.60199999999998</v>
      </c>
      <c r="J94" s="38">
        <v>622.49289999999996</v>
      </c>
      <c r="K94" s="1"/>
      <c r="L94" s="38">
        <v>6.9137300000000002</v>
      </c>
      <c r="M94" s="38">
        <v>6.9132999999999996</v>
      </c>
      <c r="O94" s="46">
        <v>4.8525</v>
      </c>
      <c r="P94" s="46">
        <v>4.8979999999999997</v>
      </c>
      <c r="Q94" s="1"/>
      <c r="R94" s="44">
        <v>879.04499999999996</v>
      </c>
      <c r="S94" s="44">
        <v>875.62199999999996</v>
      </c>
      <c r="T94" s="1"/>
      <c r="U94" s="32">
        <v>3878.73</v>
      </c>
      <c r="V94" s="32">
        <v>3947.03</v>
      </c>
      <c r="W94" s="1"/>
      <c r="X94" s="32">
        <v>7290.25</v>
      </c>
      <c r="Y94" s="32">
        <v>7359.12</v>
      </c>
      <c r="Z94" s="1"/>
      <c r="AA94" s="32">
        <v>1502.38</v>
      </c>
      <c r="AB94" s="32">
        <v>1502.57</v>
      </c>
      <c r="AC94" s="1"/>
      <c r="AD94" s="38">
        <v>3.6949000000000001</v>
      </c>
      <c r="AE94" s="38">
        <v>3.7353000000000001</v>
      </c>
      <c r="AF94" s="1"/>
      <c r="AG94" s="38">
        <v>39.047699999999999</v>
      </c>
      <c r="AH94" s="38">
        <v>39.328400000000002</v>
      </c>
      <c r="AI94" s="1"/>
      <c r="AJ94" s="38">
        <v>8.0469600000000003</v>
      </c>
      <c r="AK94" s="38">
        <v>8.0299999999999994</v>
      </c>
      <c r="AL94" s="1"/>
      <c r="AM94" s="13">
        <v>519.75800000000004</v>
      </c>
      <c r="AN94" s="13">
        <v>525.18579999999997</v>
      </c>
      <c r="AO94" s="1"/>
      <c r="AP94" s="13">
        <v>57.994599999999998</v>
      </c>
      <c r="AQ94" s="13">
        <v>57.269599999999997</v>
      </c>
      <c r="AR94" s="1"/>
      <c r="AS94" s="13">
        <v>1</v>
      </c>
      <c r="AT94" s="13">
        <v>1</v>
      </c>
      <c r="AU94" s="1"/>
      <c r="AV94" s="38">
        <v>7.8266799999999996</v>
      </c>
      <c r="AW94" s="38">
        <v>7.8272000000000004</v>
      </c>
      <c r="AX94" s="1"/>
      <c r="AY94" s="38">
        <v>8.75</v>
      </c>
      <c r="AZ94" s="38">
        <v>8.75</v>
      </c>
      <c r="BA94" s="1"/>
      <c r="BB94" s="38">
        <v>24.6873</v>
      </c>
      <c r="BC94" s="38">
        <v>24.703600000000002</v>
      </c>
      <c r="BD94" s="1"/>
      <c r="BE94" s="38">
        <v>36.619300000000003</v>
      </c>
      <c r="BF94" s="38">
        <v>36.679499999999997</v>
      </c>
      <c r="BG94" s="1"/>
      <c r="BH94" s="38">
        <v>6.7915299999999998</v>
      </c>
      <c r="BI94" s="38">
        <v>6.7933000000000003</v>
      </c>
    </row>
    <row r="95" spans="2:61" x14ac:dyDescent="0.3">
      <c r="B95" s="18">
        <v>45322</v>
      </c>
      <c r="C95" s="13">
        <v>17.193200000000001</v>
      </c>
      <c r="D95" s="13">
        <v>17.081141935483874</v>
      </c>
      <c r="F95" s="46">
        <v>0.92318599999999995</v>
      </c>
      <c r="G95" s="46">
        <v>0.91651090322580642</v>
      </c>
      <c r="I95" s="38">
        <v>825.99599999999998</v>
      </c>
      <c r="J95" s="38">
        <v>817.58377419354827</v>
      </c>
      <c r="K95" s="1"/>
      <c r="L95" s="38">
        <v>6.9090999999999996</v>
      </c>
      <c r="M95" s="38">
        <v>6.9101406451612899</v>
      </c>
      <c r="O95" s="46">
        <v>4.9493799999999997</v>
      </c>
      <c r="P95" s="46">
        <v>4.9068725806451621</v>
      </c>
      <c r="Q95" s="1"/>
      <c r="R95" s="44">
        <v>932.41499999999996</v>
      </c>
      <c r="S95" s="44">
        <v>908.8792258064517</v>
      </c>
      <c r="T95" s="1"/>
      <c r="U95" s="32">
        <v>3917.76</v>
      </c>
      <c r="V95" s="32">
        <v>3916.1629032258056</v>
      </c>
      <c r="W95" s="1"/>
      <c r="X95" s="32">
        <v>7277.29</v>
      </c>
      <c r="Y95" s="32">
        <v>7284.55064516129</v>
      </c>
      <c r="Z95" s="1"/>
      <c r="AA95" s="32">
        <v>1470.36</v>
      </c>
      <c r="AB95" s="32">
        <v>1484.6319354838711</v>
      </c>
      <c r="AC95" s="1"/>
      <c r="AD95" s="38">
        <v>3.8138200000000002</v>
      </c>
      <c r="AE95" s="38">
        <v>3.7309335483870978</v>
      </c>
      <c r="AF95" s="1"/>
      <c r="AG95" s="38">
        <v>39.047600000000003</v>
      </c>
      <c r="AH95" s="38">
        <v>39.158693548387106</v>
      </c>
      <c r="AI95" s="1"/>
      <c r="AJ95" s="38">
        <v>7.8894299999999999</v>
      </c>
      <c r="AK95" s="38">
        <v>7.9808719354838704</v>
      </c>
      <c r="AL95" s="1"/>
      <c r="AM95" s="13">
        <v>512.52</v>
      </c>
      <c r="AN95" s="13">
        <v>516.94154838709676</v>
      </c>
      <c r="AO95" s="1"/>
      <c r="AP95" s="13">
        <v>58.942100000000003</v>
      </c>
      <c r="AQ95" s="13">
        <v>58.605141935483864</v>
      </c>
      <c r="AR95" s="1"/>
      <c r="AS95" s="13">
        <v>1</v>
      </c>
      <c r="AT95" s="13">
        <v>1</v>
      </c>
      <c r="AU95" s="1"/>
      <c r="AV95" s="38">
        <v>7.8078900000000004</v>
      </c>
      <c r="AW95" s="38">
        <v>7.8196516129032272</v>
      </c>
      <c r="AX95" s="1"/>
      <c r="AY95" s="38">
        <v>8.75</v>
      </c>
      <c r="AZ95" s="38">
        <v>8.75</v>
      </c>
      <c r="BA95" s="1"/>
      <c r="BB95" s="38">
        <v>24.686599999999999</v>
      </c>
      <c r="BC95" s="38">
        <v>24.693248387096776</v>
      </c>
      <c r="BD95" s="1"/>
      <c r="BE95" s="38">
        <v>36.700800000000001</v>
      </c>
      <c r="BF95" s="38">
        <v>36.67860000000001</v>
      </c>
      <c r="BG95" s="1"/>
      <c r="BH95" s="38">
        <v>6.7763600000000004</v>
      </c>
      <c r="BI95" s="38">
        <v>6.7864122580645176</v>
      </c>
    </row>
    <row r="96" spans="2:61" x14ac:dyDescent="0.3">
      <c r="B96" s="18">
        <v>45351</v>
      </c>
      <c r="C96" s="13">
        <v>17.0962</v>
      </c>
      <c r="D96" s="13">
        <v>17.099262068965512</v>
      </c>
      <c r="F96" s="46">
        <v>0.9240436148586213</v>
      </c>
      <c r="G96" s="46">
        <v>0.92662705568477999</v>
      </c>
      <c r="I96" s="38">
        <v>833.33333333333337</v>
      </c>
      <c r="J96" s="38">
        <v>833.63352873563201</v>
      </c>
      <c r="K96" s="1"/>
      <c r="L96" s="38">
        <v>6.8917987594762229</v>
      </c>
      <c r="M96" s="38">
        <v>6.9124058192922835</v>
      </c>
      <c r="O96" s="46">
        <v>4.9701789264413518</v>
      </c>
      <c r="P96" s="46">
        <v>4.963977204360047</v>
      </c>
      <c r="Q96" s="1"/>
      <c r="R96" s="44">
        <v>970.87378640776694</v>
      </c>
      <c r="S96" s="44">
        <v>965.14992366923354</v>
      </c>
      <c r="T96" s="1"/>
      <c r="U96" s="32">
        <v>3928.1926385669949</v>
      </c>
      <c r="V96" s="32">
        <v>3930.196987536794</v>
      </c>
      <c r="W96" s="1"/>
      <c r="X96" s="32">
        <v>7299.2700729927001</v>
      </c>
      <c r="Y96" s="32">
        <v>7284.077588723886</v>
      </c>
      <c r="Z96" s="1"/>
      <c r="AA96" s="32">
        <v>1466.81</v>
      </c>
      <c r="AB96" s="32">
        <v>1467.3503448275862</v>
      </c>
      <c r="AC96" s="1"/>
      <c r="AD96" s="38">
        <v>3.7734425116033354</v>
      </c>
      <c r="AE96" s="38">
        <v>3.8306335348828737</v>
      </c>
      <c r="AF96" s="1"/>
      <c r="AG96" s="38">
        <v>39.0625</v>
      </c>
      <c r="AH96" s="38">
        <v>39.098934482758615</v>
      </c>
      <c r="AI96" s="1"/>
      <c r="AJ96" s="38">
        <v>7.8627599999999997</v>
      </c>
      <c r="AK96" s="38">
        <v>7.8767937931034471</v>
      </c>
      <c r="AL96" s="1"/>
      <c r="AM96" s="13">
        <v>515.46391752577313</v>
      </c>
      <c r="AN96" s="13">
        <v>515.50630750088874</v>
      </c>
      <c r="AO96" s="1"/>
      <c r="AP96" s="13">
        <v>58.719906048150321</v>
      </c>
      <c r="AQ96" s="13">
        <v>58.69834158786724</v>
      </c>
      <c r="AR96" s="1"/>
      <c r="AS96" s="13">
        <v>1</v>
      </c>
      <c r="AT96" s="13">
        <v>1</v>
      </c>
      <c r="AU96" s="1"/>
      <c r="AV96" s="38">
        <v>7.8125</v>
      </c>
      <c r="AW96" s="38">
        <v>7.812273103448276</v>
      </c>
      <c r="AX96" s="1"/>
      <c r="AY96" s="38">
        <v>8.7489063867016625</v>
      </c>
      <c r="AZ96" s="38">
        <v>8.7499622891966098</v>
      </c>
      <c r="BA96" s="1"/>
      <c r="BB96" s="38">
        <v>24.691358024691358</v>
      </c>
      <c r="BC96" s="38">
        <v>24.710443380161767</v>
      </c>
      <c r="BD96" s="1"/>
      <c r="BE96" s="38">
        <v>36.764705882352942</v>
      </c>
      <c r="BF96" s="38">
        <v>36.776465720081127</v>
      </c>
      <c r="BG96" s="1"/>
      <c r="BH96" s="38">
        <v>6.7750677506775068</v>
      </c>
      <c r="BI96" s="38">
        <v>6.7873213017474994</v>
      </c>
    </row>
    <row r="97" spans="2:61" x14ac:dyDescent="0.3">
      <c r="B97" s="18">
        <v>45382</v>
      </c>
      <c r="C97" s="13">
        <v>16.678000000000001</v>
      </c>
      <c r="D97" s="13">
        <v>16.805670967741936</v>
      </c>
      <c r="F97" s="46">
        <v>0.92652800000000002</v>
      </c>
      <c r="G97" s="46">
        <v>0.92040335483870972</v>
      </c>
      <c r="I97" s="38">
        <v>857.33799999999997</v>
      </c>
      <c r="J97" s="38">
        <v>850.39061290322593</v>
      </c>
      <c r="K97" s="1"/>
      <c r="L97" s="38">
        <v>6.9301000000000004</v>
      </c>
      <c r="M97" s="38">
        <v>6.9121758064516152</v>
      </c>
      <c r="O97" s="46">
        <v>5.0152000000000001</v>
      </c>
      <c r="P97" s="46">
        <v>4.9831087096774187</v>
      </c>
      <c r="Q97" s="1"/>
      <c r="R97" s="44">
        <v>979.76</v>
      </c>
      <c r="S97" s="44">
        <v>967.66187096774172</v>
      </c>
      <c r="T97" s="1"/>
      <c r="U97" s="32">
        <v>3868.02</v>
      </c>
      <c r="V97" s="32">
        <v>3900.8454838709686</v>
      </c>
      <c r="W97" s="1"/>
      <c r="X97" s="32">
        <v>7388.96</v>
      </c>
      <c r="Y97" s="32">
        <v>7311.9070967741936</v>
      </c>
      <c r="Z97" s="1"/>
      <c r="AA97" s="32">
        <v>1473.32</v>
      </c>
      <c r="AB97" s="32">
        <v>1467.361290322581</v>
      </c>
      <c r="AC97" s="1"/>
      <c r="AD97" s="38">
        <v>3.7177799999999999</v>
      </c>
      <c r="AE97" s="38">
        <v>3.7167077419354833</v>
      </c>
      <c r="AF97" s="1"/>
      <c r="AG97" s="38">
        <v>37.561999999999998</v>
      </c>
      <c r="AH97" s="38">
        <v>38.49214516129031</v>
      </c>
      <c r="AI97" s="1"/>
      <c r="AJ97" s="38">
        <v>7.4896599999999998</v>
      </c>
      <c r="AK97" s="38">
        <v>7.7250354838709656</v>
      </c>
      <c r="AL97" s="1"/>
      <c r="AM97" s="13">
        <v>503.892</v>
      </c>
      <c r="AN97" s="13">
        <v>508.4510967741935</v>
      </c>
      <c r="AO97" s="1"/>
      <c r="AP97" s="13">
        <v>59.244599999999998</v>
      </c>
      <c r="AQ97" s="13">
        <v>58.999896774193537</v>
      </c>
      <c r="AR97" s="1"/>
      <c r="AS97" s="13">
        <v>1</v>
      </c>
      <c r="AT97" s="13">
        <v>1</v>
      </c>
      <c r="AU97" s="1"/>
      <c r="AV97" s="38">
        <v>7.8016399999999999</v>
      </c>
      <c r="AW97" s="38">
        <v>7.8032712903225807</v>
      </c>
      <c r="AX97" s="1"/>
      <c r="AY97" s="38">
        <v>8.75</v>
      </c>
      <c r="AZ97" s="38">
        <v>8.75</v>
      </c>
      <c r="BA97" s="1"/>
      <c r="BB97" s="38">
        <v>24.747399999999999</v>
      </c>
      <c r="BC97" s="38">
        <v>24.716745161290323</v>
      </c>
      <c r="BD97" s="1"/>
      <c r="BE97" s="38">
        <v>36.708199999999998</v>
      </c>
      <c r="BF97" s="38">
        <v>36.781061290322583</v>
      </c>
      <c r="BG97" s="1"/>
      <c r="BH97" s="38">
        <v>6.7983700000000002</v>
      </c>
      <c r="BI97" s="38">
        <v>6.7896535483870952</v>
      </c>
    </row>
    <row r="98" spans="2:61" x14ac:dyDescent="0.3">
      <c r="B98" s="18">
        <v>45412</v>
      </c>
      <c r="C98" s="13">
        <v>17.0243</v>
      </c>
      <c r="D98" s="13">
        <v>16.794100000000004</v>
      </c>
      <c r="F98" s="46">
        <v>0.93483000000000005</v>
      </c>
      <c r="G98" s="46">
        <v>0.9327089999999999</v>
      </c>
      <c r="I98" s="38">
        <v>876.76800000000003</v>
      </c>
      <c r="J98" s="38">
        <v>867.79673333333324</v>
      </c>
      <c r="K98" s="1"/>
      <c r="L98" s="38">
        <v>6.93208</v>
      </c>
      <c r="M98" s="38">
        <v>6.9224163333333353</v>
      </c>
      <c r="O98" s="46">
        <v>5.1496199999999996</v>
      </c>
      <c r="P98" s="46">
        <v>5.1235546666666663</v>
      </c>
      <c r="Q98" s="1"/>
      <c r="R98" s="44">
        <v>948.64800000000002</v>
      </c>
      <c r="S98" s="44">
        <v>957.55796666666663</v>
      </c>
      <c r="T98" s="1"/>
      <c r="U98" s="32">
        <v>3898.03</v>
      </c>
      <c r="V98" s="32">
        <v>3863.5876666666659</v>
      </c>
      <c r="W98" s="1"/>
      <c r="X98" s="32">
        <v>7460.65</v>
      </c>
      <c r="Y98" s="32">
        <v>7395.2256666666672</v>
      </c>
      <c r="Z98" s="1"/>
      <c r="AA98" s="32">
        <v>1448.78</v>
      </c>
      <c r="AB98" s="32">
        <v>1443.6093333333336</v>
      </c>
      <c r="AC98" s="1"/>
      <c r="AD98" s="38">
        <v>3.7469399999999999</v>
      </c>
      <c r="AE98" s="38">
        <v>3.7104026666666661</v>
      </c>
      <c r="AF98" s="1"/>
      <c r="AG98" s="38">
        <v>38.376100000000001</v>
      </c>
      <c r="AH98" s="38">
        <v>38.395269999999989</v>
      </c>
      <c r="AI98" s="1"/>
      <c r="AJ98" s="38">
        <v>7.4522500000000003</v>
      </c>
      <c r="AK98" s="38">
        <v>7.4946176666666666</v>
      </c>
      <c r="AL98" s="1"/>
      <c r="AM98" s="13">
        <v>507.113</v>
      </c>
      <c r="AN98" s="13">
        <v>504.52800000000019</v>
      </c>
      <c r="AO98" s="1"/>
      <c r="AP98" s="13">
        <v>58.5351</v>
      </c>
      <c r="AQ98" s="13">
        <v>59.140626666666691</v>
      </c>
      <c r="AR98" s="1"/>
      <c r="AS98" s="13">
        <v>1</v>
      </c>
      <c r="AT98" s="13">
        <v>1</v>
      </c>
      <c r="AU98" s="1"/>
      <c r="AV98" s="38">
        <v>7.7815799999999999</v>
      </c>
      <c r="AW98" s="38">
        <v>7.7828843333333335</v>
      </c>
      <c r="AX98" s="1"/>
      <c r="AY98" s="38">
        <v>8.75</v>
      </c>
      <c r="AZ98" s="38">
        <v>8.75</v>
      </c>
      <c r="BA98" s="1"/>
      <c r="BB98" s="38">
        <v>24.7438</v>
      </c>
      <c r="BC98" s="38">
        <v>24.697066666666665</v>
      </c>
      <c r="BD98" s="1"/>
      <c r="BE98" s="38">
        <v>36.878399999999999</v>
      </c>
      <c r="BF98" s="38">
        <v>36.825136666666673</v>
      </c>
      <c r="BG98" s="1"/>
      <c r="BH98" s="38">
        <v>6.8029000000000002</v>
      </c>
      <c r="BI98" s="38">
        <v>6.7843343333333337</v>
      </c>
    </row>
    <row r="99" spans="2:61" x14ac:dyDescent="0.3">
      <c r="B99" s="18">
        <v>45443</v>
      </c>
      <c r="C99" s="13">
        <v>16.9377</v>
      </c>
      <c r="D99" s="13">
        <v>16.804483870967736</v>
      </c>
      <c r="F99" s="46">
        <v>0.92244199999999998</v>
      </c>
      <c r="G99" s="46">
        <v>0.92519922580645164</v>
      </c>
      <c r="I99" s="38">
        <v>894.83100000000002</v>
      </c>
      <c r="J99" s="38">
        <v>885.65251612903216</v>
      </c>
      <c r="K99" s="1"/>
      <c r="L99" s="38">
        <v>6.9154400000000003</v>
      </c>
      <c r="M99" s="38">
        <v>6.9123080645161297</v>
      </c>
      <c r="O99" s="46">
        <v>5.2218099999999996</v>
      </c>
      <c r="P99" s="46">
        <v>5.1358538709677424</v>
      </c>
      <c r="Q99" s="1"/>
      <c r="R99" s="44">
        <v>917.322</v>
      </c>
      <c r="S99" s="44">
        <v>917.53829032258091</v>
      </c>
      <c r="T99" s="1"/>
      <c r="U99" s="32">
        <v>3864.76</v>
      </c>
      <c r="V99" s="32">
        <v>3869.5080645161279</v>
      </c>
      <c r="W99" s="1"/>
      <c r="X99" s="32">
        <v>7539.52</v>
      </c>
      <c r="Y99" s="32">
        <v>7498.1493548387098</v>
      </c>
      <c r="Z99" s="1"/>
      <c r="AA99" s="32">
        <v>1443.86</v>
      </c>
      <c r="AB99" s="32">
        <v>1460.033548387097</v>
      </c>
      <c r="AC99" s="1"/>
      <c r="AD99" s="38">
        <v>3.75474</v>
      </c>
      <c r="AE99" s="38">
        <v>3.7346603225806452</v>
      </c>
      <c r="AF99" s="1"/>
      <c r="AG99" s="38">
        <v>38.627400000000002</v>
      </c>
      <c r="AH99" s="38">
        <v>38.482032258064514</v>
      </c>
      <c r="AI99" s="1"/>
      <c r="AJ99" s="38">
        <v>7.3973599999999999</v>
      </c>
      <c r="AK99" s="38">
        <v>7.493220322580644</v>
      </c>
      <c r="AL99" s="1"/>
      <c r="AM99" s="13">
        <v>517.73800000000006</v>
      </c>
      <c r="AN99" s="13">
        <v>512.165387096774</v>
      </c>
      <c r="AO99" s="1"/>
      <c r="AP99" s="13">
        <v>59.100200000000001</v>
      </c>
      <c r="AQ99" s="13">
        <v>58.474887096774204</v>
      </c>
      <c r="AR99" s="1"/>
      <c r="AS99" s="13">
        <v>1</v>
      </c>
      <c r="AT99" s="13">
        <v>1</v>
      </c>
      <c r="AU99" s="1"/>
      <c r="AV99" s="38">
        <v>7.7697900000000004</v>
      </c>
      <c r="AW99" s="38">
        <v>7.7696022580645163</v>
      </c>
      <c r="AX99" s="1"/>
      <c r="AY99" s="38">
        <v>8.75</v>
      </c>
      <c r="AZ99" s="38">
        <v>8.75</v>
      </c>
      <c r="BA99" s="1"/>
      <c r="BB99" s="38">
        <v>24.731999999999999</v>
      </c>
      <c r="BC99" s="38">
        <v>24.720735483870971</v>
      </c>
      <c r="BD99" s="1"/>
      <c r="BE99" s="38">
        <v>36.772799999999997</v>
      </c>
      <c r="BF99" s="38">
        <v>36.788248387096772</v>
      </c>
      <c r="BG99" s="1"/>
      <c r="BH99" s="38">
        <v>6.7881</v>
      </c>
      <c r="BI99" s="38">
        <v>6.7923441935483879</v>
      </c>
    </row>
    <row r="100" spans="2:61" x14ac:dyDescent="0.3">
      <c r="B100" s="18">
        <v>45473</v>
      </c>
      <c r="C100" s="13">
        <v>18.377300000000002</v>
      </c>
      <c r="D100" s="13">
        <v>18.08989</v>
      </c>
      <c r="F100" s="46">
        <v>0.93317399999999995</v>
      </c>
      <c r="G100" s="46">
        <v>0.92939280000000013</v>
      </c>
      <c r="I100" s="38">
        <v>911.13300000000004</v>
      </c>
      <c r="J100" s="38">
        <v>903.31666666666638</v>
      </c>
      <c r="K100" s="1"/>
      <c r="L100" s="38">
        <v>6.9110300000000002</v>
      </c>
      <c r="M100" s="38">
        <v>6.9112480000000005</v>
      </c>
      <c r="O100" s="46">
        <v>5.5939399999999999</v>
      </c>
      <c r="P100" s="46">
        <v>5.389425000000001</v>
      </c>
      <c r="Q100" s="1"/>
      <c r="R100" s="44">
        <v>947.05</v>
      </c>
      <c r="S100" s="44">
        <v>927.96073333333334</v>
      </c>
      <c r="T100" s="1"/>
      <c r="U100" s="32">
        <v>4151</v>
      </c>
      <c r="V100" s="32">
        <v>4051.9856666666665</v>
      </c>
      <c r="W100" s="1"/>
      <c r="X100" s="32">
        <v>7540.72</v>
      </c>
      <c r="Y100" s="32">
        <v>7528.476333333334</v>
      </c>
      <c r="Z100" s="1"/>
      <c r="AA100" s="32">
        <v>1348.02</v>
      </c>
      <c r="AB100" s="32">
        <v>1397.326</v>
      </c>
      <c r="AC100" s="1"/>
      <c r="AD100" s="38">
        <v>3.8197999999999999</v>
      </c>
      <c r="AE100" s="38">
        <v>3.7763956666666663</v>
      </c>
      <c r="AF100" s="1"/>
      <c r="AG100" s="38">
        <v>39.507199999999997</v>
      </c>
      <c r="AH100" s="38">
        <v>39.14614333333332</v>
      </c>
      <c r="AI100" s="1"/>
      <c r="AJ100" s="38">
        <v>7.0625200000000001</v>
      </c>
      <c r="AK100" s="38">
        <v>7.2649646666666667</v>
      </c>
      <c r="AL100" s="1"/>
      <c r="AM100" s="13">
        <v>523.28800000000001</v>
      </c>
      <c r="AN100" s="13">
        <v>524.9729000000001</v>
      </c>
      <c r="AO100" s="1"/>
      <c r="AP100" s="13">
        <v>59.071300000000001</v>
      </c>
      <c r="AQ100" s="13">
        <v>59.246040000000001</v>
      </c>
      <c r="AR100" s="1"/>
      <c r="AS100" s="13">
        <v>1</v>
      </c>
      <c r="AT100" s="13">
        <v>1</v>
      </c>
      <c r="AU100" s="1"/>
      <c r="AV100" s="38">
        <v>7.7714800000000004</v>
      </c>
      <c r="AW100" s="38">
        <v>7.7672356666666671</v>
      </c>
      <c r="AX100" s="1"/>
      <c r="AY100" s="38">
        <v>8.75</v>
      </c>
      <c r="AZ100" s="38">
        <v>8.75</v>
      </c>
      <c r="BA100" s="1"/>
      <c r="BB100" s="38">
        <v>24.755400000000002</v>
      </c>
      <c r="BC100" s="38">
        <v>24.744686666666663</v>
      </c>
      <c r="BD100" s="1"/>
      <c r="BE100" s="38">
        <v>36.814100000000003</v>
      </c>
      <c r="BF100" s="38">
        <v>36.789726666666667</v>
      </c>
      <c r="BG100" s="1"/>
      <c r="BH100" s="38">
        <v>6.79176</v>
      </c>
      <c r="BI100" s="38">
        <v>6.7855993333333338</v>
      </c>
    </row>
    <row r="101" spans="2:61" x14ac:dyDescent="0.3">
      <c r="B101" s="18">
        <v>45504</v>
      </c>
      <c r="C101" s="13">
        <v>18.79</v>
      </c>
      <c r="D101" s="13">
        <v>18.083906451612901</v>
      </c>
      <c r="F101" s="46">
        <v>0.92382200000000003</v>
      </c>
      <c r="G101" s="46">
        <v>0.92164558064516133</v>
      </c>
      <c r="I101" s="38">
        <v>931.81200000000001</v>
      </c>
      <c r="J101" s="38">
        <v>921.86806451612915</v>
      </c>
      <c r="K101" s="1"/>
      <c r="L101" s="38">
        <v>6.91526</v>
      </c>
      <c r="M101" s="38">
        <v>6.908137419354837</v>
      </c>
      <c r="O101" s="46">
        <v>5.6331600000000002</v>
      </c>
      <c r="P101" s="46">
        <v>5.5405019354838707</v>
      </c>
      <c r="Q101" s="1"/>
      <c r="R101" s="44">
        <v>950.327</v>
      </c>
      <c r="S101" s="44">
        <v>935.02341935483867</v>
      </c>
      <c r="T101" s="1"/>
      <c r="U101" s="32">
        <v>4068.26</v>
      </c>
      <c r="V101" s="32">
        <v>4033.5709677419359</v>
      </c>
      <c r="W101" s="1"/>
      <c r="X101" s="32">
        <v>7575.45</v>
      </c>
      <c r="Y101" s="32">
        <v>7548.4983870967744</v>
      </c>
      <c r="Z101" s="1"/>
      <c r="AA101" s="32">
        <v>1344.8</v>
      </c>
      <c r="AB101" s="32">
        <v>1362.7361290322578</v>
      </c>
      <c r="AC101" s="1"/>
      <c r="AD101" s="38">
        <v>3.7352699999999999</v>
      </c>
      <c r="AE101" s="38">
        <v>3.7698396774193554</v>
      </c>
      <c r="AF101" s="1"/>
      <c r="AG101" s="38">
        <v>40.299599999999998</v>
      </c>
      <c r="AH101" s="38">
        <v>40.137754838709675</v>
      </c>
      <c r="AI101" s="1"/>
      <c r="AJ101" s="38">
        <v>7.15402</v>
      </c>
      <c r="AK101" s="38">
        <v>7.2462154838709676</v>
      </c>
      <c r="AL101" s="1"/>
      <c r="AM101" s="13">
        <v>528.36599999999999</v>
      </c>
      <c r="AN101" s="13">
        <v>526.96677419354842</v>
      </c>
      <c r="AO101" s="1"/>
      <c r="AP101" s="13">
        <v>59.308199999999999</v>
      </c>
      <c r="AQ101" s="13">
        <v>59.126683870967739</v>
      </c>
      <c r="AR101" s="1"/>
      <c r="AS101" s="13">
        <v>1</v>
      </c>
      <c r="AT101" s="13">
        <v>1</v>
      </c>
      <c r="AU101" s="1"/>
      <c r="AV101" s="38">
        <v>7.7558499999999997</v>
      </c>
      <c r="AW101" s="38">
        <v>7.7596177419354833</v>
      </c>
      <c r="AX101" s="1"/>
      <c r="AY101" s="38">
        <v>8.75</v>
      </c>
      <c r="AZ101" s="38">
        <v>8.75</v>
      </c>
      <c r="BA101" s="1"/>
      <c r="BB101" s="38">
        <v>24.791</v>
      </c>
      <c r="BC101" s="38">
        <v>24.762809677419362</v>
      </c>
      <c r="BD101" s="1"/>
      <c r="BE101" s="38">
        <v>36.851199999999999</v>
      </c>
      <c r="BF101" s="38">
        <v>36.802048387096782</v>
      </c>
      <c r="BG101" s="1"/>
      <c r="BH101" s="38">
        <v>6.7876000000000003</v>
      </c>
      <c r="BI101" s="38">
        <v>6.7831887096774173</v>
      </c>
    </row>
    <row r="102" spans="2:61" x14ac:dyDescent="0.3">
      <c r="B102" s="18">
        <v>45535</v>
      </c>
      <c r="C102" s="13">
        <v>19.816800000000001</v>
      </c>
      <c r="D102" s="13">
        <v>19.091435483870967</v>
      </c>
      <c r="F102" s="46">
        <v>0.905219</v>
      </c>
      <c r="G102" s="46">
        <v>0.90777951612903252</v>
      </c>
      <c r="I102" s="38">
        <v>951.10799999999995</v>
      </c>
      <c r="J102" s="38">
        <v>940.81316129032257</v>
      </c>
      <c r="K102" s="1"/>
      <c r="L102" s="38">
        <v>6.9099399999999997</v>
      </c>
      <c r="M102" s="38">
        <v>6.9044264516129017</v>
      </c>
      <c r="O102" s="46">
        <v>5.6092500000000003</v>
      </c>
      <c r="P102" s="46">
        <v>5.5552487096774188</v>
      </c>
      <c r="Q102" s="1"/>
      <c r="R102" s="44">
        <v>913.9</v>
      </c>
      <c r="S102" s="44">
        <v>929.91606451612915</v>
      </c>
      <c r="T102" s="1"/>
      <c r="U102" s="32">
        <v>4179.4399999999996</v>
      </c>
      <c r="V102" s="32">
        <v>4069.7241935483867</v>
      </c>
      <c r="W102" s="1"/>
      <c r="X102" s="32">
        <v>7621.36</v>
      </c>
      <c r="Y102" s="32">
        <v>7576.1600000000017</v>
      </c>
      <c r="Z102" s="1"/>
      <c r="AA102" s="32">
        <v>1358.72</v>
      </c>
      <c r="AB102" s="32">
        <v>1364.1890322580646</v>
      </c>
      <c r="AC102" s="1"/>
      <c r="AD102" s="38">
        <v>3.7480500000000001</v>
      </c>
      <c r="AE102" s="38">
        <v>3.7381061290322579</v>
      </c>
      <c r="AF102" s="1"/>
      <c r="AG102" s="38">
        <v>40.3142</v>
      </c>
      <c r="AH102" s="38">
        <v>40.327506451612898</v>
      </c>
      <c r="AI102" s="1"/>
      <c r="AJ102" s="38">
        <v>7.1871099999999997</v>
      </c>
      <c r="AK102" s="38">
        <v>7.261478064516127</v>
      </c>
      <c r="AL102" s="1"/>
      <c r="AM102" s="13">
        <v>521.79999999999995</v>
      </c>
      <c r="AN102" s="13">
        <v>525.31583870967745</v>
      </c>
      <c r="AO102" s="1"/>
      <c r="AP102" s="13">
        <v>59.772500000000001</v>
      </c>
      <c r="AQ102" s="13">
        <v>59.618574193548376</v>
      </c>
      <c r="AR102" s="1"/>
      <c r="AS102" s="13">
        <v>1</v>
      </c>
      <c r="AT102" s="13">
        <v>1</v>
      </c>
      <c r="AU102" s="1"/>
      <c r="AV102" s="38">
        <v>7.7343099999999998</v>
      </c>
      <c r="AW102" s="38">
        <v>7.7409816129032247</v>
      </c>
      <c r="AX102" s="1"/>
      <c r="AY102" s="38">
        <v>8.75</v>
      </c>
      <c r="AZ102" s="38">
        <v>8.75</v>
      </c>
      <c r="BA102" s="1"/>
      <c r="BB102" s="38">
        <v>24.83</v>
      </c>
      <c r="BC102" s="38">
        <v>24.798806451612911</v>
      </c>
      <c r="BD102" s="1"/>
      <c r="BE102" s="38">
        <v>36.819800000000001</v>
      </c>
      <c r="BF102" s="38">
        <v>36.806722580645157</v>
      </c>
      <c r="BG102" s="1"/>
      <c r="BH102" s="38">
        <v>6.7880900000000004</v>
      </c>
      <c r="BI102" s="38">
        <v>6.7805358064516135</v>
      </c>
    </row>
    <row r="103" spans="2:61" x14ac:dyDescent="0.3">
      <c r="B103" s="18">
        <v>45565</v>
      </c>
      <c r="C103" s="13">
        <v>19.669699999999999</v>
      </c>
      <c r="D103" s="13">
        <v>19.634773333333339</v>
      </c>
      <c r="F103" s="46">
        <v>0.89598</v>
      </c>
      <c r="G103" s="46">
        <v>0.90031486666666694</v>
      </c>
      <c r="I103" s="38">
        <v>967.81799999999998</v>
      </c>
      <c r="J103" s="38">
        <v>960.10059999999987</v>
      </c>
      <c r="K103" s="1"/>
      <c r="L103" s="38">
        <v>6.9158999999999997</v>
      </c>
      <c r="M103" s="38">
        <v>6.9127233333333322</v>
      </c>
      <c r="O103" s="46">
        <v>5.4413200000000002</v>
      </c>
      <c r="P103" s="46">
        <v>5.5428089999999992</v>
      </c>
      <c r="Q103" s="1"/>
      <c r="R103" s="44">
        <v>899.01099999999997</v>
      </c>
      <c r="S103" s="44">
        <v>926.3044000000001</v>
      </c>
      <c r="T103" s="1"/>
      <c r="U103" s="32">
        <v>4177.6499999999996</v>
      </c>
      <c r="V103" s="32">
        <v>4184.1426666666648</v>
      </c>
      <c r="W103" s="1"/>
      <c r="X103" s="32">
        <v>7796.12</v>
      </c>
      <c r="Y103" s="32">
        <v>7752.2359999999999</v>
      </c>
      <c r="Z103" s="1"/>
      <c r="AA103" s="32">
        <v>1432.77</v>
      </c>
      <c r="AB103" s="32">
        <v>1398.9613333333336</v>
      </c>
      <c r="AC103" s="1"/>
      <c r="AD103" s="38">
        <v>3.7219799999999998</v>
      </c>
      <c r="AE103" s="38">
        <v>3.7690216666666667</v>
      </c>
      <c r="AF103" s="1"/>
      <c r="AG103" s="38">
        <v>41.783000000000001</v>
      </c>
      <c r="AH103" s="38">
        <v>41.014623333333333</v>
      </c>
      <c r="AI103" s="1"/>
      <c r="AJ103" s="38">
        <v>7.6788499999999997</v>
      </c>
      <c r="AK103" s="38">
        <v>7.4022753333333347</v>
      </c>
      <c r="AL103" s="1"/>
      <c r="AM103" s="13">
        <v>519.57600000000002</v>
      </c>
      <c r="AN103" s="13">
        <v>519.59736666666674</v>
      </c>
      <c r="AO103" s="1"/>
      <c r="AP103" s="13">
        <v>60.303199999999997</v>
      </c>
      <c r="AQ103" s="13">
        <v>60.013913333333328</v>
      </c>
      <c r="AR103" s="1"/>
      <c r="AS103" s="13">
        <v>1</v>
      </c>
      <c r="AT103" s="13">
        <v>1</v>
      </c>
      <c r="AU103" s="1"/>
      <c r="AV103" s="38">
        <v>7.7314299999999996</v>
      </c>
      <c r="AW103" s="38">
        <v>7.7339390000000012</v>
      </c>
      <c r="AX103" s="1"/>
      <c r="AY103" s="38">
        <v>8.75</v>
      </c>
      <c r="AZ103" s="38">
        <v>8.75</v>
      </c>
      <c r="BA103" s="1"/>
      <c r="BB103" s="38">
        <v>24.883800000000001</v>
      </c>
      <c r="BC103" s="38">
        <v>24.835933333333326</v>
      </c>
      <c r="BD103" s="1"/>
      <c r="BE103" s="38">
        <v>36.793599999999998</v>
      </c>
      <c r="BF103" s="38">
        <v>36.812446666666673</v>
      </c>
      <c r="BG103" s="1"/>
      <c r="BH103" s="38">
        <v>6.7967599999999999</v>
      </c>
      <c r="BI103" s="38">
        <v>6.790078333333331</v>
      </c>
    </row>
    <row r="104" spans="2:61" x14ac:dyDescent="0.3">
      <c r="B104" s="18">
        <v>45596</v>
      </c>
      <c r="C104" s="13">
        <v>20.1617</v>
      </c>
      <c r="D104" s="13">
        <v>19.687409677419357</v>
      </c>
      <c r="F104" s="46">
        <v>0.92049400000000003</v>
      </c>
      <c r="G104" s="46">
        <v>0.91752232258064514</v>
      </c>
      <c r="I104" s="38">
        <v>989.34</v>
      </c>
      <c r="J104" s="38">
        <v>978.98661290322627</v>
      </c>
      <c r="K104" s="1"/>
      <c r="L104" s="38">
        <v>6.9039799999999998</v>
      </c>
      <c r="M104" s="38">
        <v>6.9187341935483877</v>
      </c>
      <c r="O104" s="46">
        <v>5.7732400000000004</v>
      </c>
      <c r="P104" s="46">
        <v>5.6166712903225795</v>
      </c>
      <c r="Q104" s="1"/>
      <c r="R104" s="44">
        <v>961.7</v>
      </c>
      <c r="S104" s="44">
        <v>936.94254838709685</v>
      </c>
      <c r="T104" s="1"/>
      <c r="U104" s="32">
        <v>4415.5200000000004</v>
      </c>
      <c r="V104" s="32">
        <v>4255.6554838709681</v>
      </c>
      <c r="W104" s="1"/>
      <c r="X104" s="32">
        <v>7954.78</v>
      </c>
      <c r="Y104" s="32">
        <v>7864.6751612903236</v>
      </c>
      <c r="Z104" s="1"/>
      <c r="AA104" s="32">
        <v>1377.88</v>
      </c>
      <c r="AB104" s="32">
        <v>1400.5293548387094</v>
      </c>
      <c r="AC104" s="1"/>
      <c r="AD104" s="38">
        <v>3.7675800000000002</v>
      </c>
      <c r="AE104" s="38">
        <v>3.7497129032258063</v>
      </c>
      <c r="AF104" s="1"/>
      <c r="AG104" s="38">
        <v>41.134399999999999</v>
      </c>
      <c r="AH104" s="38">
        <v>41.682219354838708</v>
      </c>
      <c r="AI104" s="1"/>
      <c r="AJ104" s="38">
        <v>7.1250400000000003</v>
      </c>
      <c r="AK104" s="38">
        <v>7.4239506451612902</v>
      </c>
      <c r="AL104" s="1"/>
      <c r="AM104" s="13">
        <v>512.43799999999999</v>
      </c>
      <c r="AN104" s="13">
        <v>516.51283870967734</v>
      </c>
      <c r="AO104" s="1"/>
      <c r="AP104" s="13">
        <v>60.241</v>
      </c>
      <c r="AQ104" s="13">
        <v>60.343554838709686</v>
      </c>
      <c r="AR104" s="1"/>
      <c r="AS104" s="13">
        <v>1</v>
      </c>
      <c r="AT104" s="13">
        <v>1</v>
      </c>
      <c r="AU104" s="1"/>
      <c r="AV104" s="38">
        <v>7.7223300000000004</v>
      </c>
      <c r="AW104" s="38">
        <v>7.7374864516129014</v>
      </c>
      <c r="AX104" s="1"/>
      <c r="AY104" s="38">
        <v>8.75</v>
      </c>
      <c r="AZ104" s="38">
        <v>8.75</v>
      </c>
      <c r="BA104" s="1"/>
      <c r="BB104" s="38">
        <v>25.141200000000001</v>
      </c>
      <c r="BC104" s="38">
        <v>25.017583870967744</v>
      </c>
      <c r="BD104" s="1"/>
      <c r="BE104" s="38">
        <v>36.767899999999997</v>
      </c>
      <c r="BF104" s="38">
        <v>36.806461290322581</v>
      </c>
      <c r="BG104" s="1"/>
      <c r="BH104" s="38">
        <v>6.7774099999999997</v>
      </c>
      <c r="BI104" s="38">
        <v>6.7897916129032234</v>
      </c>
    </row>
    <row r="105" spans="2:61" x14ac:dyDescent="0.3">
      <c r="B105" s="18">
        <v>45626</v>
      </c>
      <c r="C105" s="13">
        <v>20.417300000000001</v>
      </c>
      <c r="D105" s="13">
        <v>20.300389999999997</v>
      </c>
      <c r="F105" s="46">
        <v>0.94537599999999999</v>
      </c>
      <c r="G105" s="46">
        <v>0.94117510000000026</v>
      </c>
      <c r="I105" s="38">
        <v>1010.53</v>
      </c>
      <c r="J105" s="38">
        <v>999.08950000000016</v>
      </c>
      <c r="K105" s="1"/>
      <c r="L105" s="38">
        <v>6.9154999999999998</v>
      </c>
      <c r="M105" s="38">
        <v>6.9230299999999998</v>
      </c>
      <c r="O105" s="46">
        <v>5.9730999999999996</v>
      </c>
      <c r="P105" s="46">
        <v>5.8248559999999987</v>
      </c>
      <c r="Q105" s="1"/>
      <c r="R105" s="44">
        <v>973.85</v>
      </c>
      <c r="S105" s="44">
        <v>972.63520000000005</v>
      </c>
      <c r="T105" s="1"/>
      <c r="U105" s="32">
        <v>4426.3</v>
      </c>
      <c r="V105" s="32">
        <v>4409.1386666666676</v>
      </c>
      <c r="W105" s="1"/>
      <c r="X105" s="32">
        <v>7807.02</v>
      </c>
      <c r="Y105" s="32">
        <v>7829.5990000000002</v>
      </c>
      <c r="Z105" s="1"/>
      <c r="AA105" s="32">
        <v>1307.04</v>
      </c>
      <c r="AB105" s="32">
        <v>1344.4446666666665</v>
      </c>
      <c r="AC105" s="1"/>
      <c r="AD105" s="38">
        <v>3.7498999999999998</v>
      </c>
      <c r="AE105" s="38">
        <v>3.7806440000000006</v>
      </c>
      <c r="AF105" s="1"/>
      <c r="AG105" s="38">
        <v>43.022599999999997</v>
      </c>
      <c r="AH105" s="38">
        <v>42.265706666666659</v>
      </c>
      <c r="AI105" s="1"/>
      <c r="AJ105" s="38">
        <v>7.2027599999999996</v>
      </c>
      <c r="AK105" s="38">
        <v>7.2575130000000003</v>
      </c>
      <c r="AL105" s="1"/>
      <c r="AM105" s="13">
        <v>509.358</v>
      </c>
      <c r="AN105" s="13">
        <v>510.84546666666648</v>
      </c>
      <c r="AO105" s="1"/>
      <c r="AP105" s="13">
        <v>60.397500000000001</v>
      </c>
      <c r="AQ105" s="13">
        <v>60.371826666666657</v>
      </c>
      <c r="AR105" s="1"/>
      <c r="AS105" s="13">
        <v>1</v>
      </c>
      <c r="AT105" s="13">
        <v>1</v>
      </c>
      <c r="AU105" s="1"/>
      <c r="AV105" s="38">
        <v>7.7189899999999998</v>
      </c>
      <c r="AW105" s="38">
        <v>7.7264803333333321</v>
      </c>
      <c r="AX105" s="1"/>
      <c r="AY105" s="38">
        <v>8.75</v>
      </c>
      <c r="AZ105" s="38">
        <v>8.75</v>
      </c>
      <c r="BA105" s="1"/>
      <c r="BB105" s="38">
        <v>25.242999999999999</v>
      </c>
      <c r="BC105" s="38">
        <v>25.197289999999999</v>
      </c>
      <c r="BD105" s="1"/>
      <c r="BE105" s="38">
        <v>36.799799999999998</v>
      </c>
      <c r="BF105" s="38">
        <v>36.790730000000011</v>
      </c>
      <c r="BG105" s="1"/>
      <c r="BH105" s="38">
        <v>6.7836699999999999</v>
      </c>
      <c r="BI105" s="38">
        <v>6.7905006666666683</v>
      </c>
    </row>
    <row r="106" spans="2:61" x14ac:dyDescent="0.3">
      <c r="B106" s="18">
        <v>45657</v>
      </c>
      <c r="C106" s="13">
        <v>20.786200000000001</v>
      </c>
      <c r="D106" s="13">
        <v>20.255690322580641</v>
      </c>
      <c r="F106" s="46">
        <v>0.96272199999999997</v>
      </c>
      <c r="G106" s="46">
        <v>0.95460558064516154</v>
      </c>
      <c r="I106" s="38">
        <v>1031</v>
      </c>
      <c r="J106" s="38">
        <v>1019.6448387096776</v>
      </c>
      <c r="K106" s="1"/>
      <c r="L106" s="38">
        <v>6.9356299999999997</v>
      </c>
      <c r="M106" s="38">
        <v>6.9115016129032272</v>
      </c>
      <c r="O106" s="46">
        <v>6.1845600000000003</v>
      </c>
      <c r="P106" s="46">
        <v>6.1156464516129025</v>
      </c>
      <c r="Q106" s="1"/>
      <c r="R106" s="44">
        <v>994.12800000000004</v>
      </c>
      <c r="S106" s="44">
        <v>983.1037741935487</v>
      </c>
      <c r="T106" s="1"/>
      <c r="U106" s="32">
        <v>4408.24</v>
      </c>
      <c r="V106" s="32">
        <v>4389.8567741935476</v>
      </c>
      <c r="W106" s="1"/>
      <c r="X106" s="32">
        <v>7821.84</v>
      </c>
      <c r="Y106" s="32">
        <v>7809.1725806451614</v>
      </c>
      <c r="Z106" s="1"/>
      <c r="AA106" s="32">
        <v>1264.74</v>
      </c>
      <c r="AB106" s="32">
        <v>1277.2935483870965</v>
      </c>
      <c r="AC106" s="1"/>
      <c r="AD106" s="38">
        <v>3.7572399999999999</v>
      </c>
      <c r="AE106" s="38">
        <v>3.7336158064516112</v>
      </c>
      <c r="AF106" s="1"/>
      <c r="AG106" s="38">
        <v>43.869799999999998</v>
      </c>
      <c r="AH106" s="38">
        <v>43.921122580645154</v>
      </c>
      <c r="AI106" s="1"/>
      <c r="AJ106" s="38">
        <v>7.0934600000000003</v>
      </c>
      <c r="AK106" s="38">
        <v>7.182796774193549</v>
      </c>
      <c r="AL106" s="1"/>
      <c r="AM106" s="13">
        <v>508.12400000000002</v>
      </c>
      <c r="AN106" s="13">
        <v>505.71958064516139</v>
      </c>
      <c r="AO106" s="1"/>
      <c r="AP106" s="13">
        <v>61.084200000000003</v>
      </c>
      <c r="AQ106" s="13">
        <v>60.666048387096772</v>
      </c>
      <c r="AR106" s="1"/>
      <c r="AS106" s="13">
        <v>1</v>
      </c>
      <c r="AT106" s="13">
        <v>1</v>
      </c>
      <c r="AU106" s="1"/>
      <c r="AV106" s="38">
        <v>7.7232099999999999</v>
      </c>
      <c r="AW106" s="38">
        <v>7.7081138709677415</v>
      </c>
      <c r="AX106" s="1"/>
      <c r="AY106" s="38">
        <v>8.75</v>
      </c>
      <c r="AZ106" s="38">
        <v>8.75</v>
      </c>
      <c r="BA106" s="1"/>
      <c r="BB106" s="38">
        <v>25.450800000000001</v>
      </c>
      <c r="BC106" s="38">
        <v>25.348687096774182</v>
      </c>
      <c r="BD106" s="1"/>
      <c r="BE106" s="38">
        <v>36.8628</v>
      </c>
      <c r="BF106" s="38">
        <v>36.793619354838718</v>
      </c>
      <c r="BG106" s="1"/>
      <c r="BH106" s="38">
        <v>6.8078900000000004</v>
      </c>
      <c r="BI106" s="38">
        <v>6.7862209677419365</v>
      </c>
    </row>
    <row r="107" spans="2:61" x14ac:dyDescent="0.3">
      <c r="B107" s="18">
        <v>45688</v>
      </c>
      <c r="C107" s="13">
        <f>VLOOKUP($B107,'BD_T.C.'!$B:$AO,HLOOKUP(C$6,'BD_T.C.'!$6:$7,2,FALSE),FALSE)</f>
        <v>20.4497</v>
      </c>
      <c r="D107" s="13">
        <f>VLOOKUP("PROM-"&amp;MONTH($B107)&amp;YEAR($B107),'BD_T.C.'!$B:$AO,HLOOKUP(C$6,'BD_T.C.'!$6:$7,2,FALSE),FALSE)</f>
        <v>20.571316129032262</v>
      </c>
      <c r="F107" s="46">
        <f>VLOOKUP($B107,'BD_T.C.'!$B:$AO,HLOOKUP(F$6,'BD_T.C.'!$6:$7,2,FALSE),FALSE)</f>
        <v>0.96306000000000003</v>
      </c>
      <c r="G107" s="46">
        <f>VLOOKUP("PROM-"&amp;MONTH($B107)&amp;YEAR($B107),'BD_T.C.'!$B:$AO,HLOOKUP(F$6,'BD_T.C.'!$6:$7,2,FALSE),FALSE)</f>
        <v>0.96639058064516126</v>
      </c>
      <c r="I107" s="38">
        <f>VLOOKUP($B107,'BD_T.C.'!$B:$AO,HLOOKUP(I$6,'BD_T.C.'!$6:$7,2,FALSE),FALSE)</f>
        <v>1051.1600000000001</v>
      </c>
      <c r="J107" s="38">
        <f>VLOOKUP("PROM-"&amp;MONTH($B107)&amp;YEAR($B107),'BD_T.C.'!$B:$AO,HLOOKUP(I$6,'BD_T.C.'!$6:$7,2,FALSE),FALSE)</f>
        <v>1040.9161290322579</v>
      </c>
      <c r="K107" s="1"/>
      <c r="L107" s="38">
        <f>VLOOKUP($B107,'BD_T.C.'!$B:$AO,HLOOKUP(L$6,'BD_T.C.'!$6:$7,2,FALSE),FALSE)</f>
        <v>6.9103700000000003</v>
      </c>
      <c r="M107" s="38">
        <f>VLOOKUP("PROM-"&amp;MONTH($B107)&amp;YEAR($B107),'BD_T.C.'!$B:$AO,HLOOKUP(L$6,'BD_T.C.'!$6:$7,2,FALSE),FALSE)</f>
        <v>6.9146183870967723</v>
      </c>
      <c r="O107" s="46">
        <f>VLOOKUP($B107,'BD_T.C.'!$B:$AO,HLOOKUP(O$6,'BD_T.C.'!$6:$7,2,FALSE),FALSE)</f>
        <v>5.8594999999999997</v>
      </c>
      <c r="P107" s="46">
        <f>VLOOKUP("PROM-"&amp;MONTH($B107)&amp;YEAR($B107),'BD_T.C.'!$B:$AO,HLOOKUP(O$6,'BD_T.C.'!$6:$7,2,FALSE),FALSE)</f>
        <v>6.0444325806451591</v>
      </c>
      <c r="Q107" s="1"/>
      <c r="R107" s="44">
        <f>VLOOKUP($B107,'BD_T.C.'!$B:$AO,HLOOKUP(R$6,'BD_T.C.'!$6:$7,2,FALSE),FALSE)</f>
        <v>983.95299999999997</v>
      </c>
      <c r="S107" s="44">
        <f>VLOOKUP("PROM-"&amp;MONTH($B107)&amp;YEAR($B107),'BD_T.C.'!$B:$AO,HLOOKUP(R$6,'BD_T.C.'!$6:$7,2,FALSE),FALSE)</f>
        <v>1000.961741935484</v>
      </c>
      <c r="T107" s="1"/>
      <c r="U107" s="32">
        <f>VLOOKUP($B107,'BD_T.C.'!$B:$AO,HLOOKUP(U$6,'BD_T.C.'!$6:$7,2,FALSE),FALSE)</f>
        <v>4176.38</v>
      </c>
      <c r="V107" s="32">
        <f>VLOOKUP("PROM-"&amp;MONTH($B107)&amp;YEAR($B107),'BD_T.C.'!$B:$AO,HLOOKUP(U$6,'BD_T.C.'!$6:$7,2,FALSE),FALSE)</f>
        <v>4298.0838709677409</v>
      </c>
      <c r="W107" s="1"/>
      <c r="X107" s="32">
        <f>VLOOKUP($B107,'BD_T.C.'!$B:$AO,HLOOKUP(X$6,'BD_T.C.'!$6:$7,2,FALSE),FALSE)</f>
        <v>7892.21</v>
      </c>
      <c r="Y107" s="32">
        <f>VLOOKUP("PROM-"&amp;MONTH($B107)&amp;YEAR($B107),'BD_T.C.'!$B:$AO,HLOOKUP(X$6,'BD_T.C.'!$6:$7,2,FALSE),FALSE)</f>
        <v>7874.8325806451612</v>
      </c>
      <c r="Z107" s="1"/>
      <c r="AA107" s="32">
        <f>VLOOKUP($B107,'BD_T.C.'!$B:$AO,HLOOKUP(AA$6,'BD_T.C.'!$6:$7,2,FALSE),FALSE)</f>
        <v>1346.92</v>
      </c>
      <c r="AB107" s="32">
        <f>VLOOKUP("PROM-"&amp;MONTH($B107)&amp;YEAR($B107),'BD_T.C.'!$B:$AO,HLOOKUP(AA$6,'BD_T.C.'!$6:$7,2,FALSE),FALSE)</f>
        <v>1303.3267741935483</v>
      </c>
      <c r="AC107" s="1"/>
      <c r="AD107" s="38">
        <f>VLOOKUP($B107,'BD_T.C.'!$B:$AO,HLOOKUP(AD$6,'BD_T.C.'!$6:$7,2,FALSE),FALSE)</f>
        <v>3.72044</v>
      </c>
      <c r="AE107" s="38">
        <f>VLOOKUP("PROM-"&amp;MONTH($B107)&amp;YEAR($B107),'BD_T.C.'!$B:$AO,HLOOKUP(AD$6,'BD_T.C.'!$6:$7,2,FALSE),FALSE)</f>
        <v>3.749340322580645</v>
      </c>
      <c r="AF107" s="1"/>
      <c r="AG107" s="38">
        <f>VLOOKUP($B107,'BD_T.C.'!$B:$AO,HLOOKUP(AG$6,'BD_T.C.'!$6:$7,2,FALSE),FALSE)</f>
        <v>43.343800000000002</v>
      </c>
      <c r="AH107" s="38">
        <f>VLOOKUP("PROM-"&amp;MONTH($B107)&amp;YEAR($B107),'BD_T.C.'!$B:$AO,HLOOKUP(AG$6,'BD_T.C.'!$6:$7,2,FALSE),FALSE)</f>
        <v>43.799341935483874</v>
      </c>
      <c r="AI107" s="1"/>
      <c r="AJ107" s="38">
        <f>VLOOKUP($B107,'BD_T.C.'!$B:$AO,HLOOKUP(AJ$6,'BD_T.C.'!$6:$7,2,FALSE),FALSE)</f>
        <v>7.3971999999999998</v>
      </c>
      <c r="AK107" s="38">
        <f>VLOOKUP("PROM-"&amp;MONTH($B107)&amp;YEAR($B107),'BD_T.C.'!$B:$AO,HLOOKUP(AJ$6,'BD_T.C.'!$6:$7,2,FALSE),FALSE)</f>
        <v>7.2480741935483861</v>
      </c>
      <c r="AL107" s="1"/>
      <c r="AM107" s="13">
        <f>VLOOKUP($B107,'BD_T.C.'!$B:$AO,HLOOKUP(AM$6,'BD_T.C.'!$6:$7,2,FALSE),FALSE)</f>
        <v>506.08</v>
      </c>
      <c r="AN107" s="13">
        <f>VLOOKUP("PROM-"&amp;MONTH($B107)&amp;YEAR($B107),'BD_T.C.'!$B:$AO,HLOOKUP(AM$6,'BD_T.C.'!$6:$7,2,FALSE),FALSE)</f>
        <v>506.17841935483875</v>
      </c>
      <c r="AO107" s="1"/>
      <c r="AP107" s="13">
        <f>VLOOKUP($B107,'BD_T.C.'!$B:$AO,HLOOKUP(AP$6,'BD_T.C.'!$6:$7,2,FALSE),FALSE)</f>
        <v>61.773699999999998</v>
      </c>
      <c r="AQ107" s="13">
        <f>VLOOKUP("PROM-"&amp;MONTH($B107)&amp;YEAR($B107),'BD_T.C.'!$B:$AO,HLOOKUP(AP$6,'BD_T.C.'!$6:$7,2,FALSE),FALSE)</f>
        <v>61.395809677419351</v>
      </c>
      <c r="AR107" s="1"/>
      <c r="AS107" s="13">
        <f>VLOOKUP($B107,'BD_T.C.'!$B:$AO,HLOOKUP(AS$6,'BD_T.C.'!$6:$7,2,FALSE),FALSE)</f>
        <v>1</v>
      </c>
      <c r="AT107" s="13">
        <f>VLOOKUP("PROM-"&amp;MONTH($B107)&amp;YEAR($B107),'BD_T.C.'!$B:$AO,HLOOKUP(AS$6,'BD_T.C.'!$6:$7,2,FALSE),FALSE)</f>
        <v>1</v>
      </c>
      <c r="AU107" s="1"/>
      <c r="AV107" s="38">
        <f>VLOOKUP($B107,'BD_T.C.'!$B:$AO,HLOOKUP(AV$6,'BD_T.C.'!$6:$7,2,FALSE),FALSE)</f>
        <v>7.7374900000000002</v>
      </c>
      <c r="AW107" s="38">
        <f>VLOOKUP("PROM-"&amp;MONTH($B107)&amp;YEAR($B107),'BD_T.C.'!$B:$AO,HLOOKUP(AV$6,'BD_T.C.'!$6:$7,2,FALSE),FALSE)</f>
        <v>7.7232874193548398</v>
      </c>
      <c r="AX107" s="1"/>
      <c r="AY107" s="38">
        <f>VLOOKUP($B107,'BD_T.C.'!$B:$AO,HLOOKUP(AY$6,'BD_T.C.'!$6:$7,2,FALSE),FALSE)</f>
        <v>8.75</v>
      </c>
      <c r="AZ107" s="38">
        <f>VLOOKUP("PROM-"&amp;MONTH($B107)&amp;YEAR($B107),'BD_T.C.'!$B:$AO,HLOOKUP(AY$6,'BD_T.C.'!$6:$7,2,FALSE),FALSE)</f>
        <v>8.75</v>
      </c>
      <c r="BA107" s="1"/>
      <c r="BB107" s="38">
        <f>VLOOKUP($B107,'BD_T.C.'!$B:$AO,HLOOKUP(BB$6,'BD_T.C.'!$6:$7,2,FALSE),FALSE)</f>
        <v>25.534600000000001</v>
      </c>
      <c r="BC107" s="38">
        <f>VLOOKUP("PROM-"&amp;MONTH($B107)&amp;YEAR($B107),'BD_T.C.'!$B:$AO,HLOOKUP(BB$6,'BD_T.C.'!$6:$7,2,FALSE),FALSE)</f>
        <v>25.469774193548382</v>
      </c>
      <c r="BD107" s="1"/>
      <c r="BE107" s="38">
        <f>VLOOKUP($B107,'BD_T.C.'!$B:$AO,HLOOKUP(BE$6,'BD_T.C.'!$6:$7,2,FALSE),FALSE)</f>
        <v>36.771599999999999</v>
      </c>
      <c r="BF107" s="38">
        <f>VLOOKUP("PROM-"&amp;MONTH($B107)&amp;YEAR($B107),'BD_T.C.'!$B:$AO,HLOOKUP(BE$6,'BD_T.C.'!$6:$7,2,FALSE),FALSE)</f>
        <v>36.792567741935493</v>
      </c>
      <c r="BG107" s="1"/>
      <c r="BH107" s="38">
        <f>VLOOKUP($B107,'BD_T.C.'!$B:$AO,HLOOKUP(BH$6,'BD_T.C.'!$6:$7,2,FALSE),FALSE)</f>
        <v>6.7832600000000003</v>
      </c>
      <c r="BI107" s="38">
        <f>VLOOKUP("PROM-"&amp;MONTH($B107)&amp;YEAR($B107),'BD_T.C.'!$B:$AO,HLOOKUP(BH$6,'BD_T.C.'!$6:$7,2,FALSE),FALSE)</f>
        <v>6.7924712903225828</v>
      </c>
    </row>
    <row r="108" spans="2:61" x14ac:dyDescent="0.3">
      <c r="B108" s="18">
        <v>45716</v>
      </c>
      <c r="C108" s="13">
        <f>VLOOKUP($B108,'BD_T.C.'!$B:$AO,HLOOKUP(C$6,'BD_T.C.'!$6:$7,2,FALSE),FALSE)</f>
        <v>20.472200000000001</v>
      </c>
      <c r="D108" s="13">
        <f>VLOOKUP("PROM-"&amp;MONTH($B108)&amp;YEAR($B108),'BD_T.C.'!$B:$AO,HLOOKUP(C$6,'BD_T.C.'!$6:$7,2,FALSE),FALSE)</f>
        <v>20.460739285714283</v>
      </c>
      <c r="F108" s="46">
        <f>VLOOKUP($B108,'BD_T.C.'!$B:$AO,HLOOKUP(F$6,'BD_T.C.'!$6:$7,2,FALSE),FALSE)</f>
        <v>0.96230800000000005</v>
      </c>
      <c r="G108" s="46">
        <f>VLOOKUP("PROM-"&amp;MONTH($B108)&amp;YEAR($B108),'BD_T.C.'!$B:$AO,HLOOKUP(F$6,'BD_T.C.'!$6:$7,2,FALSE),FALSE)</f>
        <v>0.9604041071428574</v>
      </c>
      <c r="I108" s="38">
        <f>VLOOKUP($B108,'BD_T.C.'!$B:$AO,HLOOKUP(I$6,'BD_T.C.'!$6:$7,2,FALSE),FALSE)</f>
        <v>1062.42</v>
      </c>
      <c r="J108" s="38">
        <f>VLOOKUP("PROM-"&amp;MONTH($B108)&amp;YEAR($B108),'BD_T.C.'!$B:$AO,HLOOKUP(I$6,'BD_T.C.'!$6:$7,2,FALSE),FALSE)</f>
        <v>1056.6889285714285</v>
      </c>
      <c r="K108" s="1"/>
      <c r="L108" s="38">
        <f>VLOOKUP($B108,'BD_T.C.'!$B:$AO,HLOOKUP(L$6,'BD_T.C.'!$6:$7,2,FALSE),FALSE)</f>
        <v>6.9211</v>
      </c>
      <c r="M108" s="38">
        <f>VLOOKUP("PROM-"&amp;MONTH($B108)&amp;YEAR($B108),'BD_T.C.'!$B:$AO,HLOOKUP(L$6,'BD_T.C.'!$6:$7,2,FALSE),FALSE)</f>
        <v>6.9136507142857129</v>
      </c>
      <c r="O108" s="46">
        <f>VLOOKUP($B108,'BD_T.C.'!$B:$AO,HLOOKUP(O$6,'BD_T.C.'!$6:$7,2,FALSE),FALSE)</f>
        <v>5.8633100000000002</v>
      </c>
      <c r="P108" s="46">
        <f>VLOOKUP("PROM-"&amp;MONTH($B108)&amp;YEAR($B108),'BD_T.C.'!$B:$AO,HLOOKUP(O$6,'BD_T.C.'!$6:$7,2,FALSE),FALSE)</f>
        <v>5.7688207142857149</v>
      </c>
      <c r="Q108" s="1"/>
      <c r="R108" s="44">
        <f>VLOOKUP($B108,'BD_T.C.'!$B:$AO,HLOOKUP(R$6,'BD_T.C.'!$6:$7,2,FALSE),FALSE)</f>
        <v>955.42200000000003</v>
      </c>
      <c r="S108" s="44">
        <f>VLOOKUP("PROM-"&amp;MONTH($B108)&amp;YEAR($B108),'BD_T.C.'!$B:$AO,HLOOKUP(R$6,'BD_T.C.'!$6:$7,2,FALSE),FALSE)</f>
        <v>957.65949999999998</v>
      </c>
      <c r="T108" s="1"/>
      <c r="U108" s="32">
        <f>VLOOKUP($B108,'BD_T.C.'!$B:$AO,HLOOKUP(U$6,'BD_T.C.'!$6:$7,2,FALSE),FALSE)</f>
        <v>4138.17</v>
      </c>
      <c r="V108" s="32">
        <f>VLOOKUP("PROM-"&amp;MONTH($B108)&amp;YEAR($B108),'BD_T.C.'!$B:$AO,HLOOKUP(U$6,'BD_T.C.'!$6:$7,2,FALSE),FALSE)</f>
        <v>4132.249642857144</v>
      </c>
      <c r="W108" s="1"/>
      <c r="X108" s="32">
        <f>VLOOKUP($B108,'BD_T.C.'!$B:$AO,HLOOKUP(X$6,'BD_T.C.'!$6:$7,2,FALSE),FALSE)</f>
        <v>7923.17</v>
      </c>
      <c r="Y108" s="32">
        <f>VLOOKUP("PROM-"&amp;MONTH($B108)&amp;YEAR($B108),'BD_T.C.'!$B:$AO,HLOOKUP(X$6,'BD_T.C.'!$6:$7,2,FALSE),FALSE)</f>
        <v>7888.8042857142864</v>
      </c>
      <c r="Z108" s="1"/>
      <c r="AA108" s="32">
        <f>VLOOKUP($B108,'BD_T.C.'!$B:$AO,HLOOKUP(AA$6,'BD_T.C.'!$6:$7,2,FALSE),FALSE)</f>
        <v>1351.32</v>
      </c>
      <c r="AB108" s="32">
        <f>VLOOKUP("PROM-"&amp;MONTH($B108)&amp;YEAR($B108),'BD_T.C.'!$B:$AO,HLOOKUP(AA$6,'BD_T.C.'!$6:$7,2,FALSE),FALSE)</f>
        <v>1367.5800000000002</v>
      </c>
      <c r="AC108" s="1"/>
      <c r="AD108" s="38">
        <f>VLOOKUP($B108,'BD_T.C.'!$B:$AO,HLOOKUP(AD$6,'BD_T.C.'!$6:$7,2,FALSE),FALSE)</f>
        <v>3.6872099999999999</v>
      </c>
      <c r="AE108" s="38">
        <f>VLOOKUP("PROM-"&amp;MONTH($B108)&amp;YEAR($B108),'BD_T.C.'!$B:$AO,HLOOKUP(AD$6,'BD_T.C.'!$6:$7,2,FALSE),FALSE)</f>
        <v>3.7031928571428572</v>
      </c>
      <c r="AF108" s="1"/>
      <c r="AG108" s="38">
        <f>VLOOKUP($B108,'BD_T.C.'!$B:$AO,HLOOKUP(AG$6,'BD_T.C.'!$6:$7,2,FALSE),FALSE)</f>
        <v>42.795400000000001</v>
      </c>
      <c r="AH108" s="38">
        <f>VLOOKUP("PROM-"&amp;MONTH($B108)&amp;YEAR($B108),'BD_T.C.'!$B:$AO,HLOOKUP(AG$6,'BD_T.C.'!$6:$7,2,FALSE),FALSE)</f>
        <v>43.267546428571414</v>
      </c>
      <c r="AI108" s="1"/>
      <c r="AJ108" s="38">
        <f>VLOOKUP($B108,'BD_T.C.'!$B:$AO,HLOOKUP(AJ$6,'BD_T.C.'!$6:$7,2,FALSE),FALSE)</f>
        <v>7.2988799999999996</v>
      </c>
      <c r="AK108" s="38">
        <f>VLOOKUP("PROM-"&amp;MONTH($B108)&amp;YEAR($B108),'BD_T.C.'!$B:$AO,HLOOKUP(AJ$6,'BD_T.C.'!$6:$7,2,FALSE),FALSE)</f>
        <v>7.500785357142858</v>
      </c>
      <c r="AL108" s="1"/>
      <c r="AM108" s="13">
        <f>VLOOKUP($B108,'BD_T.C.'!$B:$AO,HLOOKUP(AM$6,'BD_T.C.'!$6:$7,2,FALSE),FALSE)</f>
        <v>507.29899999999998</v>
      </c>
      <c r="AN108" s="13">
        <f>VLOOKUP("PROM-"&amp;MONTH($B108)&amp;YEAR($B108),'BD_T.C.'!$B:$AO,HLOOKUP(AM$6,'BD_T.C.'!$6:$7,2,FALSE),FALSE)</f>
        <v>507.11189285714289</v>
      </c>
      <c r="AO108" s="1"/>
      <c r="AP108" s="13">
        <f>VLOOKUP($B108,'BD_T.C.'!$B:$AO,HLOOKUP(AP$6,'BD_T.C.'!$6:$7,2,FALSE),FALSE)</f>
        <v>62.566200000000002</v>
      </c>
      <c r="AQ108" s="13">
        <f>VLOOKUP("PROM-"&amp;MONTH($B108)&amp;YEAR($B108),'BD_T.C.'!$B:$AO,HLOOKUP(AP$6,'BD_T.C.'!$6:$7,2,FALSE),FALSE)</f>
        <v>62.172864285714283</v>
      </c>
      <c r="AR108" s="1"/>
      <c r="AS108" s="13">
        <f>VLOOKUP($B108,'BD_T.C.'!$B:$AO,HLOOKUP(AS$6,'BD_T.C.'!$6:$7,2,FALSE),FALSE)</f>
        <v>1</v>
      </c>
      <c r="AT108" s="13">
        <f>VLOOKUP("PROM-"&amp;MONTH($B108)&amp;YEAR($B108),'BD_T.C.'!$B:$AO,HLOOKUP(AS$6,'BD_T.C.'!$6:$7,2,FALSE),FALSE)</f>
        <v>1</v>
      </c>
      <c r="AU108" s="1"/>
      <c r="AV108" s="38">
        <f>VLOOKUP($B108,'BD_T.C.'!$B:$AO,HLOOKUP(AV$6,'BD_T.C.'!$6:$7,2,FALSE),FALSE)</f>
        <v>7.7282400000000004</v>
      </c>
      <c r="AW108" s="38">
        <f>VLOOKUP("PROM-"&amp;MONTH($B108)&amp;YEAR($B108),'BD_T.C.'!$B:$AO,HLOOKUP(AV$6,'BD_T.C.'!$6:$7,2,FALSE),FALSE)</f>
        <v>7.7263875000000004</v>
      </c>
      <c r="AX108" s="1"/>
      <c r="AY108" s="38">
        <f>VLOOKUP($B108,'BD_T.C.'!$B:$AO,HLOOKUP(AY$6,'BD_T.C.'!$6:$7,2,FALSE),FALSE)</f>
        <v>8.75</v>
      </c>
      <c r="AZ108" s="38">
        <f>VLOOKUP("PROM-"&amp;MONTH($B108)&amp;YEAR($B108),'BD_T.C.'!$B:$AO,HLOOKUP(AY$6,'BD_T.C.'!$6:$7,2,FALSE),FALSE)</f>
        <v>8.75</v>
      </c>
      <c r="BA108" s="1"/>
      <c r="BB108" s="38">
        <f>VLOOKUP($B108,'BD_T.C.'!$B:$AO,HLOOKUP(BB$6,'BD_T.C.'!$6:$7,2,FALSE),FALSE)</f>
        <v>25.671199999999999</v>
      </c>
      <c r="BC108" s="38">
        <f>VLOOKUP("PROM-"&amp;MONTH($B108)&amp;YEAR($B108),'BD_T.C.'!$B:$AO,HLOOKUP(BB$6,'BD_T.C.'!$6:$7,2,FALSE),FALSE)</f>
        <v>25.577171428571425</v>
      </c>
      <c r="BD108" s="1"/>
      <c r="BE108" s="38">
        <f>VLOOKUP($B108,'BD_T.C.'!$B:$AO,HLOOKUP(BE$6,'BD_T.C.'!$6:$7,2,FALSE),FALSE)</f>
        <v>36.866</v>
      </c>
      <c r="BF108" s="38">
        <f>VLOOKUP("PROM-"&amp;MONTH($B108)&amp;YEAR($B108),'BD_T.C.'!$B:$AO,HLOOKUP(BE$6,'BD_T.C.'!$6:$7,2,FALSE),FALSE)</f>
        <v>36.786760714285712</v>
      </c>
      <c r="BG108" s="1"/>
      <c r="BH108" s="38">
        <f>VLOOKUP($B108,'BD_T.C.'!$B:$AO,HLOOKUP(BH$6,'BD_T.C.'!$6:$7,2,FALSE),FALSE)</f>
        <v>6.7960000000000003</v>
      </c>
      <c r="BI108" s="38">
        <f>VLOOKUP("PROM-"&amp;MONTH($B108)&amp;YEAR($B108),'BD_T.C.'!$B:$AO,HLOOKUP(BH$6,'BD_T.C.'!$6:$7,2,FALSE),FALSE)</f>
        <v>6.7855542857142845</v>
      </c>
    </row>
    <row r="109" spans="2:61" x14ac:dyDescent="0.3">
      <c r="B109" s="18">
        <v>45747</v>
      </c>
      <c r="C109" s="13">
        <f>VLOOKUP($B109,'BD_T.C.'!$B:$AO,HLOOKUP(C$6,'BD_T.C.'!$6:$7,2,FALSE),FALSE)</f>
        <v>20.400300000000001</v>
      </c>
      <c r="D109" s="13">
        <f>VLOOKUP("PROM-"&amp;MONTH($B109)&amp;YEAR($B109),'BD_T.C.'!$B:$AO,HLOOKUP(C$6,'BD_T.C.'!$6:$7,2,FALSE),FALSE)</f>
        <v>20.244016129032264</v>
      </c>
      <c r="F109" s="46">
        <f>VLOOKUP($B109,'BD_T.C.'!$B:$AO,HLOOKUP(F$6,'BD_T.C.'!$6:$7,2,FALSE),FALSE)</f>
        <v>0.92411399999999999</v>
      </c>
      <c r="G109" s="46">
        <f>VLOOKUP("PROM-"&amp;MONTH($B109)&amp;YEAR($B109),'BD_T.C.'!$B:$AO,HLOOKUP(F$6,'BD_T.C.'!$6:$7,2,FALSE),FALSE)</f>
        <v>0.92718638709677437</v>
      </c>
      <c r="I109" s="38">
        <f>VLOOKUP($B109,'BD_T.C.'!$B:$AO,HLOOKUP(I$6,'BD_T.C.'!$6:$7,2,FALSE),FALSE)</f>
        <v>1070.5</v>
      </c>
      <c r="J109" s="38">
        <f>VLOOKUP("PROM-"&amp;MONTH($B109)&amp;YEAR($B109),'BD_T.C.'!$B:$AO,HLOOKUP(I$6,'BD_T.C.'!$6:$7,2,FALSE),FALSE)</f>
        <v>1067.0409677419357</v>
      </c>
      <c r="K109" s="1"/>
      <c r="L109" s="38">
        <f>VLOOKUP($B109,'BD_T.C.'!$B:$AO,HLOOKUP(L$6,'BD_T.C.'!$6:$7,2,FALSE),FALSE)</f>
        <v>6.9168399999999997</v>
      </c>
      <c r="M109" s="38">
        <f>VLOOKUP("PROM-"&amp;MONTH($B109)&amp;YEAR($B109),'BD_T.C.'!$B:$AO,HLOOKUP(L$6,'BD_T.C.'!$6:$7,2,FALSE),FALSE)</f>
        <v>6.9114290322580665</v>
      </c>
      <c r="O109" s="46">
        <f>VLOOKUP($B109,'BD_T.C.'!$B:$AO,HLOOKUP(O$6,'BD_T.C.'!$6:$7,2,FALSE),FALSE)</f>
        <v>5.7454000000000001</v>
      </c>
      <c r="P109" s="46">
        <f>VLOOKUP("PROM-"&amp;MONTH($B109)&amp;YEAR($B109),'BD_T.C.'!$B:$AO,HLOOKUP(O$6,'BD_T.C.'!$6:$7,2,FALSE),FALSE)</f>
        <v>5.7804687096774199</v>
      </c>
      <c r="Q109" s="1"/>
      <c r="R109" s="44">
        <f>VLOOKUP($B109,'BD_T.C.'!$B:$AO,HLOOKUP(R$6,'BD_T.C.'!$6:$7,2,FALSE),FALSE)</f>
        <v>945.08600000000001</v>
      </c>
      <c r="S109" s="44">
        <f>VLOOKUP("PROM-"&amp;MONTH($B109)&amp;YEAR($B109),'BD_T.C.'!$B:$AO,HLOOKUP(R$6,'BD_T.C.'!$6:$7,2,FALSE),FALSE)</f>
        <v>935.36470967741934</v>
      </c>
      <c r="T109" s="1"/>
      <c r="U109" s="32">
        <f>VLOOKUP($B109,'BD_T.C.'!$B:$AO,HLOOKUP(U$6,'BD_T.C.'!$6:$7,2,FALSE),FALSE)</f>
        <v>4173.6099999999997</v>
      </c>
      <c r="V109" s="32">
        <f>VLOOKUP("PROM-"&amp;MONTH($B109)&amp;YEAR($B109),'BD_T.C.'!$B:$AO,HLOOKUP(U$6,'BD_T.C.'!$6:$7,2,FALSE),FALSE)</f>
        <v>4139.6487096774199</v>
      </c>
      <c r="W109" s="1"/>
      <c r="X109" s="32">
        <f>VLOOKUP($B109,'BD_T.C.'!$B:$AO,HLOOKUP(X$6,'BD_T.C.'!$6:$7,2,FALSE),FALSE)</f>
        <v>7970.52</v>
      </c>
      <c r="Y109" s="32">
        <f>VLOOKUP("PROM-"&amp;MONTH($B109)&amp;YEAR($B109),'BD_T.C.'!$B:$AO,HLOOKUP(X$6,'BD_T.C.'!$6:$7,2,FALSE),FALSE)</f>
        <v>7948.6680645161268</v>
      </c>
      <c r="Z109" s="1"/>
      <c r="AA109" s="32">
        <f>VLOOKUP($B109,'BD_T.C.'!$B:$AO,HLOOKUP(AA$6,'BD_T.C.'!$6:$7,2,FALSE),FALSE)</f>
        <v>1387.29</v>
      </c>
      <c r="AB109" s="32">
        <f>VLOOKUP("PROM-"&amp;MONTH($B109)&amp;YEAR($B109),'BD_T.C.'!$B:$AO,HLOOKUP(AA$6,'BD_T.C.'!$6:$7,2,FALSE),FALSE)</f>
        <v>1375.4764516129037</v>
      </c>
      <c r="AC109" s="1"/>
      <c r="AD109" s="38">
        <f>VLOOKUP($B109,'BD_T.C.'!$B:$AO,HLOOKUP(AD$6,'BD_T.C.'!$6:$7,2,FALSE),FALSE)</f>
        <v>3.6498400000000002</v>
      </c>
      <c r="AE109" s="38">
        <f>VLOOKUP("PROM-"&amp;MONTH($B109)&amp;YEAR($B109),'BD_T.C.'!$B:$AO,HLOOKUP(AD$6,'BD_T.C.'!$6:$7,2,FALSE),FALSE)</f>
        <v>3.6557951612903228</v>
      </c>
      <c r="AF109" s="1"/>
      <c r="AG109" s="38">
        <f>VLOOKUP($B109,'BD_T.C.'!$B:$AO,HLOOKUP(AG$6,'BD_T.C.'!$6:$7,2,FALSE),FALSE)</f>
        <v>42.11</v>
      </c>
      <c r="AH109" s="38">
        <f>VLOOKUP("PROM-"&amp;MONTH($B109)&amp;YEAR($B109),'BD_T.C.'!$B:$AO,HLOOKUP(AG$6,'BD_T.C.'!$6:$7,2,FALSE),FALSE)</f>
        <v>42.411641935483871</v>
      </c>
      <c r="AI109" s="1"/>
      <c r="AJ109" s="38">
        <f>VLOOKUP($B109,'BD_T.C.'!$B:$AO,HLOOKUP(AJ$6,'BD_T.C.'!$6:$7,2,FALSE),FALSE)</f>
        <v>7.3293699999999999</v>
      </c>
      <c r="AK109" s="38">
        <f>VLOOKUP("PROM-"&amp;MONTH($B109)&amp;YEAR($B109),'BD_T.C.'!$B:$AO,HLOOKUP(AJ$6,'BD_T.C.'!$6:$7,2,FALSE),FALSE)</f>
        <v>7.3386006451612875</v>
      </c>
      <c r="AL109" s="1"/>
      <c r="AM109" s="13">
        <f>VLOOKUP($B109,'BD_T.C.'!$B:$AO,HLOOKUP(AM$6,'BD_T.C.'!$6:$7,2,FALSE),FALSE)</f>
        <v>498.99400000000003</v>
      </c>
      <c r="AN109" s="13">
        <f>VLOOKUP("PROM-"&amp;MONTH($B109)&amp;YEAR($B109),'BD_T.C.'!$B:$AO,HLOOKUP(AM$6,'BD_T.C.'!$6:$7,2,FALSE),FALSE)</f>
        <v>501.62567741935493</v>
      </c>
      <c r="AO109" s="1"/>
      <c r="AP109" s="13">
        <f>VLOOKUP($B109,'BD_T.C.'!$B:$AO,HLOOKUP(AP$6,'BD_T.C.'!$6:$7,2,FALSE),FALSE)</f>
        <v>63.008800000000001</v>
      </c>
      <c r="AQ109" s="13">
        <f>VLOOKUP("PROM-"&amp;MONTH($B109)&amp;YEAR($B109),'BD_T.C.'!$B:$AO,HLOOKUP(AP$6,'BD_T.C.'!$6:$7,2,FALSE),FALSE)</f>
        <v>62.773345161290315</v>
      </c>
      <c r="AR109" s="1"/>
      <c r="AS109" s="13">
        <f>VLOOKUP($B109,'BD_T.C.'!$B:$AO,HLOOKUP(AS$6,'BD_T.C.'!$6:$7,2,FALSE),FALSE)</f>
        <v>1</v>
      </c>
      <c r="AT109" s="13">
        <f>VLOOKUP("PROM-"&amp;MONTH($B109)&amp;YEAR($B109),'BD_T.C.'!$B:$AO,HLOOKUP(AS$6,'BD_T.C.'!$6:$7,2,FALSE),FALSE)</f>
        <v>1</v>
      </c>
      <c r="AU109" s="1"/>
      <c r="AV109" s="38">
        <f>VLOOKUP($B109,'BD_T.C.'!$B:$AO,HLOOKUP(AV$6,'BD_T.C.'!$6:$7,2,FALSE),FALSE)</f>
        <v>7.7076000000000002</v>
      </c>
      <c r="AW109" s="38">
        <f>VLOOKUP("PROM-"&amp;MONTH($B109)&amp;YEAR($B109),'BD_T.C.'!$B:$AO,HLOOKUP(AV$6,'BD_T.C.'!$6:$7,2,FALSE),FALSE)</f>
        <v>7.7087754838709683</v>
      </c>
      <c r="AX109" s="1"/>
      <c r="AY109" s="38">
        <f>VLOOKUP($B109,'BD_T.C.'!$B:$AO,HLOOKUP(AY$6,'BD_T.C.'!$6:$7,2,FALSE),FALSE)</f>
        <v>8.75</v>
      </c>
      <c r="AZ109" s="38">
        <f>VLOOKUP("PROM-"&amp;MONTH($B109)&amp;YEAR($B109),'BD_T.C.'!$B:$AO,HLOOKUP(AY$6,'BD_T.C.'!$6:$7,2,FALSE),FALSE)</f>
        <v>8.75</v>
      </c>
      <c r="BA109" s="1"/>
      <c r="BB109" s="38">
        <f>VLOOKUP($B109,'BD_T.C.'!$B:$AO,HLOOKUP(BB$6,'BD_T.C.'!$6:$7,2,FALSE),FALSE)</f>
        <v>25.5428</v>
      </c>
      <c r="BC109" s="38">
        <f>VLOOKUP("PROM-"&amp;MONTH($B109)&amp;YEAR($B109),'BD_T.C.'!$B:$AO,HLOOKUP(BB$6,'BD_T.C.'!$6:$7,2,FALSE),FALSE)</f>
        <v>25.618290322580634</v>
      </c>
      <c r="BD109" s="1"/>
      <c r="BE109" s="38">
        <f>VLOOKUP($B109,'BD_T.C.'!$B:$AO,HLOOKUP(BE$6,'BD_T.C.'!$6:$7,2,FALSE),FALSE)</f>
        <v>36.695999999999998</v>
      </c>
      <c r="BF109" s="38">
        <f>VLOOKUP("PROM-"&amp;MONTH($B109)&amp;YEAR($B109),'BD_T.C.'!$B:$AO,HLOOKUP(BE$6,'BD_T.C.'!$6:$7,2,FALSE),FALSE)</f>
        <v>36.780822580645157</v>
      </c>
      <c r="BG109" s="1"/>
      <c r="BH109" s="38">
        <f>VLOOKUP($B109,'BD_T.C.'!$B:$AO,HLOOKUP(BH$6,'BD_T.C.'!$6:$7,2,FALSE),FALSE)</f>
        <v>6.7807399999999998</v>
      </c>
      <c r="BI109" s="38">
        <f>VLOOKUP("PROM-"&amp;MONTH($B109)&amp;YEAR($B109),'BD_T.C.'!$B:$AO,HLOOKUP(BH$6,'BD_T.C.'!$6:$7,2,FALSE),FALSE)</f>
        <v>6.7868729032258068</v>
      </c>
    </row>
    <row r="110" spans="2:61" x14ac:dyDescent="0.3">
      <c r="B110" s="18">
        <v>45777</v>
      </c>
      <c r="C110" s="13">
        <f>VLOOKUP($B110,'BD_T.C.'!$B:$AO,HLOOKUP(C$6,'BD_T.C.'!$6:$7,2,FALSE),FALSE)</f>
        <v>19.5868</v>
      </c>
      <c r="D110" s="13">
        <f>VLOOKUP("PROM-"&amp;MONTH($B110)&amp;YEAR($B110),'BD_T.C.'!$B:$AO,HLOOKUP(C$6,'BD_T.C.'!$6:$7,2,FALSE),FALSE)</f>
        <v>20.071046666666671</v>
      </c>
      <c r="F110" s="46">
        <f>VLOOKUP($B110,'BD_T.C.'!$B:$AO,HLOOKUP(F$6,'BD_T.C.'!$6:$7,2,FALSE),FALSE)</f>
        <v>0.88020600000000004</v>
      </c>
      <c r="G110" s="46">
        <f>VLOOKUP("PROM-"&amp;MONTH($B110)&amp;YEAR($B110),'BD_T.C.'!$B:$AO,HLOOKUP(F$6,'BD_T.C.'!$6:$7,2,FALSE),FALSE)</f>
        <v>0.89007346666666665</v>
      </c>
      <c r="I110" s="38">
        <f>VLOOKUP($B110,'BD_T.C.'!$B:$AO,HLOOKUP(I$6,'BD_T.C.'!$6:$7,2,FALSE),FALSE)</f>
        <v>1167.5899999999999</v>
      </c>
      <c r="J110" s="38">
        <f>VLOOKUP("PROM-"&amp;MONTH($B110)&amp;YEAR($B110),'BD_T.C.'!$B:$AO,HLOOKUP(I$6,'BD_T.C.'!$6:$7,2,FALSE),FALSE)</f>
        <v>1111.6273333333334</v>
      </c>
      <c r="K110" s="1"/>
      <c r="L110" s="38">
        <f>VLOOKUP($B110,'BD_T.C.'!$B:$AO,HLOOKUP(L$6,'BD_T.C.'!$6:$7,2,FALSE),FALSE)</f>
        <v>6.9081599999999996</v>
      </c>
      <c r="M110" s="38">
        <f>VLOOKUP("PROM-"&amp;MONTH($B110)&amp;YEAR($B110),'BD_T.C.'!$B:$AO,HLOOKUP(L$6,'BD_T.C.'!$6:$7,2,FALSE),FALSE)</f>
        <v>6.9062650000000012</v>
      </c>
      <c r="O110" s="46">
        <f>VLOOKUP($B110,'BD_T.C.'!$B:$AO,HLOOKUP(O$6,'BD_T.C.'!$6:$7,2,FALSE),FALSE)</f>
        <v>5.6444200000000002</v>
      </c>
      <c r="P110" s="46">
        <f>VLOOKUP("PROM-"&amp;MONTH($B110)&amp;YEAR($B110),'BD_T.C.'!$B:$AO,HLOOKUP(O$6,'BD_T.C.'!$6:$7,2,FALSE),FALSE)</f>
        <v>5.7874386666666675</v>
      </c>
      <c r="Q110" s="1"/>
      <c r="R110" s="44">
        <f>VLOOKUP($B110,'BD_T.C.'!$B:$AO,HLOOKUP(R$6,'BD_T.C.'!$6:$7,2,FALSE),FALSE)</f>
        <v>948.90599999999995</v>
      </c>
      <c r="S110" s="44">
        <f>VLOOKUP("PROM-"&amp;MONTH($B110)&amp;YEAR($B110),'BD_T.C.'!$B:$AO,HLOOKUP(R$6,'BD_T.C.'!$6:$7,2,FALSE),FALSE)</f>
        <v>961.48850000000004</v>
      </c>
      <c r="T110" s="1"/>
      <c r="U110" s="32">
        <f>VLOOKUP($B110,'BD_T.C.'!$B:$AO,HLOOKUP(U$6,'BD_T.C.'!$6:$7,2,FALSE),FALSE)</f>
        <v>4211.54</v>
      </c>
      <c r="V110" s="32">
        <f>VLOOKUP("PROM-"&amp;MONTH($B110)&amp;YEAR($B110),'BD_T.C.'!$B:$AO,HLOOKUP(U$6,'BD_T.C.'!$6:$7,2,FALSE),FALSE)</f>
        <v>4271.4946666666665</v>
      </c>
      <c r="W110" s="1"/>
      <c r="X110" s="32">
        <f>VLOOKUP($B110,'BD_T.C.'!$B:$AO,HLOOKUP(X$6,'BD_T.C.'!$6:$7,2,FALSE),FALSE)</f>
        <v>8003.22</v>
      </c>
      <c r="Y110" s="32">
        <f>VLOOKUP("PROM-"&amp;MONTH($B110)&amp;YEAR($B110),'BD_T.C.'!$B:$AO,HLOOKUP(X$6,'BD_T.C.'!$6:$7,2,FALSE),FALSE)</f>
        <v>7998.5656666666664</v>
      </c>
      <c r="Z110" s="1"/>
      <c r="AA110" s="32">
        <f>VLOOKUP($B110,'BD_T.C.'!$B:$AO,HLOOKUP(AA$6,'BD_T.C.'!$6:$7,2,FALSE),FALSE)</f>
        <v>1417.9</v>
      </c>
      <c r="AB110" s="32">
        <f>VLOOKUP("PROM-"&amp;MONTH($B110)&amp;YEAR($B110),'BD_T.C.'!$B:$AO,HLOOKUP(AA$6,'BD_T.C.'!$6:$7,2,FALSE),FALSE)</f>
        <v>1382.4356666666665</v>
      </c>
      <c r="AC110" s="1"/>
      <c r="AD110" s="38">
        <f>VLOOKUP($B110,'BD_T.C.'!$B:$AO,HLOOKUP(AD$6,'BD_T.C.'!$6:$7,2,FALSE),FALSE)</f>
        <v>3.6657999999999999</v>
      </c>
      <c r="AE110" s="38">
        <f>VLOOKUP("PROM-"&amp;MONTH($B110)&amp;YEAR($B110),'BD_T.C.'!$B:$AO,HLOOKUP(AD$6,'BD_T.C.'!$6:$7,2,FALSE),FALSE)</f>
        <v>3.7019319999999998</v>
      </c>
      <c r="AF110" s="1"/>
      <c r="AG110" s="38">
        <f>VLOOKUP($B110,'BD_T.C.'!$B:$AO,HLOOKUP(AG$6,'BD_T.C.'!$6:$7,2,FALSE),FALSE)</f>
        <v>42.058599999999998</v>
      </c>
      <c r="AH110" s="38">
        <f>VLOOKUP("PROM-"&amp;MONTH($B110)&amp;YEAR($B110),'BD_T.C.'!$B:$AO,HLOOKUP(AG$6,'BD_T.C.'!$6:$7,2,FALSE),FALSE)</f>
        <v>42.273610000000012</v>
      </c>
      <c r="AI110" s="1"/>
      <c r="AJ110" s="38">
        <f>VLOOKUP($B110,'BD_T.C.'!$B:$AO,HLOOKUP(AJ$6,'BD_T.C.'!$6:$7,2,FALSE),FALSE)</f>
        <v>7.4513999999999996</v>
      </c>
      <c r="AK110" s="38">
        <f>VLOOKUP("PROM-"&amp;MONTH($B110)&amp;YEAR($B110),'BD_T.C.'!$B:$AO,HLOOKUP(AJ$6,'BD_T.C.'!$6:$7,2,FALSE),FALSE)</f>
        <v>7.3058399999999999</v>
      </c>
      <c r="AL110" s="1"/>
      <c r="AM110" s="13">
        <f>VLOOKUP($B110,'BD_T.C.'!$B:$AO,HLOOKUP(AM$6,'BD_T.C.'!$6:$7,2,FALSE),FALSE)</f>
        <v>505.27600000000001</v>
      </c>
      <c r="AN110" s="13">
        <f>VLOOKUP("PROM-"&amp;MONTH($B110)&amp;YEAR($B110),'BD_T.C.'!$B:$AO,HLOOKUP(AM$6,'BD_T.C.'!$6:$7,2,FALSE),FALSE)</f>
        <v>505.89889999999991</v>
      </c>
      <c r="AO110" s="1"/>
      <c r="AP110" s="13">
        <f>VLOOKUP($B110,'BD_T.C.'!$B:$AO,HLOOKUP(AP$6,'BD_T.C.'!$6:$7,2,FALSE),FALSE)</f>
        <v>58.8596</v>
      </c>
      <c r="AQ110" s="13">
        <f>VLOOKUP("PROM-"&amp;MONTH($B110)&amp;YEAR($B110),'BD_T.C.'!$B:$AO,HLOOKUP(AP$6,'BD_T.C.'!$6:$7,2,FALSE),FALSE)</f>
        <v>60.99381666666666</v>
      </c>
      <c r="AR110" s="1"/>
      <c r="AS110" s="13">
        <f>VLOOKUP($B110,'BD_T.C.'!$B:$AO,HLOOKUP(AS$6,'BD_T.C.'!$6:$7,2,FALSE),FALSE)</f>
        <v>1</v>
      </c>
      <c r="AT110" s="13">
        <f>VLOOKUP("PROM-"&amp;MONTH($B110)&amp;YEAR($B110),'BD_T.C.'!$B:$AO,HLOOKUP(AS$6,'BD_T.C.'!$6:$7,2,FALSE),FALSE)</f>
        <v>1</v>
      </c>
      <c r="AU110" s="1"/>
      <c r="AV110" s="38">
        <f>VLOOKUP($B110,'BD_T.C.'!$B:$AO,HLOOKUP(AV$6,'BD_T.C.'!$6:$7,2,FALSE),FALSE)</f>
        <v>7.69984</v>
      </c>
      <c r="AW110" s="38">
        <f>VLOOKUP("PROM-"&amp;MONTH($B110)&amp;YEAR($B110),'BD_T.C.'!$B:$AO,HLOOKUP(AV$6,'BD_T.C.'!$6:$7,2,FALSE),FALSE)</f>
        <v>7.7050553333333331</v>
      </c>
      <c r="AX110" s="1"/>
      <c r="AY110" s="38">
        <f>VLOOKUP($B110,'BD_T.C.'!$B:$AO,HLOOKUP(AY$6,'BD_T.C.'!$6:$7,2,FALSE),FALSE)</f>
        <v>8.75</v>
      </c>
      <c r="AZ110" s="38">
        <f>VLOOKUP("PROM-"&amp;MONTH($B110)&amp;YEAR($B110),'BD_T.C.'!$B:$AO,HLOOKUP(AY$6,'BD_T.C.'!$6:$7,2,FALSE),FALSE)</f>
        <v>8.75</v>
      </c>
      <c r="BA110" s="1"/>
      <c r="BB110" s="38">
        <f>VLOOKUP($B110,'BD_T.C.'!$B:$AO,HLOOKUP(BB$6,'BD_T.C.'!$6:$7,2,FALSE),FALSE)</f>
        <v>25.889600000000002</v>
      </c>
      <c r="BC110" s="38">
        <f>VLOOKUP("PROM-"&amp;MONTH($B110)&amp;YEAR($B110),'BD_T.C.'!$B:$AO,HLOOKUP(BB$6,'BD_T.C.'!$6:$7,2,FALSE),FALSE)</f>
        <v>25.792206666666665</v>
      </c>
      <c r="BD110" s="1"/>
      <c r="BE110" s="38">
        <f>VLOOKUP($B110,'BD_T.C.'!$B:$AO,HLOOKUP(BE$6,'BD_T.C.'!$6:$7,2,FALSE),FALSE)</f>
        <v>36.765599999999999</v>
      </c>
      <c r="BF110" s="38">
        <f>VLOOKUP("PROM-"&amp;MONTH($B110)&amp;YEAR($B110),'BD_T.C.'!$B:$AO,HLOOKUP(BE$6,'BD_T.C.'!$6:$7,2,FALSE),FALSE)</f>
        <v>36.778966666666655</v>
      </c>
      <c r="BG110" s="1"/>
      <c r="BH110" s="38">
        <f>VLOOKUP($B110,'BD_T.C.'!$B:$AO,HLOOKUP(BH$6,'BD_T.C.'!$6:$7,2,FALSE),FALSE)</f>
        <v>6.7729699999999999</v>
      </c>
      <c r="BI110" s="38">
        <f>VLOOKUP("PROM-"&amp;MONTH($B110)&amp;YEAR($B110),'BD_T.C.'!$B:$AO,HLOOKUP(BH$6,'BD_T.C.'!$6:$7,2,FALSE),FALSE)</f>
        <v>6.7826926666666667</v>
      </c>
    </row>
    <row r="111" spans="2:61" x14ac:dyDescent="0.3">
      <c r="B111" s="18">
        <v>45808</v>
      </c>
      <c r="C111" s="13">
        <f>VLOOKUP($B111,'BD_T.C.'!$B:$AO,HLOOKUP(C$6,'BD_T.C.'!$6:$7,2,FALSE),FALSE)</f>
        <v>19.327999999999999</v>
      </c>
      <c r="D111" s="13">
        <f>VLOOKUP("PROM-"&amp;MONTH($B111)&amp;YEAR($B111),'BD_T.C.'!$B:$AO,HLOOKUP(C$6,'BD_T.C.'!$6:$7,2,FALSE),FALSE)</f>
        <v>19.459119354838702</v>
      </c>
      <c r="F111" s="46">
        <f>VLOOKUP($B111,'BD_T.C.'!$B:$AO,HLOOKUP(F$6,'BD_T.C.'!$6:$7,2,FALSE),FALSE)</f>
        <v>0.88122400000000001</v>
      </c>
      <c r="G111" s="46">
        <f>VLOOKUP("PROM-"&amp;MONTH($B111)&amp;YEAR($B111),'BD_T.C.'!$B:$AO,HLOOKUP(F$6,'BD_T.C.'!$6:$7,2,FALSE),FALSE)</f>
        <v>0.88655561290322582</v>
      </c>
      <c r="I111" s="38">
        <f>VLOOKUP($B111,'BD_T.C.'!$B:$AO,HLOOKUP(I$6,'BD_T.C.'!$6:$7,2,FALSE),FALSE)</f>
        <v>1189.26</v>
      </c>
      <c r="J111" s="38">
        <f>VLOOKUP("PROM-"&amp;MONTH($B111)&amp;YEAR($B111),'BD_T.C.'!$B:$AO,HLOOKUP(I$6,'BD_T.C.'!$6:$7,2,FALSE),FALSE)</f>
        <v>1149.908387096774</v>
      </c>
      <c r="K111" s="1"/>
      <c r="L111" s="38">
        <f>VLOOKUP($B111,'BD_T.C.'!$B:$AO,HLOOKUP(L$6,'BD_T.C.'!$6:$7,2,FALSE),FALSE)</f>
        <v>6.90524</v>
      </c>
      <c r="M111" s="38">
        <f>VLOOKUP("PROM-"&amp;MONTH($B111)&amp;YEAR($B111),'BD_T.C.'!$B:$AO,HLOOKUP(L$6,'BD_T.C.'!$6:$7,2,FALSE),FALSE)</f>
        <v>6.9135199999999983</v>
      </c>
      <c r="O111" s="46">
        <f>VLOOKUP($B111,'BD_T.C.'!$B:$AO,HLOOKUP(O$6,'BD_T.C.'!$6:$7,2,FALSE),FALSE)</f>
        <v>5.7236200000000004</v>
      </c>
      <c r="P111" s="46">
        <f>VLOOKUP("PROM-"&amp;MONTH($B111)&amp;YEAR($B111),'BD_T.C.'!$B:$AO,HLOOKUP(O$6,'BD_T.C.'!$6:$7,2,FALSE),FALSE)</f>
        <v>5.668556774193549</v>
      </c>
      <c r="Q111" s="1"/>
      <c r="R111" s="44">
        <f>VLOOKUP($B111,'BD_T.C.'!$B:$AO,HLOOKUP(R$6,'BD_T.C.'!$6:$7,2,FALSE),FALSE)</f>
        <v>944.36199999999997</v>
      </c>
      <c r="S111" s="44">
        <f>VLOOKUP("PROM-"&amp;MONTH($B111)&amp;YEAR($B111),'BD_T.C.'!$B:$AO,HLOOKUP(R$6,'BD_T.C.'!$6:$7,2,FALSE),FALSE)</f>
        <v>941.71729032258077</v>
      </c>
      <c r="T111" s="1"/>
      <c r="U111" s="32">
        <f>VLOOKUP($B111,'BD_T.C.'!$B:$AO,HLOOKUP(U$6,'BD_T.C.'!$6:$7,2,FALSE),FALSE)</f>
        <v>4154.9799999999996</v>
      </c>
      <c r="V111" s="32">
        <f>VLOOKUP("PROM-"&amp;MONTH($B111)&amp;YEAR($B111),'BD_T.C.'!$B:$AO,HLOOKUP(U$6,'BD_T.C.'!$6:$7,2,FALSE),FALSE)</f>
        <v>4202.2480645161286</v>
      </c>
      <c r="W111" s="1"/>
      <c r="X111" s="32">
        <f>VLOOKUP($B111,'BD_T.C.'!$B:$AO,HLOOKUP(X$6,'BD_T.C.'!$6:$7,2,FALSE),FALSE)</f>
        <v>7983.66</v>
      </c>
      <c r="Y111" s="32">
        <f>VLOOKUP("PROM-"&amp;MONTH($B111)&amp;YEAR($B111),'BD_T.C.'!$B:$AO,HLOOKUP(X$6,'BD_T.C.'!$6:$7,2,FALSE),FALSE)</f>
        <v>7989.768387096773</v>
      </c>
      <c r="Z111" s="1"/>
      <c r="AA111" s="32">
        <f>VLOOKUP($B111,'BD_T.C.'!$B:$AO,HLOOKUP(AA$6,'BD_T.C.'!$6:$7,2,FALSE),FALSE)</f>
        <v>1394.86</v>
      </c>
      <c r="AB111" s="32">
        <f>VLOOKUP("PROM-"&amp;MONTH($B111)&amp;YEAR($B111),'BD_T.C.'!$B:$AO,HLOOKUP(AA$6,'BD_T.C.'!$6:$7,2,FALSE),FALSE)</f>
        <v>1409.514516129032</v>
      </c>
      <c r="AC111" s="1"/>
      <c r="AD111" s="38">
        <f>VLOOKUP($B111,'BD_T.C.'!$B:$AO,HLOOKUP(AD$6,'BD_T.C.'!$6:$7,2,FALSE),FALSE)</f>
        <v>3.6196799999999998</v>
      </c>
      <c r="AE111" s="38">
        <f>VLOOKUP("PROM-"&amp;MONTH($B111)&amp;YEAR($B111),'BD_T.C.'!$B:$AO,HLOOKUP(AD$6,'BD_T.C.'!$6:$7,2,FALSE),FALSE)</f>
        <v>3.6612170967741933</v>
      </c>
      <c r="AF111" s="1"/>
      <c r="AG111" s="38">
        <f>VLOOKUP($B111,'BD_T.C.'!$B:$AO,HLOOKUP(AG$6,'BD_T.C.'!$6:$7,2,FALSE),FALSE)</f>
        <v>41.6023</v>
      </c>
      <c r="AH111" s="38">
        <f>VLOOKUP("PROM-"&amp;MONTH($B111)&amp;YEAR($B111),'BD_T.C.'!$B:$AO,HLOOKUP(AG$6,'BD_T.C.'!$6:$7,2,FALSE),FALSE)</f>
        <v>41.761645161290325</v>
      </c>
      <c r="AI111" s="1"/>
      <c r="AJ111" s="38">
        <f>VLOOKUP($B111,'BD_T.C.'!$B:$AO,HLOOKUP(AJ$6,'BD_T.C.'!$6:$7,2,FALSE),FALSE)</f>
        <v>7.2685399999999998</v>
      </c>
      <c r="AK111" s="38">
        <f>VLOOKUP("PROM-"&amp;MONTH($B111)&amp;YEAR($B111),'BD_T.C.'!$B:$AO,HLOOKUP(AJ$6,'BD_T.C.'!$6:$7,2,FALSE),FALSE)</f>
        <v>7.3673767741935503</v>
      </c>
      <c r="AL111" s="1"/>
      <c r="AM111" s="13">
        <f>VLOOKUP($B111,'BD_T.C.'!$B:$AO,HLOOKUP(AM$6,'BD_T.C.'!$6:$7,2,FALSE),FALSE)</f>
        <v>507.71899999999999</v>
      </c>
      <c r="AN111" s="13">
        <f>VLOOKUP("PROM-"&amp;MONTH($B111)&amp;YEAR($B111),'BD_T.C.'!$B:$AO,HLOOKUP(AM$6,'BD_T.C.'!$6:$7,2,FALSE),FALSE)</f>
        <v>507.17945161290322</v>
      </c>
      <c r="AO111" s="1"/>
      <c r="AP111" s="13">
        <f>VLOOKUP($B111,'BD_T.C.'!$B:$AO,HLOOKUP(AP$6,'BD_T.C.'!$6:$7,2,FALSE),FALSE)</f>
        <v>58.9848</v>
      </c>
      <c r="AQ111" s="13">
        <f>VLOOKUP("PROM-"&amp;MONTH($B111)&amp;YEAR($B111),'BD_T.C.'!$B:$AO,HLOOKUP(AP$6,'BD_T.C.'!$6:$7,2,FALSE),FALSE)</f>
        <v>58.896519354838723</v>
      </c>
      <c r="AR111" s="1"/>
      <c r="AS111" s="13">
        <f>VLOOKUP($B111,'BD_T.C.'!$B:$AO,HLOOKUP(AS$6,'BD_T.C.'!$6:$7,2,FALSE),FALSE)</f>
        <v>1</v>
      </c>
      <c r="AT111" s="13">
        <f>VLOOKUP("PROM-"&amp;MONTH($B111)&amp;YEAR($B111),'BD_T.C.'!$B:$AO,HLOOKUP(AS$6,'BD_T.C.'!$6:$7,2,FALSE),FALSE)</f>
        <v>1</v>
      </c>
      <c r="AU111" s="1"/>
      <c r="AV111" s="38">
        <f>VLOOKUP($B111,'BD_T.C.'!$B:$AO,HLOOKUP(AV$6,'BD_T.C.'!$6:$7,2,FALSE),FALSE)</f>
        <v>7.6772799999999997</v>
      </c>
      <c r="AW111" s="38">
        <f>VLOOKUP("PROM-"&amp;MONTH($B111)&amp;YEAR($B111),'BD_T.C.'!$B:$AO,HLOOKUP(AV$6,'BD_T.C.'!$6:$7,2,FALSE),FALSE)</f>
        <v>7.6850112903225805</v>
      </c>
      <c r="AX111" s="1"/>
      <c r="AY111" s="38">
        <f>VLOOKUP($B111,'BD_T.C.'!$B:$AO,HLOOKUP(AY$6,'BD_T.C.'!$6:$7,2,FALSE),FALSE)</f>
        <v>8.75</v>
      </c>
      <c r="AZ111" s="38">
        <f>VLOOKUP("PROM-"&amp;MONTH($B111)&amp;YEAR($B111),'BD_T.C.'!$B:$AO,HLOOKUP(AY$6,'BD_T.C.'!$6:$7,2,FALSE),FALSE)</f>
        <v>8.75</v>
      </c>
      <c r="BA111" s="1"/>
      <c r="BB111" s="38">
        <f>VLOOKUP($B111,'BD_T.C.'!$B:$AO,HLOOKUP(BB$6,'BD_T.C.'!$6:$7,2,FALSE),FALSE)</f>
        <v>26.023900000000001</v>
      </c>
      <c r="BC111" s="38">
        <f>VLOOKUP("PROM-"&amp;MONTH($B111)&amp;YEAR($B111),'BD_T.C.'!$B:$AO,HLOOKUP(BB$6,'BD_T.C.'!$6:$7,2,FALSE),FALSE)</f>
        <v>25.967964516129033</v>
      </c>
      <c r="BD111" s="1"/>
      <c r="BE111" s="38">
        <f>VLOOKUP($B111,'BD_T.C.'!$B:$AO,HLOOKUP(BE$6,'BD_T.C.'!$6:$7,2,FALSE),FALSE)</f>
        <v>36.793999999999997</v>
      </c>
      <c r="BF111" s="38">
        <f>VLOOKUP("PROM-"&amp;MONTH($B111)&amp;YEAR($B111),'BD_T.C.'!$B:$AO,HLOOKUP(BE$6,'BD_T.C.'!$6:$7,2,FALSE),FALSE)</f>
        <v>36.777248387096783</v>
      </c>
      <c r="BG111" s="1"/>
      <c r="BH111" s="38">
        <f>VLOOKUP($B111,'BD_T.C.'!$B:$AO,HLOOKUP(BH$6,'BD_T.C.'!$6:$7,2,FALSE),FALSE)</f>
        <v>6.7886800000000003</v>
      </c>
      <c r="BI111" s="38">
        <f>VLOOKUP("PROM-"&amp;MONTH($B111)&amp;YEAR($B111),'BD_T.C.'!$B:$AO,HLOOKUP(BH$6,'BD_T.C.'!$6:$7,2,FALSE),FALSE)</f>
        <v>6.7879232258064501</v>
      </c>
    </row>
    <row r="112" spans="2:61" x14ac:dyDescent="0.3">
      <c r="B112" s="18">
        <v>45838</v>
      </c>
      <c r="C112" s="13">
        <f>VLOOKUP($B112,'BD_T.C.'!$B:$AO,HLOOKUP(C$6,'BD_T.C.'!$6:$7,2,FALSE),FALSE)</f>
        <v>18.848299999999998</v>
      </c>
      <c r="D112" s="13">
        <f>VLOOKUP("PROM-"&amp;MONTH($B112)&amp;YEAR($B112),'BD_T.C.'!$B:$AO,HLOOKUP(C$6,'BD_T.C.'!$6:$7,2,FALSE),FALSE)</f>
        <v>19.054299999999998</v>
      </c>
      <c r="F112" s="46">
        <f>VLOOKUP($B112,'BD_T.C.'!$B:$AO,HLOOKUP(F$6,'BD_T.C.'!$6:$7,2,FALSE),FALSE)</f>
        <v>0.85157899999999997</v>
      </c>
      <c r="G112" s="46">
        <f>VLOOKUP("PROM-"&amp;MONTH($B112)&amp;YEAR($B112),'BD_T.C.'!$B:$AO,HLOOKUP(F$6,'BD_T.C.'!$6:$7,2,FALSE),FALSE)</f>
        <v>0.86796490000000015</v>
      </c>
      <c r="I112" s="38">
        <f>VLOOKUP($B112,'BD_T.C.'!$B:$AO,HLOOKUP(I$6,'BD_T.C.'!$6:$7,2,FALSE),FALSE)</f>
        <v>1193.08</v>
      </c>
      <c r="J112" s="38">
        <f>VLOOKUP("PROM-"&amp;MONTH($B112)&amp;YEAR($B112),'BD_T.C.'!$B:$AO,HLOOKUP(I$6,'BD_T.C.'!$6:$7,2,FALSE),FALSE)</f>
        <v>1179.8936666666668</v>
      </c>
      <c r="K112" s="1"/>
      <c r="L112" s="38">
        <f>VLOOKUP($B112,'BD_T.C.'!$B:$AO,HLOOKUP(L$6,'BD_T.C.'!$6:$7,2,FALSE),FALSE)</f>
        <v>6.9142799999999998</v>
      </c>
      <c r="M112" s="38">
        <f>VLOOKUP("PROM-"&amp;MONTH($B112)&amp;YEAR($B112),'BD_T.C.'!$B:$AO,HLOOKUP(L$6,'BD_T.C.'!$6:$7,2,FALSE),FALSE)</f>
        <v>6.9132469999999993</v>
      </c>
      <c r="O112" s="46">
        <f>VLOOKUP($B112,'BD_T.C.'!$B:$AO,HLOOKUP(O$6,'BD_T.C.'!$6:$7,2,FALSE),FALSE)</f>
        <v>5.4667700000000004</v>
      </c>
      <c r="P112" s="46">
        <f>VLOOKUP("PROM-"&amp;MONTH($B112)&amp;YEAR($B112),'BD_T.C.'!$B:$AO,HLOOKUP(O$6,'BD_T.C.'!$6:$7,2,FALSE),FALSE)</f>
        <v>5.5483726666666664</v>
      </c>
      <c r="Q112" s="1"/>
      <c r="R112" s="44">
        <f>VLOOKUP($B112,'BD_T.C.'!$B:$AO,HLOOKUP(R$6,'BD_T.C.'!$6:$7,2,FALSE),FALSE)</f>
        <v>934.83100000000002</v>
      </c>
      <c r="S112" s="44">
        <f>VLOOKUP("PROM-"&amp;MONTH($B112)&amp;YEAR($B112),'BD_T.C.'!$B:$AO,HLOOKUP(R$6,'BD_T.C.'!$6:$7,2,FALSE),FALSE)</f>
        <v>938.16399999999987</v>
      </c>
      <c r="T112" s="1"/>
      <c r="U112" s="32">
        <f>VLOOKUP($B112,'BD_T.C.'!$B:$AO,HLOOKUP(U$6,'BD_T.C.'!$6:$7,2,FALSE),FALSE)</f>
        <v>4065.88</v>
      </c>
      <c r="V112" s="32">
        <f>VLOOKUP("PROM-"&amp;MONTH($B112)&amp;YEAR($B112),'BD_T.C.'!$B:$AO,HLOOKUP(U$6,'BD_T.C.'!$6:$7,2,FALSE),FALSE)</f>
        <v>4109.2906666666659</v>
      </c>
      <c r="W112" s="1"/>
      <c r="X112" s="32">
        <f>VLOOKUP($B112,'BD_T.C.'!$B:$AO,HLOOKUP(X$6,'BD_T.C.'!$6:$7,2,FALSE),FALSE)</f>
        <v>7977.92</v>
      </c>
      <c r="Y112" s="32">
        <f>VLOOKUP("PROM-"&amp;MONTH($B112)&amp;YEAR($B112),'BD_T.C.'!$B:$AO,HLOOKUP(X$6,'BD_T.C.'!$6:$7,2,FALSE),FALSE)</f>
        <v>7979.1183333333329</v>
      </c>
      <c r="Z112" s="1"/>
      <c r="AA112" s="32">
        <f>VLOOKUP($B112,'BD_T.C.'!$B:$AO,HLOOKUP(AA$6,'BD_T.C.'!$6:$7,2,FALSE),FALSE)</f>
        <v>1459.36</v>
      </c>
      <c r="AB112" s="32">
        <f>VLOOKUP("PROM-"&amp;MONTH($B112)&amp;YEAR($B112),'BD_T.C.'!$B:$AO,HLOOKUP(AA$6,'BD_T.C.'!$6:$7,2,FALSE),FALSE)</f>
        <v>1438.2846666666669</v>
      </c>
      <c r="AC112" s="1"/>
      <c r="AD112" s="38">
        <f>VLOOKUP($B112,'BD_T.C.'!$B:$AO,HLOOKUP(AD$6,'BD_T.C.'!$6:$7,2,FALSE),FALSE)</f>
        <v>3.5471200000000001</v>
      </c>
      <c r="AE112" s="38">
        <f>VLOOKUP("PROM-"&amp;MONTH($B112)&amp;YEAR($B112),'BD_T.C.'!$B:$AO,HLOOKUP(AD$6,'BD_T.C.'!$6:$7,2,FALSE),FALSE)</f>
        <v>3.6055716666666675</v>
      </c>
      <c r="AF112" s="1"/>
      <c r="AG112" s="38">
        <f>VLOOKUP($B112,'BD_T.C.'!$B:$AO,HLOOKUP(AG$6,'BD_T.C.'!$6:$7,2,FALSE),FALSE)</f>
        <v>40.184899999999999</v>
      </c>
      <c r="AH112" s="38">
        <f>VLOOKUP("PROM-"&amp;MONTH($B112)&amp;YEAR($B112),'BD_T.C.'!$B:$AO,HLOOKUP(AG$6,'BD_T.C.'!$6:$7,2,FALSE),FALSE)</f>
        <v>41.036523333333342</v>
      </c>
      <c r="AI112" s="1"/>
      <c r="AJ112" s="38">
        <f>VLOOKUP($B112,'BD_T.C.'!$B:$AO,HLOOKUP(AJ$6,'BD_T.C.'!$6:$7,2,FALSE),FALSE)</f>
        <v>7.3507800000000003</v>
      </c>
      <c r="AK112" s="38">
        <f>VLOOKUP("PROM-"&amp;MONTH($B112)&amp;YEAR($B112),'BD_T.C.'!$B:$AO,HLOOKUP(AJ$6,'BD_T.C.'!$6:$7,2,FALSE),FALSE)</f>
        <v>7.3963473333333338</v>
      </c>
      <c r="AL112" s="1"/>
      <c r="AM112" s="13">
        <f>VLOOKUP($B112,'BD_T.C.'!$B:$AO,HLOOKUP(AM$6,'BD_T.C.'!$6:$7,2,FALSE),FALSE)</f>
        <v>504.52300000000002</v>
      </c>
      <c r="AN112" s="13">
        <f>VLOOKUP("PROM-"&amp;MONTH($B112)&amp;YEAR($B112),'BD_T.C.'!$B:$AO,HLOOKUP(AM$6,'BD_T.C.'!$6:$7,2,FALSE),FALSE)</f>
        <v>506.16076666666663</v>
      </c>
      <c r="AO112" s="1"/>
      <c r="AP112" s="13">
        <f>VLOOKUP($B112,'BD_T.C.'!$B:$AO,HLOOKUP(AP$6,'BD_T.C.'!$6:$7,2,FALSE),FALSE)</f>
        <v>59.500999999999998</v>
      </c>
      <c r="AQ112" s="13">
        <f>VLOOKUP("PROM-"&amp;MONTH($B112)&amp;YEAR($B112),'BD_T.C.'!$B:$AO,HLOOKUP(AP$6,'BD_T.C.'!$6:$7,2,FALSE),FALSE)</f>
        <v>59.226523333333326</v>
      </c>
      <c r="AR112" s="1"/>
      <c r="AS112" s="13">
        <f>VLOOKUP($B112,'BD_T.C.'!$B:$AO,HLOOKUP(AS$6,'BD_T.C.'!$6:$7,2,FALSE),FALSE)</f>
        <v>1</v>
      </c>
      <c r="AT112" s="13">
        <f>VLOOKUP("PROM-"&amp;MONTH($B112)&amp;YEAR($B112),'BD_T.C.'!$B:$AO,HLOOKUP(AS$6,'BD_T.C.'!$6:$7,2,FALSE),FALSE)</f>
        <v>1</v>
      </c>
      <c r="AU112" s="1"/>
      <c r="AV112" s="38">
        <f>VLOOKUP($B112,'BD_T.C.'!$B:$AO,HLOOKUP(AV$6,'BD_T.C.'!$6:$7,2,FALSE),FALSE)</f>
        <v>7.6891499999999997</v>
      </c>
      <c r="AW112" s="38">
        <f>VLOOKUP("PROM-"&amp;MONTH($B112)&amp;YEAR($B112),'BD_T.C.'!$B:$AO,HLOOKUP(AV$6,'BD_T.C.'!$6:$7,2,FALSE),FALSE)</f>
        <v>7.6835703333333347</v>
      </c>
      <c r="AX112" s="1"/>
      <c r="AY112" s="38">
        <f>VLOOKUP($B112,'BD_T.C.'!$B:$AO,HLOOKUP(AY$6,'BD_T.C.'!$6:$7,2,FALSE),FALSE)</f>
        <v>8.75</v>
      </c>
      <c r="AZ112" s="38">
        <f>VLOOKUP("PROM-"&amp;MONTH($B112)&amp;YEAR($B112),'BD_T.C.'!$B:$AO,HLOOKUP(AY$6,'BD_T.C.'!$6:$7,2,FALSE),FALSE)</f>
        <v>8.75</v>
      </c>
      <c r="BA112" s="1"/>
      <c r="BB112" s="38">
        <f>VLOOKUP($B112,'BD_T.C.'!$B:$AO,HLOOKUP(BB$6,'BD_T.C.'!$6:$7,2,FALSE),FALSE)</f>
        <v>26.134599999999999</v>
      </c>
      <c r="BC112" s="38">
        <f>VLOOKUP("PROM-"&amp;MONTH($B112)&amp;YEAR($B112),'BD_T.C.'!$B:$AO,HLOOKUP(BB$6,'BD_T.C.'!$6:$7,2,FALSE),FALSE)</f>
        <v>26.08747</v>
      </c>
      <c r="BD112" s="1"/>
      <c r="BE112" s="38">
        <f>VLOOKUP($B112,'BD_T.C.'!$B:$AO,HLOOKUP(BE$6,'BD_T.C.'!$6:$7,2,FALSE),FALSE)</f>
        <v>36.7898</v>
      </c>
      <c r="BF112" s="38">
        <f>VLOOKUP("PROM-"&amp;MONTH($B112)&amp;YEAR($B112),'BD_T.C.'!$B:$AO,HLOOKUP(BE$6,'BD_T.C.'!$6:$7,2,FALSE),FALSE)</f>
        <v>36.757506666666657</v>
      </c>
      <c r="BG112" s="1"/>
      <c r="BH112" s="38">
        <f>VLOOKUP($B112,'BD_T.C.'!$B:$AO,HLOOKUP(BH$6,'BD_T.C.'!$6:$7,2,FALSE),FALSE)</f>
        <v>6.7839299999999998</v>
      </c>
      <c r="BI112" s="38">
        <f>VLOOKUP("PROM-"&amp;MONTH($B112)&amp;YEAR($B112),'BD_T.C.'!$B:$AO,HLOOKUP(BH$6,'BD_T.C.'!$6:$7,2,FALSE),FALSE)</f>
        <v>6.7824786666666661</v>
      </c>
    </row>
    <row r="113" spans="2:61" x14ac:dyDescent="0.3">
      <c r="B113" s="18">
        <v>45869</v>
      </c>
      <c r="C113" s="13">
        <f>VLOOKUP($B113,'BD_T.C.'!$B:$AO,HLOOKUP(C$6,'BD_T.C.'!$6:$7,2,FALSE),FALSE)</f>
        <v>18.795999999999999</v>
      </c>
      <c r="D113" s="13">
        <f>VLOOKUP("PROM-"&amp;MONTH($B113)&amp;YEAR($B113),'BD_T.C.'!$B:$AO,HLOOKUP(C$6,'BD_T.C.'!$6:$7,2,FALSE),FALSE)</f>
        <v>18.682474193548391</v>
      </c>
      <c r="F113" s="46">
        <f>VLOOKUP($B113,'BD_T.C.'!$B:$AO,HLOOKUP(F$6,'BD_T.C.'!$6:$7,2,FALSE),FALSE)</f>
        <v>0.87488699999999997</v>
      </c>
      <c r="G113" s="46">
        <f>VLOOKUP("PROM-"&amp;MONTH($B113)&amp;YEAR($B113),'BD_T.C.'!$B:$AO,HLOOKUP(F$6,'BD_T.C.'!$6:$7,2,FALSE),FALSE)</f>
        <v>0.8555929677419355</v>
      </c>
      <c r="I113" s="38">
        <f>VLOOKUP($B113,'BD_T.C.'!$B:$AO,HLOOKUP(I$6,'BD_T.C.'!$6:$7,2,FALSE),FALSE)</f>
        <v>1338.58</v>
      </c>
      <c r="J113" s="38">
        <f>VLOOKUP("PROM-"&amp;MONTH($B113)&amp;YEAR($B113),'BD_T.C.'!$B:$AO,HLOOKUP(I$6,'BD_T.C.'!$6:$7,2,FALSE),FALSE)</f>
        <v>1264.5629032258064</v>
      </c>
      <c r="K113" s="1"/>
      <c r="L113" s="38">
        <f>VLOOKUP($B113,'BD_T.C.'!$B:$AO,HLOOKUP(L$6,'BD_T.C.'!$6:$7,2,FALSE),FALSE)</f>
        <v>6.9107599999999998</v>
      </c>
      <c r="M113" s="38">
        <f>VLOOKUP("PROM-"&amp;MONTH($B113)&amp;YEAR($B113),'BD_T.C.'!$B:$AO,HLOOKUP(L$6,'BD_T.C.'!$6:$7,2,FALSE),FALSE)</f>
        <v>6.9122164516129034</v>
      </c>
      <c r="O113" s="46">
        <f>VLOOKUP($B113,'BD_T.C.'!$B:$AO,HLOOKUP(O$6,'BD_T.C.'!$6:$7,2,FALSE),FALSE)</f>
        <v>5.5869799999999996</v>
      </c>
      <c r="P113" s="46">
        <f>VLOOKUP("PROM-"&amp;MONTH($B113)&amp;YEAR($B113),'BD_T.C.'!$B:$AO,HLOOKUP(O$6,'BD_T.C.'!$6:$7,2,FALSE),FALSE)</f>
        <v>5.5283332258064526</v>
      </c>
      <c r="Q113" s="1"/>
      <c r="R113" s="44">
        <f>VLOOKUP($B113,'BD_T.C.'!$B:$AO,HLOOKUP(R$6,'BD_T.C.'!$6:$7,2,FALSE),FALSE)</f>
        <v>977.976</v>
      </c>
      <c r="S113" s="44">
        <f>VLOOKUP("PROM-"&amp;MONTH($B113)&amp;YEAR($B113),'BD_T.C.'!$B:$AO,HLOOKUP(R$6,'BD_T.C.'!$6:$7,2,FALSE),FALSE)</f>
        <v>952.437064516129</v>
      </c>
      <c r="T113" s="1"/>
      <c r="U113" s="32">
        <f>VLOOKUP($B113,'BD_T.C.'!$B:$AO,HLOOKUP(U$6,'BD_T.C.'!$6:$7,2,FALSE),FALSE)</f>
        <v>4185.24</v>
      </c>
      <c r="V113" s="32">
        <f>VLOOKUP("PROM-"&amp;MONTH($B113)&amp;YEAR($B113),'BD_T.C.'!$B:$AO,HLOOKUP(U$6,'BD_T.C.'!$6:$7,2,FALSE),FALSE)</f>
        <v>4045.1874193548392</v>
      </c>
      <c r="W113" s="1"/>
      <c r="X113" s="32">
        <f>VLOOKUP($B113,'BD_T.C.'!$B:$AO,HLOOKUP(X$6,'BD_T.C.'!$6:$7,2,FALSE),FALSE)</f>
        <v>7489.36</v>
      </c>
      <c r="Y113" s="32">
        <f>VLOOKUP("PROM-"&amp;MONTH($B113)&amp;YEAR($B113),'BD_T.C.'!$B:$AO,HLOOKUP(X$6,'BD_T.C.'!$6:$7,2,FALSE),FALSE)</f>
        <v>7745.6503225806455</v>
      </c>
      <c r="Z113" s="1"/>
      <c r="AA113" s="32">
        <f>VLOOKUP($B113,'BD_T.C.'!$B:$AO,HLOOKUP(AA$6,'BD_T.C.'!$6:$7,2,FALSE),FALSE)</f>
        <v>1340.51</v>
      </c>
      <c r="AB113" s="32">
        <f>VLOOKUP("PROM-"&amp;MONTH($B113)&amp;YEAR($B113),'BD_T.C.'!$B:$AO,HLOOKUP(AA$6,'BD_T.C.'!$6:$7,2,FALSE),FALSE)</f>
        <v>1401.508064516129</v>
      </c>
      <c r="AC113" s="1"/>
      <c r="AD113" s="38">
        <f>VLOOKUP($B113,'BD_T.C.'!$B:$AO,HLOOKUP(AD$6,'BD_T.C.'!$6:$7,2,FALSE),FALSE)</f>
        <v>3.5727099999999998</v>
      </c>
      <c r="AE113" s="38">
        <f>VLOOKUP("PROM-"&amp;MONTH($B113)&amp;YEAR($B113),'BD_T.C.'!$B:$AO,HLOOKUP(AD$6,'BD_T.C.'!$6:$7,2,FALSE),FALSE)</f>
        <v>3.5551774193548384</v>
      </c>
      <c r="AF113" s="1"/>
      <c r="AG113" s="38">
        <f>VLOOKUP($B113,'BD_T.C.'!$B:$AO,HLOOKUP(AG$6,'BD_T.C.'!$6:$7,2,FALSE),FALSE)</f>
        <v>40.098599999999998</v>
      </c>
      <c r="AH113" s="38">
        <f>VLOOKUP("PROM-"&amp;MONTH($B113)&amp;YEAR($B113),'BD_T.C.'!$B:$AO,HLOOKUP(AG$6,'BD_T.C.'!$6:$7,2,FALSE),FALSE)</f>
        <v>40.240435483870961</v>
      </c>
      <c r="AI113" s="1"/>
      <c r="AJ113" s="38">
        <f>VLOOKUP($B113,'BD_T.C.'!$B:$AO,HLOOKUP(AJ$6,'BD_T.C.'!$6:$7,2,FALSE),FALSE)</f>
        <v>7.1771799999999999</v>
      </c>
      <c r="AK113" s="38">
        <f>VLOOKUP("PROM-"&amp;MONTH($B113)&amp;YEAR($B113),'BD_T.C.'!$B:$AO,HLOOKUP(AJ$6,'BD_T.C.'!$6:$7,2,FALSE),FALSE)</f>
        <v>7.2795983870967751</v>
      </c>
      <c r="AL113" s="1"/>
      <c r="AM113" s="13">
        <f>VLOOKUP($B113,'BD_T.C.'!$B:$AO,HLOOKUP(AM$6,'BD_T.C.'!$6:$7,2,FALSE),FALSE)</f>
        <v>505.39100000000002</v>
      </c>
      <c r="AN113" s="13">
        <f>VLOOKUP("PROM-"&amp;MONTH($B113)&amp;YEAR($B113),'BD_T.C.'!$B:$AO,HLOOKUP(AM$6,'BD_T.C.'!$6:$7,2,FALSE),FALSE)</f>
        <v>504.78248387096767</v>
      </c>
      <c r="AO113" s="1"/>
      <c r="AP113" s="13">
        <f>VLOOKUP($B113,'BD_T.C.'!$B:$AO,HLOOKUP(AP$6,'BD_T.C.'!$6:$7,2,FALSE),FALSE)</f>
        <v>60.952100000000002</v>
      </c>
      <c r="AQ113" s="13">
        <f>VLOOKUP("PROM-"&amp;MONTH($B113)&amp;YEAR($B113),'BD_T.C.'!$B:$AO,HLOOKUP(AP$6,'BD_T.C.'!$6:$7,2,FALSE),FALSE)</f>
        <v>60.273764516129013</v>
      </c>
      <c r="AR113" s="1"/>
      <c r="AS113" s="13">
        <f>VLOOKUP($B113,'BD_T.C.'!$B:$AO,HLOOKUP(AS$6,'BD_T.C.'!$6:$7,2,FALSE),FALSE)</f>
        <v>1</v>
      </c>
      <c r="AT113" s="13">
        <f>VLOOKUP("PROM-"&amp;MONTH($B113)&amp;YEAR($B113),'BD_T.C.'!$B:$AO,HLOOKUP(AS$6,'BD_T.C.'!$6:$7,2,FALSE),FALSE)</f>
        <v>1</v>
      </c>
      <c r="AU113" s="1"/>
      <c r="AV113" s="38">
        <f>VLOOKUP($B113,'BD_T.C.'!$B:$AO,HLOOKUP(AV$6,'BD_T.C.'!$6:$7,2,FALSE),FALSE)</f>
        <v>7.6764000000000001</v>
      </c>
      <c r="AW113" s="38">
        <f>VLOOKUP("PROM-"&amp;MONTH($B113)&amp;YEAR($B113),'BD_T.C.'!$B:$AO,HLOOKUP(AV$6,'BD_T.C.'!$6:$7,2,FALSE),FALSE)</f>
        <v>7.6790729032258058</v>
      </c>
      <c r="AX113" s="1"/>
      <c r="AY113" s="38">
        <f>VLOOKUP($B113,'BD_T.C.'!$B:$AO,HLOOKUP(AY$6,'BD_T.C.'!$6:$7,2,FALSE),FALSE)</f>
        <v>8.75</v>
      </c>
      <c r="AZ113" s="38">
        <f>VLOOKUP("PROM-"&amp;MONTH($B113)&amp;YEAR($B113),'BD_T.C.'!$B:$AO,HLOOKUP(AY$6,'BD_T.C.'!$6:$7,2,FALSE),FALSE)</f>
        <v>8.75</v>
      </c>
      <c r="BA113" s="1"/>
      <c r="BB113" s="38">
        <f>VLOOKUP($B113,'BD_T.C.'!$B:$AO,HLOOKUP(BB$6,'BD_T.C.'!$6:$7,2,FALSE),FALSE)</f>
        <v>26.293800000000001</v>
      </c>
      <c r="BC113" s="38">
        <f>VLOOKUP("PROM-"&amp;MONTH($B113)&amp;YEAR($B113),'BD_T.C.'!$B:$AO,HLOOKUP(BB$6,'BD_T.C.'!$6:$7,2,FALSE),FALSE)</f>
        <v>26.211361290322579</v>
      </c>
      <c r="BD113" s="1"/>
      <c r="BE113" s="38">
        <f>VLOOKUP($B113,'BD_T.C.'!$B:$AO,HLOOKUP(BE$6,'BD_T.C.'!$6:$7,2,FALSE),FALSE)</f>
        <v>36.779200000000003</v>
      </c>
      <c r="BF113" s="38">
        <f>VLOOKUP("PROM-"&amp;MONTH($B113)&amp;YEAR($B113),'BD_T.C.'!$B:$AO,HLOOKUP(BE$6,'BD_T.C.'!$6:$7,2,FALSE),FALSE)</f>
        <v>36.78404838709676</v>
      </c>
      <c r="BG113" s="1"/>
      <c r="BH113" s="38">
        <f>VLOOKUP($B113,'BD_T.C.'!$B:$AO,HLOOKUP(BH$6,'BD_T.C.'!$6:$7,2,FALSE),FALSE)</f>
        <v>6.7837699999999996</v>
      </c>
      <c r="BI113" s="38">
        <f>VLOOKUP("PROM-"&amp;MONTH($B113)&amp;YEAR($B113),'BD_T.C.'!$B:$AO,HLOOKUP(BH$6,'BD_T.C.'!$6:$7,2,FALSE),FALSE)</f>
        <v>6.7851651612903243</v>
      </c>
    </row>
    <row r="114" spans="2:61" x14ac:dyDescent="0.3">
      <c r="B114" s="18">
        <v>45900</v>
      </c>
      <c r="C114" s="13">
        <f>VLOOKUP($B114,'BD_T.C.'!$B:$AO,HLOOKUP(C$6,'BD_T.C.'!$6:$7,2,FALSE),FALSE)</f>
        <v>18.652200000000001</v>
      </c>
      <c r="D114" s="13">
        <f>VLOOKUP("PROM-"&amp;MONTH($B114)&amp;YEAR($B114),'BD_T.C.'!$B:$AO,HLOOKUP(C$6,'BD_T.C.'!$6:$7,2,FALSE),FALSE)</f>
        <v>18.722903225806451</v>
      </c>
      <c r="F114" s="46">
        <f>VLOOKUP($B114,'BD_T.C.'!$B:$AO,HLOOKUP(F$6,'BD_T.C.'!$6:$7,2,FALSE),FALSE)</f>
        <v>0.85569300000000004</v>
      </c>
      <c r="G114" s="46">
        <f>VLOOKUP("PROM-"&amp;MONTH($B114)&amp;YEAR($B114),'BD_T.C.'!$B:$AO,HLOOKUP(F$6,'BD_T.C.'!$6:$7,2,FALSE),FALSE)</f>
        <v>0.85848441935483877</v>
      </c>
      <c r="I114" s="38">
        <f>VLOOKUP($B114,'BD_T.C.'!$B:$AO,HLOOKUP(I$6,'BD_T.C.'!$6:$7,2,FALSE),FALSE)</f>
        <v>1345.08</v>
      </c>
      <c r="J114" s="38">
        <f>VLOOKUP("PROM-"&amp;MONTH($B114)&amp;YEAR($B114),'BD_T.C.'!$B:$AO,HLOOKUP(I$6,'BD_T.C.'!$6:$7,2,FALSE),FALSE)</f>
        <v>1328.265483870968</v>
      </c>
      <c r="K114" s="1"/>
      <c r="L114" s="38">
        <f>VLOOKUP($B114,'BD_T.C.'!$B:$AO,HLOOKUP(L$6,'BD_T.C.'!$6:$7,2,FALSE),FALSE)</f>
        <v>6.9140600000000001</v>
      </c>
      <c r="M114" s="38">
        <f>VLOOKUP("PROM-"&amp;MONTH($B114)&amp;YEAR($B114),'BD_T.C.'!$B:$AO,HLOOKUP(L$6,'BD_T.C.'!$6:$7,2,FALSE),FALSE)</f>
        <v>6.9052651612903233</v>
      </c>
      <c r="O114" s="46">
        <f>VLOOKUP($B114,'BD_T.C.'!$B:$AO,HLOOKUP(O$6,'BD_T.C.'!$6:$7,2,FALSE),FALSE)</f>
        <v>5.4281199999999998</v>
      </c>
      <c r="P114" s="46">
        <f>VLOOKUP("PROM-"&amp;MONTH($B114)&amp;YEAR($B114),'BD_T.C.'!$B:$AO,HLOOKUP(O$6,'BD_T.C.'!$6:$7,2,FALSE),FALSE)</f>
        <v>5.4488458064516117</v>
      </c>
      <c r="Q114" s="1"/>
      <c r="R114" s="44">
        <f>VLOOKUP($B114,'BD_T.C.'!$B:$AO,HLOOKUP(R$6,'BD_T.C.'!$6:$7,2,FALSE),FALSE)</f>
        <v>966.74400000000003</v>
      </c>
      <c r="S114" s="44">
        <f>VLOOKUP("PROM-"&amp;MONTH($B114)&amp;YEAR($B114),'BD_T.C.'!$B:$AO,HLOOKUP(R$6,'BD_T.C.'!$6:$7,2,FALSE),FALSE)</f>
        <v>965.59554838709664</v>
      </c>
      <c r="T114" s="1"/>
      <c r="U114" s="32">
        <f>VLOOKUP($B114,'BD_T.C.'!$B:$AO,HLOOKUP(U$6,'BD_T.C.'!$6:$7,2,FALSE),FALSE)</f>
        <v>4018.18</v>
      </c>
      <c r="V114" s="32">
        <f>VLOOKUP("PROM-"&amp;MONTH($B114)&amp;YEAR($B114),'BD_T.C.'!$B:$AO,HLOOKUP(U$6,'BD_T.C.'!$6:$7,2,FALSE),FALSE)</f>
        <v>4045.3422580645165</v>
      </c>
      <c r="W114" s="1"/>
      <c r="X114" s="32">
        <f>VLOOKUP($B114,'BD_T.C.'!$B:$AO,HLOOKUP(X$6,'BD_T.C.'!$6:$7,2,FALSE),FALSE)</f>
        <v>7226.87</v>
      </c>
      <c r="Y114" s="32">
        <f>VLOOKUP("PROM-"&amp;MONTH($B114)&amp;YEAR($B114),'BD_T.C.'!$B:$AO,HLOOKUP(X$6,'BD_T.C.'!$6:$7,2,FALSE),FALSE)</f>
        <v>7366.66</v>
      </c>
      <c r="Z114" s="1"/>
      <c r="AA114" s="32">
        <f>VLOOKUP($B114,'BD_T.C.'!$B:$AO,HLOOKUP(AA$6,'BD_T.C.'!$6:$7,2,FALSE),FALSE)</f>
        <v>1331.38</v>
      </c>
      <c r="AB114" s="32">
        <f>VLOOKUP("PROM-"&amp;MONTH($B114)&amp;YEAR($B114),'BD_T.C.'!$B:$AO,HLOOKUP(AA$6,'BD_T.C.'!$6:$7,2,FALSE),FALSE)</f>
        <v>1352.0222580645159</v>
      </c>
      <c r="AC114" s="1"/>
      <c r="AD114" s="38">
        <f>VLOOKUP($B114,'BD_T.C.'!$B:$AO,HLOOKUP(AD$6,'BD_T.C.'!$6:$7,2,FALSE),FALSE)</f>
        <v>3.5323600000000002</v>
      </c>
      <c r="AE114" s="38">
        <f>VLOOKUP("PROM-"&amp;MONTH($B114)&amp;YEAR($B114),'BD_T.C.'!$B:$AO,HLOOKUP(AD$6,'BD_T.C.'!$6:$7,2,FALSE),FALSE)</f>
        <v>3.5460396774193543</v>
      </c>
      <c r="AF114" s="1"/>
      <c r="AG114" s="38">
        <f>VLOOKUP($B114,'BD_T.C.'!$B:$AO,HLOOKUP(AG$6,'BD_T.C.'!$6:$7,2,FALSE),FALSE)</f>
        <v>40.016100000000002</v>
      </c>
      <c r="AH114" s="38">
        <f>VLOOKUP("PROM-"&amp;MONTH($B114)&amp;YEAR($B114),'BD_T.C.'!$B:$AO,HLOOKUP(AG$6,'BD_T.C.'!$6:$7,2,FALSE),FALSE)</f>
        <v>40.049180645161293</v>
      </c>
      <c r="AI114" s="1"/>
      <c r="AJ114" s="38">
        <f>VLOOKUP($B114,'BD_T.C.'!$B:$AO,HLOOKUP(AJ$6,'BD_T.C.'!$6:$7,2,FALSE),FALSE)</f>
        <v>7.3720299999999996</v>
      </c>
      <c r="AK114" s="38">
        <f>VLOOKUP("PROM-"&amp;MONTH($B114)&amp;YEAR($B114),'BD_T.C.'!$B:$AO,HLOOKUP(AJ$6,'BD_T.C.'!$6:$7,2,FALSE),FALSE)</f>
        <v>7.3505535483870972</v>
      </c>
      <c r="AL114" s="1"/>
      <c r="AM114" s="13">
        <f>VLOOKUP($B114,'BD_T.C.'!$B:$AO,HLOOKUP(AM$6,'BD_T.C.'!$6:$7,2,FALSE),FALSE)</f>
        <v>505.15600000000001</v>
      </c>
      <c r="AN114" s="13">
        <f>VLOOKUP("PROM-"&amp;MONTH($B114)&amp;YEAR($B114),'BD_T.C.'!$B:$AO,HLOOKUP(AM$6,'BD_T.C.'!$6:$7,2,FALSE),FALSE)</f>
        <v>505.03483870967744</v>
      </c>
      <c r="AO114" s="1"/>
      <c r="AP114" s="13">
        <f>VLOOKUP($B114,'BD_T.C.'!$B:$AO,HLOOKUP(AP$6,'BD_T.C.'!$6:$7,2,FALSE),FALSE)</f>
        <v>62.958799999999997</v>
      </c>
      <c r="AQ114" s="13">
        <f>VLOOKUP("PROM-"&amp;MONTH($B114)&amp;YEAR($B114),'BD_T.C.'!$B:$AO,HLOOKUP(AP$6,'BD_T.C.'!$6:$7,2,FALSE),FALSE)</f>
        <v>61.721283870967746</v>
      </c>
      <c r="AR114" s="1"/>
      <c r="AS114" s="13">
        <f>VLOOKUP($B114,'BD_T.C.'!$B:$AO,HLOOKUP(AS$6,'BD_T.C.'!$6:$7,2,FALSE),FALSE)</f>
        <v>1</v>
      </c>
      <c r="AT114" s="13">
        <f>VLOOKUP("PROM-"&amp;MONTH($B114)&amp;YEAR($B114),'BD_T.C.'!$B:$AO,HLOOKUP(AS$6,'BD_T.C.'!$6:$7,2,FALSE),FALSE)</f>
        <v>1</v>
      </c>
      <c r="AU114" s="1"/>
      <c r="AV114" s="38">
        <f>VLOOKUP($B114,'BD_T.C.'!$B:$AO,HLOOKUP(AV$6,'BD_T.C.'!$6:$7,2,FALSE),FALSE)</f>
        <v>7.6656000000000004</v>
      </c>
      <c r="AW114" s="38">
        <f>VLOOKUP("PROM-"&amp;MONTH($B114)&amp;YEAR($B114),'BD_T.C.'!$B:$AO,HLOOKUP(AV$6,'BD_T.C.'!$6:$7,2,FALSE),FALSE)</f>
        <v>7.6676848387096772</v>
      </c>
      <c r="AX114" s="1"/>
      <c r="AY114" s="38">
        <f>VLOOKUP($B114,'BD_T.C.'!$B:$AO,HLOOKUP(AY$6,'BD_T.C.'!$6:$7,2,FALSE),FALSE)</f>
        <v>8.75</v>
      </c>
      <c r="AZ114" s="38">
        <f>VLOOKUP("PROM-"&amp;MONTH($B114)&amp;YEAR($B114),'BD_T.C.'!$B:$AO,HLOOKUP(AY$6,'BD_T.C.'!$6:$7,2,FALSE),FALSE)</f>
        <v>8.75</v>
      </c>
      <c r="BA114" s="1"/>
      <c r="BB114" s="38">
        <f>VLOOKUP($B114,'BD_T.C.'!$B:$AO,HLOOKUP(BB$6,'BD_T.C.'!$6:$7,2,FALSE),FALSE)</f>
        <v>26.340800000000002</v>
      </c>
      <c r="BC114" s="38">
        <f>VLOOKUP("PROM-"&amp;MONTH($B114)&amp;YEAR($B114),'BD_T.C.'!$B:$AO,HLOOKUP(BB$6,'BD_T.C.'!$6:$7,2,FALSE),FALSE)</f>
        <v>26.248403225806456</v>
      </c>
      <c r="BD114" s="1"/>
      <c r="BE114" s="38">
        <f>VLOOKUP($B114,'BD_T.C.'!$B:$AO,HLOOKUP(BE$6,'BD_T.C.'!$6:$7,2,FALSE),FALSE)</f>
        <v>36.804000000000002</v>
      </c>
      <c r="BF114" s="38">
        <f>VLOOKUP("PROM-"&amp;MONTH($B114)&amp;YEAR($B114),'BD_T.C.'!$B:$AO,HLOOKUP(BE$6,'BD_T.C.'!$6:$7,2,FALSE),FALSE)</f>
        <v>36.780048387096784</v>
      </c>
      <c r="BG114" s="1"/>
      <c r="BH114" s="38">
        <f>VLOOKUP($B114,'BD_T.C.'!$B:$AO,HLOOKUP(BH$6,'BD_T.C.'!$6:$7,2,FALSE),FALSE)</f>
        <v>6.7919600000000004</v>
      </c>
      <c r="BI114" s="38">
        <f>VLOOKUP("PROM-"&amp;MONTH($B114)&amp;YEAR($B114),'BD_T.C.'!$B:$AO,HLOOKUP(BH$6,'BD_T.C.'!$6:$7,2,FALSE),FALSE)</f>
        <v>6.7825183870967711</v>
      </c>
    </row>
    <row r="115" spans="2:61" x14ac:dyDescent="0.3">
      <c r="B115" s="18">
        <v>45930</v>
      </c>
      <c r="C115" s="13">
        <f>VLOOKUP($B115,'BD_T.C.'!$B:$AO,HLOOKUP(C$6,'BD_T.C.'!$6:$7,2,FALSE),FALSE)</f>
        <v>18.3507</v>
      </c>
      <c r="D115" s="13">
        <f>VLOOKUP("PROM-"&amp;MONTH($B115)&amp;YEAR($B115),'BD_T.C.'!$B:$AO,HLOOKUP(C$6,'BD_T.C.'!$6:$7,2,FALSE),FALSE)</f>
        <v>18.515030000000003</v>
      </c>
      <c r="F115" s="46">
        <f>VLOOKUP($B115,'BD_T.C.'!$B:$AO,HLOOKUP(F$6,'BD_T.C.'!$6:$7,2,FALSE),FALSE)</f>
        <v>0.852016</v>
      </c>
      <c r="G115" s="46">
        <f>VLOOKUP("PROM-"&amp;MONTH($B115)&amp;YEAR($B115),'BD_T.C.'!$B:$AO,HLOOKUP(F$6,'BD_T.C.'!$6:$7,2,FALSE),FALSE)</f>
        <v>0.85238099999999994</v>
      </c>
      <c r="I115" s="38">
        <f>VLOOKUP($B115,'BD_T.C.'!$B:$AO,HLOOKUP(I$6,'BD_T.C.'!$6:$7,2,FALSE),FALSE)</f>
        <v>1365.31</v>
      </c>
      <c r="J115" s="38">
        <f>VLOOKUP("PROM-"&amp;MONTH($B115)&amp;YEAR($B115),'BD_T.C.'!$B:$AO,HLOOKUP(I$6,'BD_T.C.'!$6:$7,2,FALSE),FALSE)</f>
        <v>1402.4176666666667</v>
      </c>
      <c r="K115" s="1"/>
      <c r="L115" s="38">
        <f>VLOOKUP($B115,'BD_T.C.'!$B:$AO,HLOOKUP(L$6,'BD_T.C.'!$6:$7,2,FALSE),FALSE)</f>
        <v>6.9192799999999997</v>
      </c>
      <c r="M115" s="38">
        <f>VLOOKUP("PROM-"&amp;MONTH($B115)&amp;YEAR($B115),'BD_T.C.'!$B:$AO,HLOOKUP(L$6,'BD_T.C.'!$6:$7,2,FALSE),FALSE)</f>
        <v>6.9107000000000003</v>
      </c>
      <c r="O115" s="46">
        <f>VLOOKUP($B115,'BD_T.C.'!$B:$AO,HLOOKUP(O$6,'BD_T.C.'!$6:$7,2,FALSE),FALSE)</f>
        <v>5.32212</v>
      </c>
      <c r="P115" s="46">
        <f>VLOOKUP("PROM-"&amp;MONTH($B115)&amp;YEAR($B115),'BD_T.C.'!$B:$AO,HLOOKUP(O$6,'BD_T.C.'!$6:$7,2,FALSE),FALSE)</f>
        <v>5.3675043333333337</v>
      </c>
      <c r="Q115" s="1"/>
      <c r="R115" s="44">
        <f>VLOOKUP($B115,'BD_T.C.'!$B:$AO,HLOOKUP(R$6,'BD_T.C.'!$6:$7,2,FALSE),FALSE)</f>
        <v>964.22199999999998</v>
      </c>
      <c r="S115" s="44">
        <f>VLOOKUP("PROM-"&amp;MONTH($B115)&amp;YEAR($B115),'BD_T.C.'!$B:$AO,HLOOKUP(R$6,'BD_T.C.'!$6:$7,2,FALSE),FALSE)</f>
        <v>959.79399999999987</v>
      </c>
      <c r="T115" s="1"/>
      <c r="U115" s="32">
        <f>VLOOKUP($B115,'BD_T.C.'!$B:$AO,HLOOKUP(U$6,'BD_T.C.'!$6:$7,2,FALSE),FALSE)</f>
        <v>3921.56</v>
      </c>
      <c r="V115" s="32">
        <f>VLOOKUP("PROM-"&amp;MONTH($B115)&amp;YEAR($B115),'BD_T.C.'!$B:$AO,HLOOKUP(U$6,'BD_T.C.'!$6:$7,2,FALSE),FALSE)</f>
        <v>3919.7323333333338</v>
      </c>
      <c r="W115" s="1"/>
      <c r="X115" s="32">
        <f>VLOOKUP($B115,'BD_T.C.'!$B:$AO,HLOOKUP(X$6,'BD_T.C.'!$6:$7,2,FALSE),FALSE)</f>
        <v>7088.96</v>
      </c>
      <c r="Y115" s="32">
        <f>VLOOKUP("PROM-"&amp;MONTH($B115)&amp;YEAR($B115),'BD_T.C.'!$B:$AO,HLOOKUP(X$6,'BD_T.C.'!$6:$7,2,FALSE),FALSE)</f>
        <v>7147.6123333333326</v>
      </c>
      <c r="Z115" s="1"/>
      <c r="AA115" s="32">
        <f>VLOOKUP($B115,'BD_T.C.'!$B:$AO,HLOOKUP(AA$6,'BD_T.C.'!$6:$7,2,FALSE),FALSE)</f>
        <v>1331.98</v>
      </c>
      <c r="AB115" s="32">
        <f>VLOOKUP("PROM-"&amp;MONTH($B115)&amp;YEAR($B115),'BD_T.C.'!$B:$AO,HLOOKUP(AA$6,'BD_T.C.'!$6:$7,2,FALSE),FALSE)</f>
        <v>1331.6970000000001</v>
      </c>
      <c r="AC115" s="1"/>
      <c r="AD115" s="38">
        <f>VLOOKUP($B115,'BD_T.C.'!$B:$AO,HLOOKUP(AD$6,'BD_T.C.'!$6:$7,2,FALSE),FALSE)</f>
        <v>3.4792200000000002</v>
      </c>
      <c r="AE115" s="38">
        <f>VLOOKUP("PROM-"&amp;MONTH($B115)&amp;YEAR($B115),'BD_T.C.'!$B:$AO,HLOOKUP(AD$6,'BD_T.C.'!$6:$7,2,FALSE),FALSE)</f>
        <v>3.5008369999999998</v>
      </c>
      <c r="AF115" s="1"/>
      <c r="AG115" s="38">
        <f>VLOOKUP($B115,'BD_T.C.'!$B:$AO,HLOOKUP(AG$6,'BD_T.C.'!$6:$7,2,FALSE),FALSE)</f>
        <v>39.8889</v>
      </c>
      <c r="AH115" s="38">
        <f>VLOOKUP("PROM-"&amp;MONTH($B115)&amp;YEAR($B115),'BD_T.C.'!$B:$AO,HLOOKUP(AG$6,'BD_T.C.'!$6:$7,2,FALSE),FALSE)</f>
        <v>39.992159999999991</v>
      </c>
      <c r="AI115" s="1"/>
      <c r="AJ115" s="38">
        <f>VLOOKUP($B115,'BD_T.C.'!$B:$AO,HLOOKUP(AJ$6,'BD_T.C.'!$6:$7,2,FALSE),FALSE)</f>
        <v>7.4949399999999997</v>
      </c>
      <c r="AK115" s="38">
        <f>VLOOKUP("PROM-"&amp;MONTH($B115)&amp;YEAR($B115),'BD_T.C.'!$B:$AO,HLOOKUP(AJ$6,'BD_T.C.'!$6:$7,2,FALSE),FALSE)</f>
        <v>7.4514256666666672</v>
      </c>
      <c r="AL115" s="1"/>
      <c r="AM115" s="13">
        <f>VLOOKUP($B115,'BD_T.C.'!$B:$AO,HLOOKUP(AM$6,'BD_T.C.'!$6:$7,2,FALSE),FALSE)</f>
        <v>503.79199999999997</v>
      </c>
      <c r="AN115" s="13">
        <f>VLOOKUP("PROM-"&amp;MONTH($B115)&amp;YEAR($B115),'BD_T.C.'!$B:$AO,HLOOKUP(AM$6,'BD_T.C.'!$6:$7,2,FALSE),FALSE)</f>
        <v>504.62629999999996</v>
      </c>
      <c r="AO115" s="1"/>
      <c r="AP115" s="13">
        <f>VLOOKUP($B115,'BD_T.C.'!$B:$AO,HLOOKUP(AP$6,'BD_T.C.'!$6:$7,2,FALSE),FALSE)</f>
        <v>62.154000000000003</v>
      </c>
      <c r="AQ115" s="13">
        <f>VLOOKUP("PROM-"&amp;MONTH($B115)&amp;YEAR($B115),'BD_T.C.'!$B:$AO,HLOOKUP(AP$6,'BD_T.C.'!$6:$7,2,FALSE),FALSE)</f>
        <v>62.734243333333353</v>
      </c>
      <c r="AR115" s="1"/>
      <c r="AS115" s="13">
        <f>VLOOKUP($B115,'BD_T.C.'!$B:$AO,HLOOKUP(AS$6,'BD_T.C.'!$6:$7,2,FALSE),FALSE)</f>
        <v>1</v>
      </c>
      <c r="AT115" s="13">
        <f>VLOOKUP("PROM-"&amp;MONTH($B115)&amp;YEAR($B115),'BD_T.C.'!$B:$AO,HLOOKUP(AS$6,'BD_T.C.'!$6:$7,2,FALSE),FALSE)</f>
        <v>1</v>
      </c>
      <c r="AU115" s="1"/>
      <c r="AV115" s="38">
        <f>VLOOKUP($B115,'BD_T.C.'!$B:$AO,HLOOKUP(AV$6,'BD_T.C.'!$6:$7,2,FALSE),FALSE)</f>
        <v>7.6658200000000001</v>
      </c>
      <c r="AW115" s="38">
        <f>VLOOKUP("PROM-"&amp;MONTH($B115)&amp;YEAR($B115),'BD_T.C.'!$B:$AO,HLOOKUP(AV$6,'BD_T.C.'!$6:$7,2,FALSE),FALSE)</f>
        <v>7.6635419999999987</v>
      </c>
      <c r="AX115" s="1"/>
      <c r="AY115" s="38">
        <f>VLOOKUP($B115,'BD_T.C.'!$B:$AO,HLOOKUP(AY$6,'BD_T.C.'!$6:$7,2,FALSE),FALSE)</f>
        <v>8.75</v>
      </c>
      <c r="AZ115" s="38">
        <f>VLOOKUP("PROM-"&amp;MONTH($B115)&amp;YEAR($B115),'BD_T.C.'!$B:$AO,HLOOKUP(AY$6,'BD_T.C.'!$6:$7,2,FALSE),FALSE)</f>
        <v>8.75</v>
      </c>
      <c r="BA115" s="1"/>
      <c r="BB115" s="38">
        <f>VLOOKUP($B115,'BD_T.C.'!$B:$AO,HLOOKUP(BB$6,'BD_T.C.'!$6:$7,2,FALSE),FALSE)</f>
        <v>26.226800000000001</v>
      </c>
      <c r="BC115" s="38">
        <f>VLOOKUP("PROM-"&amp;MONTH($B115)&amp;YEAR($B115),'BD_T.C.'!$B:$AO,HLOOKUP(BB$6,'BD_T.C.'!$6:$7,2,FALSE),FALSE)</f>
        <v>26.203443333333333</v>
      </c>
      <c r="BD115" s="1"/>
      <c r="BE115" s="38">
        <f>VLOOKUP($B115,'BD_T.C.'!$B:$AO,HLOOKUP(BE$6,'BD_T.C.'!$6:$7,2,FALSE),FALSE)</f>
        <v>36.7592</v>
      </c>
      <c r="BF115" s="38">
        <f>VLOOKUP("PROM-"&amp;MONTH($B115)&amp;YEAR($B115),'BD_T.C.'!$B:$AO,HLOOKUP(BE$6,'BD_T.C.'!$6:$7,2,FALSE),FALSE)</f>
        <v>36.765633333333334</v>
      </c>
      <c r="BG115" s="1"/>
      <c r="BH115" s="38">
        <f>VLOOKUP($B115,'BD_T.C.'!$B:$AO,HLOOKUP(BH$6,'BD_T.C.'!$6:$7,2,FALSE),FALSE)</f>
        <v>6.7899399999999996</v>
      </c>
      <c r="BI115" s="38">
        <f>VLOOKUP("PROM-"&amp;MONTH($B115)&amp;YEAR($B115),'BD_T.C.'!$B:$AO,HLOOKUP(BH$6,'BD_T.C.'!$6:$7,2,FALSE),FALSE)</f>
        <v>6.7834910000000006</v>
      </c>
    </row>
    <row r="116" spans="2:61" x14ac:dyDescent="0.3">
      <c r="B116" s="18">
        <v>45961</v>
      </c>
      <c r="C116" s="13">
        <f>VLOOKUP($B116,'BD_T.C.'!$B:$AO,HLOOKUP(C$6,'BD_T.C.'!$6:$7,2,FALSE),FALSE)</f>
        <v>18.538</v>
      </c>
      <c r="D116" s="13">
        <f>VLOOKUP("PROM-"&amp;MONTH($B116)&amp;YEAR($B116),'BD_T.C.'!$B:$AO,HLOOKUP(C$6,'BD_T.C.'!$6:$7,2,FALSE),FALSE)</f>
        <v>18.419512903225808</v>
      </c>
      <c r="F116" s="46">
        <f>VLOOKUP($B116,'BD_T.C.'!$B:$AO,HLOOKUP(F$6,'BD_T.C.'!$6:$7,2,FALSE),FALSE)</f>
        <v>0.86563800000000002</v>
      </c>
      <c r="G116" s="46">
        <f>VLOOKUP("PROM-"&amp;MONTH($B116)&amp;YEAR($B116),'BD_T.C.'!$B:$AO,HLOOKUP(F$6,'BD_T.C.'!$6:$7,2,FALSE),FALSE)</f>
        <v>0.858738064516129</v>
      </c>
      <c r="I116" s="38">
        <f>VLOOKUP($B116,'BD_T.C.'!$B:$AO,HLOOKUP(I$6,'BD_T.C.'!$6:$7,2,FALSE),FALSE)</f>
        <v>1442.38</v>
      </c>
      <c r="J116" s="38">
        <f>VLOOKUP("PROM-"&amp;MONTH($B116)&amp;YEAR($B116),'BD_T.C.'!$B:$AO,HLOOKUP(I$6,'BD_T.C.'!$6:$7,2,FALSE),FALSE)</f>
        <v>1437.1009677419354</v>
      </c>
      <c r="K116" s="1"/>
      <c r="L116" s="38">
        <f>VLOOKUP($B116,'BD_T.C.'!$B:$AO,HLOOKUP(L$6,'BD_T.C.'!$6:$7,2,FALSE),FALSE)</f>
        <v>6.9193800000000003</v>
      </c>
      <c r="M116" s="38">
        <f>VLOOKUP("PROM-"&amp;MONTH($B116)&amp;YEAR($B116),'BD_T.C.'!$B:$AO,HLOOKUP(L$6,'BD_T.C.'!$6:$7,2,FALSE),FALSE)</f>
        <v>6.9149516129032254</v>
      </c>
      <c r="O116" s="46">
        <f>VLOOKUP($B116,'BD_T.C.'!$B:$AO,HLOOKUP(O$6,'BD_T.C.'!$6:$7,2,FALSE),FALSE)</f>
        <v>5.3818799999999998</v>
      </c>
      <c r="P116" s="46">
        <f>VLOOKUP("PROM-"&amp;MONTH($B116)&amp;YEAR($B116),'BD_T.C.'!$B:$AO,HLOOKUP(O$6,'BD_T.C.'!$6:$7,2,FALSE),FALSE)</f>
        <v>5.3941851612903227</v>
      </c>
      <c r="Q116" s="1"/>
      <c r="R116" s="44">
        <f>VLOOKUP($B116,'BD_T.C.'!$B:$AO,HLOOKUP(R$6,'BD_T.C.'!$6:$7,2,FALSE),FALSE)</f>
        <v>942.43100000000004</v>
      </c>
      <c r="S116" s="44">
        <f>VLOOKUP("PROM-"&amp;MONTH($B116)&amp;YEAR($B116),'BD_T.C.'!$B:$AO,HLOOKUP(R$6,'BD_T.C.'!$6:$7,2,FALSE),FALSE)</f>
        <v>953.6375483870969</v>
      </c>
      <c r="T116" s="1"/>
      <c r="U116" s="32">
        <f>VLOOKUP($B116,'BD_T.C.'!$B:$AO,HLOOKUP(U$6,'BD_T.C.'!$6:$7,2,FALSE),FALSE)</f>
        <v>3859.33</v>
      </c>
      <c r="V116" s="32">
        <f>VLOOKUP("PROM-"&amp;MONTH($B116)&amp;YEAR($B116),'BD_T.C.'!$B:$AO,HLOOKUP(U$6,'BD_T.C.'!$6:$7,2,FALSE),FALSE)</f>
        <v>3880.5974193548386</v>
      </c>
      <c r="W116" s="1"/>
      <c r="X116" s="32">
        <f>VLOOKUP($B116,'BD_T.C.'!$B:$AO,HLOOKUP(X$6,'BD_T.C.'!$6:$7,2,FALSE),FALSE)</f>
        <v>7090.72</v>
      </c>
      <c r="Y116" s="32">
        <f>VLOOKUP("PROM-"&amp;MONTH($B116)&amp;YEAR($B116),'BD_T.C.'!$B:$AO,HLOOKUP(X$6,'BD_T.C.'!$6:$7,2,FALSE),FALSE)</f>
        <v>7057.0090322580636</v>
      </c>
      <c r="Z116" s="1"/>
      <c r="AA116" s="32">
        <f>VLOOKUP($B116,'BD_T.C.'!$B:$AO,HLOOKUP(AA$6,'BD_T.C.'!$6:$7,2,FALSE),FALSE)</f>
        <v>1317.52</v>
      </c>
      <c r="AB116" s="32">
        <f>VLOOKUP("PROM-"&amp;MONTH($B116)&amp;YEAR($B116),'BD_T.C.'!$B:$AO,HLOOKUP(AA$6,'BD_T.C.'!$6:$7,2,FALSE),FALSE)</f>
        <v>1308.4151612903224</v>
      </c>
      <c r="AC116" s="1"/>
      <c r="AD116" s="38">
        <f>VLOOKUP($B116,'BD_T.C.'!$B:$AO,HLOOKUP(AD$6,'BD_T.C.'!$6:$7,2,FALSE),FALSE)</f>
        <v>3.3844400000000001</v>
      </c>
      <c r="AE116" s="38">
        <f>VLOOKUP("PROM-"&amp;MONTH($B116)&amp;YEAR($B116),'BD_T.C.'!$B:$AO,HLOOKUP(AD$6,'BD_T.C.'!$6:$7,2,FALSE),FALSE)</f>
        <v>3.4188322580645161</v>
      </c>
      <c r="AF116" s="1"/>
      <c r="AG116" s="38">
        <f>VLOOKUP($B116,'BD_T.C.'!$B:$AO,HLOOKUP(AG$6,'BD_T.C.'!$6:$7,2,FALSE),FALSE)</f>
        <v>39.936</v>
      </c>
      <c r="AH116" s="38">
        <f>VLOOKUP("PROM-"&amp;MONTH($B116)&amp;YEAR($B116),'BD_T.C.'!$B:$AO,HLOOKUP(AG$6,'BD_T.C.'!$6:$7,2,FALSE),FALSE)</f>
        <v>39.94975483870968</v>
      </c>
      <c r="AI116" s="1"/>
      <c r="AJ116" s="38">
        <f>VLOOKUP($B116,'BD_T.C.'!$B:$AO,HLOOKUP(AJ$6,'BD_T.C.'!$6:$7,2,FALSE),FALSE)</f>
        <v>7.4204600000000003</v>
      </c>
      <c r="AK116" s="38">
        <f>VLOOKUP("PROM-"&amp;MONTH($B116)&amp;YEAR($B116),'BD_T.C.'!$B:$AO,HLOOKUP(AJ$6,'BD_T.C.'!$6:$7,2,FALSE),FALSE)</f>
        <v>7.4067470967741924</v>
      </c>
      <c r="AL116" s="1"/>
      <c r="AM116" s="13">
        <f>VLOOKUP($B116,'BD_T.C.'!$B:$AO,HLOOKUP(AM$6,'BD_T.C.'!$6:$7,2,FALSE),FALSE)</f>
        <v>502.45100000000002</v>
      </c>
      <c r="AN116" s="13">
        <f>VLOOKUP("PROM-"&amp;MONTH($B116)&amp;YEAR($B116),'BD_T.C.'!$B:$AO,HLOOKUP(AM$6,'BD_T.C.'!$6:$7,2,FALSE),FALSE)</f>
        <v>502.54664516129031</v>
      </c>
      <c r="AO116" s="1"/>
      <c r="AP116" s="13">
        <f>VLOOKUP($B116,'BD_T.C.'!$B:$AO,HLOOKUP(AP$6,'BD_T.C.'!$6:$7,2,FALSE),FALSE)</f>
        <v>64.198400000000007</v>
      </c>
      <c r="AQ116" s="13">
        <f>VLOOKUP("PROM-"&amp;MONTH($B116)&amp;YEAR($B116),'BD_T.C.'!$B:$AO,HLOOKUP(AP$6,'BD_T.C.'!$6:$7,2,FALSE),FALSE)</f>
        <v>63.251587096774209</v>
      </c>
      <c r="AR116" s="1"/>
      <c r="AS116" s="13">
        <f>VLOOKUP($B116,'BD_T.C.'!$B:$AO,HLOOKUP(AS$6,'BD_T.C.'!$6:$7,2,FALSE),FALSE)</f>
        <v>1</v>
      </c>
      <c r="AT116" s="13">
        <f>VLOOKUP("PROM-"&amp;MONTH($B116)&amp;YEAR($B116),'BD_T.C.'!$B:$AO,HLOOKUP(AS$6,'BD_T.C.'!$6:$7,2,FALSE),FALSE)</f>
        <v>1</v>
      </c>
      <c r="AU116" s="1"/>
      <c r="AV116" s="38">
        <f>VLOOKUP($B116,'BD_T.C.'!$B:$AO,HLOOKUP(AV$6,'BD_T.C.'!$6:$7,2,FALSE),FALSE)</f>
        <v>7.6707200000000002</v>
      </c>
      <c r="AW116" s="38">
        <f>VLOOKUP("PROM-"&amp;MONTH($B116)&amp;YEAR($B116),'BD_T.C.'!$B:$AO,HLOOKUP(AV$6,'BD_T.C.'!$6:$7,2,FALSE),FALSE)</f>
        <v>7.6612287096774185</v>
      </c>
      <c r="AX116" s="1"/>
      <c r="AY116" s="38">
        <f>VLOOKUP($B116,'BD_T.C.'!$B:$AO,HLOOKUP(AY$6,'BD_T.C.'!$6:$7,2,FALSE),FALSE)</f>
        <v>8.75</v>
      </c>
      <c r="AZ116" s="38">
        <f>VLOOKUP("PROM-"&amp;MONTH($B116)&amp;YEAR($B116),'BD_T.C.'!$B:$AO,HLOOKUP(AY$6,'BD_T.C.'!$6:$7,2,FALSE),FALSE)</f>
        <v>8.75</v>
      </c>
      <c r="BA116" s="1"/>
      <c r="BB116" s="38">
        <f>VLOOKUP($B116,'BD_T.C.'!$B:$AO,HLOOKUP(BB$6,'BD_T.C.'!$6:$7,2,FALSE),FALSE)</f>
        <v>26.2986</v>
      </c>
      <c r="BC116" s="38">
        <f>VLOOKUP("PROM-"&amp;MONTH($B116)&amp;YEAR($B116),'BD_T.C.'!$B:$AO,HLOOKUP(BB$6,'BD_T.C.'!$6:$7,2,FALSE),FALSE)</f>
        <v>26.24428064516129</v>
      </c>
      <c r="BD116" s="1"/>
      <c r="BE116" s="38">
        <f>VLOOKUP($B116,'BD_T.C.'!$B:$AO,HLOOKUP(BE$6,'BD_T.C.'!$6:$7,2,FALSE),FALSE)</f>
        <v>36.800400000000003</v>
      </c>
      <c r="BF116" s="38">
        <f>VLOOKUP("PROM-"&amp;MONTH($B116)&amp;YEAR($B116),'BD_T.C.'!$B:$AO,HLOOKUP(BE$6,'BD_T.C.'!$6:$7,2,FALSE),FALSE)</f>
        <v>36.757080645161288</v>
      </c>
      <c r="BG116" s="1"/>
      <c r="BH116" s="38">
        <f>VLOOKUP($B116,'BD_T.C.'!$B:$AO,HLOOKUP(BH$6,'BD_T.C.'!$6:$7,2,FALSE),FALSE)</f>
        <v>6.7761800000000001</v>
      </c>
      <c r="BI116" s="38">
        <f>VLOOKUP("PROM-"&amp;MONTH($B116)&amp;YEAR($B116),'BD_T.C.'!$B:$AO,HLOOKUP(BH$6,'BD_T.C.'!$6:$7,2,FALSE),FALSE)</f>
        <v>6.7849970967741964</v>
      </c>
    </row>
    <row r="117" spans="2:61" x14ac:dyDescent="0.3">
      <c r="B117" s="18">
        <v>45991</v>
      </c>
      <c r="C117" s="13">
        <f>VLOOKUP($B117,'BD_T.C.'!$B:$AO,HLOOKUP(C$6,'BD_T.C.'!$6:$7,2,FALSE),FALSE)</f>
        <v>18.346699999999998</v>
      </c>
      <c r="D117" s="13">
        <f>VLOOKUP("PROM-"&amp;MONTH($B117)&amp;YEAR($B117),'BD_T.C.'!$B:$AO,HLOOKUP(C$6,'BD_T.C.'!$6:$7,2,FALSE),FALSE)</f>
        <v>18.42612333333334</v>
      </c>
      <c r="F117" s="46">
        <f>VLOOKUP($B117,'BD_T.C.'!$B:$AO,HLOOKUP(F$6,'BD_T.C.'!$6:$7,2,FALSE),FALSE)</f>
        <v>0.86217999999999995</v>
      </c>
      <c r="G117" s="46">
        <f>VLOOKUP("PROM-"&amp;MONTH($B117)&amp;YEAR($B117),'BD_T.C.'!$B:$AO,HLOOKUP(F$6,'BD_T.C.'!$6:$7,2,FALSE),FALSE)</f>
        <v>0.86492943333333328</v>
      </c>
      <c r="I117" s="38">
        <f>VLOOKUP($B117,'BD_T.C.'!$B:$AO,HLOOKUP(I$6,'BD_T.C.'!$6:$7,2,FALSE),FALSE)</f>
        <v>1450</v>
      </c>
      <c r="J117" s="38">
        <f>VLOOKUP("PROM-"&amp;MONTH($B117)&amp;YEAR($B117),'BD_T.C.'!$B:$AO,HLOOKUP(I$6,'BD_T.C.'!$6:$7,2,FALSE),FALSE)</f>
        <v>1428.4666666666667</v>
      </c>
      <c r="K117" s="1"/>
      <c r="L117" s="38">
        <f>VLOOKUP($B117,'BD_T.C.'!$B:$AO,HLOOKUP(L$6,'BD_T.C.'!$6:$7,2,FALSE),FALSE)</f>
        <v>6.9147400000000001</v>
      </c>
      <c r="M117" s="38">
        <f>VLOOKUP("PROM-"&amp;MONTH($B117)&amp;YEAR($B117),'BD_T.C.'!$B:$AO,HLOOKUP(L$6,'BD_T.C.'!$6:$7,2,FALSE),FALSE)</f>
        <v>6.9178463333333324</v>
      </c>
      <c r="O117" s="46">
        <f>VLOOKUP($B117,'BD_T.C.'!$B:$AO,HLOOKUP(O$6,'BD_T.C.'!$6:$7,2,FALSE),FALSE)</f>
        <v>5.3349000000000002</v>
      </c>
      <c r="P117" s="46">
        <f>VLOOKUP("PROM-"&amp;MONTH($B117)&amp;YEAR($B117),'BD_T.C.'!$B:$AO,HLOOKUP(O$6,'BD_T.C.'!$6:$7,2,FALSE),FALSE)</f>
        <v>5.3434396666666668</v>
      </c>
      <c r="Q117" s="1"/>
      <c r="R117" s="44">
        <f>VLOOKUP($B117,'BD_T.C.'!$B:$AO,HLOOKUP(R$6,'BD_T.C.'!$6:$7,2,FALSE),FALSE)</f>
        <v>928.07799999999997</v>
      </c>
      <c r="S117" s="44">
        <f>VLOOKUP("PROM-"&amp;MONTH($B117)&amp;YEAR($B117),'BD_T.C.'!$B:$AO,HLOOKUP(R$6,'BD_T.C.'!$6:$7,2,FALSE),FALSE)</f>
        <v>935.38363333333359</v>
      </c>
      <c r="T117" s="1"/>
      <c r="U117" s="32">
        <f>VLOOKUP($B117,'BD_T.C.'!$B:$AO,HLOOKUP(U$6,'BD_T.C.'!$6:$7,2,FALSE),FALSE)</f>
        <v>3749.09</v>
      </c>
      <c r="V117" s="32">
        <f>VLOOKUP("PROM-"&amp;MONTH($B117)&amp;YEAR($B117),'BD_T.C.'!$B:$AO,HLOOKUP(U$6,'BD_T.C.'!$6:$7,2,FALSE),FALSE)</f>
        <v>3775.7433333333338</v>
      </c>
      <c r="W117" s="1"/>
      <c r="X117" s="32">
        <f>VLOOKUP($B117,'BD_T.C.'!$B:$AO,HLOOKUP(X$6,'BD_T.C.'!$6:$7,2,FALSE),FALSE)</f>
        <v>6986.28</v>
      </c>
      <c r="Y117" s="32">
        <f>VLOOKUP("PROM-"&amp;MONTH($B117)&amp;YEAR($B117),'BD_T.C.'!$B:$AO,HLOOKUP(X$6,'BD_T.C.'!$6:$7,2,FALSE),FALSE)</f>
        <v>7044.6433333333316</v>
      </c>
      <c r="Z117" s="1"/>
      <c r="AA117" s="32">
        <f>VLOOKUP($B117,'BD_T.C.'!$B:$AO,HLOOKUP(AA$6,'BD_T.C.'!$6:$7,2,FALSE),FALSE)</f>
        <v>1309.54</v>
      </c>
      <c r="AB117" s="32">
        <f>VLOOKUP("PROM-"&amp;MONTH($B117)&amp;YEAR($B117),'BD_T.C.'!$B:$AO,HLOOKUP(AA$6,'BD_T.C.'!$6:$7,2,FALSE),FALSE)</f>
        <v>1318.4376666666672</v>
      </c>
      <c r="AC117" s="1"/>
      <c r="AD117" s="38">
        <f>VLOOKUP($B117,'BD_T.C.'!$B:$AO,HLOOKUP(AD$6,'BD_T.C.'!$6:$7,2,FALSE),FALSE)</f>
        <v>3.36293</v>
      </c>
      <c r="AE117" s="38">
        <f>VLOOKUP("PROM-"&amp;MONTH($B117)&amp;YEAR($B117),'BD_T.C.'!$B:$AO,HLOOKUP(AD$6,'BD_T.C.'!$6:$7,2,FALSE),FALSE)</f>
        <v>3.373162333333334</v>
      </c>
      <c r="AF117" s="1"/>
      <c r="AG117" s="38">
        <f>VLOOKUP($B117,'BD_T.C.'!$B:$AO,HLOOKUP(AG$6,'BD_T.C.'!$6:$7,2,FALSE),FALSE)</f>
        <v>39.493000000000002</v>
      </c>
      <c r="AH117" s="38">
        <f>VLOOKUP("PROM-"&amp;MONTH($B117)&amp;YEAR($B117),'BD_T.C.'!$B:$AO,HLOOKUP(AG$6,'BD_T.C.'!$6:$7,2,FALSE),FALSE)</f>
        <v>39.767966666666666</v>
      </c>
      <c r="AI117" s="1"/>
      <c r="AJ117" s="38">
        <f>VLOOKUP($B117,'BD_T.C.'!$B:$AO,HLOOKUP(AJ$6,'BD_T.C.'!$6:$7,2,FALSE),FALSE)</f>
        <v>7.4027799999999999</v>
      </c>
      <c r="AK117" s="38">
        <f>VLOOKUP("PROM-"&amp;MONTH($B117)&amp;YEAR($B117),'BD_T.C.'!$B:$AO,HLOOKUP(AJ$6,'BD_T.C.'!$6:$7,2,FALSE),FALSE)</f>
        <v>7.4427290000000017</v>
      </c>
      <c r="AL117" s="1"/>
      <c r="AM117" s="13">
        <f>VLOOKUP($B117,'BD_T.C.'!$B:$AO,HLOOKUP(AM$6,'BD_T.C.'!$6:$7,2,FALSE),FALSE)</f>
        <v>495.68599999999998</v>
      </c>
      <c r="AN117" s="13">
        <f>VLOOKUP("PROM-"&amp;MONTH($B117)&amp;YEAR($B117),'BD_T.C.'!$B:$AO,HLOOKUP(AM$6,'BD_T.C.'!$6:$7,2,FALSE),FALSE)</f>
        <v>500.6830333333333</v>
      </c>
      <c r="AO117" s="1"/>
      <c r="AP117" s="13">
        <f>VLOOKUP($B117,'BD_T.C.'!$B:$AO,HLOOKUP(AP$6,'BD_T.C.'!$6:$7,2,FALSE),FALSE)</f>
        <v>62.918300000000002</v>
      </c>
      <c r="AQ117" s="13">
        <f>VLOOKUP("PROM-"&amp;MONTH($B117)&amp;YEAR($B117),'BD_T.C.'!$B:$AO,HLOOKUP(AP$6,'BD_T.C.'!$6:$7,2,FALSE),FALSE)</f>
        <v>63.741946666666649</v>
      </c>
      <c r="AR117" s="1"/>
      <c r="AS117" s="13">
        <f>VLOOKUP($B117,'BD_T.C.'!$B:$AO,HLOOKUP(AS$6,'BD_T.C.'!$6:$7,2,FALSE),FALSE)</f>
        <v>1</v>
      </c>
      <c r="AT117" s="13">
        <f>VLOOKUP("PROM-"&amp;MONTH($B117)&amp;YEAR($B117),'BD_T.C.'!$B:$AO,HLOOKUP(AS$6,'BD_T.C.'!$6:$7,2,FALSE),FALSE)</f>
        <v>1</v>
      </c>
      <c r="AU117" s="1"/>
      <c r="AV117" s="38">
        <f>VLOOKUP($B117,'BD_T.C.'!$B:$AO,HLOOKUP(AV$6,'BD_T.C.'!$6:$7,2,FALSE),FALSE)</f>
        <v>7.6526800000000001</v>
      </c>
      <c r="AW117" s="38">
        <f>VLOOKUP("PROM-"&amp;MONTH($B117)&amp;YEAR($B117),'BD_T.C.'!$B:$AO,HLOOKUP(AV$6,'BD_T.C.'!$6:$7,2,FALSE),FALSE)</f>
        <v>7.6622240000000001</v>
      </c>
      <c r="AX117" s="1"/>
      <c r="AY117" s="38">
        <f>VLOOKUP($B117,'BD_T.C.'!$B:$AO,HLOOKUP(AY$6,'BD_T.C.'!$6:$7,2,FALSE),FALSE)</f>
        <v>8.75</v>
      </c>
      <c r="AZ117" s="38">
        <f>VLOOKUP("PROM-"&amp;MONTH($B117)&amp;YEAR($B117),'BD_T.C.'!$B:$AO,HLOOKUP(AY$6,'BD_T.C.'!$6:$7,2,FALSE),FALSE)</f>
        <v>8.75</v>
      </c>
      <c r="BA117" s="1"/>
      <c r="BB117" s="38">
        <f>VLOOKUP($B117,'BD_T.C.'!$B:$AO,HLOOKUP(BB$6,'BD_T.C.'!$6:$7,2,FALSE),FALSE)</f>
        <v>26.331600000000002</v>
      </c>
      <c r="BC117" s="38">
        <f>VLOOKUP("PROM-"&amp;MONTH($B117)&amp;YEAR($B117),'BD_T.C.'!$B:$AO,HLOOKUP(BB$6,'BD_T.C.'!$6:$7,2,FALSE),FALSE)</f>
        <v>26.304423333333332</v>
      </c>
      <c r="BD117" s="1"/>
      <c r="BE117" s="38">
        <f>VLOOKUP($B117,'BD_T.C.'!$B:$AO,HLOOKUP(BE$6,'BD_T.C.'!$6:$7,2,FALSE),FALSE)</f>
        <v>36.787599999999998</v>
      </c>
      <c r="BF117" s="38">
        <f>VLOOKUP("PROM-"&amp;MONTH($B117)&amp;YEAR($B117),'BD_T.C.'!$B:$AO,HLOOKUP(BE$6,'BD_T.C.'!$6:$7,2,FALSE),FALSE)</f>
        <v>36.78801666666665</v>
      </c>
      <c r="BG117" s="1"/>
      <c r="BH117" s="38">
        <f>VLOOKUP($B117,'BD_T.C.'!$B:$AO,HLOOKUP(BH$6,'BD_T.C.'!$6:$7,2,FALSE),FALSE)</f>
        <v>6.7626799999999996</v>
      </c>
      <c r="BI117" s="38">
        <f>VLOOKUP("PROM-"&amp;MONTH($B117)&amp;YEAR($B117),'BD_T.C.'!$B:$AO,HLOOKUP(BH$6,'BD_T.C.'!$6:$7,2,FALSE),FALSE)</f>
        <v>6.779882999999999</v>
      </c>
    </row>
    <row r="118" spans="2:61" x14ac:dyDescent="0.3">
      <c r="B118" s="18">
        <v>46022</v>
      </c>
      <c r="C118" s="13">
        <f>VLOOKUP($B118,'BD_T.C.'!$B:$AO,HLOOKUP(C$6,'BD_T.C.'!$6:$7,2,FALSE),FALSE)</f>
        <v>17.9528</v>
      </c>
      <c r="D118" s="13">
        <f>VLOOKUP("PROM-"&amp;MONTH($B118)&amp;YEAR($B118),'BD_T.C.'!$B:$AO,HLOOKUP(C$6,'BD_T.C.'!$6:$7,2,FALSE),FALSE)</f>
        <v>18.086561290322578</v>
      </c>
      <c r="F118" s="46">
        <f>VLOOKUP($B118,'BD_T.C.'!$B:$AO,HLOOKUP(F$6,'BD_T.C.'!$6:$7,2,FALSE),FALSE)</f>
        <v>0.851773</v>
      </c>
      <c r="G118" s="46">
        <f>VLOOKUP("PROM-"&amp;MONTH($B118)&amp;YEAR($B118),'BD_T.C.'!$B:$AO,HLOOKUP(F$6,'BD_T.C.'!$6:$7,2,FALSE),FALSE)</f>
        <v>0.85370245161290326</v>
      </c>
      <c r="I118" s="38">
        <f>VLOOKUP($B118,'BD_T.C.'!$B:$AO,HLOOKUP(I$6,'BD_T.C.'!$6:$7,2,FALSE),FALSE)</f>
        <v>1451.52</v>
      </c>
      <c r="J118" s="38">
        <f>VLOOKUP("PROM-"&amp;MONTH($B118)&amp;YEAR($B118),'BD_T.C.'!$B:$AO,HLOOKUP(I$6,'BD_T.C.'!$6:$7,2,FALSE),FALSE)</f>
        <v>1446.2738709677421</v>
      </c>
      <c r="K118" s="1"/>
      <c r="L118" s="38">
        <f>VLOOKUP($B118,'BD_T.C.'!$B:$AO,HLOOKUP(L$6,'BD_T.C.'!$6:$7,2,FALSE),FALSE)</f>
        <v>6.9366000000000003</v>
      </c>
      <c r="M118" s="38">
        <f>VLOOKUP("PROM-"&amp;MONTH($B118)&amp;YEAR($B118),'BD_T.C.'!$B:$AO,HLOOKUP(L$6,'BD_T.C.'!$6:$7,2,FALSE),FALSE)</f>
        <v>6.9193748387096772</v>
      </c>
      <c r="O118" s="46">
        <f>VLOOKUP($B118,'BD_T.C.'!$B:$AO,HLOOKUP(O$6,'BD_T.C.'!$6:$7,2,FALSE),FALSE)</f>
        <v>5.4875800000000003</v>
      </c>
      <c r="P118" s="46">
        <f>VLOOKUP("PROM-"&amp;MONTH($B118)&amp;YEAR($B118),'BD_T.C.'!$B:$AO,HLOOKUP(O$6,'BD_T.C.'!$6:$7,2,FALSE),FALSE)</f>
        <v>5.4658835483870973</v>
      </c>
      <c r="Q118" s="1"/>
      <c r="R118" s="44">
        <f>VLOOKUP($B118,'BD_T.C.'!$B:$AO,HLOOKUP(R$6,'BD_T.C.'!$6:$7,2,FALSE),FALSE)</f>
        <v>901.10900000000004</v>
      </c>
      <c r="S118" s="44">
        <f>VLOOKUP("PROM-"&amp;MONTH($B118)&amp;YEAR($B118),'BD_T.C.'!$B:$AO,HLOOKUP(R$6,'BD_T.C.'!$6:$7,2,FALSE),FALSE)</f>
        <v>914.29719354838721</v>
      </c>
      <c r="T118" s="1"/>
      <c r="U118" s="32">
        <f>VLOOKUP($B118,'BD_T.C.'!$B:$AO,HLOOKUP(U$6,'BD_T.C.'!$6:$7,2,FALSE),FALSE)</f>
        <v>3763.59</v>
      </c>
      <c r="V118" s="32">
        <f>VLOOKUP("PROM-"&amp;MONTH($B118)&amp;YEAR($B118),'BD_T.C.'!$B:$AO,HLOOKUP(U$6,'BD_T.C.'!$6:$7,2,FALSE),FALSE)</f>
        <v>3794.0816129032255</v>
      </c>
      <c r="W118" s="1"/>
      <c r="X118" s="32">
        <f>VLOOKUP($B118,'BD_T.C.'!$B:$AO,HLOOKUP(X$6,'BD_T.C.'!$6:$7,2,FALSE),FALSE)</f>
        <v>6626.06</v>
      </c>
      <c r="Y118" s="32">
        <f>VLOOKUP("PROM-"&amp;MONTH($B118)&amp;YEAR($B118),'BD_T.C.'!$B:$AO,HLOOKUP(X$6,'BD_T.C.'!$6:$7,2,FALSE),FALSE)</f>
        <v>6803.8929032258075</v>
      </c>
      <c r="Z118" s="1"/>
      <c r="AA118" s="32">
        <f>VLOOKUP($B118,'BD_T.C.'!$B:$AO,HLOOKUP(AA$6,'BD_T.C.'!$6:$7,2,FALSE),FALSE)</f>
        <v>1207.48</v>
      </c>
      <c r="AB118" s="32">
        <f>VLOOKUP("PROM-"&amp;MONTH($B118)&amp;YEAR($B118),'BD_T.C.'!$B:$AO,HLOOKUP(AA$6,'BD_T.C.'!$6:$7,2,FALSE),FALSE)</f>
        <v>1245.1929032258063</v>
      </c>
      <c r="AC118" s="1"/>
      <c r="AD118" s="38">
        <f>VLOOKUP($B118,'BD_T.C.'!$B:$AO,HLOOKUP(AD$6,'BD_T.C.'!$6:$7,2,FALSE),FALSE)</f>
        <v>3.3660000000000001</v>
      </c>
      <c r="AE118" s="38">
        <f>VLOOKUP("PROM-"&amp;MONTH($B118)&amp;YEAR($B118),'BD_T.C.'!$B:$AO,HLOOKUP(AD$6,'BD_T.C.'!$6:$7,2,FALSE),FALSE)</f>
        <v>3.3655841935483877</v>
      </c>
      <c r="AF118" s="1"/>
      <c r="AG118" s="38">
        <f>VLOOKUP($B118,'BD_T.C.'!$B:$AO,HLOOKUP(AG$6,'BD_T.C.'!$6:$7,2,FALSE),FALSE)</f>
        <v>39.182299999999998</v>
      </c>
      <c r="AH118" s="38">
        <f>VLOOKUP("PROM-"&amp;MONTH($B118)&amp;YEAR($B118),'BD_T.C.'!$B:$AO,HLOOKUP(AG$6,'BD_T.C.'!$6:$7,2,FALSE),FALSE)</f>
        <v>39.176132258064506</v>
      </c>
      <c r="AI118" s="1"/>
      <c r="AJ118" s="38">
        <f>VLOOKUP($B118,'BD_T.C.'!$B:$AO,HLOOKUP(AJ$6,'BD_T.C.'!$6:$7,2,FALSE),FALSE)</f>
        <v>7.1402200000000002</v>
      </c>
      <c r="AK118" s="38">
        <f>VLOOKUP("PROM-"&amp;MONTH($B118)&amp;YEAR($B118),'BD_T.C.'!$B:$AO,HLOOKUP(AJ$6,'BD_T.C.'!$6:$7,2,FALSE),FALSE)</f>
        <v>7.16899</v>
      </c>
      <c r="AL118" s="1"/>
      <c r="AM118" s="13">
        <f>VLOOKUP($B118,'BD_T.C.'!$B:$AO,HLOOKUP(AM$6,'BD_T.C.'!$6:$7,2,FALSE),FALSE)</f>
        <v>497.15600000000001</v>
      </c>
      <c r="AN118" s="13">
        <f>VLOOKUP("PROM-"&amp;MONTH($B118)&amp;YEAR($B118),'BD_T.C.'!$B:$AO,HLOOKUP(AM$6,'BD_T.C.'!$6:$7,2,FALSE),FALSE)</f>
        <v>495.6031290322581</v>
      </c>
      <c r="AO118" s="1"/>
      <c r="AP118" s="13">
        <f>VLOOKUP($B118,'BD_T.C.'!$B:$AO,HLOOKUP(AP$6,'BD_T.C.'!$6:$7,2,FALSE),FALSE)</f>
        <v>63.038600000000002</v>
      </c>
      <c r="AQ118" s="13">
        <f>VLOOKUP("PROM-"&amp;MONTH($B118)&amp;YEAR($B118),'BD_T.C.'!$B:$AO,HLOOKUP(AP$6,'BD_T.C.'!$6:$7,2,FALSE),FALSE)</f>
        <v>63.248922580645157</v>
      </c>
      <c r="AR118" s="1"/>
      <c r="AS118" s="13">
        <f>VLOOKUP($B118,'BD_T.C.'!$B:$AO,HLOOKUP(AS$6,'BD_T.C.'!$6:$7,2,FALSE),FALSE)</f>
        <v>1</v>
      </c>
      <c r="AT118" s="13">
        <f>VLOOKUP("PROM-"&amp;MONTH($B118)&amp;YEAR($B118),'BD_T.C.'!$B:$AO,HLOOKUP(AS$6,'BD_T.C.'!$6:$7,2,FALSE),FALSE)</f>
        <v>1</v>
      </c>
      <c r="AU118" s="1"/>
      <c r="AV118" s="38">
        <f>VLOOKUP($B118,'BD_T.C.'!$B:$AO,HLOOKUP(AV$6,'BD_T.C.'!$6:$7,2,FALSE),FALSE)</f>
        <v>7.6751399999999999</v>
      </c>
      <c r="AW118" s="38">
        <f>VLOOKUP("PROM-"&amp;MONTH($B118)&amp;YEAR($B118),'BD_T.C.'!$B:$AO,HLOOKUP(AV$6,'BD_T.C.'!$6:$7,2,FALSE),FALSE)</f>
        <v>7.6597077419354838</v>
      </c>
      <c r="AX118" s="1"/>
      <c r="AY118" s="38">
        <f>VLOOKUP($B118,'BD_T.C.'!$B:$AO,HLOOKUP(AY$6,'BD_T.C.'!$6:$7,2,FALSE),FALSE)</f>
        <v>8.75</v>
      </c>
      <c r="AZ118" s="38">
        <f>VLOOKUP("PROM-"&amp;MONTH($B118)&amp;YEAR($B118),'BD_T.C.'!$B:$AO,HLOOKUP(AY$6,'BD_T.C.'!$6:$7,2,FALSE),FALSE)</f>
        <v>8.75</v>
      </c>
      <c r="BA118" s="1"/>
      <c r="BB118" s="38">
        <f>VLOOKUP($B118,'BD_T.C.'!$B:$AO,HLOOKUP(BB$6,'BD_T.C.'!$6:$7,2,FALSE),FALSE)</f>
        <v>26.3962</v>
      </c>
      <c r="BC118" s="38">
        <f>VLOOKUP("PROM-"&amp;MONTH($B118)&amp;YEAR($B118),'BD_T.C.'!$B:$AO,HLOOKUP(BB$6,'BD_T.C.'!$6:$7,2,FALSE),FALSE)</f>
        <v>26.327512903225806</v>
      </c>
      <c r="BD118" s="1"/>
      <c r="BE118" s="38">
        <f>VLOOKUP($B118,'BD_T.C.'!$B:$AO,HLOOKUP(BE$6,'BD_T.C.'!$6:$7,2,FALSE),FALSE)</f>
        <v>36.831000000000003</v>
      </c>
      <c r="BF118" s="38">
        <f>VLOOKUP("PROM-"&amp;MONTH($B118)&amp;YEAR($B118),'BD_T.C.'!$B:$AO,HLOOKUP(BE$6,'BD_T.C.'!$6:$7,2,FALSE),FALSE)</f>
        <v>36.781232258064527</v>
      </c>
      <c r="BG118" s="1"/>
      <c r="BH118" s="38">
        <f>VLOOKUP($B118,'BD_T.C.'!$B:$AO,HLOOKUP(BH$6,'BD_T.C.'!$6:$7,2,FALSE),FALSE)</f>
        <v>6.8002000000000002</v>
      </c>
      <c r="BI118" s="38">
        <f>VLOOKUP("PROM-"&amp;MONTH($B118)&amp;YEAR($B118),'BD_T.C.'!$B:$AO,HLOOKUP(BH$6,'BD_T.C.'!$6:$7,2,FALSE),FALSE)</f>
        <v>6.7861358064516129</v>
      </c>
    </row>
    <row r="119" spans="2:61" x14ac:dyDescent="0.3">
      <c r="B119" s="18">
        <v>46053</v>
      </c>
      <c r="C119" s="13">
        <f>VLOOKUP($B119,'BD_T.C.'!$B:$AO,HLOOKUP(C$6,'BD_T.C.'!$6:$7,2,FALSE),FALSE)</f>
        <v>17.2532</v>
      </c>
      <c r="D119" s="13">
        <f>VLOOKUP("PROM-"&amp;MONTH($B119)&amp;YEAR($B119),'BD_T.C.'!$B:$AO,HLOOKUP(C$6,'BD_T.C.'!$6:$7,2,FALSE),FALSE)</f>
        <v>17.700900000000004</v>
      </c>
      <c r="F119" s="46">
        <f>VLOOKUP($B119,'BD_T.C.'!$B:$AO,HLOOKUP(F$6,'BD_T.C.'!$6:$7,2,FALSE),FALSE)</f>
        <v>0.84384300000000001</v>
      </c>
      <c r="G119" s="46">
        <f>VLOOKUP("PROM-"&amp;MONTH($B119)&amp;YEAR($B119),'BD_T.C.'!$B:$AO,HLOOKUP(F$6,'BD_T.C.'!$6:$7,2,FALSE),FALSE)</f>
        <v>0.85249967741935484</v>
      </c>
      <c r="I119" s="38">
        <f>VLOOKUP($B119,'BD_T.C.'!$B:$AO,HLOOKUP(I$6,'BD_T.C.'!$6:$7,2,FALSE),FALSE)</f>
        <v>1446.98</v>
      </c>
      <c r="J119" s="38">
        <f>VLOOKUP("PROM-"&amp;MONTH($B119)&amp;YEAR($B119),'BD_T.C.'!$B:$AO,HLOOKUP(I$6,'BD_T.C.'!$6:$7,2,FALSE),FALSE)</f>
        <v>1449.624193548387</v>
      </c>
      <c r="K119" s="1"/>
      <c r="L119" s="38">
        <f>VLOOKUP($B119,'BD_T.C.'!$B:$AO,HLOOKUP(L$6,'BD_T.C.'!$6:$7,2,FALSE),FALSE)</f>
        <v>6.9468500000000004</v>
      </c>
      <c r="M119" s="38">
        <f>VLOOKUP("PROM-"&amp;MONTH($B119)&amp;YEAR($B119),'BD_T.C.'!$B:$AO,HLOOKUP(L$6,'BD_T.C.'!$6:$7,2,FALSE),FALSE)</f>
        <v>6.9204429032258075</v>
      </c>
      <c r="O119" s="46">
        <f>VLOOKUP($B119,'BD_T.C.'!$B:$AO,HLOOKUP(O$6,'BD_T.C.'!$6:$7,2,FALSE),FALSE)</f>
        <v>5.2564799999999998</v>
      </c>
      <c r="P119" s="46">
        <f>VLOOKUP("PROM-"&amp;MONTH($B119)&amp;YEAR($B119),'BD_T.C.'!$B:$AO,HLOOKUP(O$6,'BD_T.C.'!$6:$7,2,FALSE),FALSE)</f>
        <v>5.3493367741935485</v>
      </c>
      <c r="Q119" s="1"/>
      <c r="R119" s="44">
        <f>VLOOKUP($B119,'BD_T.C.'!$B:$AO,HLOOKUP(R$6,'BD_T.C.'!$6:$7,2,FALSE),FALSE)</f>
        <v>870.13800000000003</v>
      </c>
      <c r="S119" s="44">
        <f>VLOOKUP("PROM-"&amp;MONTH($B119)&amp;YEAR($B119),'BD_T.C.'!$B:$AO,HLOOKUP(R$6,'BD_T.C.'!$6:$7,2,FALSE),FALSE)</f>
        <v>884.35719354838727</v>
      </c>
      <c r="T119" s="1"/>
      <c r="U119" s="32">
        <f>VLOOKUP($B119,'BD_T.C.'!$B:$AO,HLOOKUP(U$6,'BD_T.C.'!$6:$7,2,FALSE),FALSE)</f>
        <v>3673.85</v>
      </c>
      <c r="V119" s="32">
        <f>VLOOKUP("PROM-"&amp;MONTH($B119)&amp;YEAR($B119),'BD_T.C.'!$B:$AO,HLOOKUP(U$6,'BD_T.C.'!$6:$7,2,FALSE),FALSE)</f>
        <v>3697.2654838709668</v>
      </c>
      <c r="W119" s="1"/>
      <c r="X119" s="32">
        <f>VLOOKUP($B119,'BD_T.C.'!$B:$AO,HLOOKUP(X$6,'BD_T.C.'!$6:$7,2,FALSE),FALSE)</f>
        <v>6750.16</v>
      </c>
      <c r="Y119" s="32">
        <f>VLOOKUP("PROM-"&amp;MONTH($B119)&amp;YEAR($B119),'BD_T.C.'!$B:$AO,HLOOKUP(X$6,'BD_T.C.'!$6:$7,2,FALSE),FALSE)</f>
        <v>6689.7129032258053</v>
      </c>
      <c r="Z119" s="1"/>
      <c r="AA119" s="32">
        <f>VLOOKUP($B119,'BD_T.C.'!$B:$AO,HLOOKUP(AA$6,'BD_T.C.'!$6:$7,2,FALSE),FALSE)</f>
        <v>1284.1600000000001</v>
      </c>
      <c r="AB119" s="32">
        <f>VLOOKUP("PROM-"&amp;MONTH($B119)&amp;YEAR($B119),'BD_T.C.'!$B:$AO,HLOOKUP(AA$6,'BD_T.C.'!$6:$7,2,FALSE),FALSE)</f>
        <v>1250.8725806451614</v>
      </c>
      <c r="AC119" s="1"/>
      <c r="AD119" s="38">
        <f>VLOOKUP($B119,'BD_T.C.'!$B:$AO,HLOOKUP(AD$6,'BD_T.C.'!$6:$7,2,FALSE),FALSE)</f>
        <v>3.3693499999999998</v>
      </c>
      <c r="AE119" s="38">
        <f>VLOOKUP("PROM-"&amp;MONTH($B119)&amp;YEAR($B119),'BD_T.C.'!$B:$AO,HLOOKUP(AD$6,'BD_T.C.'!$6:$7,2,FALSE),FALSE)</f>
        <v>3.358088709677419</v>
      </c>
      <c r="AF119" s="1"/>
      <c r="AG119" s="38">
        <f>VLOOKUP($B119,'BD_T.C.'!$B:$AO,HLOOKUP(AG$6,'BD_T.C.'!$6:$7,2,FALSE),FALSE)</f>
        <v>38.822400000000002</v>
      </c>
      <c r="AH119" s="38">
        <f>VLOOKUP("PROM-"&amp;MONTH($B119)&amp;YEAR($B119),'BD_T.C.'!$B:$AO,HLOOKUP(AG$6,'BD_T.C.'!$6:$7,2,FALSE),FALSE)</f>
        <v>38.550003225806449</v>
      </c>
      <c r="AI119" s="1"/>
      <c r="AJ119" s="38">
        <f>VLOOKUP($B119,'BD_T.C.'!$B:$AO,HLOOKUP(AJ$6,'BD_T.C.'!$6:$7,2,FALSE),FALSE)</f>
        <v>7.3856599999999997</v>
      </c>
      <c r="AK119" s="38">
        <f>VLOOKUP("PROM-"&amp;MONTH($B119)&amp;YEAR($B119),'BD_T.C.'!$B:$AO,HLOOKUP(AJ$6,'BD_T.C.'!$6:$7,2,FALSE),FALSE)</f>
        <v>7.2068309677419355</v>
      </c>
      <c r="AL119" s="1"/>
      <c r="AM119" s="13">
        <f>VLOOKUP($B119,'BD_T.C.'!$B:$AO,HLOOKUP(AM$6,'BD_T.C.'!$6:$7,2,FALSE),FALSE)</f>
        <v>498.31599999999997</v>
      </c>
      <c r="AN119" s="13">
        <f>VLOOKUP("PROM-"&amp;MONTH($B119)&amp;YEAR($B119),'BD_T.C.'!$B:$AO,HLOOKUP(AM$6,'BD_T.C.'!$6:$7,2,FALSE),FALSE)</f>
        <v>494.84706451612902</v>
      </c>
      <c r="AO119" s="1"/>
      <c r="AP119" s="13">
        <f>VLOOKUP($B119,'BD_T.C.'!$B:$AO,HLOOKUP(AP$6,'BD_T.C.'!$6:$7,2,FALSE),FALSE)</f>
        <v>62.797499999999999</v>
      </c>
      <c r="AQ119" s="13">
        <f>VLOOKUP("PROM-"&amp;MONTH($B119)&amp;YEAR($B119),'BD_T.C.'!$B:$AO,HLOOKUP(AP$6,'BD_T.C.'!$6:$7,2,FALSE),FALSE)</f>
        <v>63.223951612903228</v>
      </c>
      <c r="AR119" s="1"/>
      <c r="AS119" s="13">
        <f>VLOOKUP($B119,'BD_T.C.'!$B:$AO,HLOOKUP(AS$6,'BD_T.C.'!$6:$7,2,FALSE),FALSE)</f>
        <v>1</v>
      </c>
      <c r="AT119" s="13">
        <f>VLOOKUP("PROM-"&amp;MONTH($B119)&amp;YEAR($B119),'BD_T.C.'!$B:$AO,HLOOKUP(AS$6,'BD_T.C.'!$6:$7,2,FALSE),FALSE)</f>
        <v>1</v>
      </c>
      <c r="AU119" s="1"/>
      <c r="AV119" s="38">
        <f>VLOOKUP($B119,'BD_T.C.'!$B:$AO,HLOOKUP(AV$6,'BD_T.C.'!$6:$7,2,FALSE),FALSE)</f>
        <v>7.7153900000000002</v>
      </c>
      <c r="AW119" s="38">
        <f>VLOOKUP("PROM-"&amp;MONTH($B119)&amp;YEAR($B119),'BD_T.C.'!$B:$AO,HLOOKUP(AV$6,'BD_T.C.'!$6:$7,2,FALSE),FALSE)</f>
        <v>7.6704564516129041</v>
      </c>
      <c r="AX119" s="1"/>
      <c r="AY119" s="38">
        <f>VLOOKUP($B119,'BD_T.C.'!$B:$AO,HLOOKUP(AY$6,'BD_T.C.'!$6:$7,2,FALSE),FALSE)</f>
        <v>8.75</v>
      </c>
      <c r="AZ119" s="38">
        <f>VLOOKUP("PROM-"&amp;MONTH($B119)&amp;YEAR($B119),'BD_T.C.'!$B:$AO,HLOOKUP(AY$6,'BD_T.C.'!$6:$7,2,FALSE),FALSE)</f>
        <v>8.75</v>
      </c>
      <c r="BA119" s="1"/>
      <c r="BB119" s="38">
        <f>VLOOKUP($B119,'BD_T.C.'!$B:$AO,HLOOKUP(BB$6,'BD_T.C.'!$6:$7,2,FALSE),FALSE)</f>
        <v>26.444500000000001</v>
      </c>
      <c r="BC119" s="38">
        <f>VLOOKUP("PROM-"&amp;MONTH($B119)&amp;YEAR($B119),'BD_T.C.'!$B:$AO,HLOOKUP(BB$6,'BD_T.C.'!$6:$7,2,FALSE),FALSE)</f>
        <v>26.39904838709678</v>
      </c>
      <c r="BD119" s="1"/>
      <c r="BE119" s="38">
        <f>VLOOKUP($B119,'BD_T.C.'!$B:$AO,HLOOKUP(BE$6,'BD_T.C.'!$6:$7,2,FALSE),FALSE)</f>
        <v>36.725000000000001</v>
      </c>
      <c r="BF119" s="38">
        <f>VLOOKUP("PROM-"&amp;MONTH($B119)&amp;YEAR($B119),'BD_T.C.'!$B:$AO,HLOOKUP(BE$6,'BD_T.C.'!$6:$7,2,FALSE),FALSE)</f>
        <v>36.768945161290318</v>
      </c>
      <c r="BG119" s="1"/>
      <c r="BH119" s="38">
        <f>VLOOKUP($B119,'BD_T.C.'!$B:$AO,HLOOKUP(BH$6,'BD_T.C.'!$6:$7,2,FALSE),FALSE)</f>
        <v>6.8133299999999997</v>
      </c>
      <c r="BI119" s="38">
        <f>VLOOKUP("PROM-"&amp;MONTH($B119)&amp;YEAR($B119),'BD_T.C.'!$B:$AO,HLOOKUP(BH$6,'BD_T.C.'!$6:$7,2,FALSE),FALSE)</f>
        <v>6.7899299999999991</v>
      </c>
    </row>
    <row r="120" spans="2:61" x14ac:dyDescent="0.3">
      <c r="B120" s="18">
        <v>46081</v>
      </c>
      <c r="C120" s="13">
        <f>VLOOKUP($B120,'BD_T.C.'!$B:$AO,HLOOKUP(C$6,'BD_T.C.'!$6:$7,2,FALSE),FALSE)</f>
        <v>17.2563</v>
      </c>
      <c r="D120" s="13">
        <f>VLOOKUP("PROM-"&amp;MONTH($B120)&amp;YEAR($B120),'BD_T.C.'!$B:$AO,HLOOKUP(C$6,'BD_T.C.'!$6:$7,2,FALSE),FALSE)</f>
        <v>17.245035714285713</v>
      </c>
      <c r="F120" s="46">
        <f>VLOOKUP($B120,'BD_T.C.'!$B:$AO,HLOOKUP(F$6,'BD_T.C.'!$6:$7,2,FALSE),FALSE)</f>
        <v>0.84623099999999996</v>
      </c>
      <c r="G120" s="46">
        <f>VLOOKUP("PROM-"&amp;MONTH($B120)&amp;YEAR($B120),'BD_T.C.'!$B:$AO,HLOOKUP(F$6,'BD_T.C.'!$6:$7,2,FALSE),FALSE)</f>
        <v>0.84560171428571429</v>
      </c>
      <c r="I120" s="38">
        <f>VLOOKUP($B120,'BD_T.C.'!$B:$AO,HLOOKUP(I$6,'BD_T.C.'!$6:$7,2,FALSE),FALSE)</f>
        <v>1396.82</v>
      </c>
      <c r="J120" s="38">
        <f>VLOOKUP("PROM-"&amp;MONTH($B120)&amp;YEAR($B120),'BD_T.C.'!$B:$AO,HLOOKUP(I$6,'BD_T.C.'!$6:$7,2,FALSE),FALSE)</f>
        <v>1408.6314285714286</v>
      </c>
      <c r="K120" s="1"/>
      <c r="L120" s="38">
        <f>VLOOKUP($B120,'BD_T.C.'!$B:$AO,HLOOKUP(L$6,'BD_T.C.'!$6:$7,2,FALSE),FALSE)</f>
        <v>6.9066799999999997</v>
      </c>
      <c r="M120" s="38">
        <f>VLOOKUP("PROM-"&amp;MONTH($B120)&amp;YEAR($B120),'BD_T.C.'!$B:$AO,HLOOKUP(L$6,'BD_T.C.'!$6:$7,2,FALSE),FALSE)</f>
        <v>6.916766428571429</v>
      </c>
      <c r="O120" s="46">
        <f>VLOOKUP($B120,'BD_T.C.'!$B:$AO,HLOOKUP(O$6,'BD_T.C.'!$6:$7,2,FALSE),FALSE)</f>
        <v>5.1295400000000004</v>
      </c>
      <c r="P120" s="46">
        <f>VLOOKUP("PROM-"&amp;MONTH($B120)&amp;YEAR($B120),'BD_T.C.'!$B:$AO,HLOOKUP(O$6,'BD_T.C.'!$6:$7,2,FALSE),FALSE)</f>
        <v>5.2050325000000015</v>
      </c>
      <c r="Q120" s="1"/>
      <c r="R120" s="44">
        <f>VLOOKUP($B120,'BD_T.C.'!$B:$AO,HLOOKUP(R$6,'BD_T.C.'!$6:$7,2,FALSE),FALSE)</f>
        <v>873.67200000000003</v>
      </c>
      <c r="S120" s="44">
        <f>VLOOKUP("PROM-"&amp;MONTH($B120)&amp;YEAR($B120),'BD_T.C.'!$B:$AO,HLOOKUP(R$6,'BD_T.C.'!$6:$7,2,FALSE),FALSE)</f>
        <v>862.77775000000008</v>
      </c>
      <c r="T120" s="1"/>
      <c r="U120" s="32">
        <f>VLOOKUP($B120,'BD_T.C.'!$B:$AO,HLOOKUP(U$6,'BD_T.C.'!$6:$7,2,FALSE),FALSE)</f>
        <v>3758.07</v>
      </c>
      <c r="V120" s="32">
        <f>VLOOKUP("PROM-"&amp;MONTH($B120)&amp;YEAR($B120),'BD_T.C.'!$B:$AO,HLOOKUP(U$6,'BD_T.C.'!$6:$7,2,FALSE),FALSE)</f>
        <v>3683.9557142857147</v>
      </c>
      <c r="W120" s="1"/>
      <c r="X120" s="32">
        <f>VLOOKUP($B120,'BD_T.C.'!$B:$AO,HLOOKUP(X$6,'BD_T.C.'!$6:$7,2,FALSE),FALSE)</f>
        <v>6438.24</v>
      </c>
      <c r="Y120" s="32">
        <f>VLOOKUP("PROM-"&amp;MONTH($B120)&amp;YEAR($B120),'BD_T.C.'!$B:$AO,HLOOKUP(X$6,'BD_T.C.'!$6:$7,2,FALSE),FALSE)</f>
        <v>6554.9525000000003</v>
      </c>
      <c r="Z120" s="1"/>
      <c r="AA120" s="32">
        <f>VLOOKUP($B120,'BD_T.C.'!$B:$AO,HLOOKUP(AA$6,'BD_T.C.'!$6:$7,2,FALSE),FALSE)</f>
        <v>1255.1400000000001</v>
      </c>
      <c r="AB120" s="32">
        <f>VLOOKUP("PROM-"&amp;MONTH($B120)&amp;YEAR($B120),'BD_T.C.'!$B:$AO,HLOOKUP(AA$6,'BD_T.C.'!$6:$7,2,FALSE),FALSE)</f>
        <v>1259.3167857142855</v>
      </c>
      <c r="AC120" s="1"/>
      <c r="AD120" s="38">
        <f>VLOOKUP($B120,'BD_T.C.'!$B:$AO,HLOOKUP(AD$6,'BD_T.C.'!$6:$7,2,FALSE),FALSE)</f>
        <v>3.355</v>
      </c>
      <c r="AE120" s="38">
        <f>VLOOKUP("PROM-"&amp;MONTH($B120)&amp;YEAR($B120),'BD_T.C.'!$B:$AO,HLOOKUP(AD$6,'BD_T.C.'!$6:$7,2,FALSE),FALSE)</f>
        <v>3.3582985714285711</v>
      </c>
      <c r="AF120" s="1"/>
      <c r="AG120" s="38">
        <f>VLOOKUP($B120,'BD_T.C.'!$B:$AO,HLOOKUP(AG$6,'BD_T.C.'!$6:$7,2,FALSE),FALSE)</f>
        <v>38.388399999999997</v>
      </c>
      <c r="AH120" s="38">
        <f>VLOOKUP("PROM-"&amp;MONTH($B120)&amp;YEAR($B120),'BD_T.C.'!$B:$AO,HLOOKUP(AG$6,'BD_T.C.'!$6:$7,2,FALSE),FALSE)</f>
        <v>38.596560714285722</v>
      </c>
      <c r="AI120" s="1"/>
      <c r="AJ120" s="38">
        <f>VLOOKUP($B120,'BD_T.C.'!$B:$AO,HLOOKUP(AJ$6,'BD_T.C.'!$6:$7,2,FALSE),FALSE)</f>
        <v>7.4838199999999997</v>
      </c>
      <c r="AK120" s="38">
        <f>VLOOKUP("PROM-"&amp;MONTH($B120)&amp;YEAR($B120),'BD_T.C.'!$B:$AO,HLOOKUP(AJ$6,'BD_T.C.'!$6:$7,2,FALSE),FALSE)</f>
        <v>7.415531071428572</v>
      </c>
      <c r="AL120" s="1"/>
      <c r="AM120" s="13">
        <f>VLOOKUP($B120,'BD_T.C.'!$B:$AO,HLOOKUP(AM$6,'BD_T.C.'!$6:$7,2,FALSE),FALSE)</f>
        <v>471.95600000000002</v>
      </c>
      <c r="AN120" s="13">
        <f>VLOOKUP("PROM-"&amp;MONTH($B120)&amp;YEAR($B120),'BD_T.C.'!$B:$AO,HLOOKUP(AM$6,'BD_T.C.'!$6:$7,2,FALSE),FALSE)</f>
        <v>485.95539285714278</v>
      </c>
      <c r="AO120" s="1"/>
      <c r="AP120" s="13">
        <f>VLOOKUP($B120,'BD_T.C.'!$B:$AO,HLOOKUP(AP$6,'BD_T.C.'!$6:$7,2,FALSE),FALSE)</f>
        <v>60.11</v>
      </c>
      <c r="AQ120" s="13">
        <f>VLOOKUP("PROM-"&amp;MONTH($B120)&amp;YEAR($B120),'BD_T.C.'!$B:$AO,HLOOKUP(AP$6,'BD_T.C.'!$6:$7,2,FALSE),FALSE)</f>
        <v>62.030510714285711</v>
      </c>
      <c r="AR120" s="1"/>
      <c r="AS120" s="13">
        <f>VLOOKUP($B120,'BD_T.C.'!$B:$AO,HLOOKUP(AS$6,'BD_T.C.'!$6:$7,2,FALSE),FALSE)</f>
        <v>1</v>
      </c>
      <c r="AT120" s="13">
        <f>VLOOKUP("PROM-"&amp;MONTH($B120)&amp;YEAR($B120),'BD_T.C.'!$B:$AO,HLOOKUP(AS$6,'BD_T.C.'!$6:$7,2,FALSE),FALSE)</f>
        <v>1</v>
      </c>
      <c r="AU120" s="1"/>
      <c r="AV120" s="38">
        <f>VLOOKUP($B120,'BD_T.C.'!$B:$AO,HLOOKUP(AV$6,'BD_T.C.'!$6:$7,2,FALSE),FALSE)</f>
        <v>7.6673799999999996</v>
      </c>
      <c r="AW120" s="38">
        <f>VLOOKUP("PROM-"&amp;MONTH($B120)&amp;YEAR($B120),'BD_T.C.'!$B:$AO,HLOOKUP(AV$6,'BD_T.C.'!$6:$7,2,FALSE),FALSE)</f>
        <v>7.6723150000000029</v>
      </c>
      <c r="AX120" s="1"/>
      <c r="AY120" s="38">
        <f>VLOOKUP($B120,'BD_T.C.'!$B:$AO,HLOOKUP(AY$6,'BD_T.C.'!$6:$7,2,FALSE),FALSE)</f>
        <v>8.75</v>
      </c>
      <c r="AZ120" s="38">
        <f>VLOOKUP("PROM-"&amp;MONTH($B120)&amp;YEAR($B120),'BD_T.C.'!$B:$AO,HLOOKUP(AY$6,'BD_T.C.'!$6:$7,2,FALSE),FALSE)</f>
        <v>8.75</v>
      </c>
      <c r="BA120" s="1"/>
      <c r="BB120" s="38">
        <f>VLOOKUP($B120,'BD_T.C.'!$B:$AO,HLOOKUP(BB$6,'BD_T.C.'!$6:$7,2,FALSE),FALSE)</f>
        <v>26.516999999999999</v>
      </c>
      <c r="BC120" s="38">
        <f>VLOOKUP("PROM-"&amp;MONTH($B120)&amp;YEAR($B120),'BD_T.C.'!$B:$AO,HLOOKUP(BB$6,'BD_T.C.'!$6:$7,2,FALSE),FALSE)</f>
        <v>26.457410714285711</v>
      </c>
      <c r="BD120" s="1"/>
      <c r="BE120" s="38">
        <f>VLOOKUP($B120,'BD_T.C.'!$B:$AO,HLOOKUP(BE$6,'BD_T.C.'!$6:$7,2,FALSE),FALSE)</f>
        <v>36.762500000000003</v>
      </c>
      <c r="BF120" s="38">
        <f>VLOOKUP("PROM-"&amp;MONTH($B120)&amp;YEAR($B120),'BD_T.C.'!$B:$AO,HLOOKUP(BE$6,'BD_T.C.'!$6:$7,2,FALSE),FALSE)</f>
        <v>36.76857857142857</v>
      </c>
      <c r="BG120" s="1"/>
      <c r="BH120" s="38">
        <f>VLOOKUP($B120,'BD_T.C.'!$B:$AO,HLOOKUP(BH$6,'BD_T.C.'!$6:$7,2,FALSE),FALSE)</f>
        <v>6.7804000000000002</v>
      </c>
      <c r="BI120" s="38">
        <f>VLOOKUP("PROM-"&amp;MONTH($B120)&amp;YEAR($B120),'BD_T.C.'!$B:$AO,HLOOKUP(BH$6,'BD_T.C.'!$6:$7,2,FALSE),FALSE)</f>
        <v>6.7784721428571419</v>
      </c>
    </row>
    <row r="121" spans="2:61" x14ac:dyDescent="0.3">
      <c r="B121" s="60">
        <v>46112</v>
      </c>
      <c r="C121" s="33">
        <f>VLOOKUP($B121,'BD_T.C.'!$B:$AO,HLOOKUP(C$6,'BD_T.C.'!$6:$7,2,FALSE),FALSE)</f>
        <v>18.103300000000001</v>
      </c>
      <c r="D121" s="33">
        <f>VLOOKUP("PROM-"&amp;MONTH($B121)&amp;YEAR($B121),'BD_T.C.'!$B:$AO,HLOOKUP(C$6,'BD_T.C.'!$6:$7,2,FALSE),FALSE)</f>
        <v>17.732419354838708</v>
      </c>
      <c r="E121" s="34"/>
      <c r="F121" s="45">
        <f>VLOOKUP($B121,'BD_T.C.'!$B:$AO,HLOOKUP(F$6,'BD_T.C.'!$6:$7,2,FALSE),FALSE)</f>
        <v>0.869228</v>
      </c>
      <c r="G121" s="45">
        <f>VLOOKUP("PROM-"&amp;MONTH($B121)&amp;YEAR($B121),'BD_T.C.'!$B:$AO,HLOOKUP(F$6,'BD_T.C.'!$6:$7,2,FALSE),FALSE)</f>
        <v>0.86501503225806464</v>
      </c>
      <c r="H121" s="34"/>
      <c r="I121" s="37">
        <f>VLOOKUP($B121,'BD_T.C.'!$B:$AO,HLOOKUP(I$6,'BD_T.C.'!$6:$7,2,FALSE),FALSE)</f>
        <v>1391.52</v>
      </c>
      <c r="J121" s="37">
        <f>VLOOKUP("PROM-"&amp;MONTH($B121)&amp;YEAR($B121),'BD_T.C.'!$B:$AO,HLOOKUP(I$6,'BD_T.C.'!$6:$7,2,FALSE),FALSE)</f>
        <v>1397.0500000000002</v>
      </c>
      <c r="K121" s="35"/>
      <c r="L121" s="45">
        <f>VLOOKUP($B121,'BD_T.C.'!$B:$AO,HLOOKUP(L$6,'BD_T.C.'!$6:$7,2,FALSE),FALSE)</f>
        <v>6.9230700000000001</v>
      </c>
      <c r="M121" s="37">
        <f>VLOOKUP("PROM-"&amp;MONTH($B121)&amp;YEAR($B121),'BD_T.C.'!$B:$AO,HLOOKUP(L$6,'BD_T.C.'!$6:$7,2,FALSE),FALSE)</f>
        <v>6.9193206451612905</v>
      </c>
      <c r="N121" s="34"/>
      <c r="O121" s="45">
        <f>VLOOKUP($B121,'BD_T.C.'!$B:$AO,HLOOKUP(O$6,'BD_T.C.'!$6:$7,2,FALSE),FALSE)</f>
        <v>5.2297000000000002</v>
      </c>
      <c r="P121" s="45">
        <f>VLOOKUP("PROM-"&amp;MONTH($B121)&amp;YEAR($B121),'BD_T.C.'!$B:$AO,HLOOKUP(O$6,'BD_T.C.'!$6:$7,2,FALSE),FALSE)</f>
        <v>5.2429348387096777</v>
      </c>
      <c r="Q121" s="35"/>
      <c r="R121" s="43">
        <f>VLOOKUP($B121,'BD_T.C.'!$B:$AO,HLOOKUP(R$6,'BD_T.C.'!$6:$7,2,FALSE),FALSE)</f>
        <v>929.09</v>
      </c>
      <c r="S121" s="43">
        <f>VLOOKUP("PROM-"&amp;MONTH($B121)&amp;YEAR($B121),'BD_T.C.'!$B:$AO,HLOOKUP(R$6,'BD_T.C.'!$6:$7,2,FALSE),FALSE)</f>
        <v>912.1983870967739</v>
      </c>
      <c r="T121" s="35"/>
      <c r="U121" s="36">
        <f>VLOOKUP($B121,'BD_T.C.'!$B:$AO,HLOOKUP(U$6,'BD_T.C.'!$6:$7,2,FALSE),FALSE)</f>
        <v>3674.74</v>
      </c>
      <c r="V121" s="36">
        <f>VLOOKUP("PROM-"&amp;MONTH($B121)&amp;YEAR($B121),'BD_T.C.'!$B:$AO,HLOOKUP(U$6,'BD_T.C.'!$6:$7,2,FALSE),FALSE)</f>
        <v>3721.9522580645153</v>
      </c>
      <c r="W121" s="35"/>
      <c r="X121" s="36">
        <f>VLOOKUP($B121,'BD_T.C.'!$B:$AO,HLOOKUP(X$6,'BD_T.C.'!$6:$7,2,FALSE),FALSE)</f>
        <v>6506.32</v>
      </c>
      <c r="Y121" s="36">
        <f>VLOOKUP("PROM-"&amp;MONTH($B121)&amp;YEAR($B121),'BD_T.C.'!$B:$AO,HLOOKUP(X$6,'BD_T.C.'!$6:$7,2,FALSE),FALSE)</f>
        <v>6499.4661290322574</v>
      </c>
      <c r="Z121" s="35"/>
      <c r="AA121" s="36">
        <f>VLOOKUP($B121,'BD_T.C.'!$B:$AO,HLOOKUP(AA$6,'BD_T.C.'!$6:$7,2,FALSE),FALSE)</f>
        <v>1244.1199999999999</v>
      </c>
      <c r="AB121" s="36">
        <f>VLOOKUP("PROM-"&amp;MONTH($B121)&amp;YEAR($B121),'BD_T.C.'!$B:$AO,HLOOKUP(AA$6,'BD_T.C.'!$6:$7,2,FALSE),FALSE)</f>
        <v>1239.7429032258065</v>
      </c>
      <c r="AC121" s="35"/>
      <c r="AD121" s="37">
        <f>VLOOKUP($B121,'BD_T.C.'!$B:$AO,HLOOKUP(AD$6,'BD_T.C.'!$6:$7,2,FALSE),FALSE)</f>
        <v>3.4929999999999999</v>
      </c>
      <c r="AE121" s="37">
        <f>VLOOKUP("PROM-"&amp;MONTH($B121)&amp;YEAR($B121),'BD_T.C.'!$B:$AO,HLOOKUP(AD$6,'BD_T.C.'!$6:$7,2,FALSE),FALSE)</f>
        <v>3.4453212903225805</v>
      </c>
      <c r="AF121" s="35"/>
      <c r="AG121" s="37">
        <f>VLOOKUP($B121,'BD_T.C.'!$B:$AO,HLOOKUP(AG$6,'BD_T.C.'!$6:$7,2,FALSE),FALSE)</f>
        <v>40.623399999999997</v>
      </c>
      <c r="AH121" s="37">
        <f>VLOOKUP("PROM-"&amp;MONTH($B121)&amp;YEAR($B121),'BD_T.C.'!$B:$AO,HLOOKUP(AG$6,'BD_T.C.'!$6:$7,2,FALSE),FALSE)</f>
        <v>40.070364516129032</v>
      </c>
      <c r="AI121" s="35"/>
      <c r="AJ121" s="37">
        <f>VLOOKUP($B121,'BD_T.C.'!$B:$AO,HLOOKUP(AJ$6,'BD_T.C.'!$6:$7,2,FALSE),FALSE)</f>
        <v>7.7678700000000003</v>
      </c>
      <c r="AK121" s="37">
        <f>VLOOKUP("PROM-"&amp;MONTH($B121)&amp;YEAR($B121),'BD_T.C.'!$B:$AO,HLOOKUP(AJ$6,'BD_T.C.'!$6:$7,2,FALSE),FALSE)</f>
        <v>7.6428412903225782</v>
      </c>
      <c r="AL121" s="35"/>
      <c r="AM121" s="33">
        <f>VLOOKUP($B121,'BD_T.C.'!$B:$AO,HLOOKUP(AM$6,'BD_T.C.'!$6:$7,2,FALSE),FALSE)</f>
        <v>464.95600000000002</v>
      </c>
      <c r="AN121" s="33">
        <f>VLOOKUP("PROM-"&amp;MONTH($B121)&amp;YEAR($B121),'BD_T.C.'!$B:$AO,HLOOKUP(AM$6,'BD_T.C.'!$6:$7,2,FALSE),FALSE)</f>
        <v>469.55451612903232</v>
      </c>
      <c r="AO121" s="35"/>
      <c r="AP121" s="33">
        <f>VLOOKUP($B121,'BD_T.C.'!$B:$AO,HLOOKUP(AP$6,'BD_T.C.'!$6:$7,2,FALSE),FALSE)</f>
        <v>59.908900000000003</v>
      </c>
      <c r="AQ121" s="33">
        <f>VLOOKUP("PROM-"&amp;MONTH($B121)&amp;YEAR($B121),'BD_T.C.'!$B:$AO,HLOOKUP(AP$6,'BD_T.C.'!$6:$7,2,FALSE),FALSE)</f>
        <v>60.136461290322579</v>
      </c>
      <c r="AR121" s="35"/>
      <c r="AS121" s="33">
        <f>VLOOKUP($B121,'BD_T.C.'!$B:$AO,HLOOKUP(AS$6,'BD_T.C.'!$6:$7,2,FALSE),FALSE)</f>
        <v>1</v>
      </c>
      <c r="AT121" s="33">
        <f>VLOOKUP("PROM-"&amp;MONTH($B121)&amp;YEAR($B121),'BD_T.C.'!$B:$AO,HLOOKUP(AS$6,'BD_T.C.'!$6:$7,2,FALSE),FALSE)</f>
        <v>1</v>
      </c>
      <c r="AU121" s="35"/>
      <c r="AV121" s="37">
        <f>VLOOKUP($B121,'BD_T.C.'!$B:$AO,HLOOKUP(AV$6,'BD_T.C.'!$6:$7,2,FALSE),FALSE)</f>
        <v>7.6555900000000001</v>
      </c>
      <c r="AW121" s="37">
        <f>VLOOKUP("PROM-"&amp;MONTH($B121)&amp;YEAR($B121),'BD_T.C.'!$B:$AO,HLOOKUP(AV$6,'BD_T.C.'!$6:$7,2,FALSE),FALSE)</f>
        <v>7.6635554838709687</v>
      </c>
      <c r="AX121" s="35"/>
      <c r="AY121" s="37">
        <f>VLOOKUP($B121,'BD_T.C.'!$B:$AO,HLOOKUP(AY$6,'BD_T.C.'!$6:$7,2,FALSE),FALSE)</f>
        <v>8.75</v>
      </c>
      <c r="AZ121" s="37">
        <f>VLOOKUP("PROM-"&amp;MONTH($B121)&amp;YEAR($B121),'BD_T.C.'!$B:$AO,HLOOKUP(AY$6,'BD_T.C.'!$6:$7,2,FALSE),FALSE)</f>
        <v>8.75</v>
      </c>
      <c r="BA121" s="35"/>
      <c r="BB121" s="37">
        <f>VLOOKUP($B121,'BD_T.C.'!$B:$AO,HLOOKUP(BB$6,'BD_T.C.'!$6:$7,2,FALSE),FALSE)</f>
        <v>26.575199999999999</v>
      </c>
      <c r="BC121" s="37">
        <f>VLOOKUP("PROM-"&amp;MONTH($B121)&amp;YEAR($B121),'BD_T.C.'!$B:$AO,HLOOKUP(BB$6,'BD_T.C.'!$6:$7,2,FALSE),FALSE)</f>
        <v>26.508367741935484</v>
      </c>
      <c r="BD121" s="35"/>
      <c r="BE121" s="37">
        <f>VLOOKUP($B121,'BD_T.C.'!$B:$AO,HLOOKUP(BE$6,'BD_T.C.'!$6:$7,2,FALSE),FALSE)</f>
        <v>36.799599999999998</v>
      </c>
      <c r="BF121" s="37">
        <f>VLOOKUP("PROM-"&amp;MONTH($B121)&amp;YEAR($B121),'BD_T.C.'!$B:$AO,HLOOKUP(BE$6,'BD_T.C.'!$6:$7,2,FALSE),FALSE)</f>
        <v>36.7819</v>
      </c>
      <c r="BG121" s="35"/>
      <c r="BH121" s="37">
        <f>VLOOKUP($B121,'BD_T.C.'!$B:$AO,HLOOKUP(BH$6,'BD_T.C.'!$6:$7,2,FALSE),FALSE)</f>
        <v>6.7932499999999996</v>
      </c>
      <c r="BI121" s="133">
        <f>VLOOKUP("PROM-"&amp;MONTH($B121)&amp;YEAR($B121),'BD_T.C.'!$B:$AO,HLOOKUP(BH$6,'BD_T.C.'!$6:$7,2,FALSE),FALSE)</f>
        <v>6.7841509677419349</v>
      </c>
    </row>
  </sheetData>
  <mergeCells count="40">
    <mergeCell ref="C6:D6"/>
    <mergeCell ref="AY7:AZ7"/>
    <mergeCell ref="BB7:BC7"/>
    <mergeCell ref="BE7:BF7"/>
    <mergeCell ref="BH7:BI7"/>
    <mergeCell ref="AA7:AB7"/>
    <mergeCell ref="AG7:AH7"/>
    <mergeCell ref="AJ7:AK7"/>
    <mergeCell ref="AM7:AN7"/>
    <mergeCell ref="AP7:AQ7"/>
    <mergeCell ref="AS7:AT7"/>
    <mergeCell ref="AV7:AW7"/>
    <mergeCell ref="R7:S7"/>
    <mergeCell ref="U7:V7"/>
    <mergeCell ref="X7:Y7"/>
    <mergeCell ref="AD7:AE7"/>
    <mergeCell ref="BH6:BI6"/>
    <mergeCell ref="AJ6:AK6"/>
    <mergeCell ref="AV6:AW6"/>
    <mergeCell ref="AY6:AZ6"/>
    <mergeCell ref="BB6:BC6"/>
    <mergeCell ref="F7:G7"/>
    <mergeCell ref="C7:D7"/>
    <mergeCell ref="I7:J7"/>
    <mergeCell ref="L7:M7"/>
    <mergeCell ref="O7:P7"/>
    <mergeCell ref="F6:G6"/>
    <mergeCell ref="BE6:BF6"/>
    <mergeCell ref="AG6:AH6"/>
    <mergeCell ref="R6:S6"/>
    <mergeCell ref="U6:V6"/>
    <mergeCell ref="AD6:AE6"/>
    <mergeCell ref="X6:Y6"/>
    <mergeCell ref="AA6:AB6"/>
    <mergeCell ref="AM6:AN6"/>
    <mergeCell ref="AS6:AT6"/>
    <mergeCell ref="AP6:AQ6"/>
    <mergeCell ref="O6:P6"/>
    <mergeCell ref="I6:J6"/>
    <mergeCell ref="L6:M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P3873"/>
  <sheetViews>
    <sheetView showGridLines="0" workbookViewId="0">
      <pane xSplit="2" ySplit="6" topLeftCell="C3864" activePane="bottomRight" state="frozen"/>
      <selection pane="topRight" activeCell="C1" sqref="C1"/>
      <selection pane="bottomLeft" activeCell="A11" sqref="A11"/>
      <selection pane="bottomRight" activeCell="B3874" sqref="B3874"/>
    </sheetView>
  </sheetViews>
  <sheetFormatPr baseColWidth="10" defaultColWidth="12" defaultRowHeight="11.5" outlineLevelRow="1" x14ac:dyDescent="0.25"/>
  <cols>
    <col min="1" max="1" width="1.77734375" style="1" customWidth="1"/>
    <col min="2" max="2" width="13" style="1" customWidth="1"/>
    <col min="3" max="3" width="12.6640625" style="1" bestFit="1" customWidth="1"/>
    <col min="4" max="4" width="1.77734375" style="1" customWidth="1"/>
    <col min="5" max="5" width="11.6640625" style="1" bestFit="1" customWidth="1"/>
    <col min="6" max="6" width="1.77734375" style="1" customWidth="1"/>
    <col min="7" max="7" width="9.33203125" style="1" customWidth="1"/>
    <col min="8" max="8" width="1.77734375" style="1" customWidth="1"/>
    <col min="9" max="9" width="10" style="1" bestFit="1" customWidth="1"/>
    <col min="10" max="10" width="1.77734375" style="1" customWidth="1"/>
    <col min="11" max="11" width="9.33203125" style="1" customWidth="1"/>
    <col min="12" max="12" width="1.77734375" style="1" customWidth="1"/>
    <col min="13" max="13" width="9.6640625" style="1" bestFit="1" customWidth="1"/>
    <col min="14" max="14" width="1.77734375" style="1" customWidth="1"/>
    <col min="15" max="15" width="11.109375" style="1" bestFit="1" customWidth="1"/>
    <col min="16" max="16" width="1.77734375" style="1" customWidth="1"/>
    <col min="17" max="17" width="11.6640625" style="1" bestFit="1" customWidth="1"/>
    <col min="18" max="18" width="1.77734375" style="1" customWidth="1"/>
    <col min="19" max="19" width="10.109375" style="1" customWidth="1"/>
    <col min="20" max="20" width="1.77734375" style="1" customWidth="1"/>
    <col min="21" max="21" width="9.33203125" style="1" customWidth="1"/>
    <col min="22" max="22" width="1.77734375" style="1" customWidth="1"/>
    <col min="23" max="23" width="10" style="1" bestFit="1" customWidth="1"/>
    <col min="24" max="24" width="1.77734375" style="1" customWidth="1"/>
    <col min="25" max="25" width="9.109375" style="1" bestFit="1" customWidth="1"/>
    <col min="26" max="26" width="1.77734375" style="1" customWidth="1"/>
    <col min="27" max="27" width="11" style="1" bestFit="1" customWidth="1"/>
    <col min="28" max="28" width="1.77734375" style="1" customWidth="1"/>
    <col min="29" max="29" width="11.6640625" style="1" bestFit="1" customWidth="1"/>
    <col min="30" max="30" width="1.77734375" style="1" customWidth="1"/>
    <col min="31" max="31" width="9.33203125" style="1" customWidth="1"/>
    <col min="32" max="32" width="1.77734375" style="1" customWidth="1"/>
    <col min="33" max="33" width="11.109375" style="1" bestFit="1" customWidth="1"/>
    <col min="34" max="34" width="1.77734375" style="1" customWidth="1"/>
    <col min="35" max="35" width="10" style="1" customWidth="1"/>
    <col min="36" max="36" width="1.77734375" style="1" customWidth="1"/>
    <col min="37" max="37" width="10.33203125" style="1" bestFit="1" customWidth="1"/>
    <col min="38" max="38" width="1.77734375" style="1" customWidth="1"/>
    <col min="39" max="39" width="11" style="1" bestFit="1" customWidth="1"/>
    <col min="40" max="40" width="1.77734375" style="1" customWidth="1"/>
    <col min="41" max="41" width="10" style="1" customWidth="1"/>
    <col min="42" max="42" width="9" style="1" customWidth="1"/>
    <col min="43" max="43" width="1.77734375" style="1" customWidth="1"/>
    <col min="44" max="16384" width="12" style="1"/>
  </cols>
  <sheetData>
    <row r="1" spans="2:42" ht="18" x14ac:dyDescent="0.4">
      <c r="B1" s="20" t="s">
        <v>34</v>
      </c>
      <c r="AP1" s="3"/>
    </row>
    <row r="2" spans="2:42" x14ac:dyDescent="0.25">
      <c r="B2" s="4" t="s">
        <v>55</v>
      </c>
      <c r="J2" s="5"/>
      <c r="AP2" s="3"/>
    </row>
    <row r="3" spans="2:42" x14ac:dyDescent="0.25">
      <c r="B3" s="4" t="str">
        <f>Resumen!B4</f>
        <v>Para el cierre de Marzo de 2026</v>
      </c>
      <c r="C3" s="57"/>
      <c r="E3" s="8"/>
      <c r="G3" s="8"/>
      <c r="O3" s="8"/>
      <c r="Q3" s="8"/>
      <c r="S3" s="8"/>
      <c r="U3" s="8"/>
      <c r="W3" s="8"/>
      <c r="Y3" s="8"/>
      <c r="AC3" s="8"/>
      <c r="AG3" s="8"/>
      <c r="AI3" s="8"/>
      <c r="AO3" s="8"/>
    </row>
    <row r="5" spans="2:42" ht="23" x14ac:dyDescent="0.25">
      <c r="B5" s="6"/>
      <c r="C5" s="16" t="s">
        <v>14</v>
      </c>
      <c r="D5" s="8"/>
      <c r="E5" s="17" t="s">
        <v>21</v>
      </c>
      <c r="F5" s="8"/>
      <c r="G5" s="17" t="s">
        <v>16</v>
      </c>
      <c r="I5" s="17" t="s">
        <v>17</v>
      </c>
      <c r="J5" s="8"/>
      <c r="K5" s="17" t="s">
        <v>15</v>
      </c>
      <c r="M5" s="17" t="s">
        <v>28</v>
      </c>
      <c r="O5" s="17" t="s">
        <v>19</v>
      </c>
      <c r="Q5" s="17" t="s">
        <v>29</v>
      </c>
      <c r="S5" s="17" t="s">
        <v>31</v>
      </c>
      <c r="U5" s="17" t="s">
        <v>18</v>
      </c>
      <c r="W5" s="17" t="s">
        <v>30</v>
      </c>
      <c r="Y5" s="17" t="s">
        <v>32</v>
      </c>
      <c r="AA5" s="17" t="s">
        <v>27</v>
      </c>
      <c r="AC5" s="17" t="s">
        <v>20</v>
      </c>
      <c r="AE5" s="17" t="s">
        <v>53</v>
      </c>
      <c r="AG5" s="17" t="s">
        <v>23</v>
      </c>
      <c r="AI5" s="17" t="s">
        <v>24</v>
      </c>
      <c r="AK5" s="17" t="s">
        <v>25</v>
      </c>
      <c r="AM5" s="17" t="s">
        <v>26</v>
      </c>
      <c r="AO5" s="17" t="s">
        <v>22</v>
      </c>
      <c r="AP5" s="7"/>
    </row>
    <row r="6" spans="2:42" s="47" customFormat="1" ht="21" x14ac:dyDescent="0.25">
      <c r="B6" s="15" t="s">
        <v>0</v>
      </c>
      <c r="C6" s="58" t="s">
        <v>6</v>
      </c>
      <c r="D6" s="59"/>
      <c r="E6" s="58" t="s">
        <v>35</v>
      </c>
      <c r="F6" s="59"/>
      <c r="G6" s="58" t="s">
        <v>4</v>
      </c>
      <c r="H6" s="59"/>
      <c r="I6" s="58" t="s">
        <v>3</v>
      </c>
      <c r="J6" s="59"/>
      <c r="K6" s="58" t="s">
        <v>5</v>
      </c>
      <c r="L6" s="59"/>
      <c r="M6" s="58" t="s">
        <v>13</v>
      </c>
      <c r="N6" s="59"/>
      <c r="O6" s="58" t="s">
        <v>37</v>
      </c>
      <c r="P6" s="59"/>
      <c r="Q6" s="58" t="s">
        <v>38</v>
      </c>
      <c r="R6" s="59"/>
      <c r="S6" s="79" t="s">
        <v>41</v>
      </c>
      <c r="T6" s="59"/>
      <c r="U6" s="58" t="s">
        <v>7</v>
      </c>
      <c r="V6" s="59"/>
      <c r="W6" s="58" t="s">
        <v>39</v>
      </c>
      <c r="X6" s="59"/>
      <c r="Y6" s="79" t="s">
        <v>40</v>
      </c>
      <c r="Z6" s="59"/>
      <c r="AA6" s="58" t="s">
        <v>12</v>
      </c>
      <c r="AB6" s="59"/>
      <c r="AC6" s="58" t="s">
        <v>33</v>
      </c>
      <c r="AD6" s="59"/>
      <c r="AE6" s="58" t="s">
        <v>36</v>
      </c>
      <c r="AF6" s="59"/>
      <c r="AG6" s="58" t="s">
        <v>8</v>
      </c>
      <c r="AH6" s="59"/>
      <c r="AI6" s="79" t="s">
        <v>9</v>
      </c>
      <c r="AK6" s="58" t="s">
        <v>10</v>
      </c>
      <c r="AL6" s="59"/>
      <c r="AM6" s="58" t="s">
        <v>11</v>
      </c>
      <c r="AN6" s="59"/>
      <c r="AO6" s="79" t="s">
        <v>407</v>
      </c>
      <c r="AP6" s="48"/>
    </row>
    <row r="7" spans="2:42" s="47" customFormat="1" x14ac:dyDescent="0.25">
      <c r="C7" s="56">
        <f>COLUMN()-1</f>
        <v>2</v>
      </c>
      <c r="D7" s="22"/>
      <c r="E7" s="56">
        <f>COLUMN()-1</f>
        <v>4</v>
      </c>
      <c r="F7" s="22"/>
      <c r="G7" s="56">
        <f>COLUMN()-1</f>
        <v>6</v>
      </c>
      <c r="H7" s="22"/>
      <c r="I7" s="56">
        <f>COLUMN()-1</f>
        <v>8</v>
      </c>
      <c r="J7" s="22"/>
      <c r="K7" s="56">
        <f>COLUMN()-1</f>
        <v>10</v>
      </c>
      <c r="L7" s="22"/>
      <c r="M7" s="56">
        <f>COLUMN()-1</f>
        <v>12</v>
      </c>
      <c r="N7" s="22"/>
      <c r="O7" s="56">
        <f>COLUMN()-1</f>
        <v>14</v>
      </c>
      <c r="P7" s="22"/>
      <c r="Q7" s="56">
        <f>COLUMN()-1</f>
        <v>16</v>
      </c>
      <c r="R7" s="22"/>
      <c r="S7" s="56">
        <f>COLUMN()-1</f>
        <v>18</v>
      </c>
      <c r="T7" s="22"/>
      <c r="U7" s="56">
        <f>COLUMN()-1</f>
        <v>20</v>
      </c>
      <c r="V7" s="22"/>
      <c r="W7" s="56">
        <f>COLUMN()-1</f>
        <v>22</v>
      </c>
      <c r="X7" s="22"/>
      <c r="Y7" s="56">
        <f>COLUMN()-1</f>
        <v>24</v>
      </c>
      <c r="Z7" s="22"/>
      <c r="AA7" s="56">
        <f>COLUMN()-1</f>
        <v>26</v>
      </c>
      <c r="AB7" s="22"/>
      <c r="AC7" s="56">
        <f>COLUMN()-1</f>
        <v>28</v>
      </c>
      <c r="AD7" s="22"/>
      <c r="AE7" s="56">
        <f>COLUMN()-1</f>
        <v>30</v>
      </c>
      <c r="AF7" s="22"/>
      <c r="AG7" s="56">
        <f>COLUMN()-1</f>
        <v>32</v>
      </c>
      <c r="AH7" s="22"/>
      <c r="AI7" s="56">
        <f>COLUMN()-1</f>
        <v>34</v>
      </c>
      <c r="AJ7" s="22"/>
      <c r="AK7" s="56">
        <f>COLUMN()-1</f>
        <v>36</v>
      </c>
      <c r="AL7" s="22"/>
      <c r="AM7" s="56">
        <f>COLUMN()-1</f>
        <v>38</v>
      </c>
      <c r="AN7" s="22"/>
      <c r="AO7" s="56">
        <f>COLUMN()-1</f>
        <v>40</v>
      </c>
      <c r="AP7" s="48"/>
    </row>
    <row r="8" spans="2:42" hidden="1" outlineLevel="1" x14ac:dyDescent="0.25">
      <c r="B8" s="21">
        <v>42370</v>
      </c>
      <c r="C8" s="27">
        <v>17.215199999999999</v>
      </c>
      <c r="E8" s="30">
        <v>0.92</v>
      </c>
      <c r="G8" s="27">
        <v>12.9725</v>
      </c>
      <c r="I8" s="29">
        <v>6.9306999999999999</v>
      </c>
      <c r="K8" s="29">
        <v>3.9597000000000002</v>
      </c>
      <c r="M8" s="41"/>
      <c r="O8" s="26">
        <v>3183.75</v>
      </c>
      <c r="Q8" s="26">
        <v>5818.78</v>
      </c>
      <c r="S8" s="26">
        <v>1469.55</v>
      </c>
      <c r="U8" s="29">
        <v>3.4148000000000001</v>
      </c>
      <c r="W8" s="27">
        <v>30.004100000000001</v>
      </c>
      <c r="Y8" s="29">
        <v>7.5776000000000003</v>
      </c>
      <c r="AA8" s="41">
        <v>540.01300000000003</v>
      </c>
      <c r="AC8" s="27">
        <v>45.645600000000002</v>
      </c>
      <c r="AE8" s="27">
        <v>1</v>
      </c>
      <c r="AG8" s="29">
        <v>7.6547999999999998</v>
      </c>
      <c r="AI8" s="29">
        <v>8.8015000000000008</v>
      </c>
      <c r="AK8" s="27">
        <v>22.196300000000001</v>
      </c>
      <c r="AM8" s="27">
        <v>27.837700000000002</v>
      </c>
      <c r="AO8" s="29"/>
      <c r="AP8" s="28"/>
    </row>
    <row r="9" spans="2:42" hidden="1" outlineLevel="1" x14ac:dyDescent="0.25">
      <c r="B9" s="21">
        <v>42371</v>
      </c>
      <c r="C9" s="27">
        <v>17.215199999999999</v>
      </c>
      <c r="E9" s="30">
        <v>0.92</v>
      </c>
      <c r="G9" s="27">
        <v>12.983499999999999</v>
      </c>
      <c r="I9" s="29">
        <v>6.9297000000000004</v>
      </c>
      <c r="K9" s="29">
        <v>3.9592000000000001</v>
      </c>
      <c r="M9" s="41"/>
      <c r="O9" s="26">
        <v>3183.35</v>
      </c>
      <c r="Q9" s="26">
        <v>5818</v>
      </c>
      <c r="S9" s="26">
        <v>1469.54</v>
      </c>
      <c r="U9" s="29">
        <v>3.4144000000000001</v>
      </c>
      <c r="W9" s="27">
        <v>30</v>
      </c>
      <c r="Y9" s="29">
        <v>7.5775300000000003</v>
      </c>
      <c r="AA9" s="41">
        <v>539.94000000000005</v>
      </c>
      <c r="AC9" s="27">
        <v>45.639499999999998</v>
      </c>
      <c r="AE9" s="27">
        <v>1</v>
      </c>
      <c r="AG9" s="29">
        <v>7.6538000000000004</v>
      </c>
      <c r="AI9" s="29">
        <v>8.8003</v>
      </c>
      <c r="AK9" s="27">
        <v>22.1935</v>
      </c>
      <c r="AM9" s="27">
        <v>27.833500000000001</v>
      </c>
      <c r="AO9" s="29"/>
      <c r="AP9" s="28"/>
    </row>
    <row r="10" spans="2:42" hidden="1" outlineLevel="1" x14ac:dyDescent="0.25">
      <c r="B10" s="21">
        <v>42372</v>
      </c>
      <c r="C10" s="27">
        <v>17.215199999999999</v>
      </c>
      <c r="E10" s="30">
        <v>0.92</v>
      </c>
      <c r="G10" s="27">
        <v>12.9833</v>
      </c>
      <c r="I10" s="29">
        <v>6.9</v>
      </c>
      <c r="K10" s="29">
        <v>3.9620000000000002</v>
      </c>
      <c r="M10" s="41"/>
      <c r="O10" s="26">
        <v>3174.5</v>
      </c>
      <c r="Q10" s="26">
        <v>5730</v>
      </c>
      <c r="S10" s="26">
        <v>1446.24</v>
      </c>
      <c r="U10" s="29">
        <v>3.4024999999999999</v>
      </c>
      <c r="W10" s="27">
        <v>29.94</v>
      </c>
      <c r="Y10" s="29">
        <v>7.5567900000000003</v>
      </c>
      <c r="AA10" s="41">
        <v>539.79999999999995</v>
      </c>
      <c r="AC10" s="27">
        <v>45.13</v>
      </c>
      <c r="AE10" s="27">
        <v>1</v>
      </c>
      <c r="AG10" s="29">
        <v>7.633</v>
      </c>
      <c r="AI10" s="29">
        <v>8.7271999999999998</v>
      </c>
      <c r="AK10" s="27">
        <v>22.13</v>
      </c>
      <c r="AM10" s="27">
        <v>27.931999999999999</v>
      </c>
      <c r="AO10" s="29"/>
      <c r="AP10" s="28"/>
    </row>
    <row r="11" spans="2:42" hidden="1" outlineLevel="1" x14ac:dyDescent="0.25">
      <c r="B11" s="21">
        <v>42373</v>
      </c>
      <c r="C11" s="27">
        <v>17.3157</v>
      </c>
      <c r="E11" s="30">
        <v>0.92030000000000001</v>
      </c>
      <c r="G11" s="27">
        <v>13.0251</v>
      </c>
      <c r="I11" s="29">
        <v>6.9249000000000001</v>
      </c>
      <c r="K11" s="29">
        <v>4.0026000000000002</v>
      </c>
      <c r="M11" s="41"/>
      <c r="O11" s="26">
        <v>3195.18</v>
      </c>
      <c r="Q11" s="26">
        <v>5804.98</v>
      </c>
      <c r="S11" s="26">
        <v>1450.35</v>
      </c>
      <c r="U11" s="29">
        <v>3.4218000000000002</v>
      </c>
      <c r="W11" s="27">
        <v>29.9785</v>
      </c>
      <c r="Y11" s="29">
        <v>7.4899800000000001</v>
      </c>
      <c r="AA11" s="41">
        <v>539.54499999999996</v>
      </c>
      <c r="AC11" s="27">
        <v>45.619799999999998</v>
      </c>
      <c r="AE11" s="27">
        <v>1</v>
      </c>
      <c r="AG11" s="29">
        <v>7.6566000000000001</v>
      </c>
      <c r="AI11" s="29">
        <v>8.7733000000000008</v>
      </c>
      <c r="AK11" s="27">
        <v>22.177099999999999</v>
      </c>
      <c r="AM11" s="27">
        <v>27.813800000000001</v>
      </c>
      <c r="AO11" s="29"/>
      <c r="AP11" s="28"/>
    </row>
    <row r="12" spans="2:42" hidden="1" outlineLevel="1" x14ac:dyDescent="0.25">
      <c r="B12" s="21">
        <v>42374</v>
      </c>
      <c r="C12" s="27">
        <v>17.316500000000001</v>
      </c>
      <c r="E12" s="30">
        <v>0.92710000000000004</v>
      </c>
      <c r="G12" s="27">
        <v>13.3208</v>
      </c>
      <c r="I12" s="29">
        <v>6.9356999999999998</v>
      </c>
      <c r="K12" s="29">
        <v>4.0282999999999998</v>
      </c>
      <c r="M12" s="41"/>
      <c r="O12" s="26">
        <v>3206.98</v>
      </c>
      <c r="Q12" s="26">
        <v>5829.74</v>
      </c>
      <c r="S12" s="26">
        <v>1447.24</v>
      </c>
      <c r="U12" s="29">
        <v>3.4329000000000001</v>
      </c>
      <c r="W12" s="27">
        <v>30.186800000000002</v>
      </c>
      <c r="Y12" s="29">
        <v>7.4939400000000003</v>
      </c>
      <c r="AA12" s="41">
        <v>540.11699999999996</v>
      </c>
      <c r="AC12" s="27">
        <v>45.7395</v>
      </c>
      <c r="AE12" s="27">
        <v>1</v>
      </c>
      <c r="AG12" s="29">
        <v>7.6840999999999999</v>
      </c>
      <c r="AI12" s="29">
        <v>8.7765000000000004</v>
      </c>
      <c r="AK12" s="27">
        <v>22.329499999999999</v>
      </c>
      <c r="AM12" s="27">
        <v>27.870799999999999</v>
      </c>
      <c r="AO12" s="29"/>
      <c r="AP12" s="28"/>
    </row>
    <row r="13" spans="2:42" hidden="1" outlineLevel="1" x14ac:dyDescent="0.25">
      <c r="B13" s="21">
        <v>42375</v>
      </c>
      <c r="C13" s="27">
        <v>17.418199999999999</v>
      </c>
      <c r="E13" s="30">
        <v>0.93020000000000003</v>
      </c>
      <c r="G13" s="27">
        <v>13.7043</v>
      </c>
      <c r="I13" s="29">
        <v>6.9055999999999997</v>
      </c>
      <c r="K13" s="29">
        <v>4.0251999999999999</v>
      </c>
      <c r="M13" s="41"/>
      <c r="O13" s="26">
        <v>3231.18</v>
      </c>
      <c r="Q13" s="26">
        <v>5850.3</v>
      </c>
      <c r="S13" s="26">
        <v>1453.44</v>
      </c>
      <c r="U13" s="29">
        <v>3.4152999999999998</v>
      </c>
      <c r="W13" s="27">
        <v>30.238900000000001</v>
      </c>
      <c r="Y13" s="29">
        <v>7.5125000000000002</v>
      </c>
      <c r="AA13" s="41">
        <v>537.02800000000002</v>
      </c>
      <c r="AC13" s="27">
        <v>45.533700000000003</v>
      </c>
      <c r="AE13" s="27">
        <v>1</v>
      </c>
      <c r="AG13" s="29">
        <v>7.6566000000000001</v>
      </c>
      <c r="AI13" s="29">
        <v>8.7552000000000003</v>
      </c>
      <c r="AK13" s="27">
        <v>22.377300000000002</v>
      </c>
      <c r="AM13" s="27">
        <v>27.741299999999999</v>
      </c>
      <c r="AO13" s="29"/>
      <c r="AP13" s="28"/>
    </row>
    <row r="14" spans="2:42" hidden="1" outlineLevel="1" x14ac:dyDescent="0.25">
      <c r="B14" s="21">
        <v>42376</v>
      </c>
      <c r="C14" s="27">
        <v>17.628900000000002</v>
      </c>
      <c r="E14" s="30">
        <v>0.92310000000000003</v>
      </c>
      <c r="G14" s="27">
        <v>13.866899999999999</v>
      </c>
      <c r="I14" s="29">
        <v>6.9009</v>
      </c>
      <c r="K14" s="29">
        <v>4.0370999999999997</v>
      </c>
      <c r="M14" s="41"/>
      <c r="O14" s="26">
        <v>3244.05</v>
      </c>
      <c r="Q14" s="26">
        <v>5855.13</v>
      </c>
      <c r="S14" s="26">
        <v>1450.33</v>
      </c>
      <c r="U14" s="29">
        <v>3.4127000000000001</v>
      </c>
      <c r="W14" s="27">
        <v>30.174499999999998</v>
      </c>
      <c r="Y14" s="29">
        <v>7.4742600000000001</v>
      </c>
      <c r="AA14" s="41">
        <v>536.16800000000001</v>
      </c>
      <c r="AC14" s="27">
        <v>45.460500000000003</v>
      </c>
      <c r="AE14" s="27">
        <v>1</v>
      </c>
      <c r="AG14" s="29">
        <v>7.6467999999999998</v>
      </c>
      <c r="AI14" s="29">
        <v>8.7417999999999996</v>
      </c>
      <c r="AK14" s="27">
        <v>22.326000000000001</v>
      </c>
      <c r="AM14" s="27">
        <v>27.674900000000001</v>
      </c>
      <c r="AO14" s="29"/>
      <c r="AP14" s="28"/>
    </row>
    <row r="15" spans="2:42" hidden="1" outlineLevel="1" x14ac:dyDescent="0.25">
      <c r="B15" s="21">
        <v>42377</v>
      </c>
      <c r="C15" s="27">
        <v>17.827500000000001</v>
      </c>
      <c r="E15" s="30">
        <v>0.91839999999999999</v>
      </c>
      <c r="G15" s="27">
        <v>13.8813</v>
      </c>
      <c r="I15" s="29">
        <v>6.8917000000000002</v>
      </c>
      <c r="K15" s="29">
        <v>4.0385999999999997</v>
      </c>
      <c r="M15" s="41"/>
      <c r="O15" s="26">
        <v>3257.45</v>
      </c>
      <c r="Q15" s="26">
        <v>5849.43</v>
      </c>
      <c r="S15" s="26">
        <v>1448.43</v>
      </c>
      <c r="U15" s="29">
        <v>3.4053</v>
      </c>
      <c r="W15" s="27">
        <v>30.253799999999998</v>
      </c>
      <c r="Y15" s="29">
        <v>7.49139</v>
      </c>
      <c r="AA15" s="41">
        <v>535.53700000000003</v>
      </c>
      <c r="AC15" s="27">
        <v>45.4146</v>
      </c>
      <c r="AE15" s="27">
        <v>1</v>
      </c>
      <c r="AG15" s="29">
        <v>7.6356000000000002</v>
      </c>
      <c r="AI15" s="29">
        <v>8.7271000000000001</v>
      </c>
      <c r="AK15" s="27">
        <v>22.313199999999998</v>
      </c>
      <c r="AM15" s="27">
        <v>27.6279</v>
      </c>
      <c r="AO15" s="29"/>
      <c r="AP15" s="28"/>
    </row>
    <row r="16" spans="2:42" hidden="1" outlineLevel="1" x14ac:dyDescent="0.25">
      <c r="B16" s="21">
        <v>42378</v>
      </c>
      <c r="C16" s="27">
        <v>17.934899999999999</v>
      </c>
      <c r="E16" s="30">
        <v>0.91520000000000001</v>
      </c>
      <c r="G16" s="27">
        <v>13.820499999999999</v>
      </c>
      <c r="I16" s="29">
        <v>6.8769999999999998</v>
      </c>
      <c r="K16" s="29">
        <v>4.0260999999999996</v>
      </c>
      <c r="M16" s="41"/>
      <c r="O16" s="26">
        <v>3255.25</v>
      </c>
      <c r="Q16" s="26">
        <v>5843.1</v>
      </c>
      <c r="S16" s="26">
        <v>1451.34</v>
      </c>
      <c r="U16" s="29">
        <v>3.4070999999999998</v>
      </c>
      <c r="W16" s="27">
        <v>30.309000000000001</v>
      </c>
      <c r="Y16" s="29">
        <v>7.52827</v>
      </c>
      <c r="AA16" s="41">
        <v>534.34500000000003</v>
      </c>
      <c r="AC16" s="27">
        <v>45.3125</v>
      </c>
      <c r="AE16" s="27">
        <v>1</v>
      </c>
      <c r="AG16" s="29">
        <v>7.6204000000000001</v>
      </c>
      <c r="AI16" s="29">
        <v>8.7083999999999993</v>
      </c>
      <c r="AK16" s="27">
        <v>22.2925</v>
      </c>
      <c r="AM16" s="27">
        <v>27.5625</v>
      </c>
      <c r="AO16" s="29"/>
      <c r="AP16" s="28"/>
    </row>
    <row r="17" spans="2:42" hidden="1" outlineLevel="1" x14ac:dyDescent="0.25">
      <c r="B17" s="21">
        <v>42379</v>
      </c>
      <c r="C17" s="27">
        <v>17.934899999999999</v>
      </c>
      <c r="E17" s="30">
        <v>0.91520000000000001</v>
      </c>
      <c r="G17" s="27">
        <v>13.8241</v>
      </c>
      <c r="I17" s="29">
        <v>6.8769999999999998</v>
      </c>
      <c r="K17" s="29">
        <v>4.0262000000000002</v>
      </c>
      <c r="M17" s="41"/>
      <c r="O17" s="26">
        <v>3255.25</v>
      </c>
      <c r="Q17" s="26">
        <v>5843.1</v>
      </c>
      <c r="S17" s="26">
        <v>1451.31</v>
      </c>
      <c r="U17" s="29">
        <v>3.4070999999999998</v>
      </c>
      <c r="W17" s="27">
        <v>30.309000000000001</v>
      </c>
      <c r="Y17" s="29">
        <v>7.52813</v>
      </c>
      <c r="AA17" s="41">
        <v>534.34500000000003</v>
      </c>
      <c r="AC17" s="27">
        <v>45.3125</v>
      </c>
      <c r="AE17" s="27">
        <v>1</v>
      </c>
      <c r="AG17" s="29">
        <v>7.6204000000000001</v>
      </c>
      <c r="AI17" s="29">
        <v>8.7083999999999993</v>
      </c>
      <c r="AK17" s="27">
        <v>22.2925</v>
      </c>
      <c r="AM17" s="27">
        <v>27.5625</v>
      </c>
      <c r="AO17" s="29"/>
      <c r="AP17" s="28"/>
    </row>
    <row r="18" spans="2:42" hidden="1" outlineLevel="1" x14ac:dyDescent="0.25">
      <c r="B18" s="21">
        <v>42380</v>
      </c>
      <c r="C18" s="27">
        <v>17.912500000000001</v>
      </c>
      <c r="E18" s="30">
        <v>0.91720000000000002</v>
      </c>
      <c r="G18" s="27">
        <v>13.828799999999999</v>
      </c>
      <c r="I18" s="29">
        <v>6.8955000000000002</v>
      </c>
      <c r="K18" s="29">
        <v>4.0323000000000002</v>
      </c>
      <c r="M18" s="41"/>
      <c r="O18" s="26">
        <v>3262.27</v>
      </c>
      <c r="Q18" s="26">
        <v>5860.34</v>
      </c>
      <c r="S18" s="26">
        <v>1453.4</v>
      </c>
      <c r="U18" s="29">
        <v>3.4161999999999999</v>
      </c>
      <c r="W18" s="27">
        <v>30.400099999999998</v>
      </c>
      <c r="Y18" s="29">
        <v>7.5393699999999999</v>
      </c>
      <c r="AA18" s="41">
        <v>535.41899999999998</v>
      </c>
      <c r="AC18" s="27">
        <v>45.442599999999999</v>
      </c>
      <c r="AE18" s="27">
        <v>1</v>
      </c>
      <c r="AG18" s="29">
        <v>7.6382000000000003</v>
      </c>
      <c r="AI18" s="29">
        <v>8.7316000000000003</v>
      </c>
      <c r="AK18" s="27">
        <v>22.3521</v>
      </c>
      <c r="AM18" s="27">
        <v>27.618400000000001</v>
      </c>
      <c r="AO18" s="29"/>
      <c r="AP18" s="28"/>
    </row>
    <row r="19" spans="2:42" hidden="1" outlineLevel="1" x14ac:dyDescent="0.25">
      <c r="B19" s="21">
        <v>42381</v>
      </c>
      <c r="C19" s="27">
        <v>17.887499999999999</v>
      </c>
      <c r="E19" s="30">
        <v>0.92090000000000005</v>
      </c>
      <c r="G19" s="27">
        <v>13.637700000000001</v>
      </c>
      <c r="I19" s="29">
        <v>6.9276</v>
      </c>
      <c r="K19" s="29">
        <v>4.0458999999999996</v>
      </c>
      <c r="M19" s="41"/>
      <c r="O19" s="26">
        <v>3281.83</v>
      </c>
      <c r="Q19" s="26">
        <v>5892.02</v>
      </c>
      <c r="S19" s="26">
        <v>1456.34</v>
      </c>
      <c r="U19" s="29">
        <v>3.4335</v>
      </c>
      <c r="W19" s="27">
        <v>30.607500000000002</v>
      </c>
      <c r="Y19" s="29">
        <v>7.5652699999999999</v>
      </c>
      <c r="AA19" s="41">
        <v>537.34299999999996</v>
      </c>
      <c r="AC19" s="27">
        <v>45.672400000000003</v>
      </c>
      <c r="AE19" s="27">
        <v>1</v>
      </c>
      <c r="AG19" s="29">
        <v>7.6689999999999996</v>
      </c>
      <c r="AI19" s="29">
        <v>8.7723999999999993</v>
      </c>
      <c r="AK19" s="27">
        <v>22.4665</v>
      </c>
      <c r="AM19" s="27">
        <v>27.717400000000001</v>
      </c>
      <c r="AO19" s="29"/>
      <c r="AP19" s="28"/>
    </row>
    <row r="20" spans="2:42" hidden="1" outlineLevel="1" x14ac:dyDescent="0.25">
      <c r="B20" s="21">
        <v>42382</v>
      </c>
      <c r="C20" s="27">
        <v>17.857500000000002</v>
      </c>
      <c r="E20" s="30">
        <v>0.92269999999999996</v>
      </c>
      <c r="G20" s="27">
        <v>13.504099999999999</v>
      </c>
      <c r="I20" s="29">
        <v>6.9169999999999998</v>
      </c>
      <c r="K20" s="29">
        <v>4.0144000000000002</v>
      </c>
      <c r="M20" s="41"/>
      <c r="O20" s="26">
        <v>3288.03</v>
      </c>
      <c r="Q20" s="26">
        <v>5889.09</v>
      </c>
      <c r="S20" s="26">
        <v>1467.03</v>
      </c>
      <c r="U20" s="29">
        <v>3.4285999999999999</v>
      </c>
      <c r="W20" s="27">
        <v>30.655100000000001</v>
      </c>
      <c r="Y20" s="29">
        <v>7.6364700000000001</v>
      </c>
      <c r="AA20" s="41">
        <v>535.90899999999999</v>
      </c>
      <c r="AC20" s="27">
        <v>45.572499999999998</v>
      </c>
      <c r="AE20" s="27">
        <v>1</v>
      </c>
      <c r="AG20" s="29">
        <v>7.6555999999999997</v>
      </c>
      <c r="AI20" s="29">
        <v>8.7586999999999993</v>
      </c>
      <c r="AK20" s="27">
        <v>22.410900000000002</v>
      </c>
      <c r="AM20" s="27">
        <v>27.649799999999999</v>
      </c>
      <c r="AO20" s="29"/>
      <c r="AP20" s="28"/>
    </row>
    <row r="21" spans="2:42" hidden="1" outlineLevel="1" x14ac:dyDescent="0.25">
      <c r="B21" s="21">
        <v>42383</v>
      </c>
      <c r="C21" s="27">
        <v>17.934699999999999</v>
      </c>
      <c r="E21" s="30">
        <v>0.91890000000000005</v>
      </c>
      <c r="G21" s="27">
        <v>13.4648</v>
      </c>
      <c r="I21" s="29">
        <v>6.8859000000000004</v>
      </c>
      <c r="K21" s="29">
        <v>4.0144000000000002</v>
      </c>
      <c r="M21" s="41"/>
      <c r="O21" s="26">
        <v>3262.84</v>
      </c>
      <c r="Q21" s="26">
        <v>5867.73</v>
      </c>
      <c r="S21" s="26">
        <v>1461.72</v>
      </c>
      <c r="U21" s="29">
        <v>3.4140000000000001</v>
      </c>
      <c r="W21" s="27">
        <v>30.580200000000001</v>
      </c>
      <c r="Y21" s="29">
        <v>7.6178900000000001</v>
      </c>
      <c r="AA21" s="41">
        <v>533.18299999999999</v>
      </c>
      <c r="AC21" s="27">
        <v>45.317700000000002</v>
      </c>
      <c r="AE21" s="27">
        <v>1</v>
      </c>
      <c r="AG21" s="29">
        <v>7.6177000000000001</v>
      </c>
      <c r="AI21" s="29">
        <v>8.7189999999999994</v>
      </c>
      <c r="AK21" s="27">
        <v>22.3047</v>
      </c>
      <c r="AM21" s="27">
        <v>27.5059</v>
      </c>
      <c r="AO21" s="29"/>
      <c r="AP21" s="28"/>
    </row>
    <row r="22" spans="2:42" hidden="1" outlineLevel="1" x14ac:dyDescent="0.25">
      <c r="B22" s="21">
        <v>42384</v>
      </c>
      <c r="C22" s="27">
        <v>18.030200000000001</v>
      </c>
      <c r="E22" s="30">
        <v>0.91720000000000002</v>
      </c>
      <c r="G22" s="27">
        <v>13.313000000000001</v>
      </c>
      <c r="I22" s="29">
        <v>6.9298000000000002</v>
      </c>
      <c r="K22" s="29">
        <v>4.0256999999999996</v>
      </c>
      <c r="M22" s="41"/>
      <c r="O22" s="26">
        <v>3257.69</v>
      </c>
      <c r="Q22" s="26">
        <v>5919.86</v>
      </c>
      <c r="S22" s="26">
        <v>1470.54</v>
      </c>
      <c r="U22" s="29">
        <v>3.4359000000000002</v>
      </c>
      <c r="W22" s="27">
        <v>30.8322</v>
      </c>
      <c r="Y22" s="29">
        <v>7.6589400000000003</v>
      </c>
      <c r="AA22" s="41">
        <v>536.51</v>
      </c>
      <c r="AC22" s="27">
        <v>45.493299999999998</v>
      </c>
      <c r="AE22" s="27">
        <v>1</v>
      </c>
      <c r="AG22" s="29">
        <v>7.6577000000000002</v>
      </c>
      <c r="AI22" s="29">
        <v>8.7736999999999998</v>
      </c>
      <c r="AK22" s="27">
        <v>22.5015</v>
      </c>
      <c r="AM22" s="27">
        <v>27.663399999999999</v>
      </c>
      <c r="AO22" s="29"/>
      <c r="AP22" s="28"/>
    </row>
    <row r="23" spans="2:42" hidden="1" outlineLevel="1" x14ac:dyDescent="0.25">
      <c r="B23" s="21">
        <v>42385</v>
      </c>
      <c r="C23" s="27">
        <v>18.2666</v>
      </c>
      <c r="E23" s="30">
        <v>0.91620000000000001</v>
      </c>
      <c r="G23" s="27">
        <v>13.2462</v>
      </c>
      <c r="I23" s="29">
        <v>6.9031000000000002</v>
      </c>
      <c r="K23" s="29">
        <v>4.0483000000000002</v>
      </c>
      <c r="M23" s="41"/>
      <c r="O23" s="26">
        <v>3237.2</v>
      </c>
      <c r="Q23" s="26">
        <v>5911.5</v>
      </c>
      <c r="S23" s="26">
        <v>1460.3</v>
      </c>
      <c r="U23" s="29">
        <v>3.4188999999999998</v>
      </c>
      <c r="W23" s="27">
        <v>30.7135</v>
      </c>
      <c r="Y23" s="29">
        <v>7.58704</v>
      </c>
      <c r="AA23" s="41">
        <v>534.48</v>
      </c>
      <c r="AC23" s="27">
        <v>45.219000000000001</v>
      </c>
      <c r="AE23" s="27">
        <v>1</v>
      </c>
      <c r="AG23" s="29">
        <v>7.6242999999999999</v>
      </c>
      <c r="AI23" s="29">
        <v>8.7403999999999993</v>
      </c>
      <c r="AK23" s="27">
        <v>22.427499999999998</v>
      </c>
      <c r="AM23" s="27">
        <v>27.547499999999999</v>
      </c>
      <c r="AO23" s="29"/>
      <c r="AP23" s="28"/>
    </row>
    <row r="24" spans="2:42" hidden="1" outlineLevel="1" x14ac:dyDescent="0.25">
      <c r="B24" s="21">
        <v>42386</v>
      </c>
      <c r="C24" s="27">
        <v>18.265999999999998</v>
      </c>
      <c r="E24" s="30">
        <v>0.91620000000000001</v>
      </c>
      <c r="G24" s="27">
        <v>13.2197</v>
      </c>
      <c r="I24" s="29">
        <v>6.91</v>
      </c>
      <c r="K24" s="29">
        <v>4.0540000000000003</v>
      </c>
      <c r="M24" s="41"/>
      <c r="O24" s="26">
        <v>3300.9</v>
      </c>
      <c r="Q24" s="26">
        <v>5937</v>
      </c>
      <c r="S24" s="26">
        <v>1464.48</v>
      </c>
      <c r="U24" s="29">
        <v>3.4344999999999999</v>
      </c>
      <c r="W24" s="27">
        <v>30.77</v>
      </c>
      <c r="Y24" s="29">
        <v>7.5900400000000001</v>
      </c>
      <c r="AA24" s="41">
        <v>536.24</v>
      </c>
      <c r="AC24" s="27">
        <v>45.2</v>
      </c>
      <c r="AE24" s="27">
        <v>1</v>
      </c>
      <c r="AG24" s="29">
        <v>7.6334999999999997</v>
      </c>
      <c r="AI24" s="29">
        <v>8.7270000000000003</v>
      </c>
      <c r="AK24" s="27">
        <v>22.454999999999998</v>
      </c>
      <c r="AM24" s="27">
        <v>27.8992</v>
      </c>
      <c r="AO24" s="29"/>
      <c r="AP24" s="28"/>
    </row>
    <row r="25" spans="2:42" hidden="1" outlineLevel="1" x14ac:dyDescent="0.25">
      <c r="B25" s="21">
        <v>42387</v>
      </c>
      <c r="C25" s="27">
        <v>18.232299999999999</v>
      </c>
      <c r="E25" s="30">
        <v>0.91759999999999997</v>
      </c>
      <c r="G25" s="27">
        <v>13.2197</v>
      </c>
      <c r="I25" s="29">
        <v>6.9053000000000004</v>
      </c>
      <c r="K25" s="29">
        <v>4.0418000000000003</v>
      </c>
      <c r="M25" s="41"/>
      <c r="O25" s="26">
        <v>3267.01</v>
      </c>
      <c r="Q25" s="26">
        <v>5899.37</v>
      </c>
      <c r="S25" s="26">
        <v>1459.65</v>
      </c>
      <c r="U25" s="29">
        <v>3.4232999999999998</v>
      </c>
      <c r="W25" s="27">
        <v>30.725200000000001</v>
      </c>
      <c r="Y25" s="29">
        <v>7.60215</v>
      </c>
      <c r="AA25" s="41">
        <v>534.74599999999998</v>
      </c>
      <c r="AC25" s="27">
        <v>45.367199999999997</v>
      </c>
      <c r="AE25" s="27">
        <v>1</v>
      </c>
      <c r="AG25" s="29">
        <v>7.6247999999999996</v>
      </c>
      <c r="AI25" s="29">
        <v>8.7436000000000007</v>
      </c>
      <c r="AK25" s="27">
        <v>22.430399999999999</v>
      </c>
      <c r="AM25" s="27">
        <v>27.646899999999999</v>
      </c>
      <c r="AO25" s="29"/>
      <c r="AP25" s="28"/>
    </row>
    <row r="26" spans="2:42" hidden="1" outlineLevel="1" x14ac:dyDescent="0.25">
      <c r="B26" s="21">
        <v>42388</v>
      </c>
      <c r="C26" s="27">
        <v>18.1692</v>
      </c>
      <c r="E26" s="30">
        <v>0.91830000000000001</v>
      </c>
      <c r="G26" s="27">
        <v>13.506500000000001</v>
      </c>
      <c r="I26" s="29">
        <v>6.9105999999999996</v>
      </c>
      <c r="K26" s="29">
        <v>4.0507999999999997</v>
      </c>
      <c r="M26" s="41"/>
      <c r="O26" s="26">
        <v>3302.74</v>
      </c>
      <c r="Q26" s="26">
        <v>5901.63</v>
      </c>
      <c r="S26" s="26">
        <v>1456.93</v>
      </c>
      <c r="U26" s="29">
        <v>3.4317000000000002</v>
      </c>
      <c r="W26" s="27">
        <v>30.7822</v>
      </c>
      <c r="Y26" s="29">
        <v>7.59917</v>
      </c>
      <c r="AA26" s="41">
        <v>535.14700000000005</v>
      </c>
      <c r="AC26" s="27">
        <v>45.534300000000002</v>
      </c>
      <c r="AE26" s="27">
        <v>1</v>
      </c>
      <c r="AG26" s="29">
        <v>7.6285999999999996</v>
      </c>
      <c r="AI26" s="29">
        <v>8.7507999999999999</v>
      </c>
      <c r="AK26" s="27">
        <v>22.429200000000002</v>
      </c>
      <c r="AM26" s="27">
        <v>27.572900000000001</v>
      </c>
      <c r="AO26" s="29"/>
      <c r="AP26" s="28"/>
    </row>
    <row r="27" spans="2:42" hidden="1" outlineLevel="1" x14ac:dyDescent="0.25">
      <c r="B27" s="21">
        <v>42389</v>
      </c>
      <c r="C27" s="27">
        <v>18.411300000000001</v>
      </c>
      <c r="E27" s="30">
        <v>0.91549999999999998</v>
      </c>
      <c r="G27" s="27">
        <v>13.4564</v>
      </c>
      <c r="I27" s="29">
        <v>6.8883000000000001</v>
      </c>
      <c r="K27" s="29">
        <v>4.0789</v>
      </c>
      <c r="M27" s="41"/>
      <c r="O27" s="26">
        <v>3314.25</v>
      </c>
      <c r="Q27" s="26">
        <v>5897.05</v>
      </c>
      <c r="S27" s="26">
        <v>1445.81</v>
      </c>
      <c r="U27" s="29">
        <v>3.4262999999999999</v>
      </c>
      <c r="W27" s="27">
        <v>30.756699999999999</v>
      </c>
      <c r="Y27" s="29">
        <v>7.5407200000000003</v>
      </c>
      <c r="AA27" s="41">
        <v>533.45100000000002</v>
      </c>
      <c r="AC27" s="27">
        <v>45.462499999999999</v>
      </c>
      <c r="AE27" s="27">
        <v>1</v>
      </c>
      <c r="AG27" s="29">
        <v>7.6021000000000001</v>
      </c>
      <c r="AI27" s="29">
        <v>8.7220999999999993</v>
      </c>
      <c r="AK27" s="27">
        <v>22.398700000000002</v>
      </c>
      <c r="AM27" s="27">
        <v>27.635000000000002</v>
      </c>
      <c r="AO27" s="29"/>
      <c r="AP27" s="28"/>
    </row>
    <row r="28" spans="2:42" hidden="1" outlineLevel="1" x14ac:dyDescent="0.25">
      <c r="B28" s="21">
        <v>42390</v>
      </c>
      <c r="C28" s="27">
        <v>18.5351</v>
      </c>
      <c r="E28" s="30">
        <v>0.91949999999999998</v>
      </c>
      <c r="G28" s="27">
        <v>13.4612</v>
      </c>
      <c r="I28" s="29">
        <v>6.9225000000000003</v>
      </c>
      <c r="K28" s="29">
        <v>4.1258999999999997</v>
      </c>
      <c r="M28" s="41"/>
      <c r="O28" s="26">
        <v>3338.86</v>
      </c>
      <c r="Q28" s="26">
        <v>5925.15</v>
      </c>
      <c r="S28" s="26">
        <v>1436.13</v>
      </c>
      <c r="U28" s="29">
        <v>3.4472999999999998</v>
      </c>
      <c r="W28" s="27">
        <v>30.944700000000001</v>
      </c>
      <c r="Y28" s="29">
        <v>7.5003500000000001</v>
      </c>
      <c r="AA28" s="41">
        <v>536.25099999999998</v>
      </c>
      <c r="AC28" s="27">
        <v>45.849200000000003</v>
      </c>
      <c r="AE28" s="27">
        <v>1</v>
      </c>
      <c r="AG28" s="29">
        <v>7.6420000000000003</v>
      </c>
      <c r="AI28" s="29">
        <v>8.766</v>
      </c>
      <c r="AK28" s="27">
        <v>22.503799999999998</v>
      </c>
      <c r="AM28" s="27">
        <v>27.709399999999999</v>
      </c>
      <c r="AO28" s="29"/>
      <c r="AP28" s="28"/>
    </row>
    <row r="29" spans="2:42" hidden="1" outlineLevel="1" x14ac:dyDescent="0.25">
      <c r="B29" s="21">
        <v>42391</v>
      </c>
      <c r="C29" s="27">
        <v>18.584800000000001</v>
      </c>
      <c r="E29" s="30">
        <v>0.92320000000000002</v>
      </c>
      <c r="G29" s="27">
        <v>13.584300000000001</v>
      </c>
      <c r="I29" s="29">
        <v>6.9314</v>
      </c>
      <c r="K29" s="29">
        <v>4.1353</v>
      </c>
      <c r="M29" s="41"/>
      <c r="O29" s="26">
        <v>3364.22</v>
      </c>
      <c r="Q29" s="26">
        <v>5947.84</v>
      </c>
      <c r="S29" s="26">
        <v>1438.35</v>
      </c>
      <c r="U29" s="29">
        <v>3.4573</v>
      </c>
      <c r="W29" s="27">
        <v>31.022500000000001</v>
      </c>
      <c r="Y29" s="29">
        <v>7.5020600000000002</v>
      </c>
      <c r="AA29" s="41">
        <v>537.16899999999998</v>
      </c>
      <c r="AC29" s="27">
        <v>45.713299999999997</v>
      </c>
      <c r="AE29" s="27">
        <v>1</v>
      </c>
      <c r="AG29" s="29">
        <v>7.6619999999999999</v>
      </c>
      <c r="AI29" s="29">
        <v>8.7764000000000006</v>
      </c>
      <c r="AK29" s="27">
        <v>22.592400000000001</v>
      </c>
      <c r="AM29" s="27">
        <v>27.713899999999999</v>
      </c>
      <c r="AO29" s="29"/>
      <c r="AP29" s="28"/>
    </row>
    <row r="30" spans="2:42" hidden="1" outlineLevel="1" x14ac:dyDescent="0.25">
      <c r="B30" s="21">
        <v>42392</v>
      </c>
      <c r="C30" s="27">
        <v>18.442900000000002</v>
      </c>
      <c r="E30" s="30">
        <v>0.92610000000000003</v>
      </c>
      <c r="G30" s="27">
        <v>13.561</v>
      </c>
      <c r="I30" s="29">
        <v>6.9314</v>
      </c>
      <c r="K30" s="29">
        <v>4.0949</v>
      </c>
      <c r="M30" s="41"/>
      <c r="O30" s="26">
        <v>3330.3</v>
      </c>
      <c r="Q30" s="26">
        <v>5959.85</v>
      </c>
      <c r="S30" s="26">
        <v>1455.46</v>
      </c>
      <c r="U30" s="29">
        <v>3.4744999999999999</v>
      </c>
      <c r="W30" s="27">
        <v>31.1005</v>
      </c>
      <c r="Y30" s="29">
        <v>7.5950600000000001</v>
      </c>
      <c r="AA30" s="41">
        <v>537.495</v>
      </c>
      <c r="AC30" s="27">
        <v>45.816499999999998</v>
      </c>
      <c r="AE30" s="27">
        <v>1</v>
      </c>
      <c r="AG30" s="29">
        <v>7.6696999999999997</v>
      </c>
      <c r="AI30" s="29">
        <v>8.7766000000000002</v>
      </c>
      <c r="AK30" s="27">
        <v>22.57</v>
      </c>
      <c r="AM30" s="27">
        <v>27.58</v>
      </c>
      <c r="AO30" s="29"/>
      <c r="AP30" s="28"/>
    </row>
    <row r="31" spans="2:42" hidden="1" outlineLevel="1" x14ac:dyDescent="0.25">
      <c r="B31" s="21">
        <v>42393</v>
      </c>
      <c r="C31" s="27">
        <v>18.4419</v>
      </c>
      <c r="E31" s="30">
        <v>0.92610000000000003</v>
      </c>
      <c r="G31" s="27">
        <v>13.561299999999999</v>
      </c>
      <c r="I31" s="29">
        <v>6.9314</v>
      </c>
      <c r="K31" s="29">
        <v>4.0949</v>
      </c>
      <c r="M31" s="41"/>
      <c r="O31" s="26">
        <v>3330.3</v>
      </c>
      <c r="Q31" s="26">
        <v>5959.85</v>
      </c>
      <c r="S31" s="26">
        <v>1455.46</v>
      </c>
      <c r="U31" s="29">
        <v>3.4744999999999999</v>
      </c>
      <c r="W31" s="27">
        <v>31.1005</v>
      </c>
      <c r="Y31" s="29">
        <v>7.5950600000000001</v>
      </c>
      <c r="AA31" s="41">
        <v>537.495</v>
      </c>
      <c r="AC31" s="27">
        <v>45.816499999999998</v>
      </c>
      <c r="AE31" s="27">
        <v>1</v>
      </c>
      <c r="AG31" s="29">
        <v>7.6696999999999997</v>
      </c>
      <c r="AI31" s="29">
        <v>8.7766000000000002</v>
      </c>
      <c r="AK31" s="27">
        <v>22.57</v>
      </c>
      <c r="AM31" s="27">
        <v>27.58</v>
      </c>
      <c r="AO31" s="29"/>
      <c r="AP31" s="28"/>
    </row>
    <row r="32" spans="2:42" hidden="1" outlineLevel="1" x14ac:dyDescent="0.25">
      <c r="B32" s="21">
        <v>42394</v>
      </c>
      <c r="C32" s="27">
        <v>18.492000000000001</v>
      </c>
      <c r="E32" s="30">
        <v>0.9244</v>
      </c>
      <c r="G32" s="27">
        <v>13.7064</v>
      </c>
      <c r="I32" s="29">
        <v>6.9215999999999998</v>
      </c>
      <c r="K32" s="29">
        <v>4.0937999999999999</v>
      </c>
      <c r="M32" s="41"/>
      <c r="O32" s="26">
        <v>3340.46</v>
      </c>
      <c r="Q32" s="26">
        <v>5955.63</v>
      </c>
      <c r="S32" s="26">
        <v>1454.84</v>
      </c>
      <c r="U32" s="29">
        <v>3.4657</v>
      </c>
      <c r="W32" s="27">
        <v>31.077400000000001</v>
      </c>
      <c r="Y32" s="29">
        <v>7.5915400000000002</v>
      </c>
      <c r="AA32" s="41">
        <v>536.82500000000005</v>
      </c>
      <c r="AC32" s="27">
        <v>45.716799999999999</v>
      </c>
      <c r="AE32" s="27">
        <v>1</v>
      </c>
      <c r="AG32" s="29">
        <v>7.6590999999999996</v>
      </c>
      <c r="AI32" s="29">
        <v>8.7635000000000005</v>
      </c>
      <c r="AK32" s="27">
        <v>22.525500000000001</v>
      </c>
      <c r="AM32" s="27">
        <v>27.583200000000001</v>
      </c>
      <c r="AO32" s="29"/>
      <c r="AP32" s="28"/>
    </row>
    <row r="33" spans="2:42" hidden="1" outlineLevel="1" x14ac:dyDescent="0.25">
      <c r="B33" s="21">
        <v>42395</v>
      </c>
      <c r="C33" s="27">
        <v>18.567699999999999</v>
      </c>
      <c r="E33" s="30">
        <v>0.92210000000000003</v>
      </c>
      <c r="G33" s="27">
        <v>13.773400000000001</v>
      </c>
      <c r="I33" s="29">
        <v>6.8979999999999997</v>
      </c>
      <c r="K33" s="29">
        <v>4.0820999999999996</v>
      </c>
      <c r="M33" s="41"/>
      <c r="O33" s="26">
        <v>3331.85</v>
      </c>
      <c r="Q33" s="26">
        <v>5936.22</v>
      </c>
      <c r="S33" s="26">
        <v>1454.26</v>
      </c>
      <c r="U33" s="29">
        <v>3.4502000000000002</v>
      </c>
      <c r="W33" s="27">
        <v>30.981400000000001</v>
      </c>
      <c r="Y33" s="29">
        <v>7.5897899999999998</v>
      </c>
      <c r="AA33" s="41">
        <v>535.19100000000003</v>
      </c>
      <c r="AC33" s="27">
        <v>45.515599999999999</v>
      </c>
      <c r="AE33" s="27">
        <v>1</v>
      </c>
      <c r="AG33" s="29">
        <v>7.6357999999999997</v>
      </c>
      <c r="AI33" s="29">
        <v>8.7339000000000002</v>
      </c>
      <c r="AK33" s="27">
        <v>22.463100000000001</v>
      </c>
      <c r="AM33" s="27">
        <v>27.382400000000001</v>
      </c>
      <c r="AO33" s="29"/>
      <c r="AP33" s="28"/>
    </row>
    <row r="34" spans="2:42" hidden="1" outlineLevel="1" x14ac:dyDescent="0.25">
      <c r="B34" s="21">
        <v>42396</v>
      </c>
      <c r="C34" s="27">
        <v>18.445599999999999</v>
      </c>
      <c r="E34" s="30">
        <v>0.91990000000000005</v>
      </c>
      <c r="G34" s="27">
        <v>13.837199999999999</v>
      </c>
      <c r="I34" s="29">
        <v>6.8977000000000004</v>
      </c>
      <c r="K34" s="29">
        <v>4.0690999999999997</v>
      </c>
      <c r="M34" s="41"/>
      <c r="O34" s="26">
        <v>3380.16</v>
      </c>
      <c r="Q34" s="26">
        <v>5926.73</v>
      </c>
      <c r="S34" s="26">
        <v>1456.57</v>
      </c>
      <c r="U34" s="29">
        <v>3.4584999999999999</v>
      </c>
      <c r="W34" s="27">
        <v>30.984000000000002</v>
      </c>
      <c r="Y34" s="29">
        <v>7.6147</v>
      </c>
      <c r="AA34" s="41">
        <v>535.37099999999998</v>
      </c>
      <c r="AC34" s="27">
        <v>45.6006</v>
      </c>
      <c r="AE34" s="27">
        <v>1</v>
      </c>
      <c r="AG34" s="29">
        <v>7.6489000000000003</v>
      </c>
      <c r="AI34" s="29">
        <v>8.734</v>
      </c>
      <c r="AK34" s="27">
        <v>22.4847</v>
      </c>
      <c r="AM34" s="27">
        <v>27.428000000000001</v>
      </c>
      <c r="AO34" s="29"/>
      <c r="AP34" s="28"/>
    </row>
    <row r="35" spans="2:42" hidden="1" outlineLevel="1" x14ac:dyDescent="0.25">
      <c r="B35" s="21">
        <v>42397</v>
      </c>
      <c r="C35" s="27">
        <v>18.375</v>
      </c>
      <c r="E35" s="30">
        <v>0.91659999999999997</v>
      </c>
      <c r="G35" s="27">
        <v>13.8416</v>
      </c>
      <c r="I35" s="29">
        <v>6.9035000000000002</v>
      </c>
      <c r="K35" s="29">
        <v>4.0949999999999998</v>
      </c>
      <c r="M35" s="41"/>
      <c r="O35" s="26">
        <v>3345.5</v>
      </c>
      <c r="Q35" s="26">
        <v>5927.28</v>
      </c>
      <c r="S35" s="26">
        <v>1447.45</v>
      </c>
      <c r="U35" s="29">
        <v>3.4607000000000001</v>
      </c>
      <c r="W35" s="27">
        <v>31.033899999999999</v>
      </c>
      <c r="Y35" s="29">
        <v>7.5785200000000001</v>
      </c>
      <c r="AA35" s="41">
        <v>536.08100000000002</v>
      </c>
      <c r="AC35" s="27">
        <v>45.603999999999999</v>
      </c>
      <c r="AE35" s="27">
        <v>1</v>
      </c>
      <c r="AG35" s="29">
        <v>7.6711</v>
      </c>
      <c r="AI35" s="29">
        <v>8.7416</v>
      </c>
      <c r="AK35" s="27">
        <v>22.476400000000002</v>
      </c>
      <c r="AM35" s="27">
        <v>27.372599999999998</v>
      </c>
      <c r="AO35" s="29"/>
      <c r="AP35" s="28"/>
    </row>
    <row r="36" spans="2:42" hidden="1" outlineLevel="1" x14ac:dyDescent="0.25">
      <c r="B36" s="21">
        <v>42398</v>
      </c>
      <c r="C36" s="27">
        <v>18.250399999999999</v>
      </c>
      <c r="E36" s="30">
        <v>0.91790000000000005</v>
      </c>
      <c r="G36" s="27">
        <v>13.8561</v>
      </c>
      <c r="I36" s="29">
        <v>6.9013</v>
      </c>
      <c r="K36" s="29">
        <v>4.0511999999999997</v>
      </c>
      <c r="M36" s="41"/>
      <c r="O36" s="26">
        <v>3313.58</v>
      </c>
      <c r="Q36" s="26">
        <v>5923.6</v>
      </c>
      <c r="S36" s="26">
        <v>1462.2</v>
      </c>
      <c r="U36" s="29">
        <v>3.4634</v>
      </c>
      <c r="W36" s="27">
        <v>31.014700000000001</v>
      </c>
      <c r="Y36" s="29">
        <v>7.6557700000000004</v>
      </c>
      <c r="AA36" s="41">
        <v>536.51400000000001</v>
      </c>
      <c r="AC36" s="27">
        <v>45.5381</v>
      </c>
      <c r="AE36" s="27">
        <v>1</v>
      </c>
      <c r="AG36" s="29">
        <v>7.6706000000000003</v>
      </c>
      <c r="AI36" s="29">
        <v>8.7393000000000001</v>
      </c>
      <c r="AK36" s="27">
        <v>22.411000000000001</v>
      </c>
      <c r="AM36" s="27">
        <v>27.351400000000002</v>
      </c>
      <c r="AO36" s="29"/>
      <c r="AP36" s="28"/>
    </row>
    <row r="37" spans="2:42" hidden="1" outlineLevel="1" x14ac:dyDescent="0.25">
      <c r="B37" s="21">
        <v>42399</v>
      </c>
      <c r="C37" s="27">
        <v>18.111000000000001</v>
      </c>
      <c r="E37" s="30">
        <v>0.92330000000000001</v>
      </c>
      <c r="G37" s="27">
        <v>13.9305</v>
      </c>
      <c r="I37" s="29">
        <v>6.9633000000000003</v>
      </c>
      <c r="K37" s="29">
        <v>3.9990999999999999</v>
      </c>
      <c r="M37" s="41"/>
      <c r="O37" s="26">
        <v>3307.05</v>
      </c>
      <c r="Q37" s="26">
        <v>5971.05</v>
      </c>
      <c r="S37" s="26">
        <v>1493.13</v>
      </c>
      <c r="U37" s="29">
        <v>3.4922</v>
      </c>
      <c r="W37" s="27">
        <v>31.263999999999999</v>
      </c>
      <c r="Y37" s="29">
        <v>7.8178999999999998</v>
      </c>
      <c r="AA37" s="41">
        <v>541.73500000000001</v>
      </c>
      <c r="AC37" s="27">
        <v>45.905999999999999</v>
      </c>
      <c r="AE37" s="27">
        <v>1</v>
      </c>
      <c r="AG37" s="29">
        <v>7.7361000000000004</v>
      </c>
      <c r="AI37" s="29">
        <v>8.8172999999999995</v>
      </c>
      <c r="AK37" s="27">
        <v>22.602499999999999</v>
      </c>
      <c r="AM37" s="27">
        <v>27.5855</v>
      </c>
      <c r="AO37" s="29"/>
      <c r="AP37" s="28"/>
    </row>
    <row r="38" spans="2:42" hidden="1" outlineLevel="1" x14ac:dyDescent="0.25">
      <c r="B38" s="21">
        <v>42400</v>
      </c>
      <c r="C38" s="49">
        <v>18.290600000000001</v>
      </c>
      <c r="E38" s="30">
        <v>0.92330000000000001</v>
      </c>
      <c r="G38" s="27">
        <v>13.9297</v>
      </c>
      <c r="I38" s="29">
        <v>6.9</v>
      </c>
      <c r="K38" s="29">
        <v>3.9983</v>
      </c>
      <c r="M38" s="41"/>
      <c r="O38" s="26">
        <v>3282</v>
      </c>
      <c r="Q38" s="26">
        <v>5952</v>
      </c>
      <c r="S38" s="26">
        <v>1488.63</v>
      </c>
      <c r="U38" s="29">
        <v>3.4695</v>
      </c>
      <c r="W38" s="27">
        <v>31.08</v>
      </c>
      <c r="Y38" s="29">
        <v>7.7732999999999999</v>
      </c>
      <c r="AA38" s="41">
        <v>538.79</v>
      </c>
      <c r="AC38" s="27">
        <v>45.5</v>
      </c>
      <c r="AE38" s="27">
        <v>1</v>
      </c>
      <c r="AG38" s="29">
        <v>7.6779999999999999</v>
      </c>
      <c r="AI38" s="29">
        <v>8.7270000000000003</v>
      </c>
      <c r="AK38" s="27">
        <v>22.41</v>
      </c>
      <c r="AM38" s="27">
        <v>27.35</v>
      </c>
      <c r="AO38" s="29"/>
      <c r="AP38" s="28"/>
    </row>
    <row r="39" spans="2:42" ht="13" collapsed="1" x14ac:dyDescent="0.3">
      <c r="B39" s="25" t="s">
        <v>139</v>
      </c>
      <c r="C39" s="19">
        <v>18.016999999999999</v>
      </c>
      <c r="E39" s="24">
        <v>0.92040599999999995</v>
      </c>
      <c r="G39" s="19">
        <v>13.5426</v>
      </c>
      <c r="I39" s="23">
        <v>6.9112400000000003</v>
      </c>
      <c r="J39" s="9"/>
      <c r="K39" s="23">
        <v>4.0422900000000004</v>
      </c>
      <c r="M39" s="42" t="s">
        <v>78</v>
      </c>
      <c r="O39" s="31">
        <v>3278.26</v>
      </c>
      <c r="Q39" s="31">
        <v>5890.43</v>
      </c>
      <c r="S39" s="31">
        <v>1457.3</v>
      </c>
      <c r="U39" s="23">
        <v>3.4358300000000002</v>
      </c>
      <c r="W39" s="19">
        <v>30.639379999999999</v>
      </c>
      <c r="Y39" s="23">
        <v>7.58005</v>
      </c>
      <c r="AA39" s="42">
        <v>536.71600000000001</v>
      </c>
      <c r="AC39" s="19">
        <v>45.537599999999998</v>
      </c>
      <c r="AE39" s="19">
        <v>1</v>
      </c>
      <c r="AG39" s="23">
        <v>7.6502100000000004</v>
      </c>
      <c r="AI39" s="23">
        <v>8.75197</v>
      </c>
      <c r="AK39" s="19">
        <v>22.400449999999999</v>
      </c>
      <c r="AM39" s="19">
        <v>27.63064</v>
      </c>
      <c r="AO39" s="23" t="s">
        <v>78</v>
      </c>
      <c r="AP39" s="10"/>
    </row>
    <row r="40" spans="2:42" hidden="1" outlineLevel="1" x14ac:dyDescent="0.25">
      <c r="B40" s="21">
        <v>42401</v>
      </c>
      <c r="C40" s="27">
        <v>18.209499999999998</v>
      </c>
      <c r="E40" s="30">
        <v>0.92069999999999996</v>
      </c>
      <c r="G40" s="27">
        <v>13.9787</v>
      </c>
      <c r="I40" s="29">
        <v>6.9336000000000002</v>
      </c>
      <c r="K40" s="29">
        <v>3.9918</v>
      </c>
      <c r="M40" s="41"/>
      <c r="O40" s="26">
        <v>3303.45</v>
      </c>
      <c r="Q40" s="26">
        <v>5947.68</v>
      </c>
      <c r="S40" s="26">
        <v>1489.99</v>
      </c>
      <c r="U40" s="29">
        <v>3.4859</v>
      </c>
      <c r="W40" s="27">
        <v>31.1449</v>
      </c>
      <c r="Y40" s="29">
        <v>7.8022799999999997</v>
      </c>
      <c r="AA40" s="41">
        <v>539.73599999999999</v>
      </c>
      <c r="AC40" s="27">
        <v>45.759500000000003</v>
      </c>
      <c r="AE40" s="27">
        <v>1</v>
      </c>
      <c r="AG40" s="29">
        <v>7.7001999999999997</v>
      </c>
      <c r="AI40" s="29">
        <v>8.7798999999999996</v>
      </c>
      <c r="AK40" s="27">
        <v>22.523399999999999</v>
      </c>
      <c r="AM40" s="27">
        <v>27.462700000000002</v>
      </c>
      <c r="AO40" s="29"/>
      <c r="AP40" s="28"/>
    </row>
    <row r="41" spans="2:42" hidden="1" outlineLevel="1" x14ac:dyDescent="0.25">
      <c r="B41" s="21">
        <v>42402</v>
      </c>
      <c r="C41" s="27">
        <v>18.3581</v>
      </c>
      <c r="E41" s="30">
        <v>0.91679999999999995</v>
      </c>
      <c r="G41" s="27">
        <v>14.11</v>
      </c>
      <c r="I41" s="29">
        <v>6.8998999999999997</v>
      </c>
      <c r="K41" s="29">
        <v>3.9759000000000002</v>
      </c>
      <c r="M41" s="41"/>
      <c r="O41" s="26">
        <v>3307.16</v>
      </c>
      <c r="Q41" s="26">
        <v>5912.31</v>
      </c>
      <c r="S41" s="26">
        <v>1487.06</v>
      </c>
      <c r="U41" s="29">
        <v>3.4826000000000001</v>
      </c>
      <c r="W41" s="27">
        <v>31.009799999999998</v>
      </c>
      <c r="Y41" s="29">
        <v>7.7995200000000002</v>
      </c>
      <c r="AA41" s="41">
        <v>537.452</v>
      </c>
      <c r="AC41" s="27">
        <v>45.513300000000001</v>
      </c>
      <c r="AE41" s="27">
        <v>1</v>
      </c>
      <c r="AG41" s="29">
        <v>7.6551</v>
      </c>
      <c r="AI41" s="29">
        <v>8.7368000000000006</v>
      </c>
      <c r="AK41" s="27">
        <v>22.394300000000001</v>
      </c>
      <c r="AM41" s="27">
        <v>27.3157</v>
      </c>
      <c r="AO41" s="29"/>
      <c r="AP41" s="28"/>
    </row>
    <row r="42" spans="2:42" hidden="1" outlineLevel="1" x14ac:dyDescent="0.25">
      <c r="B42" s="21">
        <v>42403</v>
      </c>
      <c r="C42" s="27">
        <v>18.4437</v>
      </c>
      <c r="E42" s="30">
        <v>0.91220000000000001</v>
      </c>
      <c r="G42" s="27">
        <v>14.118</v>
      </c>
      <c r="I42" s="29">
        <v>6.9095000000000004</v>
      </c>
      <c r="K42" s="29">
        <v>3.9636999999999998</v>
      </c>
      <c r="M42" s="41"/>
      <c r="O42" s="26">
        <v>3349.21</v>
      </c>
      <c r="Q42" s="26">
        <v>5891.89</v>
      </c>
      <c r="S42" s="26">
        <v>1486.49</v>
      </c>
      <c r="U42" s="29">
        <v>3.4866000000000001</v>
      </c>
      <c r="W42" s="27">
        <v>31.047699999999999</v>
      </c>
      <c r="Y42" s="29">
        <v>7.8331900000000001</v>
      </c>
      <c r="AA42" s="41">
        <v>538.29999999999995</v>
      </c>
      <c r="AC42" s="27">
        <v>45.628399999999999</v>
      </c>
      <c r="AE42" s="27">
        <v>1</v>
      </c>
      <c r="AG42" s="29">
        <v>7.6585000000000001</v>
      </c>
      <c r="AI42" s="29">
        <v>8.7483000000000004</v>
      </c>
      <c r="AK42" s="27">
        <v>22.397099999999998</v>
      </c>
      <c r="AM42" s="27">
        <v>27.308</v>
      </c>
      <c r="AO42" s="29"/>
      <c r="AP42" s="28"/>
    </row>
    <row r="43" spans="2:42" hidden="1" outlineLevel="1" x14ac:dyDescent="0.25">
      <c r="B43" s="21">
        <v>42404</v>
      </c>
      <c r="C43" s="27">
        <v>18.175000000000001</v>
      </c>
      <c r="E43" s="30">
        <v>0.89759999999999995</v>
      </c>
      <c r="G43" s="27">
        <v>14.1578</v>
      </c>
      <c r="I43" s="29">
        <v>6.8418999999999999</v>
      </c>
      <c r="K43" s="29">
        <v>3.8866999999999998</v>
      </c>
      <c r="M43" s="41"/>
      <c r="O43" s="26">
        <v>3345.92</v>
      </c>
      <c r="Q43" s="26">
        <v>5816.14</v>
      </c>
      <c r="S43" s="26">
        <v>1496.48</v>
      </c>
      <c r="U43" s="29">
        <v>3.4556</v>
      </c>
      <c r="W43" s="27">
        <v>30.784700000000001</v>
      </c>
      <c r="Y43" s="29">
        <v>7.9208400000000001</v>
      </c>
      <c r="AA43" s="41">
        <v>533.22900000000004</v>
      </c>
      <c r="AC43" s="27">
        <v>45.276699999999998</v>
      </c>
      <c r="AE43" s="27">
        <v>1</v>
      </c>
      <c r="AG43" s="29">
        <v>7.577</v>
      </c>
      <c r="AI43" s="29">
        <v>8.6638000000000002</v>
      </c>
      <c r="AK43" s="27">
        <v>22.242799999999999</v>
      </c>
      <c r="AM43" s="27">
        <v>27.3506</v>
      </c>
      <c r="AO43" s="29"/>
      <c r="AP43" s="28"/>
    </row>
    <row r="44" spans="2:42" hidden="1" outlineLevel="1" x14ac:dyDescent="0.25">
      <c r="B44" s="21">
        <v>42405</v>
      </c>
      <c r="C44" s="27">
        <v>18.295100000000001</v>
      </c>
      <c r="E44" s="30">
        <v>0.89449999999999996</v>
      </c>
      <c r="G44" s="27">
        <v>14.2212</v>
      </c>
      <c r="I44" s="29">
        <v>6.8989000000000003</v>
      </c>
      <c r="K44" s="29">
        <v>3.8965000000000001</v>
      </c>
      <c r="M44" s="41"/>
      <c r="O44" s="26">
        <v>3347.01</v>
      </c>
      <c r="Q44" s="26">
        <v>5873.81</v>
      </c>
      <c r="S44" s="26">
        <v>1507.5</v>
      </c>
      <c r="U44" s="29">
        <v>3.4794</v>
      </c>
      <c r="W44" s="27">
        <v>31.1008</v>
      </c>
      <c r="Y44" s="29">
        <v>7.9819100000000001</v>
      </c>
      <c r="AA44" s="41">
        <v>537.69600000000003</v>
      </c>
      <c r="AC44" s="27">
        <v>45.685499999999998</v>
      </c>
      <c r="AE44" s="27">
        <v>1</v>
      </c>
      <c r="AG44" s="29">
        <v>7.6349</v>
      </c>
      <c r="AI44" s="29">
        <v>8.7371999999999996</v>
      </c>
      <c r="AK44" s="27">
        <v>22.534400000000002</v>
      </c>
      <c r="AM44" s="27">
        <v>28.102</v>
      </c>
      <c r="AO44" s="29"/>
      <c r="AP44" s="28"/>
    </row>
    <row r="45" spans="2:42" hidden="1" outlineLevel="1" x14ac:dyDescent="0.25">
      <c r="B45" s="21">
        <v>42406</v>
      </c>
      <c r="C45" s="27">
        <v>18.4467</v>
      </c>
      <c r="E45" s="30">
        <v>0.8962</v>
      </c>
      <c r="G45" s="27">
        <v>14.361000000000001</v>
      </c>
      <c r="I45" s="29">
        <v>6.9107000000000003</v>
      </c>
      <c r="K45" s="29">
        <v>3.9037999999999999</v>
      </c>
      <c r="M45" s="41"/>
      <c r="O45" s="26">
        <v>3334</v>
      </c>
      <c r="Q45" s="26">
        <v>5886.45</v>
      </c>
      <c r="S45" s="26">
        <v>1507.94</v>
      </c>
      <c r="U45" s="29">
        <v>3.4805000000000001</v>
      </c>
      <c r="W45" s="27">
        <v>31.148</v>
      </c>
      <c r="Y45" s="29">
        <v>7.9792100000000001</v>
      </c>
      <c r="AA45" s="41">
        <v>538.59500000000003</v>
      </c>
      <c r="AC45" s="27">
        <v>45.715000000000003</v>
      </c>
      <c r="AE45" s="27">
        <v>1</v>
      </c>
      <c r="AG45" s="29">
        <v>7.6478999999999999</v>
      </c>
      <c r="AI45" s="29">
        <v>8.7515999999999998</v>
      </c>
      <c r="AK45" s="27">
        <v>22.55</v>
      </c>
      <c r="AM45" s="27">
        <v>28.05</v>
      </c>
      <c r="AO45" s="29"/>
      <c r="AP45" s="28"/>
    </row>
    <row r="46" spans="2:42" hidden="1" outlineLevel="1" x14ac:dyDescent="0.25">
      <c r="B46" s="21">
        <v>42407</v>
      </c>
      <c r="C46" s="27">
        <v>18.446000000000002</v>
      </c>
      <c r="E46" s="30">
        <v>0.8962</v>
      </c>
      <c r="G46" s="27">
        <v>14.362299999999999</v>
      </c>
      <c r="I46" s="29">
        <v>6.9107000000000003</v>
      </c>
      <c r="K46" s="29">
        <v>3.9037999999999999</v>
      </c>
      <c r="M46" s="41"/>
      <c r="O46" s="26">
        <v>3334</v>
      </c>
      <c r="Q46" s="26">
        <v>5886.45</v>
      </c>
      <c r="S46" s="26">
        <v>1507.9</v>
      </c>
      <c r="U46" s="29">
        <v>3.4805000000000001</v>
      </c>
      <c r="W46" s="27">
        <v>31.148</v>
      </c>
      <c r="Y46" s="29">
        <v>7.9790299999999998</v>
      </c>
      <c r="AA46" s="41">
        <v>538.59500000000003</v>
      </c>
      <c r="AC46" s="27">
        <v>45.715000000000003</v>
      </c>
      <c r="AE46" s="27">
        <v>1</v>
      </c>
      <c r="AG46" s="29">
        <v>7.6478999999999999</v>
      </c>
      <c r="AI46" s="29">
        <v>8.7515999999999998</v>
      </c>
      <c r="AK46" s="27">
        <v>22.55</v>
      </c>
      <c r="AM46" s="27">
        <v>28.05</v>
      </c>
      <c r="AO46" s="29"/>
      <c r="AP46" s="28"/>
    </row>
    <row r="47" spans="2:42" hidden="1" outlineLevel="1" x14ac:dyDescent="0.25">
      <c r="B47" s="21">
        <v>42408</v>
      </c>
      <c r="C47" s="27">
        <v>18.527999999999999</v>
      </c>
      <c r="E47" s="30">
        <v>0.89700000000000002</v>
      </c>
      <c r="G47" s="27">
        <v>14.3423</v>
      </c>
      <c r="I47" s="29">
        <v>6.9255000000000004</v>
      </c>
      <c r="K47" s="29">
        <v>3.9001000000000001</v>
      </c>
      <c r="M47" s="41"/>
      <c r="O47" s="26">
        <v>3345.49</v>
      </c>
      <c r="Q47" s="26">
        <v>5888.26</v>
      </c>
      <c r="S47" s="26">
        <v>1509.83</v>
      </c>
      <c r="U47" s="29">
        <v>3.4908000000000001</v>
      </c>
      <c r="W47" s="27">
        <v>31.228899999999999</v>
      </c>
      <c r="Y47" s="29">
        <v>8.0074799999999993</v>
      </c>
      <c r="AA47" s="41">
        <v>539.69000000000005</v>
      </c>
      <c r="AC47" s="27">
        <v>45.835500000000003</v>
      </c>
      <c r="AE47" s="27">
        <v>1</v>
      </c>
      <c r="AG47" s="29">
        <v>7.6646000000000001</v>
      </c>
      <c r="AI47" s="29">
        <v>8.7698999999999998</v>
      </c>
      <c r="AK47" s="27">
        <v>22.6175</v>
      </c>
      <c r="AM47" s="27">
        <v>28.213799999999999</v>
      </c>
      <c r="AO47" s="29"/>
      <c r="AP47" s="28"/>
    </row>
    <row r="48" spans="2:42" hidden="1" outlineLevel="1" x14ac:dyDescent="0.25">
      <c r="B48" s="21">
        <v>42409</v>
      </c>
      <c r="C48" s="27">
        <v>18.741900000000001</v>
      </c>
      <c r="E48" s="30">
        <v>0.89029999999999998</v>
      </c>
      <c r="G48" s="27">
        <v>14.2834</v>
      </c>
      <c r="I48" s="29">
        <v>6.8781999999999996</v>
      </c>
      <c r="K48" s="29">
        <v>3.8936999999999999</v>
      </c>
      <c r="M48" s="41"/>
      <c r="O48" s="26">
        <v>3370.06</v>
      </c>
      <c r="Q48" s="26">
        <v>5835.5</v>
      </c>
      <c r="S48" s="26">
        <v>1498.73</v>
      </c>
      <c r="U48" s="29">
        <v>3.4742999999999999</v>
      </c>
      <c r="W48" s="27">
        <v>31.091200000000001</v>
      </c>
      <c r="Y48" s="29">
        <v>7.98515</v>
      </c>
      <c r="AA48" s="41">
        <v>535.28</v>
      </c>
      <c r="AC48" s="27">
        <v>45.697099999999999</v>
      </c>
      <c r="AE48" s="27">
        <v>1</v>
      </c>
      <c r="AG48" s="29">
        <v>7.6124000000000001</v>
      </c>
      <c r="AI48" s="29">
        <v>8.7091999999999992</v>
      </c>
      <c r="AK48" s="27">
        <v>22.464700000000001</v>
      </c>
      <c r="AM48" s="27">
        <v>27.994800000000001</v>
      </c>
      <c r="AO48" s="29"/>
      <c r="AP48" s="28"/>
    </row>
    <row r="49" spans="2:42" hidden="1" outlineLevel="1" x14ac:dyDescent="0.25">
      <c r="B49" s="21">
        <v>42410</v>
      </c>
      <c r="C49" s="27">
        <v>18.786100000000001</v>
      </c>
      <c r="E49" s="30">
        <v>0.88739999999999997</v>
      </c>
      <c r="G49" s="27">
        <v>14.280900000000001</v>
      </c>
      <c r="I49" s="29">
        <v>6.8838999999999997</v>
      </c>
      <c r="K49" s="29">
        <v>3.8992</v>
      </c>
      <c r="M49" s="41"/>
      <c r="O49" s="26">
        <v>3363.04</v>
      </c>
      <c r="Q49" s="26">
        <v>5838.06</v>
      </c>
      <c r="S49" s="26">
        <v>1497.29</v>
      </c>
      <c r="U49" s="29">
        <v>3.4847999999999999</v>
      </c>
      <c r="W49" s="27">
        <v>31.1873</v>
      </c>
      <c r="Y49" s="29">
        <v>7.99857</v>
      </c>
      <c r="AA49" s="41">
        <v>535.34799999999996</v>
      </c>
      <c r="AC49" s="27">
        <v>45.545699999999997</v>
      </c>
      <c r="AE49" s="27">
        <v>1</v>
      </c>
      <c r="AG49" s="29">
        <v>7.6212</v>
      </c>
      <c r="AI49" s="29">
        <v>8.7170000000000005</v>
      </c>
      <c r="AK49" s="27">
        <v>22.4465</v>
      </c>
      <c r="AM49" s="27">
        <v>28.003599999999999</v>
      </c>
      <c r="AO49" s="29"/>
      <c r="AP49" s="28"/>
    </row>
    <row r="50" spans="2:42" hidden="1" outlineLevel="1" x14ac:dyDescent="0.25">
      <c r="B50" s="21">
        <v>42411</v>
      </c>
      <c r="C50" s="27">
        <v>19.044599999999999</v>
      </c>
      <c r="E50" s="30">
        <v>0.88400000000000001</v>
      </c>
      <c r="G50" s="27">
        <v>14.4688</v>
      </c>
      <c r="I50" s="29">
        <v>6.8909000000000002</v>
      </c>
      <c r="K50" s="29">
        <v>3.9491000000000001</v>
      </c>
      <c r="M50" s="41"/>
      <c r="O50" s="26">
        <v>3393.1</v>
      </c>
      <c r="Q50" s="26">
        <v>5788.66</v>
      </c>
      <c r="S50" s="26">
        <v>1465.83</v>
      </c>
      <c r="U50" s="29">
        <v>3.4967999999999999</v>
      </c>
      <c r="W50" s="27">
        <v>31.2227</v>
      </c>
      <c r="Y50" s="29">
        <v>7.90632</v>
      </c>
      <c r="AA50" s="41">
        <v>536.19399999999996</v>
      </c>
      <c r="AC50" s="27">
        <v>45.587400000000002</v>
      </c>
      <c r="AE50" s="27">
        <v>1</v>
      </c>
      <c r="AG50" s="29">
        <v>7.6326999999999998</v>
      </c>
      <c r="AI50" s="29">
        <v>8.7260000000000009</v>
      </c>
      <c r="AK50" s="27">
        <v>22.493400000000001</v>
      </c>
      <c r="AM50" s="27">
        <v>28.028600000000001</v>
      </c>
      <c r="AO50" s="29"/>
      <c r="AP50" s="28"/>
    </row>
    <row r="51" spans="2:42" hidden="1" outlineLevel="1" x14ac:dyDescent="0.25">
      <c r="B51" s="21">
        <v>42412</v>
      </c>
      <c r="C51" s="27">
        <v>19.099799999999998</v>
      </c>
      <c r="E51" s="30">
        <v>0.88639999999999997</v>
      </c>
      <c r="G51" s="27">
        <v>14.6493</v>
      </c>
      <c r="I51" s="29">
        <v>6.9195000000000002</v>
      </c>
      <c r="K51" s="29">
        <v>3.9904999999999999</v>
      </c>
      <c r="M51" s="41"/>
      <c r="O51" s="26">
        <v>3407.24</v>
      </c>
      <c r="Q51" s="26">
        <v>5770.48</v>
      </c>
      <c r="S51" s="26">
        <v>1446.09</v>
      </c>
      <c r="U51" s="29">
        <v>3.5135000000000001</v>
      </c>
      <c r="W51" s="27">
        <v>31.413699999999999</v>
      </c>
      <c r="Y51" s="29">
        <v>7.8722700000000003</v>
      </c>
      <c r="AA51" s="41">
        <v>537.85</v>
      </c>
      <c r="AC51" s="27">
        <v>45.729500000000002</v>
      </c>
      <c r="AE51" s="27">
        <v>1</v>
      </c>
      <c r="AG51" s="29">
        <v>7.6656000000000004</v>
      </c>
      <c r="AI51" s="29">
        <v>8.7615999999999996</v>
      </c>
      <c r="AK51" s="27">
        <v>22.618300000000001</v>
      </c>
      <c r="AM51" s="27">
        <v>28.121099999999998</v>
      </c>
      <c r="AO51" s="29"/>
      <c r="AP51" s="28"/>
    </row>
    <row r="52" spans="2:42" hidden="1" outlineLevel="1" x14ac:dyDescent="0.25">
      <c r="B52" s="21">
        <v>42413</v>
      </c>
      <c r="C52" s="27">
        <v>18.908200000000001</v>
      </c>
      <c r="E52" s="30">
        <v>0.88849999999999996</v>
      </c>
      <c r="G52" s="27">
        <v>14.601900000000001</v>
      </c>
      <c r="I52" s="29">
        <v>6.9234</v>
      </c>
      <c r="K52" s="29">
        <v>4.0042</v>
      </c>
      <c r="M52" s="41"/>
      <c r="O52" s="26">
        <v>3447.9</v>
      </c>
      <c r="Q52" s="26">
        <v>5799.7</v>
      </c>
      <c r="S52" s="26">
        <v>1448.43</v>
      </c>
      <c r="U52" s="29">
        <v>3.5219999999999998</v>
      </c>
      <c r="W52" s="27">
        <v>31.506</v>
      </c>
      <c r="Y52" s="29">
        <v>7.8683800000000002</v>
      </c>
      <c r="AA52" s="41">
        <v>537.53</v>
      </c>
      <c r="AC52" s="27">
        <v>45.732999999999997</v>
      </c>
      <c r="AE52" s="27">
        <v>1</v>
      </c>
      <c r="AG52" s="29">
        <v>7.6707999999999998</v>
      </c>
      <c r="AI52" s="29">
        <v>8.7667999999999999</v>
      </c>
      <c r="AK52" s="27">
        <v>22.633500000000002</v>
      </c>
      <c r="AM52" s="27">
        <v>28.149000000000001</v>
      </c>
      <c r="AO52" s="29"/>
      <c r="AP52" s="28"/>
    </row>
    <row r="53" spans="2:42" hidden="1" outlineLevel="1" x14ac:dyDescent="0.25">
      <c r="B53" s="21">
        <v>42414</v>
      </c>
      <c r="C53" s="27">
        <v>18.908100000000001</v>
      </c>
      <c r="E53" s="30">
        <v>0.88849999999999996</v>
      </c>
      <c r="G53" s="27">
        <v>14.62</v>
      </c>
      <c r="I53" s="29">
        <v>6.89</v>
      </c>
      <c r="K53" s="29">
        <v>4.0021000000000004</v>
      </c>
      <c r="M53" s="41"/>
      <c r="O53" s="26">
        <v>3383</v>
      </c>
      <c r="Q53" s="26">
        <v>5831</v>
      </c>
      <c r="S53" s="26">
        <v>1457</v>
      </c>
      <c r="U53" s="29">
        <v>3.5095000000000001</v>
      </c>
      <c r="W53" s="27">
        <v>31.75</v>
      </c>
      <c r="Y53" s="29">
        <v>7.9333799999999997</v>
      </c>
      <c r="AA53" s="41">
        <v>537.53</v>
      </c>
      <c r="AC53" s="27">
        <v>45.63</v>
      </c>
      <c r="AE53" s="27">
        <v>1</v>
      </c>
      <c r="AG53" s="29">
        <v>7.657</v>
      </c>
      <c r="AI53" s="29">
        <v>8.7271999999999998</v>
      </c>
      <c r="AK53" s="27">
        <v>22.6</v>
      </c>
      <c r="AM53" s="27">
        <v>28.055</v>
      </c>
      <c r="AO53" s="29"/>
      <c r="AP53" s="28"/>
    </row>
    <row r="54" spans="2:42" hidden="1" outlineLevel="1" x14ac:dyDescent="0.25">
      <c r="B54" s="21">
        <v>42415</v>
      </c>
      <c r="C54" s="27">
        <v>18.8688</v>
      </c>
      <c r="E54" s="30">
        <v>0.8931</v>
      </c>
      <c r="G54" s="27">
        <v>14.7333</v>
      </c>
      <c r="I54" s="29">
        <v>6.9135999999999997</v>
      </c>
      <c r="K54" s="29">
        <v>3.9977</v>
      </c>
      <c r="M54" s="41"/>
      <c r="O54" s="26">
        <v>3420.21</v>
      </c>
      <c r="Q54" s="26">
        <v>5811.48</v>
      </c>
      <c r="S54" s="26">
        <v>1453.76</v>
      </c>
      <c r="U54" s="29">
        <v>3.5177</v>
      </c>
      <c r="W54" s="27">
        <v>31.633800000000001</v>
      </c>
      <c r="Y54" s="29">
        <v>7.9132199999999999</v>
      </c>
      <c r="AA54" s="41">
        <v>537.17100000000005</v>
      </c>
      <c r="AC54" s="27">
        <v>45.731299999999997</v>
      </c>
      <c r="AE54" s="27">
        <v>1</v>
      </c>
      <c r="AG54" s="29">
        <v>7.6706000000000003</v>
      </c>
      <c r="AI54" s="29">
        <v>8.766</v>
      </c>
      <c r="AK54" s="27">
        <v>22.637499999999999</v>
      </c>
      <c r="AM54" s="27">
        <v>28.138300000000001</v>
      </c>
      <c r="AO54" s="29"/>
      <c r="AP54" s="28"/>
    </row>
    <row r="55" spans="2:42" hidden="1" outlineLevel="1" x14ac:dyDescent="0.25">
      <c r="B55" s="21">
        <v>42416</v>
      </c>
      <c r="C55" s="27">
        <v>18.797599999999999</v>
      </c>
      <c r="E55" s="30">
        <v>0.8962</v>
      </c>
      <c r="G55" s="27">
        <v>14.807</v>
      </c>
      <c r="I55" s="29">
        <v>6.8966000000000003</v>
      </c>
      <c r="K55" s="29">
        <v>4.0194000000000001</v>
      </c>
      <c r="M55" s="41"/>
      <c r="O55" s="26">
        <v>3394.51</v>
      </c>
      <c r="Q55" s="26">
        <v>5810.09</v>
      </c>
      <c r="S55" s="26">
        <v>1445.56</v>
      </c>
      <c r="U55" s="29">
        <v>3.5095999999999998</v>
      </c>
      <c r="W55" s="27">
        <v>31.825500000000002</v>
      </c>
      <c r="Y55" s="29">
        <v>7.9182100000000002</v>
      </c>
      <c r="AA55" s="41">
        <v>536.27099999999996</v>
      </c>
      <c r="AC55" s="27">
        <v>45.7014</v>
      </c>
      <c r="AE55" s="27">
        <v>1</v>
      </c>
      <c r="AG55" s="29">
        <v>7.6647999999999996</v>
      </c>
      <c r="AI55" s="29">
        <v>8.7577999999999996</v>
      </c>
      <c r="AK55" s="27">
        <v>22.593499999999999</v>
      </c>
      <c r="AM55" s="27">
        <v>28.1921</v>
      </c>
      <c r="AO55" s="29"/>
      <c r="AP55" s="28"/>
    </row>
    <row r="56" spans="2:42" hidden="1" outlineLevel="1" x14ac:dyDescent="0.25">
      <c r="B56" s="21">
        <v>42417</v>
      </c>
      <c r="C56" s="27">
        <v>18.7225</v>
      </c>
      <c r="E56" s="30">
        <v>0.89739999999999998</v>
      </c>
      <c r="G56" s="27">
        <v>14.8485</v>
      </c>
      <c r="I56" s="29">
        <v>6.8975</v>
      </c>
      <c r="K56" s="29">
        <v>4.0397999999999996</v>
      </c>
      <c r="M56" s="41"/>
      <c r="O56" s="26">
        <v>3391.65</v>
      </c>
      <c r="Q56" s="26">
        <v>5803.06</v>
      </c>
      <c r="S56" s="26">
        <v>1436.52</v>
      </c>
      <c r="U56" s="29">
        <v>3.5062000000000002</v>
      </c>
      <c r="W56" s="27">
        <v>31.925000000000001</v>
      </c>
      <c r="Y56" s="29">
        <v>7.9028400000000003</v>
      </c>
      <c r="AA56" s="41">
        <v>536.33699999999999</v>
      </c>
      <c r="AC56" s="27">
        <v>45.732300000000002</v>
      </c>
      <c r="AE56" s="27">
        <v>1</v>
      </c>
      <c r="AG56" s="29">
        <v>7.6666999999999996</v>
      </c>
      <c r="AI56" s="29">
        <v>8.7593999999999994</v>
      </c>
      <c r="AK56" s="27">
        <v>22.598199999999999</v>
      </c>
      <c r="AM56" s="27">
        <v>28.301300000000001</v>
      </c>
      <c r="AO56" s="29"/>
      <c r="AP56" s="28"/>
    </row>
    <row r="57" spans="2:42" hidden="1" outlineLevel="1" x14ac:dyDescent="0.25">
      <c r="B57" s="21">
        <v>42418</v>
      </c>
      <c r="C57" s="27">
        <v>18.249300000000002</v>
      </c>
      <c r="E57" s="30">
        <v>0.89939999999999998</v>
      </c>
      <c r="G57" s="27">
        <v>14.956300000000001</v>
      </c>
      <c r="I57" s="29">
        <v>6.8948</v>
      </c>
      <c r="K57" s="29">
        <v>4.0003000000000002</v>
      </c>
      <c r="M57" s="41"/>
      <c r="O57" s="26">
        <v>3350.9</v>
      </c>
      <c r="Q57" s="26">
        <v>5803.59</v>
      </c>
      <c r="S57" s="26">
        <v>1450.84</v>
      </c>
      <c r="U57" s="29">
        <v>3.5087999999999999</v>
      </c>
      <c r="W57" s="27">
        <v>31.9206</v>
      </c>
      <c r="Y57" s="29">
        <v>7.9798200000000001</v>
      </c>
      <c r="AA57" s="41">
        <v>536.16300000000001</v>
      </c>
      <c r="AC57" s="27">
        <v>45.801499999999997</v>
      </c>
      <c r="AE57" s="27">
        <v>1</v>
      </c>
      <c r="AG57" s="29">
        <v>7.6668000000000003</v>
      </c>
      <c r="AI57" s="29">
        <v>8.7555999999999994</v>
      </c>
      <c r="AK57" s="27">
        <v>22.583100000000002</v>
      </c>
      <c r="AM57" s="27">
        <v>28.245000000000001</v>
      </c>
      <c r="AO57" s="29"/>
      <c r="AP57" s="28"/>
    </row>
    <row r="58" spans="2:42" hidden="1" outlineLevel="1" x14ac:dyDescent="0.25">
      <c r="B58" s="21">
        <v>42419</v>
      </c>
      <c r="C58" s="27">
        <v>18.2912</v>
      </c>
      <c r="E58" s="30">
        <v>0.89980000000000004</v>
      </c>
      <c r="G58" s="27">
        <v>15.0312</v>
      </c>
      <c r="I58" s="29">
        <v>6.8803000000000001</v>
      </c>
      <c r="K58" s="29">
        <v>4.0332999999999997</v>
      </c>
      <c r="M58" s="41"/>
      <c r="O58" s="26">
        <v>3348.55</v>
      </c>
      <c r="Q58" s="26">
        <v>5790.45</v>
      </c>
      <c r="S58" s="26">
        <v>1435.7</v>
      </c>
      <c r="U58" s="29">
        <v>3.5011000000000001</v>
      </c>
      <c r="W58" s="27">
        <v>31.827200000000001</v>
      </c>
      <c r="Y58" s="29">
        <v>7.8913500000000001</v>
      </c>
      <c r="AA58" s="41">
        <v>535.077</v>
      </c>
      <c r="AC58" s="27">
        <v>45.699599999999997</v>
      </c>
      <c r="AE58" s="27">
        <v>1</v>
      </c>
      <c r="AG58" s="29">
        <v>7.6547000000000001</v>
      </c>
      <c r="AI58" s="29">
        <v>8.7375000000000007</v>
      </c>
      <c r="AK58" s="27">
        <v>22.546299999999999</v>
      </c>
      <c r="AM58" s="27">
        <v>28.1569</v>
      </c>
      <c r="AO58" s="29"/>
      <c r="AP58" s="28"/>
    </row>
    <row r="59" spans="2:42" hidden="1" outlineLevel="1" x14ac:dyDescent="0.25">
      <c r="B59" s="21">
        <v>42420</v>
      </c>
      <c r="C59" s="27">
        <v>18.210100000000001</v>
      </c>
      <c r="E59" s="30">
        <v>0.89849999999999997</v>
      </c>
      <c r="G59" s="27">
        <v>14.972</v>
      </c>
      <c r="I59" s="29">
        <v>6.8727</v>
      </c>
      <c r="K59" s="29">
        <v>4.0228000000000002</v>
      </c>
      <c r="M59" s="41"/>
      <c r="O59" s="26">
        <v>3334.35</v>
      </c>
      <c r="Q59" s="26">
        <v>5784.3</v>
      </c>
      <c r="S59" s="26">
        <v>1437.92</v>
      </c>
      <c r="U59" s="29">
        <v>3.4874999999999998</v>
      </c>
      <c r="W59" s="27">
        <v>31.774999999999999</v>
      </c>
      <c r="Y59" s="29">
        <v>7.8989599999999998</v>
      </c>
      <c r="AA59" s="41">
        <v>534.39499999999998</v>
      </c>
      <c r="AC59" s="27">
        <v>45.131</v>
      </c>
      <c r="AE59" s="27">
        <v>1</v>
      </c>
      <c r="AG59" s="29">
        <v>7.6497000000000002</v>
      </c>
      <c r="AI59" s="29">
        <v>8.7269000000000005</v>
      </c>
      <c r="AK59" s="27">
        <v>22.542999999999999</v>
      </c>
      <c r="AM59" s="27">
        <v>28.114000000000001</v>
      </c>
      <c r="AO59" s="29"/>
      <c r="AP59" s="28"/>
    </row>
    <row r="60" spans="2:42" hidden="1" outlineLevel="1" x14ac:dyDescent="0.25">
      <c r="B60" s="21">
        <v>42421</v>
      </c>
      <c r="C60" s="27">
        <v>18.2102</v>
      </c>
      <c r="E60" s="30">
        <v>0.89849999999999997</v>
      </c>
      <c r="G60" s="27">
        <v>15.0679</v>
      </c>
      <c r="I60" s="29">
        <v>6.89</v>
      </c>
      <c r="K60" s="29">
        <v>4.0225</v>
      </c>
      <c r="M60" s="41"/>
      <c r="O60" s="26">
        <v>3349</v>
      </c>
      <c r="Q60" s="26">
        <v>5815</v>
      </c>
      <c r="S60" s="26">
        <v>1445.62</v>
      </c>
      <c r="U60" s="29">
        <v>3.4925000000000002</v>
      </c>
      <c r="W60" s="27">
        <v>31.92</v>
      </c>
      <c r="Y60" s="29">
        <v>7.9353600000000002</v>
      </c>
      <c r="AA60" s="41">
        <v>536.95000000000005</v>
      </c>
      <c r="AC60" s="27">
        <v>45.23</v>
      </c>
      <c r="AE60" s="27">
        <v>1</v>
      </c>
      <c r="AG60" s="29">
        <v>7.67</v>
      </c>
      <c r="AI60" s="29">
        <v>8.7270000000000003</v>
      </c>
      <c r="AK60" s="27">
        <v>22.61</v>
      </c>
      <c r="AM60" s="27">
        <v>28.05</v>
      </c>
      <c r="AO60" s="29"/>
      <c r="AP60" s="28"/>
    </row>
    <row r="61" spans="2:42" hidden="1" outlineLevel="1" x14ac:dyDescent="0.25">
      <c r="B61" s="21">
        <v>42422</v>
      </c>
      <c r="C61" s="27">
        <v>18.1294</v>
      </c>
      <c r="E61" s="30">
        <v>0.90310000000000001</v>
      </c>
      <c r="G61" s="27">
        <v>15.1</v>
      </c>
      <c r="I61" s="29">
        <v>6.8891</v>
      </c>
      <c r="K61" s="29">
        <v>3.9885000000000002</v>
      </c>
      <c r="M61" s="41"/>
      <c r="O61" s="26">
        <v>3338.42</v>
      </c>
      <c r="Q61" s="26">
        <v>5789.68</v>
      </c>
      <c r="S61" s="26">
        <v>1451.63</v>
      </c>
      <c r="U61" s="29">
        <v>3.5072999999999999</v>
      </c>
      <c r="W61" s="27">
        <v>31.870799999999999</v>
      </c>
      <c r="Y61" s="29">
        <v>7.9908000000000001</v>
      </c>
      <c r="AA61" s="41">
        <v>535.04200000000003</v>
      </c>
      <c r="AC61" s="27">
        <v>45.427599999999998</v>
      </c>
      <c r="AE61" s="27">
        <v>1</v>
      </c>
      <c r="AG61" s="29">
        <v>7.6688999999999998</v>
      </c>
      <c r="AI61" s="29">
        <v>8.7484999999999999</v>
      </c>
      <c r="AK61" s="27">
        <v>22.585899999999999</v>
      </c>
      <c r="AM61" s="27">
        <v>28.133400000000002</v>
      </c>
      <c r="AO61" s="29"/>
      <c r="AP61" s="28"/>
    </row>
    <row r="62" spans="2:42" hidden="1" outlineLevel="1" x14ac:dyDescent="0.25">
      <c r="B62" s="21">
        <v>42423</v>
      </c>
      <c r="C62" s="27">
        <v>18.135899999999999</v>
      </c>
      <c r="E62" s="30">
        <v>0.90720000000000001</v>
      </c>
      <c r="G62" s="27">
        <v>15.2773</v>
      </c>
      <c r="I62" s="29">
        <v>6.8897000000000004</v>
      </c>
      <c r="K62" s="29">
        <v>3.9538000000000002</v>
      </c>
      <c r="M62" s="41"/>
      <c r="O62" s="26">
        <v>3338.03</v>
      </c>
      <c r="Q62" s="26">
        <v>5756.38</v>
      </c>
      <c r="S62" s="26">
        <v>1455.94</v>
      </c>
      <c r="U62" s="29">
        <v>3.5202</v>
      </c>
      <c r="W62" s="27">
        <v>31.928799999999999</v>
      </c>
      <c r="Y62" s="29">
        <v>8.0756499999999996</v>
      </c>
      <c r="AA62" s="41">
        <v>534.89800000000002</v>
      </c>
      <c r="AC62" s="27">
        <v>45.301099999999998</v>
      </c>
      <c r="AE62" s="27">
        <v>1</v>
      </c>
      <c r="AG62" s="29">
        <v>7.6722000000000001</v>
      </c>
      <c r="AI62" s="29">
        <v>8.7499000000000002</v>
      </c>
      <c r="AK62" s="27">
        <v>22.599900000000002</v>
      </c>
      <c r="AM62" s="27">
        <v>28.163599999999999</v>
      </c>
      <c r="AO62" s="29"/>
      <c r="AP62" s="28"/>
    </row>
    <row r="63" spans="2:42" hidden="1" outlineLevel="1" x14ac:dyDescent="0.25">
      <c r="B63" s="21">
        <v>42424</v>
      </c>
      <c r="C63" s="27">
        <v>18.231300000000001</v>
      </c>
      <c r="E63" s="30">
        <v>0.90849999999999997</v>
      </c>
      <c r="G63" s="27">
        <v>15.3032</v>
      </c>
      <c r="I63" s="29">
        <v>6.8666</v>
      </c>
      <c r="K63" s="29">
        <v>3.9655999999999998</v>
      </c>
      <c r="M63" s="41"/>
      <c r="O63" s="26">
        <v>3318.17</v>
      </c>
      <c r="Q63" s="26">
        <v>5702.17</v>
      </c>
      <c r="S63" s="26">
        <v>1437.96</v>
      </c>
      <c r="U63" s="29">
        <v>3.5202</v>
      </c>
      <c r="W63" s="27">
        <v>31.924199999999999</v>
      </c>
      <c r="Y63" s="29">
        <v>8.0505499999999994</v>
      </c>
      <c r="AA63" s="41">
        <v>534.79600000000005</v>
      </c>
      <c r="AC63" s="27">
        <v>45.336300000000001</v>
      </c>
      <c r="AE63" s="27">
        <v>1</v>
      </c>
      <c r="AG63" s="29">
        <v>7.6635999999999997</v>
      </c>
      <c r="AI63" s="29">
        <v>8.7383000000000006</v>
      </c>
      <c r="AK63" s="27">
        <v>22.5639</v>
      </c>
      <c r="AM63" s="27">
        <v>28.108799999999999</v>
      </c>
      <c r="AO63" s="29"/>
      <c r="AP63" s="28"/>
    </row>
    <row r="64" spans="2:42" hidden="1" outlineLevel="1" x14ac:dyDescent="0.25">
      <c r="B64" s="21">
        <v>42425</v>
      </c>
      <c r="C64" s="27">
        <v>18.180499999999999</v>
      </c>
      <c r="E64" s="30">
        <v>0.90720000000000001</v>
      </c>
      <c r="G64" s="27">
        <v>15.353899999999999</v>
      </c>
      <c r="I64" s="29">
        <v>6.8442999999999996</v>
      </c>
      <c r="K64" s="29">
        <v>3.9518</v>
      </c>
      <c r="M64" s="41"/>
      <c r="O64" s="26">
        <v>3314.33</v>
      </c>
      <c r="Q64" s="26">
        <v>5685.9</v>
      </c>
      <c r="S64" s="26">
        <v>1438.84</v>
      </c>
      <c r="U64" s="29">
        <v>3.5207000000000002</v>
      </c>
      <c r="W64" s="27">
        <v>31.874300000000002</v>
      </c>
      <c r="Y64" s="29">
        <v>8.0658899999999996</v>
      </c>
      <c r="AA64" s="41">
        <v>533.93899999999996</v>
      </c>
      <c r="AC64" s="27">
        <v>45.165500000000002</v>
      </c>
      <c r="AE64" s="27">
        <v>1</v>
      </c>
      <c r="AG64" s="29">
        <v>7.6523000000000003</v>
      </c>
      <c r="AI64" s="29">
        <v>8.7239000000000004</v>
      </c>
      <c r="AK64" s="27">
        <v>22.514600000000002</v>
      </c>
      <c r="AM64" s="27">
        <v>28.052399999999999</v>
      </c>
      <c r="AO64" s="29"/>
      <c r="AP64" s="28"/>
    </row>
    <row r="65" spans="2:42" hidden="1" outlineLevel="1" x14ac:dyDescent="0.25">
      <c r="B65" s="21">
        <v>42426</v>
      </c>
      <c r="C65" s="27">
        <v>18.132899999999999</v>
      </c>
      <c r="E65" s="30">
        <v>0.90859999999999996</v>
      </c>
      <c r="G65" s="27">
        <v>15.443199999999999</v>
      </c>
      <c r="I65" s="29">
        <v>6.8632</v>
      </c>
      <c r="K65" s="29">
        <v>3.9653999999999998</v>
      </c>
      <c r="M65" s="41"/>
      <c r="O65" s="26">
        <v>3326.4</v>
      </c>
      <c r="Q65" s="26">
        <v>5707.19</v>
      </c>
      <c r="S65" s="26">
        <v>1439.28</v>
      </c>
      <c r="U65" s="29">
        <v>3.5318999999999998</v>
      </c>
      <c r="W65" s="27">
        <v>31.9894</v>
      </c>
      <c r="Y65" s="29">
        <v>8.06724</v>
      </c>
      <c r="AA65" s="41">
        <v>535.01</v>
      </c>
      <c r="AC65" s="27">
        <v>45.3566</v>
      </c>
      <c r="AE65" s="27">
        <v>1</v>
      </c>
      <c r="AG65" s="29">
        <v>7.6694000000000004</v>
      </c>
      <c r="AI65" s="29">
        <v>8.7408999999999999</v>
      </c>
      <c r="AK65" s="27">
        <v>22.620999999999999</v>
      </c>
      <c r="AM65" s="27">
        <v>28.038900000000002</v>
      </c>
      <c r="AO65" s="29"/>
      <c r="AP65" s="28"/>
    </row>
    <row r="66" spans="2:42" hidden="1" outlineLevel="1" x14ac:dyDescent="0.25">
      <c r="B66" s="21">
        <v>42427</v>
      </c>
      <c r="C66" s="27">
        <v>18.2743</v>
      </c>
      <c r="E66" s="30">
        <v>0.91469999999999996</v>
      </c>
      <c r="G66" s="27">
        <v>15.567</v>
      </c>
      <c r="I66" s="29">
        <v>6.9283999999999999</v>
      </c>
      <c r="K66" s="29">
        <v>3.9948000000000001</v>
      </c>
      <c r="M66" s="41"/>
      <c r="O66" s="26">
        <v>3341.2</v>
      </c>
      <c r="Q66" s="26">
        <v>5761.1</v>
      </c>
      <c r="S66" s="26">
        <v>1442.19</v>
      </c>
      <c r="U66" s="29">
        <v>3.5579999999999998</v>
      </c>
      <c r="W66" s="27">
        <v>32.347999999999999</v>
      </c>
      <c r="Y66" s="29">
        <v>8.0977399999999999</v>
      </c>
      <c r="AA66" s="41">
        <v>540.08000000000004</v>
      </c>
      <c r="AC66" s="27">
        <v>45.6295</v>
      </c>
      <c r="AE66" s="27">
        <v>1</v>
      </c>
      <c r="AG66" s="29">
        <v>7.7423000000000002</v>
      </c>
      <c r="AI66" s="29">
        <v>8.8241999999999994</v>
      </c>
      <c r="AK66" s="27">
        <v>22.791499999999999</v>
      </c>
      <c r="AM66" s="27">
        <v>28.3645</v>
      </c>
      <c r="AO66" s="29"/>
      <c r="AP66" s="28"/>
    </row>
    <row r="67" spans="2:42" hidden="1" outlineLevel="1" x14ac:dyDescent="0.25">
      <c r="B67" s="21">
        <v>42428</v>
      </c>
      <c r="C67" s="27">
        <v>18.274100000000001</v>
      </c>
      <c r="E67" s="30">
        <v>0.91479999999999995</v>
      </c>
      <c r="G67" s="27">
        <v>15.5779</v>
      </c>
      <c r="I67" s="29">
        <v>6.87</v>
      </c>
      <c r="K67" s="29">
        <v>3.9940000000000002</v>
      </c>
      <c r="M67" s="41"/>
      <c r="O67" s="26">
        <v>3329</v>
      </c>
      <c r="Q67" s="26">
        <v>5726</v>
      </c>
      <c r="S67" s="26">
        <v>1433.65</v>
      </c>
      <c r="U67" s="29">
        <v>3.5255000000000001</v>
      </c>
      <c r="W67" s="27">
        <v>32.15</v>
      </c>
      <c r="Y67" s="29">
        <v>8.0495800000000006</v>
      </c>
      <c r="AA67" s="41">
        <v>536.73</v>
      </c>
      <c r="AC67" s="27">
        <v>45.2</v>
      </c>
      <c r="AE67" s="27">
        <v>1</v>
      </c>
      <c r="AG67" s="29">
        <v>7.6775000000000002</v>
      </c>
      <c r="AI67" s="29">
        <v>8.7270000000000003</v>
      </c>
      <c r="AK67" s="27">
        <v>22.55</v>
      </c>
      <c r="AM67" s="27">
        <v>27.95</v>
      </c>
      <c r="AO67" s="29"/>
      <c r="AP67" s="28"/>
    </row>
    <row r="68" spans="2:42" hidden="1" outlineLevel="1" x14ac:dyDescent="0.25">
      <c r="B68" s="21">
        <v>42429</v>
      </c>
      <c r="C68" s="49">
        <v>18.1706</v>
      </c>
      <c r="E68" s="30">
        <v>0.91679999999999995</v>
      </c>
      <c r="G68" s="27">
        <v>15.582800000000001</v>
      </c>
      <c r="I68" s="29">
        <v>6.9006999999999996</v>
      </c>
      <c r="K68" s="29">
        <v>3.9912000000000001</v>
      </c>
      <c r="M68" s="41"/>
      <c r="O68" s="26">
        <v>3332.06</v>
      </c>
      <c r="Q68" s="26">
        <v>5742.43</v>
      </c>
      <c r="S68" s="26">
        <v>1438.79</v>
      </c>
      <c r="U68" s="29">
        <v>3.5409000000000002</v>
      </c>
      <c r="W68" s="27">
        <v>32.235100000000003</v>
      </c>
      <c r="Y68" s="29">
        <v>8.0766399999999994</v>
      </c>
      <c r="AA68" s="41">
        <v>538.15599999999995</v>
      </c>
      <c r="AC68" s="27">
        <v>45.641500000000001</v>
      </c>
      <c r="AE68" s="27">
        <v>1</v>
      </c>
      <c r="AG68" s="29">
        <v>7.7144000000000004</v>
      </c>
      <c r="AI68" s="29">
        <v>8.7895000000000003</v>
      </c>
      <c r="AK68" s="27">
        <v>22.7104</v>
      </c>
      <c r="AM68" s="27">
        <v>28.2395</v>
      </c>
      <c r="AO68" s="29"/>
      <c r="AP68" s="28"/>
    </row>
    <row r="69" spans="2:42" ht="13" collapsed="1" x14ac:dyDescent="0.3">
      <c r="B69" s="25" t="s">
        <v>140</v>
      </c>
      <c r="C69" s="19">
        <v>18.457599999999999</v>
      </c>
      <c r="E69" s="24">
        <v>0.90069299999999997</v>
      </c>
      <c r="G69" s="19">
        <v>14.764699999999999</v>
      </c>
      <c r="I69" s="23">
        <v>6.8935899999999997</v>
      </c>
      <c r="J69" s="9"/>
      <c r="K69" s="23">
        <v>3.9690300000000001</v>
      </c>
      <c r="M69" s="42" t="s">
        <v>78</v>
      </c>
      <c r="O69" s="31">
        <v>3353.7</v>
      </c>
      <c r="Q69" s="31">
        <v>5808.8</v>
      </c>
      <c r="S69" s="31">
        <v>1463.82</v>
      </c>
      <c r="U69" s="23">
        <v>3.5031300000000001</v>
      </c>
      <c r="W69" s="23">
        <v>31.5838</v>
      </c>
      <c r="Y69" s="23">
        <v>7.9579800000000001</v>
      </c>
      <c r="AA69" s="42">
        <v>536.69100000000003</v>
      </c>
      <c r="AC69" s="19">
        <v>45.556399999999996</v>
      </c>
      <c r="AE69" s="19">
        <v>1</v>
      </c>
      <c r="AG69" s="23">
        <v>7.6603300000000001</v>
      </c>
      <c r="AI69" s="23">
        <v>8.7454900000000002</v>
      </c>
      <c r="AK69" s="19">
        <v>22.555700000000002</v>
      </c>
      <c r="AM69" s="19">
        <v>28.015599999999999</v>
      </c>
      <c r="AO69" s="23" t="s">
        <v>78</v>
      </c>
      <c r="AP69" s="10"/>
    </row>
    <row r="70" spans="2:42" hidden="1" outlineLevel="1" x14ac:dyDescent="0.25">
      <c r="B70" s="21">
        <v>42430</v>
      </c>
      <c r="C70" s="27">
        <v>18.042999999999999</v>
      </c>
      <c r="E70" s="30">
        <v>0.91973899999999997</v>
      </c>
      <c r="G70" s="27">
        <v>15.8346</v>
      </c>
      <c r="I70" s="29">
        <v>6.8647600000000004</v>
      </c>
      <c r="K70" s="29">
        <v>3.99546</v>
      </c>
      <c r="M70" s="41"/>
      <c r="O70" s="26">
        <v>3315.41</v>
      </c>
      <c r="Q70" s="26">
        <v>5746.33</v>
      </c>
      <c r="S70" s="26">
        <v>1438.24</v>
      </c>
      <c r="U70" s="29">
        <v>3.5229400000000002</v>
      </c>
      <c r="W70" s="27">
        <v>32.1648</v>
      </c>
      <c r="Y70" s="29">
        <v>8.0504800000000003</v>
      </c>
      <c r="AA70" s="41">
        <v>536.255</v>
      </c>
      <c r="AC70" s="27">
        <v>45.458100000000002</v>
      </c>
      <c r="AE70" s="27">
        <v>1</v>
      </c>
      <c r="AG70" s="29">
        <v>7.68893</v>
      </c>
      <c r="AI70" s="29">
        <v>8.7546300000000006</v>
      </c>
      <c r="AK70" s="27">
        <v>22.645499999999998</v>
      </c>
      <c r="AM70" s="27">
        <v>28.164100000000001</v>
      </c>
      <c r="AO70" s="29"/>
      <c r="AP70" s="28"/>
    </row>
    <row r="71" spans="2:42" hidden="1" outlineLevel="1" x14ac:dyDescent="0.25">
      <c r="B71" s="21">
        <v>42431</v>
      </c>
      <c r="C71" s="27">
        <v>17.884899999999998</v>
      </c>
      <c r="E71" s="30">
        <v>0.92087399999999997</v>
      </c>
      <c r="G71" s="27">
        <v>15.7454</v>
      </c>
      <c r="I71" s="29">
        <v>6.8532299999999999</v>
      </c>
      <c r="K71" s="29">
        <v>3.9153500000000001</v>
      </c>
      <c r="M71" s="41"/>
      <c r="O71" s="26">
        <v>3261.98</v>
      </c>
      <c r="Q71" s="26">
        <v>5777.22</v>
      </c>
      <c r="S71" s="26">
        <v>1475.56</v>
      </c>
      <c r="U71" s="29">
        <v>3.51857</v>
      </c>
      <c r="W71" s="27">
        <v>32.280700000000003</v>
      </c>
      <c r="Y71" s="29">
        <v>8.2448099999999993</v>
      </c>
      <c r="AA71" s="41">
        <v>536.23099999999999</v>
      </c>
      <c r="AC71" s="27">
        <v>45.418799999999997</v>
      </c>
      <c r="AE71" s="27">
        <v>1</v>
      </c>
      <c r="AG71" s="29">
        <v>7.6904599999999999</v>
      </c>
      <c r="AI71" s="29">
        <v>8.7548200000000005</v>
      </c>
      <c r="AK71" s="27">
        <v>22.646000000000001</v>
      </c>
      <c r="AM71" s="27">
        <v>28.223299999999998</v>
      </c>
      <c r="AO71" s="29"/>
      <c r="AP71" s="28"/>
    </row>
    <row r="72" spans="2:42" hidden="1" outlineLevel="1" x14ac:dyDescent="0.25">
      <c r="B72" s="21">
        <v>42432</v>
      </c>
      <c r="C72" s="27">
        <v>17.865400000000001</v>
      </c>
      <c r="E72" s="30">
        <v>0.91810899999999995</v>
      </c>
      <c r="G72" s="27">
        <v>15.5549</v>
      </c>
      <c r="I72" s="29">
        <v>6.8457100000000004</v>
      </c>
      <c r="K72" s="29">
        <v>3.8654299999999999</v>
      </c>
      <c r="M72" s="41"/>
      <c r="O72" s="26">
        <v>3214.44</v>
      </c>
      <c r="Q72" s="26">
        <v>5729.77</v>
      </c>
      <c r="S72" s="26">
        <v>1482.35</v>
      </c>
      <c r="U72" s="29">
        <v>3.4984199999999999</v>
      </c>
      <c r="W72" s="27">
        <v>32.381300000000003</v>
      </c>
      <c r="Y72" s="29">
        <v>8.3773</v>
      </c>
      <c r="AA72" s="41">
        <v>535.55600000000004</v>
      </c>
      <c r="AC72" s="27">
        <v>45.367400000000004</v>
      </c>
      <c r="AE72" s="27">
        <v>1</v>
      </c>
      <c r="AG72" s="29">
        <v>7.6764900000000003</v>
      </c>
      <c r="AI72" s="29">
        <v>8.7436600000000002</v>
      </c>
      <c r="AK72" s="27">
        <v>22.599499999999999</v>
      </c>
      <c r="AM72" s="27">
        <v>28.336500000000001</v>
      </c>
      <c r="AO72" s="29"/>
      <c r="AP72" s="28"/>
    </row>
    <row r="73" spans="2:42" hidden="1" outlineLevel="1" x14ac:dyDescent="0.25">
      <c r="B73" s="21">
        <v>42433</v>
      </c>
      <c r="C73" s="27">
        <v>17.8843</v>
      </c>
      <c r="E73" s="30">
        <v>0.911748</v>
      </c>
      <c r="G73" s="27">
        <v>15.207800000000001</v>
      </c>
      <c r="I73" s="29">
        <v>6.8195499999999996</v>
      </c>
      <c r="K73" s="29">
        <v>3.77129</v>
      </c>
      <c r="M73" s="41"/>
      <c r="O73" s="26">
        <v>3179.8</v>
      </c>
      <c r="Q73" s="26">
        <v>5667.75</v>
      </c>
      <c r="S73" s="26">
        <v>1502.89</v>
      </c>
      <c r="U73" s="29">
        <v>3.4627500000000002</v>
      </c>
      <c r="W73" s="27">
        <v>32.367800000000003</v>
      </c>
      <c r="Y73" s="29">
        <v>8.5828399999999991</v>
      </c>
      <c r="AA73" s="41">
        <v>533.42899999999997</v>
      </c>
      <c r="AC73" s="27">
        <v>45.276400000000002</v>
      </c>
      <c r="AE73" s="27">
        <v>1</v>
      </c>
      <c r="AG73" s="29">
        <v>7.64297</v>
      </c>
      <c r="AI73" s="29">
        <v>8.7107600000000005</v>
      </c>
      <c r="AK73" s="27">
        <v>22.517600000000002</v>
      </c>
      <c r="AM73" s="27">
        <v>28.197299999999998</v>
      </c>
      <c r="AO73" s="29"/>
      <c r="AP73" s="28"/>
    </row>
    <row r="74" spans="2:42" hidden="1" outlineLevel="1" x14ac:dyDescent="0.25">
      <c r="B74" s="21">
        <v>42434</v>
      </c>
      <c r="C74" s="27">
        <v>17.7714</v>
      </c>
      <c r="E74" s="30">
        <v>0.908632</v>
      </c>
      <c r="G74" s="27">
        <v>15.1858</v>
      </c>
      <c r="I74" s="29">
        <v>6.8357000000000001</v>
      </c>
      <c r="K74" s="29">
        <v>3.7587899999999999</v>
      </c>
      <c r="M74" s="41"/>
      <c r="O74" s="26">
        <v>3187.35</v>
      </c>
      <c r="Q74" s="26">
        <v>5690</v>
      </c>
      <c r="S74" s="26">
        <v>1513.82</v>
      </c>
      <c r="U74" s="29">
        <v>3.4557500000000001</v>
      </c>
      <c r="W74" s="27">
        <v>32.506999999999998</v>
      </c>
      <c r="Y74" s="29">
        <v>8.6484100000000002</v>
      </c>
      <c r="AA74" s="41">
        <v>534.57000000000005</v>
      </c>
      <c r="AC74" s="27">
        <v>45.709499999999998</v>
      </c>
      <c r="AE74" s="27">
        <v>1</v>
      </c>
      <c r="AG74" s="29">
        <v>7.6608999999999998</v>
      </c>
      <c r="AI74" s="29">
        <v>8.7308500000000002</v>
      </c>
      <c r="AK74" s="27">
        <v>22.542999999999999</v>
      </c>
      <c r="AM74" s="27">
        <v>28.265999999999998</v>
      </c>
      <c r="AO74" s="29"/>
      <c r="AP74" s="28"/>
    </row>
    <row r="75" spans="2:42" hidden="1" outlineLevel="1" x14ac:dyDescent="0.25">
      <c r="B75" s="21">
        <v>42435</v>
      </c>
      <c r="C75" s="27">
        <v>17.771100000000001</v>
      </c>
      <c r="E75" s="30">
        <v>0.90863700000000003</v>
      </c>
      <c r="G75" s="27">
        <v>15.1912</v>
      </c>
      <c r="I75" s="29">
        <v>6.8357000000000001</v>
      </c>
      <c r="K75" s="29">
        <v>3.7586499999999998</v>
      </c>
      <c r="M75" s="41"/>
      <c r="O75" s="26">
        <v>3187.35</v>
      </c>
      <c r="Q75" s="26">
        <v>5690</v>
      </c>
      <c r="S75" s="26">
        <v>1513.87</v>
      </c>
      <c r="U75" s="29">
        <v>3.4557500000000001</v>
      </c>
      <c r="W75" s="27">
        <v>32.506999999999998</v>
      </c>
      <c r="Y75" s="29">
        <v>8.6487400000000001</v>
      </c>
      <c r="AA75" s="41">
        <v>534.57000000000005</v>
      </c>
      <c r="AC75" s="27">
        <v>45.709499999999998</v>
      </c>
      <c r="AE75" s="27">
        <v>1</v>
      </c>
      <c r="AG75" s="29">
        <v>7.6608999999999998</v>
      </c>
      <c r="AI75" s="29">
        <v>8.7308500000000002</v>
      </c>
      <c r="AK75" s="27">
        <v>22.542999999999999</v>
      </c>
      <c r="AM75" s="27">
        <v>28.265999999999998</v>
      </c>
      <c r="AO75" s="29"/>
      <c r="AP75" s="28"/>
    </row>
    <row r="76" spans="2:42" hidden="1" outlineLevel="1" x14ac:dyDescent="0.25">
      <c r="B76" s="21">
        <v>42436</v>
      </c>
      <c r="C76" s="27">
        <v>17.790700000000001</v>
      </c>
      <c r="E76" s="30">
        <v>0.91046099999999996</v>
      </c>
      <c r="G76" s="27">
        <v>15.2658</v>
      </c>
      <c r="I76" s="29">
        <v>6.8442499999999997</v>
      </c>
      <c r="K76" s="29">
        <v>3.7674300000000001</v>
      </c>
      <c r="M76" s="41"/>
      <c r="O76" s="26">
        <v>3173.14</v>
      </c>
      <c r="Q76" s="26">
        <v>5688.21</v>
      </c>
      <c r="S76" s="26">
        <v>1509.87</v>
      </c>
      <c r="U76" s="29">
        <v>3.4573200000000002</v>
      </c>
      <c r="W76" s="27">
        <v>32.446399999999997</v>
      </c>
      <c r="Y76" s="29">
        <v>8.6125100000000003</v>
      </c>
      <c r="AA76" s="41">
        <v>535.29700000000003</v>
      </c>
      <c r="AC76" s="27">
        <v>45.777299999999997</v>
      </c>
      <c r="AE76" s="27">
        <v>1</v>
      </c>
      <c r="AG76" s="29">
        <v>7.6735199999999999</v>
      </c>
      <c r="AI76" s="29">
        <v>8.7420799999999996</v>
      </c>
      <c r="AK76" s="27">
        <v>22.562799999999999</v>
      </c>
      <c r="AM76" s="27">
        <v>28.3019</v>
      </c>
      <c r="AO76" s="29"/>
      <c r="AP76" s="28"/>
    </row>
    <row r="77" spans="2:42" hidden="1" outlineLevel="1" x14ac:dyDescent="0.25">
      <c r="B77" s="21">
        <v>42437</v>
      </c>
      <c r="C77" s="27">
        <v>17.826499999999999</v>
      </c>
      <c r="E77" s="30">
        <v>0.907416</v>
      </c>
      <c r="G77" s="27">
        <v>15.414400000000001</v>
      </c>
      <c r="I77" s="29">
        <v>6.8238399999999997</v>
      </c>
      <c r="K77" s="29">
        <v>3.77698</v>
      </c>
      <c r="M77" s="41"/>
      <c r="O77" s="26">
        <v>3126.69</v>
      </c>
      <c r="Q77" s="26">
        <v>5671.91</v>
      </c>
      <c r="S77" s="26">
        <v>1501.73</v>
      </c>
      <c r="U77" s="29">
        <v>3.4441199999999998</v>
      </c>
      <c r="W77" s="27">
        <v>32.177100000000003</v>
      </c>
      <c r="Y77" s="29">
        <v>8.5194200000000002</v>
      </c>
      <c r="AA77" s="41">
        <v>534.10500000000002</v>
      </c>
      <c r="AC77" s="27">
        <v>45.685299999999998</v>
      </c>
      <c r="AE77" s="27">
        <v>1</v>
      </c>
      <c r="AG77" s="29">
        <v>7.6656899999999997</v>
      </c>
      <c r="AI77" s="29">
        <v>8.7228499999999993</v>
      </c>
      <c r="AK77" s="27">
        <v>22.528400000000001</v>
      </c>
      <c r="AM77" s="27">
        <v>28.315100000000001</v>
      </c>
      <c r="AO77" s="29"/>
      <c r="AP77" s="28"/>
    </row>
    <row r="78" spans="2:42" hidden="1" outlineLevel="1" x14ac:dyDescent="0.25">
      <c r="B78" s="21">
        <v>42438</v>
      </c>
      <c r="C78" s="27">
        <v>17.860499999999998</v>
      </c>
      <c r="E78" s="30">
        <v>0.91013299999999997</v>
      </c>
      <c r="G78" s="27">
        <v>15.413600000000001</v>
      </c>
      <c r="I78" s="29">
        <v>6.84558</v>
      </c>
      <c r="K78" s="29">
        <v>3.7339600000000002</v>
      </c>
      <c r="M78" s="41"/>
      <c r="O78" s="26">
        <v>3155.11</v>
      </c>
      <c r="Q78" s="26">
        <v>5709.73</v>
      </c>
      <c r="S78" s="26">
        <v>1529.16</v>
      </c>
      <c r="U78" s="29">
        <v>3.4599099999999998</v>
      </c>
      <c r="W78" s="27">
        <v>32.208199999999998</v>
      </c>
      <c r="Y78" s="29">
        <v>8.6258900000000001</v>
      </c>
      <c r="AA78" s="41">
        <v>536.19600000000003</v>
      </c>
      <c r="AC78" s="27">
        <v>45.854900000000001</v>
      </c>
      <c r="AE78" s="27">
        <v>1</v>
      </c>
      <c r="AG78" s="29">
        <v>7.7036600000000002</v>
      </c>
      <c r="AI78" s="29">
        <v>8.7576099999999997</v>
      </c>
      <c r="AK78" s="27">
        <v>22.644500000000001</v>
      </c>
      <c r="AM78" s="27">
        <v>28.499099999999999</v>
      </c>
      <c r="AO78" s="29"/>
      <c r="AP78" s="28"/>
    </row>
    <row r="79" spans="2:42" hidden="1" outlineLevel="1" x14ac:dyDescent="0.25">
      <c r="B79" s="21">
        <v>42439</v>
      </c>
      <c r="C79" s="27">
        <v>17.769600000000001</v>
      </c>
      <c r="E79" s="30">
        <v>0.90704200000000001</v>
      </c>
      <c r="G79" s="27">
        <v>15.3544</v>
      </c>
      <c r="I79" s="29">
        <v>6.8351300000000004</v>
      </c>
      <c r="K79" s="29">
        <v>3.6704599999999998</v>
      </c>
      <c r="M79" s="41"/>
      <c r="O79" s="26">
        <v>3193.83</v>
      </c>
      <c r="Q79" s="26">
        <v>5715.85</v>
      </c>
      <c r="S79" s="26">
        <v>1557.3</v>
      </c>
      <c r="U79" s="29">
        <v>3.4509500000000002</v>
      </c>
      <c r="W79" s="27">
        <v>32.130000000000003</v>
      </c>
      <c r="Y79" s="29">
        <v>8.7538199999999993</v>
      </c>
      <c r="AA79" s="41">
        <v>535.36199999999997</v>
      </c>
      <c r="AC79" s="27">
        <v>45.534500000000001</v>
      </c>
      <c r="AE79" s="27">
        <v>1</v>
      </c>
      <c r="AG79" s="29">
        <v>7.69496</v>
      </c>
      <c r="AI79" s="29">
        <v>8.7440599999999993</v>
      </c>
      <c r="AK79" s="27">
        <v>22.595700000000001</v>
      </c>
      <c r="AM79" s="27">
        <v>28.434699999999999</v>
      </c>
      <c r="AO79" s="29"/>
      <c r="AP79" s="28"/>
    </row>
    <row r="80" spans="2:42" hidden="1" outlineLevel="1" x14ac:dyDescent="0.25">
      <c r="B80" s="21">
        <v>42440</v>
      </c>
      <c r="C80" s="27">
        <v>17.746300000000002</v>
      </c>
      <c r="E80" s="30">
        <v>0.89661199999999996</v>
      </c>
      <c r="G80" s="27">
        <v>15.211</v>
      </c>
      <c r="I80" s="29">
        <v>6.76844</v>
      </c>
      <c r="K80" s="29">
        <v>3.6145200000000002</v>
      </c>
      <c r="M80" s="41"/>
      <c r="O80" s="26">
        <v>3170.05</v>
      </c>
      <c r="Q80" s="26">
        <v>5662.72</v>
      </c>
      <c r="S80" s="26">
        <v>1566.69</v>
      </c>
      <c r="U80" s="29">
        <v>3.39873</v>
      </c>
      <c r="W80" s="27">
        <v>31.729700000000001</v>
      </c>
      <c r="Y80" s="29">
        <v>8.7785799999999998</v>
      </c>
      <c r="AA80" s="41">
        <v>529.923</v>
      </c>
      <c r="AC80" s="27">
        <v>44.813099999999999</v>
      </c>
      <c r="AE80" s="27">
        <v>1</v>
      </c>
      <c r="AG80" s="29">
        <v>7.6244899999999998</v>
      </c>
      <c r="AI80" s="29">
        <v>8.6584599999999998</v>
      </c>
      <c r="AK80" s="27">
        <v>22.352599999999999</v>
      </c>
      <c r="AM80" s="27">
        <v>28.142299999999999</v>
      </c>
      <c r="AO80" s="29"/>
      <c r="AP80" s="28"/>
    </row>
    <row r="81" spans="2:42" hidden="1" outlineLevel="1" x14ac:dyDescent="0.25">
      <c r="B81" s="21">
        <v>42441</v>
      </c>
      <c r="C81" s="27">
        <v>17.704899999999999</v>
      </c>
      <c r="E81" s="30">
        <v>0.89693800000000001</v>
      </c>
      <c r="G81" s="27">
        <v>15.263500000000001</v>
      </c>
      <c r="I81" s="29">
        <v>6.8143000000000002</v>
      </c>
      <c r="K81" s="29">
        <v>3.5828199999999999</v>
      </c>
      <c r="M81" s="41"/>
      <c r="O81" s="26">
        <v>3209.45</v>
      </c>
      <c r="Q81" s="26">
        <v>5700.4</v>
      </c>
      <c r="S81" s="26">
        <v>1591.08</v>
      </c>
      <c r="U81" s="29">
        <v>3.4141499999999998</v>
      </c>
      <c r="W81" s="27">
        <v>31.904</v>
      </c>
      <c r="Y81" s="29">
        <v>8.90489</v>
      </c>
      <c r="AA81" s="41">
        <v>533.37</v>
      </c>
      <c r="AC81" s="27">
        <v>45.1145</v>
      </c>
      <c r="AE81" s="27">
        <v>1</v>
      </c>
      <c r="AG81" s="29">
        <v>7.6790000000000003</v>
      </c>
      <c r="AI81" s="29">
        <v>8.7179000000000002</v>
      </c>
      <c r="AK81" s="27">
        <v>22.4955</v>
      </c>
      <c r="AM81" s="27">
        <v>28.328499999999998</v>
      </c>
      <c r="AO81" s="29"/>
      <c r="AP81" s="28"/>
    </row>
    <row r="82" spans="2:42" hidden="1" outlineLevel="1" x14ac:dyDescent="0.25">
      <c r="B82" s="21">
        <v>42442</v>
      </c>
      <c r="C82" s="27">
        <v>17.705300000000001</v>
      </c>
      <c r="E82" s="30">
        <v>0.89694099999999999</v>
      </c>
      <c r="G82" s="27">
        <v>15.2841</v>
      </c>
      <c r="I82" s="29">
        <v>6.84</v>
      </c>
      <c r="K82" s="29">
        <v>3.609</v>
      </c>
      <c r="M82" s="41"/>
      <c r="O82" s="26">
        <v>3171</v>
      </c>
      <c r="Q82" s="26">
        <v>5745</v>
      </c>
      <c r="S82" s="26">
        <v>1591.86</v>
      </c>
      <c r="U82" s="29">
        <v>3.4155000000000002</v>
      </c>
      <c r="W82" s="27">
        <v>31.89</v>
      </c>
      <c r="Y82" s="29">
        <v>8.8362400000000001</v>
      </c>
      <c r="AA82" s="41">
        <v>536.57000000000005</v>
      </c>
      <c r="AC82" s="27">
        <v>45.25</v>
      </c>
      <c r="AE82" s="27">
        <v>1</v>
      </c>
      <c r="AG82" s="29">
        <v>7.7089999999999996</v>
      </c>
      <c r="AI82" s="29">
        <v>8.7271999999999998</v>
      </c>
      <c r="AK82" s="27">
        <v>22.57</v>
      </c>
      <c r="AM82" s="27">
        <v>28.193899999999999</v>
      </c>
      <c r="AO82" s="29"/>
      <c r="AP82" s="28"/>
    </row>
    <row r="83" spans="2:42" hidden="1" outlineLevel="1" x14ac:dyDescent="0.25">
      <c r="B83" s="21">
        <v>42443</v>
      </c>
      <c r="C83" s="27">
        <v>17.732800000000001</v>
      </c>
      <c r="E83" s="30">
        <v>0.898428</v>
      </c>
      <c r="G83" s="27">
        <v>14.904299999999999</v>
      </c>
      <c r="I83" s="29">
        <v>6.8218800000000002</v>
      </c>
      <c r="K83" s="29">
        <v>3.6019299999999999</v>
      </c>
      <c r="M83" s="41"/>
      <c r="O83" s="26">
        <v>3193.35</v>
      </c>
      <c r="Q83" s="26">
        <v>5708.38</v>
      </c>
      <c r="S83" s="26">
        <v>1584.86</v>
      </c>
      <c r="U83" s="29">
        <v>3.39032</v>
      </c>
      <c r="W83" s="27">
        <v>31.8719</v>
      </c>
      <c r="Y83" s="29">
        <v>8.84877</v>
      </c>
      <c r="AA83" s="41">
        <v>533.94100000000003</v>
      </c>
      <c r="AC83" s="27">
        <v>45.332599999999999</v>
      </c>
      <c r="AE83" s="27">
        <v>1</v>
      </c>
      <c r="AG83" s="29">
        <v>7.69353</v>
      </c>
      <c r="AI83" s="29">
        <v>8.7265599999999992</v>
      </c>
      <c r="AK83" s="27">
        <v>22.499400000000001</v>
      </c>
      <c r="AM83" s="27">
        <v>28.351299999999998</v>
      </c>
      <c r="AO83" s="29"/>
      <c r="AP83" s="28"/>
    </row>
    <row r="84" spans="2:42" hidden="1" outlineLevel="1" x14ac:dyDescent="0.25">
      <c r="B84" s="21">
        <v>42444</v>
      </c>
      <c r="C84" s="27">
        <v>17.8445</v>
      </c>
      <c r="E84" s="30">
        <v>0.90058899999999997</v>
      </c>
      <c r="G84" s="27">
        <v>14.714399999999999</v>
      </c>
      <c r="I84" s="29">
        <v>6.8347199999999999</v>
      </c>
      <c r="K84" s="29">
        <v>3.6888399999999999</v>
      </c>
      <c r="M84" s="41"/>
      <c r="O84" s="26">
        <v>3155.63</v>
      </c>
      <c r="Q84" s="26">
        <v>5723.6</v>
      </c>
      <c r="S84" s="26">
        <v>1551.63</v>
      </c>
      <c r="U84" s="29">
        <v>3.34077</v>
      </c>
      <c r="W84" s="27">
        <v>31.973299999999998</v>
      </c>
      <c r="Y84" s="29">
        <v>8.6677099999999996</v>
      </c>
      <c r="AA84" s="41">
        <v>534.697</v>
      </c>
      <c r="AC84" s="27">
        <v>45.476399999999998</v>
      </c>
      <c r="AE84" s="27">
        <v>1</v>
      </c>
      <c r="AG84" s="29">
        <v>7.72316</v>
      </c>
      <c r="AI84" s="29">
        <v>8.7477099999999997</v>
      </c>
      <c r="AK84" s="27">
        <v>22.511399999999998</v>
      </c>
      <c r="AM84" s="27">
        <v>28.298300000000001</v>
      </c>
      <c r="AO84" s="29"/>
      <c r="AP84" s="28"/>
    </row>
    <row r="85" spans="2:42" hidden="1" outlineLevel="1" x14ac:dyDescent="0.25">
      <c r="B85" s="21">
        <v>42445</v>
      </c>
      <c r="C85" s="27">
        <v>17.871400000000001</v>
      </c>
      <c r="E85" s="30">
        <v>0.90041800000000005</v>
      </c>
      <c r="G85" s="27">
        <v>14.5252</v>
      </c>
      <c r="I85" s="29">
        <v>6.8252499999999996</v>
      </c>
      <c r="K85" s="29">
        <v>3.7755200000000002</v>
      </c>
      <c r="M85" s="41"/>
      <c r="O85" s="26">
        <v>3161.91</v>
      </c>
      <c r="Q85" s="26">
        <v>5724.15</v>
      </c>
      <c r="S85" s="26">
        <v>1516.15</v>
      </c>
      <c r="U85" s="29">
        <v>3.3600599999999998</v>
      </c>
      <c r="W85" s="27">
        <v>32.130499999999998</v>
      </c>
      <c r="Y85" s="29">
        <v>8.51037</v>
      </c>
      <c r="AA85" s="41">
        <v>533.59199999999998</v>
      </c>
      <c r="AC85" s="27">
        <v>45.685299999999998</v>
      </c>
      <c r="AE85" s="27">
        <v>1</v>
      </c>
      <c r="AG85" s="29">
        <v>7.7284899999999999</v>
      </c>
      <c r="AI85" s="29">
        <v>8.7438599999999997</v>
      </c>
      <c r="AK85" s="27">
        <v>22.537800000000001</v>
      </c>
      <c r="AM85" s="27">
        <v>27.781400000000001</v>
      </c>
      <c r="AO85" s="29"/>
      <c r="AP85" s="28"/>
    </row>
    <row r="86" spans="2:42" hidden="1" outlineLevel="1" x14ac:dyDescent="0.25">
      <c r="B86" s="21">
        <v>42446</v>
      </c>
      <c r="C86" s="27">
        <v>17.517299999999999</v>
      </c>
      <c r="E86" s="30">
        <v>0.88731499999999996</v>
      </c>
      <c r="G86" s="27">
        <v>14.6503</v>
      </c>
      <c r="I86" s="29">
        <v>6.7882100000000003</v>
      </c>
      <c r="K86" s="29">
        <v>3.7062300000000001</v>
      </c>
      <c r="M86" s="41"/>
      <c r="O86" s="26">
        <v>3121.09</v>
      </c>
      <c r="Q86" s="26">
        <v>5697.07</v>
      </c>
      <c r="S86" s="26">
        <v>1537.19</v>
      </c>
      <c r="U86" s="29">
        <v>3.3437899999999998</v>
      </c>
      <c r="W86" s="27">
        <v>32.044499999999999</v>
      </c>
      <c r="Y86" s="29">
        <v>8.6462599999999998</v>
      </c>
      <c r="AA86" s="41">
        <v>531.15099999999995</v>
      </c>
      <c r="AC86" s="27">
        <v>45.087299999999999</v>
      </c>
      <c r="AE86" s="27">
        <v>1</v>
      </c>
      <c r="AG86" s="29">
        <v>7.6916099999999998</v>
      </c>
      <c r="AI86" s="29">
        <v>8.6962100000000007</v>
      </c>
      <c r="AK86" s="27">
        <v>22.378699999999998</v>
      </c>
      <c r="AM86" s="27">
        <v>28.149799999999999</v>
      </c>
      <c r="AO86" s="29"/>
      <c r="AP86" s="28"/>
    </row>
    <row r="87" spans="2:42" hidden="1" outlineLevel="1" x14ac:dyDescent="0.25">
      <c r="B87" s="21">
        <v>42447</v>
      </c>
      <c r="C87" s="27">
        <v>17.343299999999999</v>
      </c>
      <c r="E87" s="30">
        <v>0.88535900000000001</v>
      </c>
      <c r="G87" s="27">
        <v>14.883900000000001</v>
      </c>
      <c r="I87" s="29">
        <v>6.83087</v>
      </c>
      <c r="K87" s="29">
        <v>3.61972</v>
      </c>
      <c r="M87" s="41"/>
      <c r="O87" s="26">
        <v>3126.11</v>
      </c>
      <c r="Q87" s="26">
        <v>5721.64</v>
      </c>
      <c r="S87" s="26">
        <v>1580.72</v>
      </c>
      <c r="U87" s="29">
        <v>3.37988</v>
      </c>
      <c r="W87" s="27">
        <v>32.390900000000002</v>
      </c>
      <c r="Y87" s="29">
        <v>8.9486299999999996</v>
      </c>
      <c r="AA87" s="41">
        <v>535.327</v>
      </c>
      <c r="AC87" s="27">
        <v>45.415500000000002</v>
      </c>
      <c r="AE87" s="27">
        <v>1</v>
      </c>
      <c r="AG87" s="29">
        <v>7.7425499999999996</v>
      </c>
      <c r="AI87" s="29">
        <v>8.7508400000000002</v>
      </c>
      <c r="AK87" s="27">
        <v>22.533899999999999</v>
      </c>
      <c r="AM87" s="27">
        <v>28.361899999999999</v>
      </c>
      <c r="AO87" s="29"/>
      <c r="AP87" s="28"/>
    </row>
    <row r="88" spans="2:42" hidden="1" outlineLevel="1" x14ac:dyDescent="0.25">
      <c r="B88" s="21">
        <v>42448</v>
      </c>
      <c r="C88" s="27">
        <v>17.3933</v>
      </c>
      <c r="E88" s="30">
        <v>0.88726799999999995</v>
      </c>
      <c r="G88" s="27">
        <v>14.843299999999999</v>
      </c>
      <c r="I88" s="29">
        <v>6.83338</v>
      </c>
      <c r="K88" s="29">
        <v>3.6249899999999999</v>
      </c>
      <c r="M88" s="41"/>
      <c r="O88" s="26">
        <v>3075.2</v>
      </c>
      <c r="Q88" s="26">
        <v>5716.76</v>
      </c>
      <c r="S88" s="26">
        <v>1577.08</v>
      </c>
      <c r="U88" s="29">
        <v>3.3699699999999999</v>
      </c>
      <c r="W88" s="27">
        <v>32.420400000000001</v>
      </c>
      <c r="Y88" s="29">
        <v>8.94374</v>
      </c>
      <c r="AA88" s="41">
        <v>535.52300000000002</v>
      </c>
      <c r="AC88" s="27">
        <v>45.252000000000002</v>
      </c>
      <c r="AE88" s="27">
        <v>1</v>
      </c>
      <c r="AG88" s="29">
        <v>7.7477900000000002</v>
      </c>
      <c r="AI88" s="29">
        <v>8.7548700000000004</v>
      </c>
      <c r="AK88" s="27">
        <v>22.5227</v>
      </c>
      <c r="AM88" s="27">
        <v>28.359300000000001</v>
      </c>
      <c r="AO88" s="29"/>
      <c r="AP88" s="28"/>
    </row>
    <row r="89" spans="2:42" hidden="1" outlineLevel="1" x14ac:dyDescent="0.25">
      <c r="B89" s="21">
        <v>42449</v>
      </c>
      <c r="C89" s="27">
        <v>17.3933</v>
      </c>
      <c r="E89" s="30">
        <v>0.88726799999999995</v>
      </c>
      <c r="G89" s="27">
        <v>14.7758</v>
      </c>
      <c r="I89" s="29">
        <v>6.8335999999999997</v>
      </c>
      <c r="K89" s="29">
        <v>3.6247500000000001</v>
      </c>
      <c r="M89" s="41"/>
      <c r="O89" s="26">
        <v>3075.25</v>
      </c>
      <c r="Q89" s="26">
        <v>5716.95</v>
      </c>
      <c r="S89" s="26">
        <v>1577.23</v>
      </c>
      <c r="U89" s="29">
        <v>3.3698000000000001</v>
      </c>
      <c r="W89" s="27">
        <v>32.421500000000002</v>
      </c>
      <c r="Y89" s="29">
        <v>8.9446300000000001</v>
      </c>
      <c r="AA89" s="41">
        <v>535.54</v>
      </c>
      <c r="AC89" s="27">
        <v>45.238999999999997</v>
      </c>
      <c r="AE89" s="27">
        <v>1</v>
      </c>
      <c r="AG89" s="29">
        <v>7.7480500000000001</v>
      </c>
      <c r="AI89" s="29">
        <v>8.7551500000000004</v>
      </c>
      <c r="AK89" s="27">
        <v>22.521999999999998</v>
      </c>
      <c r="AM89" s="27">
        <v>28.359500000000001</v>
      </c>
      <c r="AO89" s="29"/>
      <c r="AP89" s="28"/>
    </row>
    <row r="90" spans="2:42" hidden="1" outlineLevel="1" x14ac:dyDescent="0.25">
      <c r="B90" s="21">
        <v>42450</v>
      </c>
      <c r="C90" s="27">
        <v>17.422699999999999</v>
      </c>
      <c r="E90" s="30">
        <v>0.88778800000000002</v>
      </c>
      <c r="G90" s="27">
        <v>14.723599999999999</v>
      </c>
      <c r="I90" s="29">
        <v>6.8331</v>
      </c>
      <c r="K90" s="29">
        <v>3.62039</v>
      </c>
      <c r="M90" s="41"/>
      <c r="O90" s="26">
        <v>3074.14</v>
      </c>
      <c r="Q90" s="26">
        <v>5706.27</v>
      </c>
      <c r="S90" s="26">
        <v>1576.18</v>
      </c>
      <c r="U90" s="29">
        <v>3.3786700000000001</v>
      </c>
      <c r="W90" s="27">
        <v>32.324599999999997</v>
      </c>
      <c r="Y90" s="29">
        <v>8.9286200000000004</v>
      </c>
      <c r="AA90" s="41">
        <v>534.827</v>
      </c>
      <c r="AC90" s="27">
        <v>45.419400000000003</v>
      </c>
      <c r="AE90" s="27">
        <v>1</v>
      </c>
      <c r="AG90" s="29">
        <v>7.7468199999999996</v>
      </c>
      <c r="AI90" s="29">
        <v>8.7545199999999994</v>
      </c>
      <c r="AK90" s="27">
        <v>22.530999999999999</v>
      </c>
      <c r="AM90" s="27">
        <v>28.306000000000001</v>
      </c>
      <c r="AO90" s="29"/>
      <c r="AP90" s="28"/>
    </row>
    <row r="91" spans="2:42" hidden="1" outlineLevel="1" x14ac:dyDescent="0.25">
      <c r="B91" s="21">
        <v>42451</v>
      </c>
      <c r="C91" s="27">
        <v>17.400200000000002</v>
      </c>
      <c r="E91" s="30">
        <v>0.89047900000000002</v>
      </c>
      <c r="G91" s="27">
        <v>14.4215</v>
      </c>
      <c r="I91" s="29">
        <v>6.8397300000000003</v>
      </c>
      <c r="K91" s="29">
        <v>3.6122399999999999</v>
      </c>
      <c r="M91" s="41"/>
      <c r="O91" s="26">
        <v>3069.3</v>
      </c>
      <c r="Q91" s="26">
        <v>5688.47</v>
      </c>
      <c r="S91" s="26">
        <v>1574.81</v>
      </c>
      <c r="U91" s="29">
        <v>3.40863</v>
      </c>
      <c r="W91" s="27">
        <v>32.248399999999997</v>
      </c>
      <c r="Y91" s="29">
        <v>8.9276900000000001</v>
      </c>
      <c r="AA91" s="41">
        <v>535.18600000000004</v>
      </c>
      <c r="AC91" s="27">
        <v>45.673000000000002</v>
      </c>
      <c r="AE91" s="27">
        <v>1</v>
      </c>
      <c r="AG91" s="29">
        <v>7.7533500000000002</v>
      </c>
      <c r="AI91" s="29">
        <v>8.7629999999999999</v>
      </c>
      <c r="AK91" s="27">
        <v>22.553999999999998</v>
      </c>
      <c r="AM91" s="27">
        <v>28.243300000000001</v>
      </c>
      <c r="AO91" s="29"/>
      <c r="AP91" s="28"/>
    </row>
    <row r="92" spans="2:42" hidden="1" outlineLevel="1" x14ac:dyDescent="0.25">
      <c r="B92" s="21">
        <v>42452</v>
      </c>
      <c r="C92" s="27">
        <v>17.4133</v>
      </c>
      <c r="E92" s="30">
        <v>0.89322000000000001</v>
      </c>
      <c r="G92" s="27">
        <v>14.4068</v>
      </c>
      <c r="I92" s="29">
        <v>6.8339400000000001</v>
      </c>
      <c r="K92" s="29">
        <v>3.6090599999999999</v>
      </c>
      <c r="M92" s="41"/>
      <c r="O92" s="26">
        <v>3072.94</v>
      </c>
      <c r="Q92" s="26">
        <v>5670.35</v>
      </c>
      <c r="S92" s="26">
        <v>1571.18</v>
      </c>
      <c r="U92" s="29">
        <v>3.4058999999999999</v>
      </c>
      <c r="W92" s="27">
        <v>32.240400000000001</v>
      </c>
      <c r="Y92" s="29">
        <v>8.93337</v>
      </c>
      <c r="AA92" s="41">
        <v>535.48900000000003</v>
      </c>
      <c r="AC92" s="27">
        <v>45.338299999999997</v>
      </c>
      <c r="AE92" s="27">
        <v>1</v>
      </c>
      <c r="AG92" s="29">
        <v>7.7455800000000004</v>
      </c>
      <c r="AI92" s="29">
        <v>8.7552199999999996</v>
      </c>
      <c r="AK92" s="27">
        <v>22.656500000000001</v>
      </c>
      <c r="AM92" s="27">
        <v>28.343499999999999</v>
      </c>
      <c r="AO92" s="29"/>
      <c r="AP92" s="28"/>
    </row>
    <row r="93" spans="2:42" hidden="1" outlineLevel="1" x14ac:dyDescent="0.25">
      <c r="B93" s="21">
        <v>42453</v>
      </c>
      <c r="C93" s="27">
        <v>17.620899999999999</v>
      </c>
      <c r="E93" s="30">
        <v>0.89515900000000004</v>
      </c>
      <c r="G93" s="27">
        <v>14.5008</v>
      </c>
      <c r="I93" s="29">
        <v>6.8342700000000001</v>
      </c>
      <c r="K93" s="29">
        <v>3.6873399999999998</v>
      </c>
      <c r="M93" s="41"/>
      <c r="O93" s="26">
        <v>3031.54</v>
      </c>
      <c r="Q93" s="26">
        <v>5673.35</v>
      </c>
      <c r="S93" s="26">
        <v>1538.63</v>
      </c>
      <c r="U93" s="29">
        <v>3.4089100000000001</v>
      </c>
      <c r="W93" s="27">
        <v>32.1494</v>
      </c>
      <c r="Y93" s="29">
        <v>8.7189999999999994</v>
      </c>
      <c r="AA93" s="41">
        <v>534.26700000000005</v>
      </c>
      <c r="AC93" s="27">
        <v>45.210799999999999</v>
      </c>
      <c r="AE93" s="27">
        <v>1</v>
      </c>
      <c r="AG93" s="29">
        <v>7.7480200000000004</v>
      </c>
      <c r="AI93" s="29">
        <v>8.7567599999999999</v>
      </c>
      <c r="AK93" s="27">
        <v>22.635999999999999</v>
      </c>
      <c r="AM93" s="27">
        <v>28.346299999999999</v>
      </c>
      <c r="AO93" s="29"/>
      <c r="AP93" s="28"/>
    </row>
    <row r="94" spans="2:42" hidden="1" outlineLevel="1" x14ac:dyDescent="0.25">
      <c r="B94" s="21">
        <v>42454</v>
      </c>
      <c r="C94" s="27">
        <v>17.581900000000001</v>
      </c>
      <c r="E94" s="30">
        <v>0.89554800000000001</v>
      </c>
      <c r="G94" s="27">
        <v>14.4884</v>
      </c>
      <c r="I94" s="29">
        <v>6.8211300000000001</v>
      </c>
      <c r="K94" s="29">
        <v>3.6831100000000001</v>
      </c>
      <c r="M94" s="41"/>
      <c r="O94" s="26">
        <v>3072.34</v>
      </c>
      <c r="Q94" s="26">
        <v>5717.57</v>
      </c>
      <c r="S94" s="26">
        <v>1552.4</v>
      </c>
      <c r="U94" s="29">
        <v>3.3803299999999998</v>
      </c>
      <c r="W94" s="27">
        <v>32.070500000000003</v>
      </c>
      <c r="Y94" s="29">
        <v>8.7075800000000001</v>
      </c>
      <c r="AA94" s="41">
        <v>532.88499999999999</v>
      </c>
      <c r="AC94" s="27">
        <v>45.732399999999998</v>
      </c>
      <c r="AE94" s="27">
        <v>1</v>
      </c>
      <c r="AG94" s="29">
        <v>7.7317900000000002</v>
      </c>
      <c r="AI94" s="29">
        <v>8.7373499999999993</v>
      </c>
      <c r="AK94" s="27">
        <v>22.602499999999999</v>
      </c>
      <c r="AM94" s="27">
        <v>28.268000000000001</v>
      </c>
      <c r="AO94" s="29"/>
      <c r="AP94" s="28"/>
    </row>
    <row r="95" spans="2:42" hidden="1" outlineLevel="1" x14ac:dyDescent="0.25">
      <c r="B95" s="21">
        <v>42455</v>
      </c>
      <c r="C95" s="27">
        <v>17.537299999999998</v>
      </c>
      <c r="E95" s="30">
        <v>0.89547200000000005</v>
      </c>
      <c r="G95" s="27">
        <v>14.5176</v>
      </c>
      <c r="I95" s="29">
        <v>6.8211500000000003</v>
      </c>
      <c r="K95" s="29">
        <v>3.6887799999999999</v>
      </c>
      <c r="M95" s="41"/>
      <c r="O95" s="26">
        <v>3072.5</v>
      </c>
      <c r="Q95" s="26">
        <v>5717.6</v>
      </c>
      <c r="S95" s="26">
        <v>1550.06</v>
      </c>
      <c r="U95" s="29">
        <v>3.38035</v>
      </c>
      <c r="W95" s="27">
        <v>32.070500000000003</v>
      </c>
      <c r="Y95" s="29">
        <v>8.6943400000000004</v>
      </c>
      <c r="AA95" s="41">
        <v>532.88499999999999</v>
      </c>
      <c r="AC95" s="27">
        <v>45.731999999999999</v>
      </c>
      <c r="AE95" s="27">
        <v>1</v>
      </c>
      <c r="AG95" s="29">
        <v>7.7317999999999998</v>
      </c>
      <c r="AI95" s="29">
        <v>8.7373499999999993</v>
      </c>
      <c r="AK95" s="27">
        <v>22.6005</v>
      </c>
      <c r="AM95" s="27">
        <v>28.266500000000001</v>
      </c>
      <c r="AO95" s="29"/>
      <c r="AP95" s="28"/>
    </row>
    <row r="96" spans="2:42" hidden="1" outlineLevel="1" x14ac:dyDescent="0.25">
      <c r="B96" s="21">
        <v>42456</v>
      </c>
      <c r="C96" s="27">
        <v>17.537299999999998</v>
      </c>
      <c r="E96" s="30">
        <v>0.89547200000000005</v>
      </c>
      <c r="G96" s="27">
        <v>14.52</v>
      </c>
      <c r="I96" s="29">
        <v>6.8205</v>
      </c>
      <c r="K96" s="29">
        <v>3.6891500000000002</v>
      </c>
      <c r="M96" s="41"/>
      <c r="O96" s="26">
        <v>3067.25</v>
      </c>
      <c r="Q96" s="26">
        <v>5717.6</v>
      </c>
      <c r="S96" s="26">
        <v>1549.9</v>
      </c>
      <c r="U96" s="29">
        <v>3.38035</v>
      </c>
      <c r="W96" s="27">
        <v>32.070999999999998</v>
      </c>
      <c r="Y96" s="29">
        <v>8.6936099999999996</v>
      </c>
      <c r="AA96" s="41">
        <v>532.92999999999995</v>
      </c>
      <c r="AC96" s="27">
        <v>45.736499999999999</v>
      </c>
      <c r="AE96" s="27">
        <v>1</v>
      </c>
      <c r="AG96" s="29">
        <v>7.7320000000000002</v>
      </c>
      <c r="AI96" s="29">
        <v>8.7381499999999992</v>
      </c>
      <c r="AK96" s="27">
        <v>22.600999999999999</v>
      </c>
      <c r="AM96" s="27">
        <v>28.266500000000001</v>
      </c>
      <c r="AO96" s="29"/>
      <c r="AP96" s="28"/>
    </row>
    <row r="97" spans="2:42" hidden="1" outlineLevel="1" x14ac:dyDescent="0.25">
      <c r="B97" s="21">
        <v>42457</v>
      </c>
      <c r="C97" s="27">
        <v>17.525300000000001</v>
      </c>
      <c r="E97" s="30">
        <v>0.89473800000000003</v>
      </c>
      <c r="G97" s="27">
        <v>14.4983</v>
      </c>
      <c r="I97" s="29">
        <v>6.8207800000000001</v>
      </c>
      <c r="K97" s="29">
        <v>3.6879599999999999</v>
      </c>
      <c r="M97" s="41"/>
      <c r="O97" s="26">
        <v>3067.35</v>
      </c>
      <c r="Q97" s="26">
        <v>5717.78</v>
      </c>
      <c r="S97" s="26">
        <v>1550.44</v>
      </c>
      <c r="U97" s="29">
        <v>3.3804699999999999</v>
      </c>
      <c r="W97" s="27">
        <v>32.072200000000002</v>
      </c>
      <c r="Y97" s="29">
        <v>8.6966999999999999</v>
      </c>
      <c r="AA97" s="41">
        <v>532.947</v>
      </c>
      <c r="AC97" s="27">
        <v>45.737900000000003</v>
      </c>
      <c r="AE97" s="27">
        <v>1</v>
      </c>
      <c r="AG97" s="29">
        <v>7.73231</v>
      </c>
      <c r="AI97" s="29">
        <v>8.7384199999999996</v>
      </c>
      <c r="AK97" s="27">
        <v>22.601800000000001</v>
      </c>
      <c r="AM97" s="27">
        <v>28.267499999999998</v>
      </c>
      <c r="AO97" s="29"/>
      <c r="AP97" s="28"/>
    </row>
    <row r="98" spans="2:42" hidden="1" outlineLevel="1" x14ac:dyDescent="0.25">
      <c r="B98" s="21">
        <v>42458</v>
      </c>
      <c r="C98" s="27">
        <v>17.432099999999998</v>
      </c>
      <c r="E98" s="30">
        <v>0.89188100000000003</v>
      </c>
      <c r="G98" s="27">
        <v>14.6693</v>
      </c>
      <c r="I98" s="29">
        <v>6.8119100000000001</v>
      </c>
      <c r="K98" s="29">
        <v>3.6382500000000002</v>
      </c>
      <c r="M98" s="41"/>
      <c r="O98" s="26">
        <v>3041.41</v>
      </c>
      <c r="Q98" s="26">
        <v>5688.48</v>
      </c>
      <c r="S98" s="26">
        <v>1563.55</v>
      </c>
      <c r="U98" s="29">
        <v>3.36991</v>
      </c>
      <c r="W98" s="27">
        <v>32.032899999999998</v>
      </c>
      <c r="Y98" s="29">
        <v>8.8046000000000006</v>
      </c>
      <c r="AA98" s="41">
        <v>532.23500000000001</v>
      </c>
      <c r="AC98" s="27">
        <v>45.375399999999999</v>
      </c>
      <c r="AE98" s="27">
        <v>1</v>
      </c>
      <c r="AG98" s="29">
        <v>7.7185199999999998</v>
      </c>
      <c r="AI98" s="29">
        <v>8.7257899999999999</v>
      </c>
      <c r="AK98" s="27">
        <v>22.552199999999999</v>
      </c>
      <c r="AM98" s="27">
        <v>28.202000000000002</v>
      </c>
      <c r="AO98" s="29"/>
      <c r="AP98" s="28"/>
    </row>
    <row r="99" spans="2:42" hidden="1" outlineLevel="1" x14ac:dyDescent="0.25">
      <c r="B99" s="21">
        <v>42459</v>
      </c>
      <c r="C99" s="27">
        <v>17.279599999999999</v>
      </c>
      <c r="E99" s="30">
        <v>0.88393500000000003</v>
      </c>
      <c r="G99" s="27">
        <v>14.6271</v>
      </c>
      <c r="I99" s="29">
        <v>6.8244100000000003</v>
      </c>
      <c r="K99" s="29">
        <v>3.6293500000000001</v>
      </c>
      <c r="M99" s="41"/>
      <c r="O99" s="26">
        <v>3036.07</v>
      </c>
      <c r="Q99" s="26">
        <v>5681.26</v>
      </c>
      <c r="S99" s="26">
        <v>1565.4</v>
      </c>
      <c r="U99" s="29">
        <v>3.3643000000000001</v>
      </c>
      <c r="W99" s="27">
        <v>32.076099999999997</v>
      </c>
      <c r="Y99" s="29">
        <v>8.83812</v>
      </c>
      <c r="AA99" s="41">
        <v>533.23699999999997</v>
      </c>
      <c r="AC99" s="27">
        <v>45.307200000000002</v>
      </c>
      <c r="AE99" s="27">
        <v>1</v>
      </c>
      <c r="AG99" s="29">
        <v>7.7288600000000001</v>
      </c>
      <c r="AI99" s="29">
        <v>8.7421199999999999</v>
      </c>
      <c r="AK99" s="27">
        <v>22.5718</v>
      </c>
      <c r="AM99" s="27">
        <v>28.2349</v>
      </c>
      <c r="AO99" s="29"/>
      <c r="AP99" s="28"/>
    </row>
    <row r="100" spans="2:42" hidden="1" outlineLevel="1" x14ac:dyDescent="0.25">
      <c r="B100" s="21">
        <v>42460</v>
      </c>
      <c r="C100" s="49">
        <v>17.250900000000001</v>
      </c>
      <c r="E100" s="30">
        <v>0.88058800000000004</v>
      </c>
      <c r="G100" s="27">
        <v>14.616099999999999</v>
      </c>
      <c r="I100" s="29">
        <v>6.8234500000000002</v>
      </c>
      <c r="K100" s="29">
        <v>3.59274</v>
      </c>
      <c r="M100" s="41"/>
      <c r="O100" s="26">
        <v>3053.81</v>
      </c>
      <c r="Q100" s="26">
        <v>5671.65</v>
      </c>
      <c r="S100" s="26">
        <v>1578.67</v>
      </c>
      <c r="U100" s="29">
        <v>3.35033</v>
      </c>
      <c r="W100" s="27">
        <v>32.044600000000003</v>
      </c>
      <c r="Y100" s="29">
        <v>8.9194200000000006</v>
      </c>
      <c r="AA100" s="41">
        <v>533.125</v>
      </c>
      <c r="AC100" s="27">
        <v>45.074300000000001</v>
      </c>
      <c r="AE100" s="27">
        <v>1</v>
      </c>
      <c r="AG100" s="29">
        <v>7.7251099999999999</v>
      </c>
      <c r="AI100" s="29">
        <v>8.7412100000000006</v>
      </c>
      <c r="AK100" s="27">
        <v>22.556899999999999</v>
      </c>
      <c r="AM100" s="27">
        <v>28.196300000000001</v>
      </c>
      <c r="AO100" s="29"/>
      <c r="AP100" s="28"/>
    </row>
    <row r="101" spans="2:42" ht="13" collapsed="1" x14ac:dyDescent="0.3">
      <c r="B101" s="25" t="s">
        <v>141</v>
      </c>
      <c r="C101" s="19">
        <v>17.636199999999999</v>
      </c>
      <c r="E101" s="24">
        <v>0.89884500000000001</v>
      </c>
      <c r="G101" s="19">
        <v>14.942399999999999</v>
      </c>
      <c r="I101" s="23">
        <v>6.8283399999999999</v>
      </c>
      <c r="J101" s="9"/>
      <c r="K101" s="23">
        <v>3.69679</v>
      </c>
      <c r="M101" s="42" t="s">
        <v>78</v>
      </c>
      <c r="O101" s="31">
        <v>3132.67</v>
      </c>
      <c r="Q101" s="31">
        <v>5704.96</v>
      </c>
      <c r="S101" s="31">
        <v>1544.21</v>
      </c>
      <c r="U101" s="23">
        <v>3.41025</v>
      </c>
      <c r="W101" s="23">
        <v>32.172499999999999</v>
      </c>
      <c r="Y101" s="23">
        <v>8.7082899999999999</v>
      </c>
      <c r="AA101" s="42">
        <v>534.23299999999995</v>
      </c>
      <c r="AC101" s="19">
        <v>45.445</v>
      </c>
      <c r="AE101" s="19">
        <v>1</v>
      </c>
      <c r="AG101" s="23">
        <v>7.7077499999999999</v>
      </c>
      <c r="AI101" s="23">
        <v>8.7374500000000008</v>
      </c>
      <c r="AK101" s="23">
        <v>22.555296774193547</v>
      </c>
      <c r="AM101" s="23">
        <v>28.266806451612897</v>
      </c>
      <c r="AO101" s="23" t="s">
        <v>78</v>
      </c>
      <c r="AP101" s="10"/>
    </row>
    <row r="102" spans="2:42" hidden="1" outlineLevel="1" x14ac:dyDescent="0.25">
      <c r="B102" s="21">
        <v>42461</v>
      </c>
      <c r="C102" s="27">
        <v>17.338999999999999</v>
      </c>
      <c r="E102" s="30">
        <v>0.87826800000000005</v>
      </c>
      <c r="G102" s="27">
        <v>14.7051</v>
      </c>
      <c r="I102" s="29">
        <v>6.8217699999999999</v>
      </c>
      <c r="K102" s="29">
        <v>3.5848900000000001</v>
      </c>
      <c r="M102" s="41"/>
      <c r="O102" s="26">
        <v>3033.64</v>
      </c>
      <c r="Q102" s="26">
        <v>5648.15</v>
      </c>
      <c r="S102" s="26">
        <v>1575.57</v>
      </c>
      <c r="U102" s="29">
        <v>3.3487100000000001</v>
      </c>
      <c r="W102" s="27">
        <v>31.985499999999998</v>
      </c>
      <c r="Y102" s="29">
        <v>8.9224599999999992</v>
      </c>
      <c r="AA102" s="41">
        <v>533.96600000000001</v>
      </c>
      <c r="AC102" s="27">
        <v>45.555799999999998</v>
      </c>
      <c r="AE102" s="27">
        <v>1</v>
      </c>
      <c r="AG102" s="29">
        <v>7.7187700000000001</v>
      </c>
      <c r="AI102" s="29">
        <v>8.7484599999999997</v>
      </c>
      <c r="AK102" s="27">
        <v>22.581600000000002</v>
      </c>
      <c r="AM102" s="27">
        <v>28.189800000000002</v>
      </c>
      <c r="AO102" s="29"/>
      <c r="AP102" s="28"/>
    </row>
    <row r="103" spans="2:42" hidden="1" outlineLevel="1" x14ac:dyDescent="0.25">
      <c r="B103" s="21">
        <v>42462</v>
      </c>
      <c r="C103" s="27">
        <v>17.337800000000001</v>
      </c>
      <c r="E103" s="30">
        <v>0.87783299999999997</v>
      </c>
      <c r="G103" s="27">
        <v>14.784000000000001</v>
      </c>
      <c r="I103" s="29">
        <v>6.82</v>
      </c>
      <c r="K103" s="29">
        <v>3.5535399999999999</v>
      </c>
      <c r="M103" s="41"/>
      <c r="O103" s="26">
        <v>3038.6</v>
      </c>
      <c r="Q103" s="26">
        <v>5648.15</v>
      </c>
      <c r="S103" s="26">
        <v>1589.46</v>
      </c>
      <c r="U103" s="29">
        <v>3.3184999999999998</v>
      </c>
      <c r="W103" s="27">
        <v>31.985499999999998</v>
      </c>
      <c r="Y103" s="29">
        <v>9.0011299999999999</v>
      </c>
      <c r="AA103" s="41">
        <v>533.96600000000001</v>
      </c>
      <c r="AC103" s="27">
        <v>45.9</v>
      </c>
      <c r="AE103" s="27">
        <v>1</v>
      </c>
      <c r="AG103" s="29">
        <v>7.7119999999999997</v>
      </c>
      <c r="AI103" s="29">
        <v>8.7270000000000003</v>
      </c>
      <c r="AK103" s="27">
        <v>22.6</v>
      </c>
      <c r="AM103" s="27">
        <v>28.2</v>
      </c>
      <c r="AO103" s="29"/>
      <c r="AP103" s="28"/>
    </row>
    <row r="104" spans="2:42" hidden="1" outlineLevel="1" x14ac:dyDescent="0.25">
      <c r="B104" s="21">
        <v>42463</v>
      </c>
      <c r="C104" s="27">
        <v>17.337800000000001</v>
      </c>
      <c r="E104" s="30">
        <v>0.87783299999999997</v>
      </c>
      <c r="G104" s="27">
        <v>14.784000000000001</v>
      </c>
      <c r="I104" s="29">
        <v>6.8213999999999997</v>
      </c>
      <c r="K104" s="29">
        <v>3.5538400000000001</v>
      </c>
      <c r="M104" s="41"/>
      <c r="O104" s="26">
        <v>3034.5</v>
      </c>
      <c r="Q104" s="26">
        <v>5627.25</v>
      </c>
      <c r="S104" s="26">
        <v>1583.45</v>
      </c>
      <c r="U104" s="29">
        <v>3.347</v>
      </c>
      <c r="W104" s="27">
        <v>31.9115</v>
      </c>
      <c r="Y104" s="29">
        <v>8.9795599999999993</v>
      </c>
      <c r="AA104" s="41">
        <v>534.66499999999996</v>
      </c>
      <c r="AC104" s="27">
        <v>45.8</v>
      </c>
      <c r="AE104" s="27">
        <v>1</v>
      </c>
      <c r="AG104" s="29">
        <v>7.7127999999999997</v>
      </c>
      <c r="AI104" s="29">
        <v>8.7527500000000007</v>
      </c>
      <c r="AK104" s="27">
        <v>22.55</v>
      </c>
      <c r="AM104" s="27">
        <v>28.2</v>
      </c>
      <c r="AO104" s="29"/>
      <c r="AP104" s="28"/>
    </row>
    <row r="105" spans="2:42" hidden="1" outlineLevel="1" x14ac:dyDescent="0.25">
      <c r="B105" s="21">
        <v>42464</v>
      </c>
      <c r="C105" s="27">
        <v>17.376899999999999</v>
      </c>
      <c r="E105" s="30">
        <v>0.87802800000000003</v>
      </c>
      <c r="G105" s="27">
        <v>14.758900000000001</v>
      </c>
      <c r="I105" s="29">
        <v>6.82416</v>
      </c>
      <c r="K105" s="29">
        <v>3.5710999999999999</v>
      </c>
      <c r="M105" s="41"/>
      <c r="O105" s="26">
        <v>3023.98</v>
      </c>
      <c r="Q105" s="26">
        <v>5651.05</v>
      </c>
      <c r="S105" s="26">
        <v>1582.47</v>
      </c>
      <c r="U105" s="29">
        <v>3.3321499999999999</v>
      </c>
      <c r="W105" s="27">
        <v>31.8414</v>
      </c>
      <c r="Y105" s="29">
        <v>8.9165700000000001</v>
      </c>
      <c r="AA105" s="41">
        <v>534.89099999999996</v>
      </c>
      <c r="AC105" s="27">
        <v>45.804600000000001</v>
      </c>
      <c r="AE105" s="27">
        <v>1</v>
      </c>
      <c r="AG105" s="29">
        <v>7.7167500000000002</v>
      </c>
      <c r="AI105" s="29">
        <v>8.7556600000000007</v>
      </c>
      <c r="AK105" s="27">
        <v>22.603000000000002</v>
      </c>
      <c r="AM105" s="27">
        <v>28.159700000000001</v>
      </c>
      <c r="AO105" s="29"/>
      <c r="AP105" s="28"/>
    </row>
    <row r="106" spans="2:42" hidden="1" outlineLevel="1" x14ac:dyDescent="0.25">
      <c r="B106" s="21">
        <v>42465</v>
      </c>
      <c r="C106" s="27">
        <v>17.607700000000001</v>
      </c>
      <c r="E106" s="30">
        <v>0.87866100000000003</v>
      </c>
      <c r="G106" s="27">
        <v>14.705299999999999</v>
      </c>
      <c r="I106" s="29">
        <v>6.8111899999999999</v>
      </c>
      <c r="K106" s="29">
        <v>3.6372900000000001</v>
      </c>
      <c r="M106" s="41"/>
      <c r="O106" s="26">
        <v>3052.76</v>
      </c>
      <c r="Q106" s="26">
        <v>5664.75</v>
      </c>
      <c r="S106" s="26">
        <v>1557.44</v>
      </c>
      <c r="U106" s="29">
        <v>3.3454899999999999</v>
      </c>
      <c r="W106" s="27">
        <v>31.675000000000001</v>
      </c>
      <c r="Y106" s="29">
        <v>8.7085600000000003</v>
      </c>
      <c r="AA106" s="41">
        <v>533.92899999999997</v>
      </c>
      <c r="AC106" s="27">
        <v>45.7</v>
      </c>
      <c r="AE106" s="27">
        <v>1</v>
      </c>
      <c r="AG106" s="29">
        <v>7.70214</v>
      </c>
      <c r="AI106" s="29">
        <v>8.7384599999999999</v>
      </c>
      <c r="AK106" s="27">
        <v>22.559799999999999</v>
      </c>
      <c r="AM106" s="27">
        <v>28.0871</v>
      </c>
      <c r="AO106" s="29"/>
      <c r="AP106" s="28"/>
    </row>
    <row r="107" spans="2:42" hidden="1" outlineLevel="1" x14ac:dyDescent="0.25">
      <c r="B107" s="21">
        <v>42466</v>
      </c>
      <c r="C107" s="27">
        <v>17.700399999999998</v>
      </c>
      <c r="E107" s="30">
        <v>0.87893200000000005</v>
      </c>
      <c r="G107" s="27">
        <v>14.6755</v>
      </c>
      <c r="I107" s="29">
        <v>6.7972700000000001</v>
      </c>
      <c r="K107" s="29">
        <v>3.6739999999999999</v>
      </c>
      <c r="M107" s="41"/>
      <c r="O107" s="26">
        <v>3082.97</v>
      </c>
      <c r="Q107" s="26">
        <v>5605.88</v>
      </c>
      <c r="S107" s="26">
        <v>1525.86</v>
      </c>
      <c r="U107" s="29">
        <v>3.3678900000000001</v>
      </c>
      <c r="W107" s="27">
        <v>31.533100000000001</v>
      </c>
      <c r="Y107" s="29">
        <v>8.5829299999999993</v>
      </c>
      <c r="AA107" s="41">
        <v>534.08799999999997</v>
      </c>
      <c r="AC107" s="27">
        <v>45.781799999999997</v>
      </c>
      <c r="AE107" s="27">
        <v>1</v>
      </c>
      <c r="AG107" s="29">
        <v>7.7019500000000001</v>
      </c>
      <c r="AI107" s="29">
        <v>8.73888</v>
      </c>
      <c r="AK107" s="27">
        <v>22.566099999999999</v>
      </c>
      <c r="AM107" s="27">
        <v>28.097200000000001</v>
      </c>
      <c r="AO107" s="29"/>
      <c r="AP107" s="28"/>
    </row>
    <row r="108" spans="2:42" hidden="1" outlineLevel="1" x14ac:dyDescent="0.25">
      <c r="B108" s="21">
        <v>42467</v>
      </c>
      <c r="C108" s="27">
        <v>17.736000000000001</v>
      </c>
      <c r="E108" s="30">
        <v>0.87795100000000004</v>
      </c>
      <c r="G108" s="27">
        <v>14.570399999999999</v>
      </c>
      <c r="I108" s="29">
        <v>6.7790699999999999</v>
      </c>
      <c r="K108" s="29">
        <v>3.6593200000000001</v>
      </c>
      <c r="M108" s="41"/>
      <c r="O108" s="26">
        <v>3085.75</v>
      </c>
      <c r="Q108" s="26">
        <v>5545.1</v>
      </c>
      <c r="S108" s="26">
        <v>1515.37</v>
      </c>
      <c r="U108" s="29">
        <v>3.37209</v>
      </c>
      <c r="W108" s="27">
        <v>31.291599999999999</v>
      </c>
      <c r="Y108" s="29">
        <v>8.5513399999999997</v>
      </c>
      <c r="AA108" s="41">
        <v>534.25</v>
      </c>
      <c r="AC108" s="27">
        <v>45.710500000000003</v>
      </c>
      <c r="AE108" s="27">
        <v>1</v>
      </c>
      <c r="AG108" s="29">
        <v>7.69916</v>
      </c>
      <c r="AI108" s="29">
        <v>8.7361500000000003</v>
      </c>
      <c r="AK108" s="27">
        <v>22.564299999999999</v>
      </c>
      <c r="AM108" s="27">
        <v>28.023299999999999</v>
      </c>
      <c r="AO108" s="29"/>
      <c r="AP108" s="28"/>
    </row>
    <row r="109" spans="2:42" hidden="1" outlineLevel="1" x14ac:dyDescent="0.25">
      <c r="B109" s="21">
        <v>42468</v>
      </c>
      <c r="C109" s="27">
        <v>17.810199999999998</v>
      </c>
      <c r="E109" s="30">
        <v>0.87876200000000004</v>
      </c>
      <c r="G109" s="27">
        <v>14.466200000000001</v>
      </c>
      <c r="I109" s="29">
        <v>6.7907799999999998</v>
      </c>
      <c r="K109" s="29">
        <v>3.6614499999999999</v>
      </c>
      <c r="M109" s="41"/>
      <c r="O109" s="26">
        <v>3088.46</v>
      </c>
      <c r="Q109" s="26">
        <v>5577.09</v>
      </c>
      <c r="S109" s="26">
        <v>1523.22</v>
      </c>
      <c r="U109" s="29">
        <v>3.3860600000000001</v>
      </c>
      <c r="W109" s="27">
        <v>31.3109</v>
      </c>
      <c r="Y109" s="29">
        <v>8.55166</v>
      </c>
      <c r="AA109" s="41">
        <v>535.36199999999997</v>
      </c>
      <c r="AC109" s="27">
        <v>45.888300000000001</v>
      </c>
      <c r="AE109" s="27">
        <v>1</v>
      </c>
      <c r="AG109" s="29">
        <v>7.7173999999999996</v>
      </c>
      <c r="AI109" s="29">
        <v>8.7514400000000006</v>
      </c>
      <c r="AK109" s="27">
        <v>22.610199999999999</v>
      </c>
      <c r="AM109" s="27">
        <v>28.074999999999999</v>
      </c>
      <c r="AO109" s="29"/>
      <c r="AP109" s="28"/>
    </row>
    <row r="110" spans="2:42" hidden="1" outlineLevel="1" x14ac:dyDescent="0.25">
      <c r="B110" s="21">
        <v>42469</v>
      </c>
      <c r="C110" s="27">
        <v>17.778400000000001</v>
      </c>
      <c r="E110" s="30">
        <v>0.877355</v>
      </c>
      <c r="G110" s="27">
        <v>14.47</v>
      </c>
      <c r="I110" s="29">
        <v>6.7914000000000003</v>
      </c>
      <c r="K110" s="29">
        <v>3.58955</v>
      </c>
      <c r="M110" s="41"/>
      <c r="O110" s="26">
        <v>3093.5</v>
      </c>
      <c r="Q110" s="26">
        <v>5593.5</v>
      </c>
      <c r="S110" s="26">
        <v>1558.31</v>
      </c>
      <c r="U110" s="29">
        <v>3.3614999999999999</v>
      </c>
      <c r="W110" s="27">
        <v>31.381499999999999</v>
      </c>
      <c r="Y110" s="29">
        <v>8.7426300000000001</v>
      </c>
      <c r="AA110" s="41">
        <v>535.36</v>
      </c>
      <c r="AC110" s="27">
        <v>45.8</v>
      </c>
      <c r="AE110" s="27">
        <v>1</v>
      </c>
      <c r="AG110" s="29">
        <v>7.7230999999999996</v>
      </c>
      <c r="AI110" s="29">
        <v>8.7516999999999996</v>
      </c>
      <c r="AK110" s="27">
        <v>22.56</v>
      </c>
      <c r="AM110" s="27">
        <v>28.15</v>
      </c>
      <c r="AO110" s="29"/>
      <c r="AP110" s="28"/>
    </row>
    <row r="111" spans="2:42" hidden="1" outlineLevel="1" x14ac:dyDescent="0.25">
      <c r="B111" s="21">
        <v>42470</v>
      </c>
      <c r="C111" s="27">
        <v>17.778400000000001</v>
      </c>
      <c r="E111" s="30">
        <v>0.877355</v>
      </c>
      <c r="G111" s="27">
        <v>14.4681</v>
      </c>
      <c r="I111" s="29">
        <v>6.7914000000000003</v>
      </c>
      <c r="K111" s="29">
        <v>3.5895000000000001</v>
      </c>
      <c r="M111" s="41"/>
      <c r="O111" s="26">
        <v>3093.5</v>
      </c>
      <c r="Q111" s="26">
        <v>5593.5</v>
      </c>
      <c r="S111" s="26">
        <v>1558.33</v>
      </c>
      <c r="U111" s="29">
        <v>3.3614999999999999</v>
      </c>
      <c r="W111" s="27">
        <v>31.381499999999999</v>
      </c>
      <c r="Y111" s="29">
        <v>8.7427299999999999</v>
      </c>
      <c r="AA111" s="41">
        <v>535.36</v>
      </c>
      <c r="AC111" s="27">
        <v>45.8</v>
      </c>
      <c r="AE111" s="27">
        <v>1</v>
      </c>
      <c r="AG111" s="29">
        <v>7.7230999999999996</v>
      </c>
      <c r="AI111" s="29">
        <v>8.7516999999999996</v>
      </c>
      <c r="AK111" s="27">
        <v>22.56</v>
      </c>
      <c r="AM111" s="27">
        <v>28.15</v>
      </c>
      <c r="AO111" s="29"/>
      <c r="AP111" s="28"/>
    </row>
    <row r="112" spans="2:42" hidden="1" outlineLevel="1" x14ac:dyDescent="0.25">
      <c r="B112" s="21">
        <v>42471</v>
      </c>
      <c r="C112" s="27">
        <v>17.727</v>
      </c>
      <c r="E112" s="30">
        <v>0.87659699999999996</v>
      </c>
      <c r="G112" s="27">
        <v>14.468500000000001</v>
      </c>
      <c r="I112" s="29">
        <v>6.7772100000000002</v>
      </c>
      <c r="K112" s="29">
        <v>3.55999</v>
      </c>
      <c r="M112" s="41"/>
      <c r="O112" s="26">
        <v>3089.95</v>
      </c>
      <c r="Q112" s="26">
        <v>5598.1</v>
      </c>
      <c r="S112" s="26">
        <v>1572.54</v>
      </c>
      <c r="U112" s="29">
        <v>3.3582200000000002</v>
      </c>
      <c r="W112" s="27">
        <v>31.223099999999999</v>
      </c>
      <c r="Y112" s="29">
        <v>8.7707099999999993</v>
      </c>
      <c r="AA112" s="41">
        <v>534.29399999999998</v>
      </c>
      <c r="AC112" s="27">
        <v>45.792299999999997</v>
      </c>
      <c r="AE112" s="27">
        <v>1</v>
      </c>
      <c r="AG112" s="29">
        <v>7.7080700000000002</v>
      </c>
      <c r="AI112" s="29">
        <v>8.7328799999999998</v>
      </c>
      <c r="AK112" s="27">
        <v>22.5456</v>
      </c>
      <c r="AM112" s="27">
        <v>27.980699999999999</v>
      </c>
      <c r="AO112" s="29"/>
      <c r="AP112" s="28"/>
    </row>
    <row r="113" spans="2:42" hidden="1" outlineLevel="1" x14ac:dyDescent="0.25">
      <c r="B113" s="21">
        <v>42472</v>
      </c>
      <c r="C113" s="27">
        <v>17.582599999999999</v>
      </c>
      <c r="E113" s="30">
        <v>0.87692000000000003</v>
      </c>
      <c r="G113" s="27">
        <v>14.5161</v>
      </c>
      <c r="I113" s="29">
        <v>6.7845800000000001</v>
      </c>
      <c r="K113" s="29">
        <v>3.5014400000000001</v>
      </c>
      <c r="M113" s="41"/>
      <c r="O113" s="26">
        <v>3046.45</v>
      </c>
      <c r="Q113" s="26">
        <v>5613.32</v>
      </c>
      <c r="S113" s="26">
        <v>1603.18</v>
      </c>
      <c r="U113" s="29">
        <v>3.2776999999999998</v>
      </c>
      <c r="W113" s="27">
        <v>31.078900000000001</v>
      </c>
      <c r="Y113" s="29">
        <v>8.8762100000000004</v>
      </c>
      <c r="AA113" s="41">
        <v>534.78399999999999</v>
      </c>
      <c r="AC113" s="27">
        <v>45.841700000000003</v>
      </c>
      <c r="AE113" s="27">
        <v>1</v>
      </c>
      <c r="AG113" s="29">
        <v>7.7194799999999999</v>
      </c>
      <c r="AI113" s="29">
        <v>8.7430599999999998</v>
      </c>
      <c r="AK113" s="27">
        <v>22.564299999999999</v>
      </c>
      <c r="AM113" s="27">
        <v>28.0106</v>
      </c>
      <c r="AO113" s="29"/>
      <c r="AP113" s="28"/>
    </row>
    <row r="114" spans="2:42" hidden="1" outlineLevel="1" x14ac:dyDescent="0.25">
      <c r="B114" s="21">
        <v>42473</v>
      </c>
      <c r="C114" s="27">
        <v>17.484200000000001</v>
      </c>
      <c r="E114" s="30">
        <v>0.88246800000000003</v>
      </c>
      <c r="G114" s="27">
        <v>14.468299999999999</v>
      </c>
      <c r="I114" s="29">
        <v>6.7917100000000001</v>
      </c>
      <c r="K114" s="29">
        <v>3.4987300000000001</v>
      </c>
      <c r="M114" s="41"/>
      <c r="O114" s="26">
        <v>3037.58</v>
      </c>
      <c r="Q114" s="26">
        <v>5601.91</v>
      </c>
      <c r="S114" s="26">
        <v>1601.16</v>
      </c>
      <c r="U114" s="29">
        <v>3.2763300000000002</v>
      </c>
      <c r="W114" s="27">
        <v>31.078900000000001</v>
      </c>
      <c r="Y114" s="29">
        <v>8.8830600000000004</v>
      </c>
      <c r="AA114" s="41">
        <v>535.68899999999996</v>
      </c>
      <c r="AC114" s="27">
        <v>45.935899999999997</v>
      </c>
      <c r="AE114" s="27">
        <v>1</v>
      </c>
      <c r="AG114" s="29">
        <v>7.7407199999999996</v>
      </c>
      <c r="AI114" s="29">
        <v>8.7579200000000004</v>
      </c>
      <c r="AK114" s="27">
        <v>22.6206</v>
      </c>
      <c r="AM114" s="27">
        <v>28.015799999999999</v>
      </c>
      <c r="AO114" s="29"/>
      <c r="AP114" s="28"/>
    </row>
    <row r="115" spans="2:42" hidden="1" outlineLevel="1" x14ac:dyDescent="0.25">
      <c r="B115" s="21">
        <v>42474</v>
      </c>
      <c r="C115" s="27">
        <v>17.453900000000001</v>
      </c>
      <c r="E115" s="30">
        <v>0.88769399999999998</v>
      </c>
      <c r="G115" s="27">
        <v>14.3727</v>
      </c>
      <c r="I115" s="29">
        <v>6.7868300000000001</v>
      </c>
      <c r="K115" s="29">
        <v>3.4974699999999999</v>
      </c>
      <c r="M115" s="41"/>
      <c r="O115" s="26">
        <v>3003.88</v>
      </c>
      <c r="Q115" s="26">
        <v>5629.53</v>
      </c>
      <c r="S115" s="26">
        <v>1609.63</v>
      </c>
      <c r="U115" s="29">
        <v>3.2683300000000002</v>
      </c>
      <c r="W115" s="27">
        <v>31.083400000000001</v>
      </c>
      <c r="Y115" s="29">
        <v>8.8875700000000002</v>
      </c>
      <c r="AA115" s="41">
        <v>535.68600000000004</v>
      </c>
      <c r="AC115" s="27">
        <v>45.865699999999997</v>
      </c>
      <c r="AE115" s="27">
        <v>1</v>
      </c>
      <c r="AG115" s="29">
        <v>7.74634</v>
      </c>
      <c r="AI115" s="29">
        <v>8.75868</v>
      </c>
      <c r="AK115" s="27">
        <v>22.515799999999999</v>
      </c>
      <c r="AM115" s="27">
        <v>27.972200000000001</v>
      </c>
      <c r="AO115" s="29"/>
      <c r="AP115" s="28"/>
    </row>
    <row r="116" spans="2:42" hidden="1" outlineLevel="1" x14ac:dyDescent="0.25">
      <c r="B116" s="21">
        <v>42475</v>
      </c>
      <c r="C116" s="27">
        <v>17.4786</v>
      </c>
      <c r="E116" s="30">
        <v>0.88701600000000003</v>
      </c>
      <c r="G116" s="27">
        <v>14.280799999999999</v>
      </c>
      <c r="I116" s="29">
        <v>6.76973</v>
      </c>
      <c r="K116" s="29">
        <v>3.49356</v>
      </c>
      <c r="M116" s="41"/>
      <c r="O116" s="26">
        <v>2996</v>
      </c>
      <c r="Q116" s="26">
        <v>5626.34</v>
      </c>
      <c r="S116" s="26">
        <v>1610.53</v>
      </c>
      <c r="U116" s="29">
        <v>3.2726600000000001</v>
      </c>
      <c r="W116" s="27">
        <v>31.013000000000002</v>
      </c>
      <c r="Y116" s="29">
        <v>8.8773900000000001</v>
      </c>
      <c r="AA116" s="41">
        <v>534.78200000000004</v>
      </c>
      <c r="AC116" s="27">
        <v>45.914099999999998</v>
      </c>
      <c r="AE116" s="27">
        <v>1</v>
      </c>
      <c r="AG116" s="29">
        <v>7.7424400000000002</v>
      </c>
      <c r="AI116" s="29">
        <v>8.7482799999999994</v>
      </c>
      <c r="AK116" s="27">
        <v>22.587499999999999</v>
      </c>
      <c r="AM116" s="27">
        <v>27.9742</v>
      </c>
      <c r="AO116" s="29"/>
      <c r="AP116" s="28"/>
    </row>
    <row r="117" spans="2:42" hidden="1" outlineLevel="1" x14ac:dyDescent="0.25">
      <c r="B117" s="21">
        <v>42476</v>
      </c>
      <c r="C117" s="27">
        <v>17.551400000000001</v>
      </c>
      <c r="E117" s="30">
        <v>0.88624999999999998</v>
      </c>
      <c r="G117" s="27">
        <v>14.036</v>
      </c>
      <c r="I117" s="29">
        <v>6.78</v>
      </c>
      <c r="K117" s="29">
        <v>3.5364200000000001</v>
      </c>
      <c r="M117" s="41"/>
      <c r="O117" s="26">
        <v>2997.8</v>
      </c>
      <c r="Q117" s="26">
        <v>5626.34</v>
      </c>
      <c r="S117" s="26">
        <v>1590.98</v>
      </c>
      <c r="U117" s="29">
        <v>3.2709999999999999</v>
      </c>
      <c r="W117" s="27">
        <v>31.013000000000002</v>
      </c>
      <c r="Y117" s="29">
        <v>8.7696699999999996</v>
      </c>
      <c r="AA117" s="41">
        <v>534.78200000000004</v>
      </c>
      <c r="AC117" s="27">
        <v>45.85</v>
      </c>
      <c r="AE117" s="27">
        <v>1</v>
      </c>
      <c r="AG117" s="29">
        <v>7.7439999999999998</v>
      </c>
      <c r="AI117" s="29">
        <v>8.7271999999999998</v>
      </c>
      <c r="AK117" s="27">
        <v>22.587499999999999</v>
      </c>
      <c r="AM117" s="27">
        <v>28.055</v>
      </c>
      <c r="AO117" s="29"/>
      <c r="AP117" s="28"/>
    </row>
    <row r="118" spans="2:42" hidden="1" outlineLevel="1" x14ac:dyDescent="0.25">
      <c r="B118" s="21">
        <v>42477</v>
      </c>
      <c r="C118" s="27">
        <v>17.551400000000001</v>
      </c>
      <c r="E118" s="30">
        <v>0.88624999999999998</v>
      </c>
      <c r="G118" s="27">
        <v>14.0337</v>
      </c>
      <c r="I118" s="29">
        <v>6.7549000000000001</v>
      </c>
      <c r="K118" s="29">
        <v>3.5387</v>
      </c>
      <c r="M118" s="41"/>
      <c r="O118" s="26">
        <v>2998.5</v>
      </c>
      <c r="Q118" s="26">
        <v>5573.85</v>
      </c>
      <c r="S118" s="26">
        <v>1575.13</v>
      </c>
      <c r="U118" s="29">
        <v>3.2749999999999999</v>
      </c>
      <c r="W118" s="27">
        <v>30.9815</v>
      </c>
      <c r="Y118" s="29">
        <v>8.7550899999999992</v>
      </c>
      <c r="AA118" s="41">
        <v>534.17999999999995</v>
      </c>
      <c r="AC118" s="27">
        <v>45.85</v>
      </c>
      <c r="AE118" s="27">
        <v>1</v>
      </c>
      <c r="AG118" s="29">
        <v>7.7401</v>
      </c>
      <c r="AI118" s="29">
        <v>8.7420000000000009</v>
      </c>
      <c r="AK118" s="27">
        <v>22.57</v>
      </c>
      <c r="AM118" s="27">
        <v>28.06</v>
      </c>
      <c r="AO118" s="29"/>
      <c r="AP118" s="28"/>
    </row>
    <row r="119" spans="2:42" hidden="1" outlineLevel="1" x14ac:dyDescent="0.25">
      <c r="B119" s="21">
        <v>42478</v>
      </c>
      <c r="C119" s="27">
        <v>17.603300000000001</v>
      </c>
      <c r="E119" s="30">
        <v>0.884799</v>
      </c>
      <c r="G119" s="27">
        <v>14.0656</v>
      </c>
      <c r="I119" s="29">
        <v>6.8220299999999998</v>
      </c>
      <c r="K119" s="29">
        <v>3.55138</v>
      </c>
      <c r="M119" s="41"/>
      <c r="O119" s="26">
        <v>2992.24</v>
      </c>
      <c r="Q119" s="26">
        <v>5562.11</v>
      </c>
      <c r="S119" s="26">
        <v>1566.22</v>
      </c>
      <c r="U119" s="29">
        <v>3.2692899999999998</v>
      </c>
      <c r="W119" s="27">
        <v>31.127199999999998</v>
      </c>
      <c r="Y119" s="29">
        <v>8.7650000000000006</v>
      </c>
      <c r="AA119" s="41">
        <v>533.92899999999997</v>
      </c>
      <c r="AC119" s="27">
        <v>45.8093</v>
      </c>
      <c r="AE119" s="27">
        <v>1</v>
      </c>
      <c r="AG119" s="29">
        <v>7.7366099999999998</v>
      </c>
      <c r="AI119" s="29">
        <v>8.7394999999999996</v>
      </c>
      <c r="AK119" s="27">
        <v>22.545400000000001</v>
      </c>
      <c r="AM119" s="27">
        <v>27.929400000000001</v>
      </c>
      <c r="AO119" s="29"/>
      <c r="AP119" s="28"/>
    </row>
    <row r="120" spans="2:42" hidden="1" outlineLevel="1" x14ac:dyDescent="0.25">
      <c r="B120" s="21">
        <v>42479</v>
      </c>
      <c r="C120" s="27">
        <v>17.3567</v>
      </c>
      <c r="E120" s="30">
        <v>0.88184200000000001</v>
      </c>
      <c r="G120" s="27">
        <v>14.1341</v>
      </c>
      <c r="I120" s="29">
        <v>6.9090400000000001</v>
      </c>
      <c r="K120" s="29">
        <v>3.5889199999999999</v>
      </c>
      <c r="M120" s="41"/>
      <c r="O120" s="26">
        <v>2966.35</v>
      </c>
      <c r="Q120" s="26">
        <v>5565.43</v>
      </c>
      <c r="S120" s="26">
        <v>1550.76</v>
      </c>
      <c r="U120" s="29">
        <v>3.2656800000000001</v>
      </c>
      <c r="W120" s="27">
        <v>31.589099999999998</v>
      </c>
      <c r="Y120" s="29">
        <v>8.8019999999999996</v>
      </c>
      <c r="AA120" s="41">
        <v>534.245</v>
      </c>
      <c r="AC120" s="27">
        <v>45.844499999999996</v>
      </c>
      <c r="AE120" s="27">
        <v>1</v>
      </c>
      <c r="AG120" s="29">
        <v>7.7398199999999999</v>
      </c>
      <c r="AI120" s="29">
        <v>8.7485800000000005</v>
      </c>
      <c r="AK120" s="27">
        <v>22.537199999999999</v>
      </c>
      <c r="AM120" s="27">
        <v>28.014299999999999</v>
      </c>
      <c r="AO120" s="29"/>
      <c r="AP120" s="28"/>
    </row>
    <row r="121" spans="2:42" hidden="1" outlineLevel="1" x14ac:dyDescent="0.25">
      <c r="B121" s="21">
        <v>42480</v>
      </c>
      <c r="C121" s="27">
        <v>17.315000000000001</v>
      </c>
      <c r="E121" s="30">
        <v>0.881108</v>
      </c>
      <c r="G121" s="27">
        <v>14.2065</v>
      </c>
      <c r="I121" s="29">
        <v>6.9013600000000004</v>
      </c>
      <c r="K121" s="29">
        <v>3.53356</v>
      </c>
      <c r="M121" s="41"/>
      <c r="O121" s="26">
        <v>2936.22</v>
      </c>
      <c r="Q121" s="26">
        <v>5567.48</v>
      </c>
      <c r="S121" s="26">
        <v>1575.64</v>
      </c>
      <c r="U121" s="29">
        <v>3.2557900000000002</v>
      </c>
      <c r="W121" s="27">
        <v>31.836400000000001</v>
      </c>
      <c r="Y121" s="29">
        <v>9.0098699999999994</v>
      </c>
      <c r="AA121" s="41">
        <v>533.447</v>
      </c>
      <c r="AC121" s="27">
        <v>45.768700000000003</v>
      </c>
      <c r="AE121" s="27">
        <v>1</v>
      </c>
      <c r="AG121" s="29">
        <v>7.7248099999999997</v>
      </c>
      <c r="AI121" s="29">
        <v>8.7385699999999993</v>
      </c>
      <c r="AK121" s="27">
        <v>22.532699999999998</v>
      </c>
      <c r="AM121" s="27">
        <v>27.882100000000001</v>
      </c>
      <c r="AO121" s="29"/>
      <c r="AP121" s="28"/>
    </row>
    <row r="122" spans="2:42" hidden="1" outlineLevel="1" x14ac:dyDescent="0.25">
      <c r="B122" s="21">
        <v>42481</v>
      </c>
      <c r="C122" s="27">
        <v>17.335000000000001</v>
      </c>
      <c r="E122" s="30">
        <v>0.88479099999999999</v>
      </c>
      <c r="G122" s="27">
        <v>14.3451</v>
      </c>
      <c r="I122" s="29">
        <v>6.93377</v>
      </c>
      <c r="K122" s="29">
        <v>3.5302799999999999</v>
      </c>
      <c r="M122" s="41"/>
      <c r="O122" s="26">
        <v>2915.02</v>
      </c>
      <c r="Q122" s="26">
        <v>5573.72</v>
      </c>
      <c r="S122" s="26">
        <v>1578.87</v>
      </c>
      <c r="U122" s="29">
        <v>3.26294</v>
      </c>
      <c r="W122" s="27">
        <v>31.9712</v>
      </c>
      <c r="Y122" s="29">
        <v>9.0564400000000003</v>
      </c>
      <c r="AA122" s="41">
        <v>535.88</v>
      </c>
      <c r="AC122" s="27">
        <v>45.978499999999997</v>
      </c>
      <c r="AE122" s="27">
        <v>1</v>
      </c>
      <c r="AG122" s="29">
        <v>7.7607200000000001</v>
      </c>
      <c r="AI122" s="29">
        <v>8.7768700000000006</v>
      </c>
      <c r="AK122" s="27">
        <v>22.619</v>
      </c>
      <c r="AM122" s="27">
        <v>27.974299999999999</v>
      </c>
      <c r="AO122" s="29"/>
      <c r="AP122" s="28"/>
    </row>
    <row r="123" spans="2:42" hidden="1" outlineLevel="1" x14ac:dyDescent="0.25">
      <c r="B123" s="21">
        <v>42482</v>
      </c>
      <c r="C123" s="27">
        <v>17.4514</v>
      </c>
      <c r="E123" s="30">
        <v>0.88729199999999997</v>
      </c>
      <c r="G123" s="27">
        <v>14.3063</v>
      </c>
      <c r="I123" s="29">
        <v>6.9197199999999999</v>
      </c>
      <c r="K123" s="29">
        <v>3.54786</v>
      </c>
      <c r="M123" s="41"/>
      <c r="O123" s="26">
        <v>2921.21</v>
      </c>
      <c r="Q123" s="26">
        <v>5538.27</v>
      </c>
      <c r="S123" s="26">
        <v>1561.05</v>
      </c>
      <c r="U123" s="29">
        <v>3.2585000000000002</v>
      </c>
      <c r="W123" s="27">
        <v>31.822199999999999</v>
      </c>
      <c r="Y123" s="29">
        <v>8.9695400000000003</v>
      </c>
      <c r="AA123" s="41">
        <v>534.68600000000004</v>
      </c>
      <c r="AC123" s="27">
        <v>45.889600000000002</v>
      </c>
      <c r="AE123" s="27">
        <v>1</v>
      </c>
      <c r="AG123" s="29">
        <v>7.7462200000000001</v>
      </c>
      <c r="AI123" s="29">
        <v>8.7552800000000008</v>
      </c>
      <c r="AK123" s="27">
        <v>22.589200000000002</v>
      </c>
      <c r="AM123" s="27">
        <v>27.896799999999999</v>
      </c>
      <c r="AO123" s="29"/>
      <c r="AP123" s="28"/>
    </row>
    <row r="124" spans="2:42" hidden="1" outlineLevel="1" x14ac:dyDescent="0.25">
      <c r="B124" s="21">
        <v>42483</v>
      </c>
      <c r="C124" s="27">
        <v>17.4742</v>
      </c>
      <c r="E124" s="30">
        <v>0.89090800000000003</v>
      </c>
      <c r="G124" s="27">
        <v>14.321</v>
      </c>
      <c r="I124" s="29">
        <v>6.9103500000000002</v>
      </c>
      <c r="K124" s="29">
        <v>3.5682800000000001</v>
      </c>
      <c r="M124" s="41"/>
      <c r="O124" s="26">
        <v>2948</v>
      </c>
      <c r="Q124" s="26">
        <v>5527.8</v>
      </c>
      <c r="S124" s="26">
        <v>1549.19</v>
      </c>
      <c r="U124" s="29">
        <v>3.2669999999999999</v>
      </c>
      <c r="W124" s="27">
        <v>31.704000000000001</v>
      </c>
      <c r="Y124" s="29">
        <v>8.8851399999999998</v>
      </c>
      <c r="AA124" s="41">
        <v>533.96500000000003</v>
      </c>
      <c r="AC124" s="27">
        <v>45.865000000000002</v>
      </c>
      <c r="AE124" s="27">
        <v>1</v>
      </c>
      <c r="AG124" s="29">
        <v>7.7372500000000004</v>
      </c>
      <c r="AI124" s="29">
        <v>8.7438500000000001</v>
      </c>
      <c r="AK124" s="27">
        <v>22.555</v>
      </c>
      <c r="AM124" s="27">
        <v>27.95</v>
      </c>
      <c r="AO124" s="29"/>
      <c r="AP124" s="28"/>
    </row>
    <row r="125" spans="2:42" hidden="1" outlineLevel="1" x14ac:dyDescent="0.25">
      <c r="B125" s="21">
        <v>42484</v>
      </c>
      <c r="C125" s="27">
        <v>17.4742</v>
      </c>
      <c r="E125" s="30">
        <v>0.89090800000000003</v>
      </c>
      <c r="G125" s="27">
        <v>14.324999999999999</v>
      </c>
      <c r="I125" s="29">
        <v>6.9103500000000002</v>
      </c>
      <c r="K125" s="29">
        <v>3.5682499999999999</v>
      </c>
      <c r="M125" s="41"/>
      <c r="O125" s="26">
        <v>2948</v>
      </c>
      <c r="Q125" s="26">
        <v>5527.8</v>
      </c>
      <c r="S125" s="26">
        <v>1549.2</v>
      </c>
      <c r="U125" s="29">
        <v>3.2669999999999999</v>
      </c>
      <c r="W125" s="27">
        <v>31.704000000000001</v>
      </c>
      <c r="Y125" s="29">
        <v>8.88523</v>
      </c>
      <c r="AA125" s="41">
        <v>533.96500000000003</v>
      </c>
      <c r="AC125" s="27">
        <v>45.865000000000002</v>
      </c>
      <c r="AE125" s="27">
        <v>1</v>
      </c>
      <c r="AG125" s="29">
        <v>7.7372500000000004</v>
      </c>
      <c r="AI125" s="29">
        <v>8.7438500000000001</v>
      </c>
      <c r="AK125" s="27">
        <v>22.555</v>
      </c>
      <c r="AM125" s="27">
        <v>27.95</v>
      </c>
      <c r="AO125" s="29"/>
      <c r="AP125" s="28"/>
    </row>
    <row r="126" spans="2:42" hidden="1" outlineLevel="1" x14ac:dyDescent="0.25">
      <c r="B126" s="21">
        <v>42485</v>
      </c>
      <c r="C126" s="27">
        <v>17.534800000000001</v>
      </c>
      <c r="E126" s="30">
        <v>0.888845</v>
      </c>
      <c r="G126" s="27">
        <v>14.314</v>
      </c>
      <c r="I126" s="29">
        <v>6.92591</v>
      </c>
      <c r="K126" s="29">
        <v>3.5604200000000001</v>
      </c>
      <c r="M126" s="41"/>
      <c r="O126" s="26">
        <v>2953.64</v>
      </c>
      <c r="Q126" s="26">
        <v>5544.34</v>
      </c>
      <c r="S126" s="26">
        <v>1557.26</v>
      </c>
      <c r="U126" s="29">
        <v>3.27942</v>
      </c>
      <c r="W126" s="27">
        <v>31.846599999999999</v>
      </c>
      <c r="Y126" s="29">
        <v>8.9447899999999994</v>
      </c>
      <c r="AA126" s="41">
        <v>535.11800000000005</v>
      </c>
      <c r="AC126" s="27">
        <v>45.79</v>
      </c>
      <c r="AE126" s="27">
        <v>1</v>
      </c>
      <c r="AG126" s="29">
        <v>7.7542999999999997</v>
      </c>
      <c r="AI126" s="29">
        <v>8.7641100000000005</v>
      </c>
      <c r="AK126" s="27">
        <v>22.596699999999998</v>
      </c>
      <c r="AM126" s="27">
        <v>28.25</v>
      </c>
      <c r="AO126" s="29"/>
      <c r="AP126" s="28"/>
    </row>
    <row r="127" spans="2:42" hidden="1" outlineLevel="1" x14ac:dyDescent="0.25">
      <c r="B127" s="21">
        <v>42486</v>
      </c>
      <c r="C127" s="27">
        <v>17.503799999999998</v>
      </c>
      <c r="E127" s="30">
        <v>0.88627299999999998</v>
      </c>
      <c r="G127" s="27">
        <v>14.312799999999999</v>
      </c>
      <c r="I127" s="29">
        <v>6.9113800000000003</v>
      </c>
      <c r="K127" s="29">
        <v>3.54447</v>
      </c>
      <c r="M127" s="41"/>
      <c r="O127" s="26">
        <v>2948.89</v>
      </c>
      <c r="Q127" s="26">
        <v>5532.19</v>
      </c>
      <c r="S127" s="26">
        <v>1560.83</v>
      </c>
      <c r="U127" s="29">
        <v>3.2803499999999999</v>
      </c>
      <c r="W127" s="27">
        <v>31.8322</v>
      </c>
      <c r="Y127" s="29">
        <v>8.9809599999999996</v>
      </c>
      <c r="AA127" s="41">
        <v>533.97199999999998</v>
      </c>
      <c r="AC127" s="27">
        <v>45.831699999999998</v>
      </c>
      <c r="AE127" s="27">
        <v>1</v>
      </c>
      <c r="AG127" s="29">
        <v>7.7379199999999999</v>
      </c>
      <c r="AI127" s="29">
        <v>8.7454400000000003</v>
      </c>
      <c r="AK127" s="27">
        <v>22.534800000000001</v>
      </c>
      <c r="AM127" s="27">
        <v>28.142099999999999</v>
      </c>
      <c r="AO127" s="29"/>
      <c r="AP127" s="28"/>
    </row>
    <row r="128" spans="2:42" hidden="1" outlineLevel="1" x14ac:dyDescent="0.25">
      <c r="B128" s="21">
        <v>42487</v>
      </c>
      <c r="C128" s="27">
        <v>17.376899999999999</v>
      </c>
      <c r="E128" s="30">
        <v>0.884131</v>
      </c>
      <c r="G128" s="27">
        <v>14.288399999999999</v>
      </c>
      <c r="I128" s="29">
        <v>6.9087699999999996</v>
      </c>
      <c r="K128" s="29">
        <v>3.52664</v>
      </c>
      <c r="M128" s="41"/>
      <c r="O128" s="26">
        <v>2954.7</v>
      </c>
      <c r="Q128" s="26">
        <v>5542.66</v>
      </c>
      <c r="S128" s="26">
        <v>1571.69</v>
      </c>
      <c r="U128" s="29">
        <v>3.2865600000000001</v>
      </c>
      <c r="W128" s="27">
        <v>31.818100000000001</v>
      </c>
      <c r="Y128" s="29">
        <v>9.0223700000000004</v>
      </c>
      <c r="AA128" s="41">
        <v>533.79200000000003</v>
      </c>
      <c r="AC128" s="27">
        <v>45.798099999999998</v>
      </c>
      <c r="AE128" s="27">
        <v>1</v>
      </c>
      <c r="AG128" s="29">
        <v>7.7350599999999998</v>
      </c>
      <c r="AI128" s="29">
        <v>8.7419100000000007</v>
      </c>
      <c r="AK128" s="27">
        <v>22.5185</v>
      </c>
      <c r="AM128" s="27">
        <v>28.4237</v>
      </c>
      <c r="AO128" s="29"/>
      <c r="AP128" s="28"/>
    </row>
    <row r="129" spans="2:42" hidden="1" outlineLevel="1" x14ac:dyDescent="0.25">
      <c r="B129" s="21">
        <v>42488</v>
      </c>
      <c r="C129" s="27">
        <v>17.305800000000001</v>
      </c>
      <c r="E129" s="30">
        <v>0.88208699999999995</v>
      </c>
      <c r="G129" s="27">
        <v>14.2403</v>
      </c>
      <c r="I129" s="29">
        <v>6.90998</v>
      </c>
      <c r="K129" s="29">
        <v>3.5138799999999999</v>
      </c>
      <c r="M129" s="41"/>
      <c r="O129" s="26">
        <v>2930.26</v>
      </c>
      <c r="Q129" s="26">
        <v>5548.4</v>
      </c>
      <c r="S129" s="26">
        <v>1579.03</v>
      </c>
      <c r="U129" s="29">
        <v>3.2794699999999999</v>
      </c>
      <c r="W129" s="27">
        <v>31.8856</v>
      </c>
      <c r="Y129" s="29">
        <v>9.07437</v>
      </c>
      <c r="AA129" s="41">
        <v>534.21</v>
      </c>
      <c r="AC129" s="27">
        <v>45.780799999999999</v>
      </c>
      <c r="AE129" s="27">
        <v>1</v>
      </c>
      <c r="AG129" s="29">
        <v>7.7361300000000002</v>
      </c>
      <c r="AI129" s="29">
        <v>8.7433300000000003</v>
      </c>
      <c r="AK129" s="27">
        <v>22.518999999999998</v>
      </c>
      <c r="AM129" s="27">
        <v>28.5151</v>
      </c>
      <c r="AO129" s="29"/>
      <c r="AP129" s="28"/>
    </row>
    <row r="130" spans="2:42" hidden="1" outlineLevel="1" x14ac:dyDescent="0.25">
      <c r="B130" s="21">
        <v>42489</v>
      </c>
      <c r="C130" s="27">
        <v>17.203199999999999</v>
      </c>
      <c r="E130" s="30">
        <v>0.87704300000000002</v>
      </c>
      <c r="G130" s="27">
        <v>14.306900000000001</v>
      </c>
      <c r="I130" s="29">
        <v>6.9111500000000001</v>
      </c>
      <c r="K130" s="29">
        <v>3.4730599999999998</v>
      </c>
      <c r="M130" s="41"/>
      <c r="O130" s="26">
        <v>2898.55</v>
      </c>
      <c r="Q130" s="26">
        <v>5549.42</v>
      </c>
      <c r="S130" s="26">
        <v>1597.88</v>
      </c>
      <c r="U130" s="29">
        <v>3.2794300000000001</v>
      </c>
      <c r="W130" s="27">
        <v>31.8674</v>
      </c>
      <c r="Y130" s="29">
        <v>9.17577</v>
      </c>
      <c r="AA130" s="41">
        <v>535.09500000000003</v>
      </c>
      <c r="AC130" s="27">
        <v>45.790799999999997</v>
      </c>
      <c r="AE130" s="27">
        <v>1</v>
      </c>
      <c r="AG130" s="29">
        <v>7.7369599999999998</v>
      </c>
      <c r="AI130" s="29">
        <v>8.7451600000000003</v>
      </c>
      <c r="AK130" s="27">
        <v>22.569800000000001</v>
      </c>
      <c r="AM130" s="27">
        <v>28.5505</v>
      </c>
      <c r="AO130" s="29"/>
      <c r="AP130" s="28"/>
    </row>
    <row r="131" spans="2:42" hidden="1" outlineLevel="1" x14ac:dyDescent="0.25">
      <c r="B131" s="21">
        <v>42490</v>
      </c>
      <c r="C131" s="49">
        <v>17.212499999999999</v>
      </c>
      <c r="E131" s="30">
        <v>0.87345499999999998</v>
      </c>
      <c r="G131" s="27">
        <v>14.2889</v>
      </c>
      <c r="I131" s="29">
        <v>6.9057300000000001</v>
      </c>
      <c r="K131" s="29">
        <v>3.4362400000000002</v>
      </c>
      <c r="M131" s="41"/>
      <c r="O131" s="26">
        <v>2856</v>
      </c>
      <c r="Q131" s="26">
        <v>5565.61</v>
      </c>
      <c r="S131" s="26">
        <v>1619.72</v>
      </c>
      <c r="U131" s="29">
        <v>3.2794300000000001</v>
      </c>
      <c r="W131" s="27">
        <v>31.762499999999999</v>
      </c>
      <c r="Y131" s="29">
        <v>9.2435799999999997</v>
      </c>
      <c r="AA131" s="41">
        <v>535.11099999999999</v>
      </c>
      <c r="AC131" s="27">
        <v>45.820700000000002</v>
      </c>
      <c r="AE131" s="27">
        <v>1</v>
      </c>
      <c r="AG131" s="29">
        <v>7.7278200000000004</v>
      </c>
      <c r="AI131" s="29">
        <v>8.7378400000000003</v>
      </c>
      <c r="AK131" s="27">
        <v>22.544799999999999</v>
      </c>
      <c r="AM131" s="27">
        <v>28.463100000000001</v>
      </c>
      <c r="AO131" s="29"/>
      <c r="AP131" s="28"/>
    </row>
    <row r="132" spans="2:42" ht="13" collapsed="1" x14ac:dyDescent="0.3">
      <c r="B132" s="25" t="s">
        <v>142</v>
      </c>
      <c r="C132" s="19">
        <v>17.492599999999999</v>
      </c>
      <c r="E132" s="24">
        <v>0.88192199999999998</v>
      </c>
      <c r="G132" s="19">
        <v>14.400600000000001</v>
      </c>
      <c r="I132" s="23">
        <v>6.8424300000000002</v>
      </c>
      <c r="J132" s="9"/>
      <c r="K132" s="23">
        <v>3.5548000000000002</v>
      </c>
      <c r="M132" s="42" t="s">
        <v>78</v>
      </c>
      <c r="O132" s="31">
        <v>2998.9</v>
      </c>
      <c r="Q132" s="31">
        <v>5585.63</v>
      </c>
      <c r="S132" s="31">
        <v>1571.67</v>
      </c>
      <c r="U132" s="23">
        <v>3.3023699999999998</v>
      </c>
      <c r="W132" s="23">
        <v>31.551189999999998</v>
      </c>
      <c r="Y132" s="23">
        <v>8.8778100000000002</v>
      </c>
      <c r="AA132" s="42">
        <v>534.58199999999999</v>
      </c>
      <c r="AC132" s="19">
        <v>45.820799999999998</v>
      </c>
      <c r="AE132" s="19">
        <v>1</v>
      </c>
      <c r="AG132" s="23">
        <v>7.7293099999999999</v>
      </c>
      <c r="AI132" s="23">
        <v>8.7462199999999992</v>
      </c>
      <c r="AK132" s="23">
        <v>22.565449999999998</v>
      </c>
      <c r="AM132" s="23">
        <v>28.1114</v>
      </c>
      <c r="AO132" s="23" t="s">
        <v>78</v>
      </c>
      <c r="AP132" s="10"/>
    </row>
    <row r="133" spans="2:42" hidden="1" outlineLevel="1" x14ac:dyDescent="0.25">
      <c r="B133" s="21">
        <v>42491</v>
      </c>
      <c r="C133" s="27">
        <v>17.179099999999998</v>
      </c>
      <c r="E133" s="30">
        <v>0.87345499999999998</v>
      </c>
      <c r="G133" s="27">
        <v>14.2507</v>
      </c>
      <c r="I133" s="29">
        <v>6.915</v>
      </c>
      <c r="K133" s="29">
        <v>3.4362499999999998</v>
      </c>
      <c r="M133" s="41"/>
      <c r="O133" s="26">
        <v>2847.5</v>
      </c>
      <c r="Q133" s="26">
        <v>5577</v>
      </c>
      <c r="S133" s="26">
        <v>1623</v>
      </c>
      <c r="U133" s="29">
        <v>3.2694999999999999</v>
      </c>
      <c r="W133" s="27">
        <v>31.88</v>
      </c>
      <c r="Y133" s="29">
        <v>9.27759</v>
      </c>
      <c r="AA133" s="41">
        <v>538.5</v>
      </c>
      <c r="AC133" s="27">
        <v>45.4</v>
      </c>
      <c r="AE133" s="27">
        <v>1</v>
      </c>
      <c r="AG133" s="29">
        <v>7.74</v>
      </c>
      <c r="AI133" s="29">
        <v>8.7271999999999998</v>
      </c>
      <c r="AK133" s="27">
        <v>22.6</v>
      </c>
      <c r="AM133" s="27">
        <v>28.324999999999999</v>
      </c>
      <c r="AO133" s="29"/>
      <c r="AP133" s="28"/>
    </row>
    <row r="134" spans="2:42" hidden="1" outlineLevel="1" x14ac:dyDescent="0.25">
      <c r="B134" s="21">
        <v>42492</v>
      </c>
      <c r="C134" s="27">
        <v>17.186299999999999</v>
      </c>
      <c r="E134" s="30">
        <v>0.87068999999999996</v>
      </c>
      <c r="G134" s="27">
        <v>14.2478</v>
      </c>
      <c r="I134" s="29">
        <v>6.8944099999999997</v>
      </c>
      <c r="K134" s="29">
        <v>3.4596900000000002</v>
      </c>
      <c r="M134" s="41"/>
      <c r="O134" s="26">
        <v>2856.84</v>
      </c>
      <c r="Q134" s="26">
        <v>5555.28</v>
      </c>
      <c r="S134" s="26">
        <v>1605.75</v>
      </c>
      <c r="U134" s="29">
        <v>3.2649400000000002</v>
      </c>
      <c r="W134" s="27">
        <v>31.733499999999999</v>
      </c>
      <c r="Y134" s="29">
        <v>9.1725300000000001</v>
      </c>
      <c r="AA134" s="41">
        <v>535.08699999999999</v>
      </c>
      <c r="AC134" s="27">
        <v>45.610300000000002</v>
      </c>
      <c r="AE134" s="27">
        <v>1</v>
      </c>
      <c r="AG134" s="29">
        <v>7.7130200000000002</v>
      </c>
      <c r="AI134" s="29">
        <v>8.7237799999999996</v>
      </c>
      <c r="AK134" s="27">
        <v>22.5307</v>
      </c>
      <c r="AM134" s="27">
        <v>28.646799999999999</v>
      </c>
      <c r="AO134" s="29"/>
      <c r="AP134" s="28"/>
    </row>
    <row r="135" spans="2:42" hidden="1" outlineLevel="1" x14ac:dyDescent="0.25">
      <c r="B135" s="21">
        <v>42493</v>
      </c>
      <c r="C135" s="27">
        <v>17.3461</v>
      </c>
      <c r="E135" s="30">
        <v>0.866394</v>
      </c>
      <c r="G135" s="27">
        <v>14.187200000000001</v>
      </c>
      <c r="I135" s="29">
        <v>6.9013</v>
      </c>
      <c r="K135" s="29">
        <v>3.5226600000000001</v>
      </c>
      <c r="M135" s="41"/>
      <c r="O135" s="26">
        <v>2850.97</v>
      </c>
      <c r="Q135" s="26">
        <v>5563.82</v>
      </c>
      <c r="S135" s="26">
        <v>1579.47</v>
      </c>
      <c r="U135" s="29">
        <v>3.2800500000000001</v>
      </c>
      <c r="W135" s="27">
        <v>31.639299999999999</v>
      </c>
      <c r="Y135" s="29">
        <v>8.9818099999999994</v>
      </c>
      <c r="AA135" s="41">
        <v>536.11900000000003</v>
      </c>
      <c r="AC135" s="27">
        <v>45.665300000000002</v>
      </c>
      <c r="AE135" s="27">
        <v>1</v>
      </c>
      <c r="AG135" s="29">
        <v>7.7193899999999998</v>
      </c>
      <c r="AI135" s="29">
        <v>8.73245</v>
      </c>
      <c r="AK135" s="27">
        <v>22.546299999999999</v>
      </c>
      <c r="AM135" s="27">
        <v>28.689900000000002</v>
      </c>
      <c r="AO135" s="29"/>
      <c r="AP135" s="28"/>
    </row>
    <row r="136" spans="2:42" hidden="1" outlineLevel="1" x14ac:dyDescent="0.25">
      <c r="B136" s="21">
        <v>42494</v>
      </c>
      <c r="C136" s="27">
        <v>17.697900000000001</v>
      </c>
      <c r="E136" s="30">
        <v>0.87016700000000002</v>
      </c>
      <c r="G136" s="27">
        <v>14.207700000000001</v>
      </c>
      <c r="I136" s="29">
        <v>6.9417900000000001</v>
      </c>
      <c r="K136" s="29">
        <v>3.55267</v>
      </c>
      <c r="M136" s="41"/>
      <c r="O136" s="26">
        <v>2892.31</v>
      </c>
      <c r="Q136" s="26">
        <v>5594.63</v>
      </c>
      <c r="S136" s="26">
        <v>1574.8</v>
      </c>
      <c r="U136" s="29">
        <v>3.32843</v>
      </c>
      <c r="W136" s="27">
        <v>31.604700000000001</v>
      </c>
      <c r="Y136" s="29">
        <v>8.8962000000000003</v>
      </c>
      <c r="AA136" s="41">
        <v>538.524</v>
      </c>
      <c r="AC136" s="27">
        <v>45.914999999999999</v>
      </c>
      <c r="AE136" s="27">
        <v>1</v>
      </c>
      <c r="AG136" s="29">
        <v>7.76187</v>
      </c>
      <c r="AI136" s="29">
        <v>8.7837499999999995</v>
      </c>
      <c r="AK136" s="27">
        <v>22.655799999999999</v>
      </c>
      <c r="AM136" s="27">
        <v>28.7254</v>
      </c>
      <c r="AO136" s="29"/>
      <c r="AP136" s="28"/>
    </row>
    <row r="137" spans="2:42" hidden="1" outlineLevel="1" x14ac:dyDescent="0.25">
      <c r="B137" s="21">
        <v>42495</v>
      </c>
      <c r="C137" s="27">
        <v>17.759499999999999</v>
      </c>
      <c r="E137" s="30">
        <v>0.87346599999999996</v>
      </c>
      <c r="G137" s="27">
        <v>14.244400000000001</v>
      </c>
      <c r="I137" s="29">
        <v>6.9157000000000002</v>
      </c>
      <c r="K137" s="29">
        <v>3.5429300000000001</v>
      </c>
      <c r="M137" s="41"/>
      <c r="O137" s="26">
        <v>2929.16</v>
      </c>
      <c r="Q137" s="26">
        <v>5565.45</v>
      </c>
      <c r="S137" s="26">
        <v>1570.89</v>
      </c>
      <c r="U137" s="29">
        <v>3.3257099999999999</v>
      </c>
      <c r="W137" s="27">
        <v>31.549399999999999</v>
      </c>
      <c r="Y137" s="29">
        <v>8.9050700000000003</v>
      </c>
      <c r="AA137" s="41">
        <v>536.34100000000001</v>
      </c>
      <c r="AC137" s="27">
        <v>45.7087</v>
      </c>
      <c r="AE137" s="27">
        <v>1</v>
      </c>
      <c r="AG137" s="29">
        <v>7.7236900000000004</v>
      </c>
      <c r="AI137" s="29">
        <v>8.7506400000000006</v>
      </c>
      <c r="AK137" s="27">
        <v>22.563800000000001</v>
      </c>
      <c r="AM137" s="27">
        <v>28.618300000000001</v>
      </c>
      <c r="AO137" s="29"/>
      <c r="AP137" s="28"/>
    </row>
    <row r="138" spans="2:42" hidden="1" outlineLevel="1" x14ac:dyDescent="0.25">
      <c r="B138" s="21">
        <v>42496</v>
      </c>
      <c r="C138" s="27">
        <v>17.918299999999999</v>
      </c>
      <c r="E138" s="30">
        <v>0.87626599999999999</v>
      </c>
      <c r="G138" s="27">
        <v>14.2338</v>
      </c>
      <c r="I138" s="29">
        <v>6.91791</v>
      </c>
      <c r="K138" s="29">
        <v>3.5304799999999998</v>
      </c>
      <c r="M138" s="41"/>
      <c r="O138" s="26">
        <v>2962.62</v>
      </c>
      <c r="Q138" s="26">
        <v>5587.14</v>
      </c>
      <c r="S138" s="26">
        <v>1582.58</v>
      </c>
      <c r="U138" s="29">
        <v>3.3283299999999998</v>
      </c>
      <c r="W138" s="27">
        <v>31.775600000000001</v>
      </c>
      <c r="Y138" s="29">
        <v>9.0005400000000009</v>
      </c>
      <c r="AA138" s="41">
        <v>536.78399999999999</v>
      </c>
      <c r="AC138" s="27">
        <v>45.780299999999997</v>
      </c>
      <c r="AE138" s="27">
        <v>1</v>
      </c>
      <c r="AG138" s="29">
        <v>7.7246800000000002</v>
      </c>
      <c r="AI138" s="29">
        <v>8.7591999999999999</v>
      </c>
      <c r="AK138" s="27">
        <v>22.590900000000001</v>
      </c>
      <c r="AM138" s="27">
        <v>28.718299999999999</v>
      </c>
      <c r="AO138" s="29"/>
      <c r="AP138" s="28"/>
    </row>
    <row r="139" spans="2:42" hidden="1" outlineLevel="1" x14ac:dyDescent="0.25">
      <c r="B139" s="21">
        <v>42497</v>
      </c>
      <c r="C139" s="27">
        <v>17.866399999999999</v>
      </c>
      <c r="E139" s="30">
        <v>0.87685500000000005</v>
      </c>
      <c r="G139" s="27">
        <v>14.224</v>
      </c>
      <c r="I139" s="29">
        <v>6.9035000000000002</v>
      </c>
      <c r="K139" s="29">
        <v>3.50406</v>
      </c>
      <c r="M139" s="41"/>
      <c r="O139" s="26">
        <v>2968</v>
      </c>
      <c r="Q139" s="26">
        <v>5598.35</v>
      </c>
      <c r="S139" s="26">
        <v>1597.7</v>
      </c>
      <c r="U139" s="29">
        <v>3.3170000000000002</v>
      </c>
      <c r="W139" s="27">
        <v>31.795999999999999</v>
      </c>
      <c r="Y139" s="29">
        <v>9.0741800000000001</v>
      </c>
      <c r="AA139" s="41">
        <v>536.07000000000005</v>
      </c>
      <c r="AC139" s="27">
        <v>45.82</v>
      </c>
      <c r="AE139" s="27">
        <v>1</v>
      </c>
      <c r="AG139" s="29">
        <v>7.7119</v>
      </c>
      <c r="AI139" s="29">
        <v>8.7482000000000006</v>
      </c>
      <c r="AK139" s="27">
        <v>22.51</v>
      </c>
      <c r="AM139" s="27">
        <v>28.48</v>
      </c>
      <c r="AO139" s="29"/>
      <c r="AP139" s="28"/>
    </row>
    <row r="140" spans="2:42" hidden="1" outlineLevel="1" x14ac:dyDescent="0.25">
      <c r="B140" s="21">
        <v>42498</v>
      </c>
      <c r="C140" s="27">
        <v>17.866399999999999</v>
      </c>
      <c r="E140" s="30">
        <v>0.87685500000000005</v>
      </c>
      <c r="G140" s="27">
        <v>14.2258</v>
      </c>
      <c r="I140" s="29">
        <v>6.9035000000000002</v>
      </c>
      <c r="K140" s="29">
        <v>3.504</v>
      </c>
      <c r="M140" s="41"/>
      <c r="O140" s="26">
        <v>2968</v>
      </c>
      <c r="Q140" s="26">
        <v>5598.35</v>
      </c>
      <c r="S140" s="26">
        <v>1597.73</v>
      </c>
      <c r="U140" s="29">
        <v>3.3170000000000002</v>
      </c>
      <c r="W140" s="27">
        <v>31.795999999999999</v>
      </c>
      <c r="Y140" s="29">
        <v>9.0743399999999994</v>
      </c>
      <c r="AA140" s="41">
        <v>536.07000000000005</v>
      </c>
      <c r="AC140" s="27">
        <v>45.82</v>
      </c>
      <c r="AE140" s="27">
        <v>1</v>
      </c>
      <c r="AG140" s="29">
        <v>7.7119</v>
      </c>
      <c r="AI140" s="29">
        <v>8.7482000000000006</v>
      </c>
      <c r="AK140" s="27">
        <v>22.51</v>
      </c>
      <c r="AM140" s="27">
        <v>28.48</v>
      </c>
      <c r="AO140" s="29"/>
      <c r="AP140" s="28"/>
    </row>
    <row r="141" spans="2:42" hidden="1" outlineLevel="1" x14ac:dyDescent="0.25">
      <c r="B141" s="21">
        <v>42499</v>
      </c>
      <c r="C141" s="27">
        <v>17.963100000000001</v>
      </c>
      <c r="E141" s="30">
        <v>0.87760899999999997</v>
      </c>
      <c r="G141" s="27">
        <v>14.236499999999999</v>
      </c>
      <c r="I141" s="29">
        <v>6.91831</v>
      </c>
      <c r="K141" s="29">
        <v>3.51572</v>
      </c>
      <c r="M141" s="41"/>
      <c r="O141" s="26">
        <v>2960.38</v>
      </c>
      <c r="Q141" s="26">
        <v>5613.61</v>
      </c>
      <c r="S141" s="26">
        <v>1596.76</v>
      </c>
      <c r="U141" s="29">
        <v>3.3235100000000002</v>
      </c>
      <c r="W141" s="27">
        <v>31.799299999999999</v>
      </c>
      <c r="Y141" s="29">
        <v>9.0450499999999998</v>
      </c>
      <c r="AA141" s="41">
        <v>537.21699999999998</v>
      </c>
      <c r="AC141" s="27">
        <v>45.790999999999997</v>
      </c>
      <c r="AE141" s="27">
        <v>1</v>
      </c>
      <c r="AG141" s="29">
        <v>7.7226100000000004</v>
      </c>
      <c r="AI141" s="29">
        <v>8.7665799999999994</v>
      </c>
      <c r="AK141" s="27">
        <v>22.609100000000002</v>
      </c>
      <c r="AM141" s="27">
        <v>28.683599999999998</v>
      </c>
      <c r="AO141" s="29"/>
      <c r="AP141" s="28"/>
    </row>
    <row r="142" spans="2:42" hidden="1" outlineLevel="1" x14ac:dyDescent="0.25">
      <c r="B142" s="21">
        <v>42500</v>
      </c>
      <c r="C142" s="27">
        <v>18.115600000000001</v>
      </c>
      <c r="E142" s="30">
        <v>0.87865000000000004</v>
      </c>
      <c r="G142" s="27">
        <v>14.228400000000001</v>
      </c>
      <c r="I142" s="29">
        <v>6.9006499999999997</v>
      </c>
      <c r="K142" s="29">
        <v>3.5017399999999999</v>
      </c>
      <c r="M142" s="41"/>
      <c r="O142" s="26">
        <v>2960.47</v>
      </c>
      <c r="Q142" s="26">
        <v>5600.15</v>
      </c>
      <c r="S142" s="26">
        <v>1599.29</v>
      </c>
      <c r="U142" s="29">
        <v>3.3309299999999999</v>
      </c>
      <c r="W142" s="27">
        <v>31.624199999999998</v>
      </c>
      <c r="Y142" s="29">
        <v>9.0311599999999999</v>
      </c>
      <c r="AA142" s="41">
        <v>536.21699999999998</v>
      </c>
      <c r="AC142" s="27">
        <v>45.852800000000002</v>
      </c>
      <c r="AE142" s="27">
        <v>1</v>
      </c>
      <c r="AG142" s="29">
        <v>7.6861600000000001</v>
      </c>
      <c r="AI142" s="29">
        <v>8.7501899999999999</v>
      </c>
      <c r="AK142" s="27">
        <v>22.560099999999998</v>
      </c>
      <c r="AM142" s="27">
        <v>28.312899999999999</v>
      </c>
      <c r="AO142" s="29"/>
      <c r="AP142" s="28"/>
    </row>
    <row r="143" spans="2:42" hidden="1" outlineLevel="1" x14ac:dyDescent="0.25">
      <c r="B143" s="21">
        <v>42501</v>
      </c>
      <c r="C143" s="27">
        <v>18.013100000000001</v>
      </c>
      <c r="E143" s="30">
        <v>0.877197</v>
      </c>
      <c r="G143" s="27">
        <v>14.2225</v>
      </c>
      <c r="I143" s="29">
        <v>6.8875099999999998</v>
      </c>
      <c r="K143" s="29">
        <v>3.4679600000000002</v>
      </c>
      <c r="M143" s="41"/>
      <c r="O143" s="26">
        <v>2969.01</v>
      </c>
      <c r="Q143" s="26">
        <v>5597.68</v>
      </c>
      <c r="S143" s="26">
        <v>1614.15</v>
      </c>
      <c r="U143" s="29">
        <v>3.3312599999999999</v>
      </c>
      <c r="W143" s="27">
        <v>31.5977</v>
      </c>
      <c r="Y143" s="29">
        <v>9.1114800000000002</v>
      </c>
      <c r="AA143" s="41">
        <v>535.55999999999995</v>
      </c>
      <c r="AC143" s="27">
        <v>45.881999999999998</v>
      </c>
      <c r="AE143" s="27">
        <v>1</v>
      </c>
      <c r="AG143" s="29">
        <v>7.6572399999999998</v>
      </c>
      <c r="AI143" s="29">
        <v>8.7427299999999999</v>
      </c>
      <c r="AK143" s="27">
        <v>22.576799999999999</v>
      </c>
      <c r="AM143" s="27">
        <v>28.563099999999999</v>
      </c>
      <c r="AO143" s="29"/>
      <c r="AP143" s="28"/>
    </row>
    <row r="144" spans="2:42" hidden="1" outlineLevel="1" x14ac:dyDescent="0.25">
      <c r="B144" s="21">
        <v>42502</v>
      </c>
      <c r="C144" s="27">
        <v>17.964600000000001</v>
      </c>
      <c r="E144" s="30">
        <v>0.87671600000000005</v>
      </c>
      <c r="G144" s="27">
        <v>14.195399999999999</v>
      </c>
      <c r="I144" s="29">
        <v>6.8763899999999998</v>
      </c>
      <c r="K144" s="29">
        <v>3.45974</v>
      </c>
      <c r="M144" s="41"/>
      <c r="O144" s="26">
        <v>3029.86</v>
      </c>
      <c r="Q144" s="26">
        <v>5604.15</v>
      </c>
      <c r="S144" s="26">
        <v>1619.85</v>
      </c>
      <c r="U144" s="29">
        <v>3.32552</v>
      </c>
      <c r="W144" s="27">
        <v>31.535299999999999</v>
      </c>
      <c r="Y144" s="29">
        <v>9.1150699999999993</v>
      </c>
      <c r="AA144" s="41">
        <v>534.96100000000001</v>
      </c>
      <c r="AC144" s="27">
        <v>45.7607</v>
      </c>
      <c r="AE144" s="27">
        <v>1</v>
      </c>
      <c r="AG144" s="29">
        <v>7.63476</v>
      </c>
      <c r="AI144" s="29">
        <v>8.7323599999999999</v>
      </c>
      <c r="AK144" s="27">
        <v>22.523299999999999</v>
      </c>
      <c r="AM144" s="27">
        <v>28.4268</v>
      </c>
      <c r="AO144" s="29"/>
      <c r="AP144" s="28"/>
    </row>
    <row r="145" spans="2:42" hidden="1" outlineLevel="1" x14ac:dyDescent="0.25">
      <c r="B145" s="21">
        <v>42503</v>
      </c>
      <c r="C145" s="27">
        <v>18.051100000000002</v>
      </c>
      <c r="E145" s="30">
        <v>0.88167499999999999</v>
      </c>
      <c r="G145" s="27">
        <v>14.186</v>
      </c>
      <c r="I145" s="29">
        <v>6.8944400000000003</v>
      </c>
      <c r="K145" s="29">
        <v>3.4863300000000002</v>
      </c>
      <c r="M145" s="41"/>
      <c r="O145" s="26">
        <v>2957.26</v>
      </c>
      <c r="Q145" s="26">
        <v>5622.14</v>
      </c>
      <c r="S145" s="26">
        <v>1612.66</v>
      </c>
      <c r="U145" s="29">
        <v>3.33325</v>
      </c>
      <c r="W145" s="27">
        <v>31.47</v>
      </c>
      <c r="Y145" s="29">
        <v>9.0268200000000007</v>
      </c>
      <c r="AA145" s="41">
        <v>536.58799999999997</v>
      </c>
      <c r="AC145" s="27">
        <v>45.865499999999997</v>
      </c>
      <c r="AE145" s="27">
        <v>1</v>
      </c>
      <c r="AG145" s="29">
        <v>7.63964</v>
      </c>
      <c r="AI145" s="29">
        <v>8.7545900000000003</v>
      </c>
      <c r="AK145" s="27">
        <v>22.576899999999998</v>
      </c>
      <c r="AM145" s="27">
        <v>28.523700000000002</v>
      </c>
      <c r="AO145" s="29"/>
      <c r="AP145" s="28"/>
    </row>
    <row r="146" spans="2:42" hidden="1" outlineLevel="1" x14ac:dyDescent="0.25">
      <c r="B146" s="21">
        <v>42504</v>
      </c>
      <c r="C146" s="27">
        <v>18.168199999999999</v>
      </c>
      <c r="E146" s="30">
        <v>0.88432200000000005</v>
      </c>
      <c r="G146" s="27">
        <v>14.156000000000001</v>
      </c>
      <c r="I146" s="29">
        <v>6.8949999999999996</v>
      </c>
      <c r="K146" s="29">
        <v>3.5324</v>
      </c>
      <c r="M146" s="41"/>
      <c r="O146" s="26">
        <v>2957.26</v>
      </c>
      <c r="Q146" s="26">
        <v>5635</v>
      </c>
      <c r="S146" s="26">
        <v>1595.24</v>
      </c>
      <c r="U146" s="29">
        <v>3.3275000000000001</v>
      </c>
      <c r="W146" s="27">
        <v>31.4</v>
      </c>
      <c r="Y146" s="29">
        <v>8.88917</v>
      </c>
      <c r="AA146" s="41">
        <v>536.58799999999997</v>
      </c>
      <c r="AC146" s="27">
        <v>45.854999999999997</v>
      </c>
      <c r="AE146" s="27">
        <v>1</v>
      </c>
      <c r="AG146" s="29">
        <v>7.63964</v>
      </c>
      <c r="AI146" s="29">
        <v>8.7271999999999998</v>
      </c>
      <c r="AK146" s="27">
        <v>22.555</v>
      </c>
      <c r="AM146" s="27">
        <v>28.48</v>
      </c>
      <c r="AO146" s="29"/>
      <c r="AP146" s="28"/>
    </row>
    <row r="147" spans="2:42" hidden="1" outlineLevel="1" x14ac:dyDescent="0.25">
      <c r="B147" s="21">
        <v>42505</v>
      </c>
      <c r="C147" s="27">
        <v>18.168199999999999</v>
      </c>
      <c r="E147" s="30">
        <v>0.88432200000000005</v>
      </c>
      <c r="G147" s="27">
        <v>14.1562</v>
      </c>
      <c r="I147" s="29">
        <v>6.8875000000000002</v>
      </c>
      <c r="K147" s="29">
        <v>3.5324</v>
      </c>
      <c r="M147" s="41"/>
      <c r="O147" s="26">
        <v>2987.5</v>
      </c>
      <c r="Q147" s="26">
        <v>5620.45</v>
      </c>
      <c r="S147" s="26">
        <v>1591.15</v>
      </c>
      <c r="U147" s="29">
        <v>3.3365</v>
      </c>
      <c r="W147" s="27">
        <v>31.3735</v>
      </c>
      <c r="Y147" s="29">
        <v>8.8818199999999994</v>
      </c>
      <c r="AA147" s="41">
        <v>536.05499999999995</v>
      </c>
      <c r="AC147" s="27">
        <v>45.854999999999997</v>
      </c>
      <c r="AE147" s="27">
        <v>1</v>
      </c>
      <c r="AG147" s="29">
        <v>7.6227</v>
      </c>
      <c r="AI147" s="29">
        <v>8.7461500000000001</v>
      </c>
      <c r="AK147" s="27">
        <v>22.555</v>
      </c>
      <c r="AM147" s="27">
        <v>28.48</v>
      </c>
      <c r="AO147" s="29"/>
      <c r="AP147" s="28"/>
    </row>
    <row r="148" spans="2:42" hidden="1" outlineLevel="1" x14ac:dyDescent="0.25">
      <c r="B148" s="21">
        <v>42506</v>
      </c>
      <c r="C148" s="27">
        <v>18.18</v>
      </c>
      <c r="E148" s="30">
        <v>0.883548</v>
      </c>
      <c r="G148" s="27">
        <v>14.1533</v>
      </c>
      <c r="I148" s="29">
        <v>6.9016500000000001</v>
      </c>
      <c r="K148" s="29">
        <v>3.52142</v>
      </c>
      <c r="M148" s="41"/>
      <c r="O148" s="26">
        <v>2971.99</v>
      </c>
      <c r="Q148" s="26">
        <v>5642.99</v>
      </c>
      <c r="S148" s="26">
        <v>1602.52</v>
      </c>
      <c r="U148" s="29">
        <v>3.33548</v>
      </c>
      <c r="W148" s="27">
        <v>31.529800000000002</v>
      </c>
      <c r="Y148" s="29">
        <v>8.9538899999999995</v>
      </c>
      <c r="AA148" s="41">
        <v>536.72299999999996</v>
      </c>
      <c r="AC148" s="27">
        <v>45.872999999999998</v>
      </c>
      <c r="AE148" s="27">
        <v>1</v>
      </c>
      <c r="AG148" s="29">
        <v>7.6417299999999999</v>
      </c>
      <c r="AI148" s="29">
        <v>8.7610100000000006</v>
      </c>
      <c r="AK148" s="27">
        <v>22.565899999999999</v>
      </c>
      <c r="AM148" s="27">
        <v>28.533899999999999</v>
      </c>
      <c r="AO148" s="29"/>
      <c r="AP148" s="28"/>
    </row>
    <row r="149" spans="2:42" hidden="1" outlineLevel="1" x14ac:dyDescent="0.25">
      <c r="B149" s="21">
        <v>42507</v>
      </c>
      <c r="C149" s="27">
        <v>18.294499999999999</v>
      </c>
      <c r="E149" s="30">
        <v>0.88322000000000001</v>
      </c>
      <c r="G149" s="27">
        <v>14.155799999999999</v>
      </c>
      <c r="I149" s="29">
        <v>6.8954300000000002</v>
      </c>
      <c r="K149" s="29">
        <v>3.4988899999999998</v>
      </c>
      <c r="M149" s="41"/>
      <c r="O149" s="26">
        <v>3005.01</v>
      </c>
      <c r="Q149" s="26">
        <v>5640.69</v>
      </c>
      <c r="S149" s="26">
        <v>1612.17</v>
      </c>
      <c r="U149" s="29">
        <v>3.3319399999999999</v>
      </c>
      <c r="W149" s="27">
        <v>31.579599999999999</v>
      </c>
      <c r="Y149" s="29">
        <v>9.0257699999999996</v>
      </c>
      <c r="AA149" s="41">
        <v>535.923</v>
      </c>
      <c r="AC149" s="27">
        <v>45.834000000000003</v>
      </c>
      <c r="AE149" s="27">
        <v>1</v>
      </c>
      <c r="AG149" s="29">
        <v>7.63591</v>
      </c>
      <c r="AI149" s="29">
        <v>8.75305</v>
      </c>
      <c r="AK149" s="27">
        <v>22.5367</v>
      </c>
      <c r="AM149" s="27">
        <v>28.486899999999999</v>
      </c>
      <c r="AO149" s="29"/>
      <c r="AP149" s="28"/>
    </row>
    <row r="150" spans="2:42" hidden="1" outlineLevel="1" x14ac:dyDescent="0.25">
      <c r="B150" s="21">
        <v>42508</v>
      </c>
      <c r="C150" s="27">
        <v>18.365400000000001</v>
      </c>
      <c r="E150" s="30">
        <v>0.88661900000000005</v>
      </c>
      <c r="G150" s="27">
        <v>14.1372</v>
      </c>
      <c r="I150" s="29">
        <v>6.8895799999999996</v>
      </c>
      <c r="K150" s="29">
        <v>3.5089700000000001</v>
      </c>
      <c r="M150" s="41"/>
      <c r="O150" s="26">
        <v>3030.32</v>
      </c>
      <c r="Q150" s="26">
        <v>5628.34</v>
      </c>
      <c r="S150" s="26">
        <v>1604.02</v>
      </c>
      <c r="U150" s="29">
        <v>3.3239999999999998</v>
      </c>
      <c r="W150" s="27">
        <v>31.556699999999999</v>
      </c>
      <c r="Y150" s="29">
        <v>8.9933200000000006</v>
      </c>
      <c r="AA150" s="41">
        <v>535.61900000000003</v>
      </c>
      <c r="AC150" s="27">
        <v>45.854799999999997</v>
      </c>
      <c r="AE150" s="27">
        <v>1</v>
      </c>
      <c r="AG150" s="29">
        <v>7.6322999999999999</v>
      </c>
      <c r="AI150" s="29">
        <v>8.7495399999999997</v>
      </c>
      <c r="AK150" s="27">
        <v>22.549800000000001</v>
      </c>
      <c r="AM150" s="27">
        <v>28.5472</v>
      </c>
      <c r="AO150" s="29"/>
      <c r="AP150" s="28"/>
    </row>
    <row r="151" spans="2:42" hidden="1" outlineLevel="1" x14ac:dyDescent="0.25">
      <c r="B151" s="21">
        <v>42509</v>
      </c>
      <c r="C151" s="27">
        <v>18.477499999999999</v>
      </c>
      <c r="E151" s="30">
        <v>0.89186500000000002</v>
      </c>
      <c r="G151" s="27">
        <v>14.1225</v>
      </c>
      <c r="I151" s="29">
        <v>6.9062000000000001</v>
      </c>
      <c r="K151" s="29">
        <v>3.5688800000000001</v>
      </c>
      <c r="M151" s="41"/>
      <c r="O151" s="26">
        <v>3035.43</v>
      </c>
      <c r="Q151" s="26">
        <v>5642.28</v>
      </c>
      <c r="S151" s="26">
        <v>1581</v>
      </c>
      <c r="U151" s="29">
        <v>3.3289900000000001</v>
      </c>
      <c r="W151" s="27">
        <v>31.644600000000001</v>
      </c>
      <c r="Y151" s="29">
        <v>8.8669600000000006</v>
      </c>
      <c r="AA151" s="41">
        <v>536.63900000000001</v>
      </c>
      <c r="AC151" s="27">
        <v>45.958799999999997</v>
      </c>
      <c r="AE151" s="27">
        <v>1</v>
      </c>
      <c r="AG151" s="29">
        <v>7.6570600000000004</v>
      </c>
      <c r="AI151" s="29">
        <v>8.7706300000000006</v>
      </c>
      <c r="AK151" s="27">
        <v>22.597899999999999</v>
      </c>
      <c r="AM151" s="27">
        <v>28.6249</v>
      </c>
      <c r="AO151" s="29"/>
      <c r="AP151" s="28"/>
    </row>
    <row r="152" spans="2:42" hidden="1" outlineLevel="1" x14ac:dyDescent="0.25">
      <c r="B152" s="21">
        <v>42510</v>
      </c>
      <c r="C152" s="27">
        <v>18.3978</v>
      </c>
      <c r="E152" s="30">
        <v>0.89190999999999998</v>
      </c>
      <c r="G152" s="27">
        <v>14.091900000000001</v>
      </c>
      <c r="I152" s="29">
        <v>6.8909799999999999</v>
      </c>
      <c r="K152" s="29">
        <v>3.56134</v>
      </c>
      <c r="M152" s="41"/>
      <c r="O152" s="26">
        <v>3032.08</v>
      </c>
      <c r="Q152" s="26">
        <v>5626.77</v>
      </c>
      <c r="S152" s="26">
        <v>1579.99</v>
      </c>
      <c r="U152" s="29">
        <v>3.3296700000000001</v>
      </c>
      <c r="W152" s="27">
        <v>31.534099999999999</v>
      </c>
      <c r="Y152" s="29">
        <v>8.8546800000000001</v>
      </c>
      <c r="AA152" s="41">
        <v>535.31799999999998</v>
      </c>
      <c r="AC152" s="27">
        <v>45.825200000000002</v>
      </c>
      <c r="AE152" s="27">
        <v>1</v>
      </c>
      <c r="AG152" s="29">
        <v>7.6367599999999998</v>
      </c>
      <c r="AI152" s="29">
        <v>8.7511500000000009</v>
      </c>
      <c r="AK152" s="27">
        <v>22.614899999999999</v>
      </c>
      <c r="AM152" s="27">
        <v>28.53</v>
      </c>
      <c r="AO152" s="29"/>
      <c r="AP152" s="28"/>
    </row>
    <row r="153" spans="2:42" hidden="1" outlineLevel="1" x14ac:dyDescent="0.25">
      <c r="B153" s="21">
        <v>42511</v>
      </c>
      <c r="C153" s="27">
        <v>18.342500000000001</v>
      </c>
      <c r="E153" s="30">
        <v>0.891015</v>
      </c>
      <c r="G153" s="27">
        <v>14.077999999999999</v>
      </c>
      <c r="I153" s="29">
        <v>6.8849999999999998</v>
      </c>
      <c r="K153" s="29">
        <v>3.56134</v>
      </c>
      <c r="M153" s="41"/>
      <c r="O153" s="26">
        <v>3051.95</v>
      </c>
      <c r="Q153" s="26">
        <v>5614</v>
      </c>
      <c r="S153" s="26">
        <v>1576.38</v>
      </c>
      <c r="U153" s="29">
        <v>3.3344999999999998</v>
      </c>
      <c r="W153" s="27">
        <v>31.534099999999999</v>
      </c>
      <c r="Y153" s="29">
        <v>8.8546800000000001</v>
      </c>
      <c r="AA153" s="41">
        <v>535.31799999999998</v>
      </c>
      <c r="AC153" s="27">
        <v>45.85</v>
      </c>
      <c r="AE153" s="27">
        <v>1</v>
      </c>
      <c r="AG153" s="29">
        <v>7.6360000000000001</v>
      </c>
      <c r="AI153" s="29">
        <v>8.7270000000000003</v>
      </c>
      <c r="AK153" s="27">
        <v>22.614899999999999</v>
      </c>
      <c r="AM153" s="27">
        <v>28.62</v>
      </c>
      <c r="AO153" s="29"/>
      <c r="AP153" s="28"/>
    </row>
    <row r="154" spans="2:42" hidden="1" outlineLevel="1" x14ac:dyDescent="0.25">
      <c r="B154" s="21">
        <v>42512</v>
      </c>
      <c r="C154" s="27">
        <v>18.342500000000001</v>
      </c>
      <c r="E154" s="30">
        <v>0.891015</v>
      </c>
      <c r="G154" s="27">
        <v>14.097300000000001</v>
      </c>
      <c r="I154" s="29">
        <v>6.8904500000000004</v>
      </c>
      <c r="K154" s="29">
        <v>3.5667</v>
      </c>
      <c r="M154" s="41"/>
      <c r="O154" s="26">
        <v>3051</v>
      </c>
      <c r="Q154" s="26">
        <v>5630.85</v>
      </c>
      <c r="S154" s="26">
        <v>1578.81</v>
      </c>
      <c r="U154" s="29">
        <v>3.3315000000000001</v>
      </c>
      <c r="W154" s="27">
        <v>31.492000000000001</v>
      </c>
      <c r="Y154" s="29">
        <v>8.8298500000000004</v>
      </c>
      <c r="AA154" s="41">
        <v>535.30499999999995</v>
      </c>
      <c r="AC154" s="27">
        <v>45.85</v>
      </c>
      <c r="AE154" s="27">
        <v>1</v>
      </c>
      <c r="AG154" s="29">
        <v>7.6330999999999998</v>
      </c>
      <c r="AI154" s="29">
        <v>8.7509499999999996</v>
      </c>
      <c r="AK154" s="27">
        <v>22.614899999999999</v>
      </c>
      <c r="AM154" s="27">
        <v>28.62</v>
      </c>
      <c r="AO154" s="29"/>
      <c r="AP154" s="28"/>
    </row>
    <row r="155" spans="2:42" hidden="1" outlineLevel="1" x14ac:dyDescent="0.25">
      <c r="B155" s="21">
        <v>42513</v>
      </c>
      <c r="C155" s="27">
        <v>18.3947</v>
      </c>
      <c r="E155" s="30">
        <v>0.89148799999999995</v>
      </c>
      <c r="G155" s="27">
        <v>14.054399999999999</v>
      </c>
      <c r="I155" s="29">
        <v>6.8858899999999998</v>
      </c>
      <c r="K155" s="29">
        <v>3.55518</v>
      </c>
      <c r="M155" s="41"/>
      <c r="O155" s="26">
        <v>3053.47</v>
      </c>
      <c r="Q155" s="26">
        <v>5625.9</v>
      </c>
      <c r="S155" s="26">
        <v>1582.51</v>
      </c>
      <c r="U155" s="29">
        <v>3.33853</v>
      </c>
      <c r="W155" s="27">
        <v>31.5379</v>
      </c>
      <c r="Y155" s="29">
        <v>8.8712499999999999</v>
      </c>
      <c r="AA155" s="41">
        <v>534.98800000000006</v>
      </c>
      <c r="AC155" s="27">
        <v>45.831200000000003</v>
      </c>
      <c r="AE155" s="27">
        <v>1</v>
      </c>
      <c r="AG155" s="29">
        <v>7.62967</v>
      </c>
      <c r="AI155" s="29">
        <v>8.7448700000000006</v>
      </c>
      <c r="AK155" s="27">
        <v>22.62</v>
      </c>
      <c r="AM155" s="27">
        <v>28.543900000000001</v>
      </c>
      <c r="AO155" s="29"/>
      <c r="AP155" s="28"/>
    </row>
    <row r="156" spans="2:42" hidden="1" outlineLevel="1" x14ac:dyDescent="0.25">
      <c r="B156" s="21">
        <v>42514</v>
      </c>
      <c r="C156" s="27">
        <v>18.503299999999999</v>
      </c>
      <c r="E156" s="30">
        <v>0.89421399999999995</v>
      </c>
      <c r="G156" s="27">
        <v>14.004</v>
      </c>
      <c r="I156" s="29">
        <v>6.8857400000000002</v>
      </c>
      <c r="K156" s="29">
        <v>3.56732</v>
      </c>
      <c r="M156" s="41"/>
      <c r="O156" s="26">
        <v>3053.97</v>
      </c>
      <c r="Q156" s="26">
        <v>5625.19</v>
      </c>
      <c r="S156" s="26">
        <v>1576.9</v>
      </c>
      <c r="U156" s="29">
        <v>3.3351600000000001</v>
      </c>
      <c r="W156" s="27">
        <v>31.4727</v>
      </c>
      <c r="Y156" s="29">
        <v>8.8226700000000005</v>
      </c>
      <c r="AA156" s="41">
        <v>534.82100000000003</v>
      </c>
      <c r="AC156" s="27">
        <v>45.827800000000003</v>
      </c>
      <c r="AE156" s="27">
        <v>1</v>
      </c>
      <c r="AG156" s="29">
        <v>7.6330900000000002</v>
      </c>
      <c r="AI156" s="29">
        <v>8.7442399999999996</v>
      </c>
      <c r="AK156" s="27">
        <v>22.617100000000001</v>
      </c>
      <c r="AM156" s="27">
        <v>28.537400000000002</v>
      </c>
      <c r="AO156" s="29"/>
      <c r="AP156" s="28"/>
    </row>
    <row r="157" spans="2:42" hidden="1" outlineLevel="1" x14ac:dyDescent="0.25">
      <c r="B157" s="21">
        <v>42515</v>
      </c>
      <c r="C157" s="27">
        <v>18.447500000000002</v>
      </c>
      <c r="E157" s="30">
        <v>0.89698100000000003</v>
      </c>
      <c r="G157" s="27">
        <v>14.0418</v>
      </c>
      <c r="I157" s="29">
        <v>6.9049300000000002</v>
      </c>
      <c r="K157" s="29">
        <v>3.5773000000000001</v>
      </c>
      <c r="M157" s="41"/>
      <c r="O157" s="26">
        <v>3068.05</v>
      </c>
      <c r="Q157" s="26">
        <v>5642.16</v>
      </c>
      <c r="S157" s="26">
        <v>1577.25</v>
      </c>
      <c r="U157" s="29">
        <v>3.3498999999999999</v>
      </c>
      <c r="W157" s="27">
        <v>31.393000000000001</v>
      </c>
      <c r="Y157" s="29">
        <v>8.7758000000000003</v>
      </c>
      <c r="AA157" s="41">
        <v>536.41099999999994</v>
      </c>
      <c r="AC157" s="27">
        <v>45.945900000000002</v>
      </c>
      <c r="AE157" s="27">
        <v>1</v>
      </c>
      <c r="AG157" s="29">
        <v>7.6559499999999998</v>
      </c>
      <c r="AI157" s="29">
        <v>8.7677800000000001</v>
      </c>
      <c r="AK157" s="27">
        <v>22.667100000000001</v>
      </c>
      <c r="AM157" s="27">
        <v>28.618200000000002</v>
      </c>
      <c r="AO157" s="29"/>
      <c r="AP157" s="28"/>
    </row>
    <row r="158" spans="2:42" hidden="1" outlineLevel="1" x14ac:dyDescent="0.25">
      <c r="B158" s="21">
        <v>42516</v>
      </c>
      <c r="C158" s="27">
        <v>18.453499999999998</v>
      </c>
      <c r="E158" s="30">
        <v>0.894598</v>
      </c>
      <c r="G158" s="27">
        <v>14.0472</v>
      </c>
      <c r="I158" s="29">
        <v>6.8856099999999998</v>
      </c>
      <c r="K158" s="29">
        <v>3.5817700000000001</v>
      </c>
      <c r="M158" s="41"/>
      <c r="O158" s="26">
        <v>3059.58</v>
      </c>
      <c r="Q158" s="26">
        <v>5629.63</v>
      </c>
      <c r="S158" s="26">
        <v>1571.78</v>
      </c>
      <c r="U158" s="29">
        <v>3.3403200000000002</v>
      </c>
      <c r="W158" s="27">
        <v>31.2437</v>
      </c>
      <c r="Y158" s="29">
        <v>8.7231400000000008</v>
      </c>
      <c r="AA158" s="41">
        <v>535.39300000000003</v>
      </c>
      <c r="AC158" s="27">
        <v>45.88</v>
      </c>
      <c r="AE158" s="27">
        <v>1</v>
      </c>
      <c r="AG158" s="29">
        <v>7.6337999999999999</v>
      </c>
      <c r="AI158" s="29">
        <v>8.7438900000000004</v>
      </c>
      <c r="AK158" s="27">
        <v>22.6004</v>
      </c>
      <c r="AM158" s="27">
        <v>28.5184</v>
      </c>
      <c r="AO158" s="29"/>
      <c r="AP158" s="28"/>
    </row>
    <row r="159" spans="2:42" hidden="1" outlineLevel="1" x14ac:dyDescent="0.25">
      <c r="B159" s="21">
        <v>42517</v>
      </c>
      <c r="C159" s="27">
        <v>18.464500000000001</v>
      </c>
      <c r="E159" s="30">
        <v>0.89551599999999998</v>
      </c>
      <c r="G159" s="27">
        <v>13.9894</v>
      </c>
      <c r="I159" s="29">
        <v>6.8851199999999997</v>
      </c>
      <c r="K159" s="29">
        <v>3.5941800000000002</v>
      </c>
      <c r="M159" s="41"/>
      <c r="O159" s="26">
        <v>3059.78</v>
      </c>
      <c r="Q159" s="26">
        <v>5633.37</v>
      </c>
      <c r="S159" s="26">
        <v>1567.39</v>
      </c>
      <c r="U159" s="29">
        <v>3.3394300000000001</v>
      </c>
      <c r="W159" s="27">
        <v>31.197099999999999</v>
      </c>
      <c r="Y159" s="29">
        <v>8.6800499999999996</v>
      </c>
      <c r="AA159" s="41">
        <v>535.577</v>
      </c>
      <c r="AC159" s="27">
        <v>45.867699999999999</v>
      </c>
      <c r="AE159" s="27">
        <v>1</v>
      </c>
      <c r="AG159" s="29">
        <v>7.6290199999999997</v>
      </c>
      <c r="AI159" s="29">
        <v>8.7437900000000006</v>
      </c>
      <c r="AK159" s="27">
        <v>22.569400000000002</v>
      </c>
      <c r="AM159" s="27">
        <v>28.265699999999999</v>
      </c>
      <c r="AO159" s="29"/>
      <c r="AP159" s="28"/>
    </row>
    <row r="160" spans="2:42" hidden="1" outlineLevel="1" x14ac:dyDescent="0.25">
      <c r="B160" s="21">
        <v>42518</v>
      </c>
      <c r="C160" s="27">
        <v>18.458100000000002</v>
      </c>
      <c r="E160" s="30">
        <v>0.89979100000000001</v>
      </c>
      <c r="G160" s="27">
        <v>13.91</v>
      </c>
      <c r="I160" s="29">
        <v>6.8886000000000003</v>
      </c>
      <c r="K160" s="29">
        <v>3.6137899999999998</v>
      </c>
      <c r="M160" s="41"/>
      <c r="O160" s="26">
        <v>3069.5</v>
      </c>
      <c r="Q160" s="26">
        <v>5636.3</v>
      </c>
      <c r="S160" s="26">
        <v>1559.69</v>
      </c>
      <c r="U160" s="29">
        <v>3.3494999999999999</v>
      </c>
      <c r="W160" s="27">
        <v>31.2485</v>
      </c>
      <c r="Y160" s="29">
        <v>8.6471499999999999</v>
      </c>
      <c r="AA160" s="41">
        <v>535.89</v>
      </c>
      <c r="AC160" s="27">
        <v>45.875</v>
      </c>
      <c r="AE160" s="27">
        <v>1</v>
      </c>
      <c r="AG160" s="29">
        <v>7.6289999999999996</v>
      </c>
      <c r="AI160" s="29">
        <v>8.7490500000000004</v>
      </c>
      <c r="AK160" s="27">
        <v>22.55</v>
      </c>
      <c r="AM160" s="27">
        <v>28.55</v>
      </c>
      <c r="AO160" s="29"/>
      <c r="AP160" s="28"/>
    </row>
    <row r="161" spans="2:42" hidden="1" outlineLevel="1" x14ac:dyDescent="0.25">
      <c r="B161" s="21">
        <v>42519</v>
      </c>
      <c r="C161" s="27">
        <v>18.458100000000002</v>
      </c>
      <c r="E161" s="30">
        <v>0.89979100000000001</v>
      </c>
      <c r="G161" s="27">
        <v>13.9092</v>
      </c>
      <c r="I161" s="29">
        <v>6.8886000000000003</v>
      </c>
      <c r="K161" s="29">
        <v>3.6134300000000001</v>
      </c>
      <c r="M161" s="41"/>
      <c r="O161" s="26">
        <v>3069.5</v>
      </c>
      <c r="Q161" s="26">
        <v>5636.3</v>
      </c>
      <c r="S161" s="26">
        <v>1559.85</v>
      </c>
      <c r="U161" s="29">
        <v>3.3494999999999999</v>
      </c>
      <c r="W161" s="27">
        <v>31.2485</v>
      </c>
      <c r="Y161" s="29">
        <v>8.6480099999999993</v>
      </c>
      <c r="AA161" s="41">
        <v>535.89</v>
      </c>
      <c r="AC161" s="27">
        <v>45.9</v>
      </c>
      <c r="AE161" s="27">
        <v>1</v>
      </c>
      <c r="AG161" s="29">
        <v>7.6289999999999996</v>
      </c>
      <c r="AI161" s="29">
        <v>8.7490500000000004</v>
      </c>
      <c r="AK161" s="27">
        <v>22.55</v>
      </c>
      <c r="AM161" s="27">
        <v>28.524999999999999</v>
      </c>
      <c r="AO161" s="29"/>
      <c r="AP161" s="28"/>
    </row>
    <row r="162" spans="2:42" hidden="1" outlineLevel="1" x14ac:dyDescent="0.25">
      <c r="B162" s="21">
        <v>42520</v>
      </c>
      <c r="C162" s="27">
        <v>18.4816</v>
      </c>
      <c r="E162" s="30">
        <v>0.89895700000000001</v>
      </c>
      <c r="G162" s="27">
        <v>13.9206</v>
      </c>
      <c r="I162" s="29">
        <v>6.9126300000000001</v>
      </c>
      <c r="K162" s="29">
        <v>3.6033499999999998</v>
      </c>
      <c r="M162" s="41"/>
      <c r="O162" s="26">
        <v>3067.52</v>
      </c>
      <c r="Q162" s="26">
        <v>5672.69</v>
      </c>
      <c r="S162" s="26">
        <v>1574.32</v>
      </c>
      <c r="U162" s="29">
        <v>3.35853</v>
      </c>
      <c r="W162" s="27">
        <v>31.321000000000002</v>
      </c>
      <c r="Y162" s="29">
        <v>8.6923700000000004</v>
      </c>
      <c r="AA162" s="41">
        <v>537.66800000000001</v>
      </c>
      <c r="AC162" s="27">
        <v>46.082900000000002</v>
      </c>
      <c r="AE162" s="27">
        <v>1</v>
      </c>
      <c r="AG162" s="29">
        <v>7.6550200000000004</v>
      </c>
      <c r="AI162" s="29">
        <v>8.7796900000000004</v>
      </c>
      <c r="AK162" s="27">
        <v>22.713000000000001</v>
      </c>
      <c r="AM162" s="27">
        <v>28.624300000000002</v>
      </c>
      <c r="AO162" s="29"/>
      <c r="AP162" s="28"/>
    </row>
    <row r="163" spans="2:42" hidden="1" outlineLevel="1" x14ac:dyDescent="0.25">
      <c r="B163" s="21">
        <v>42521</v>
      </c>
      <c r="C163" s="49">
        <v>18.477699999999999</v>
      </c>
      <c r="E163" s="30">
        <v>0.897509</v>
      </c>
      <c r="G163" s="27">
        <v>13.971299999999999</v>
      </c>
      <c r="I163" s="29">
        <v>6.8898299999999999</v>
      </c>
      <c r="K163" s="29">
        <v>3.58175</v>
      </c>
      <c r="M163" s="41"/>
      <c r="O163" s="26">
        <v>3067.02</v>
      </c>
      <c r="Q163" s="26">
        <v>5677.14</v>
      </c>
      <c r="S163" s="26">
        <v>1585.05</v>
      </c>
      <c r="U163" s="29">
        <v>3.35399</v>
      </c>
      <c r="W163" s="27">
        <v>31.154699999999998</v>
      </c>
      <c r="Y163" s="29">
        <v>8.6983499999999996</v>
      </c>
      <c r="AA163" s="41">
        <v>535.298</v>
      </c>
      <c r="AC163" s="27">
        <v>45.890300000000003</v>
      </c>
      <c r="AE163" s="27">
        <v>1</v>
      </c>
      <c r="AG163" s="29">
        <v>7.6245900000000004</v>
      </c>
      <c r="AI163" s="29">
        <v>8.7439099999999996</v>
      </c>
      <c r="AK163" s="27">
        <v>22.6096</v>
      </c>
      <c r="AM163" s="27">
        <v>28.5288</v>
      </c>
      <c r="AO163" s="29"/>
      <c r="AP163" s="28"/>
    </row>
    <row r="164" spans="2:42" ht="13" collapsed="1" x14ac:dyDescent="0.3">
      <c r="B164" s="25" t="s">
        <v>143</v>
      </c>
      <c r="C164" s="19">
        <v>18.122699999999998</v>
      </c>
      <c r="E164" s="24">
        <v>0.88492499999999996</v>
      </c>
      <c r="G164" s="19">
        <v>14.125400000000001</v>
      </c>
      <c r="I164" s="23">
        <v>6.8980399999999999</v>
      </c>
      <c r="J164" s="9"/>
      <c r="K164" s="23">
        <v>3.5362800000000001</v>
      </c>
      <c r="M164" s="42" t="s">
        <v>78</v>
      </c>
      <c r="O164" s="31">
        <v>2994.95</v>
      </c>
      <c r="Q164" s="31">
        <v>5617.35</v>
      </c>
      <c r="S164" s="31">
        <v>1588.73</v>
      </c>
      <c r="U164" s="23">
        <v>3.3280799999999999</v>
      </c>
      <c r="W164" s="23">
        <v>31.5246</v>
      </c>
      <c r="Y164" s="23">
        <v>8.9168000000000003</v>
      </c>
      <c r="AA164" s="42">
        <v>536.11199999999997</v>
      </c>
      <c r="AC164" s="19">
        <v>45.829900000000002</v>
      </c>
      <c r="AE164" s="19">
        <v>1</v>
      </c>
      <c r="AG164" s="23">
        <v>7.6645500000000002</v>
      </c>
      <c r="AI164" s="23">
        <v>8.7491199999999996</v>
      </c>
      <c r="AK164" s="23">
        <v>22.582429032258059</v>
      </c>
      <c r="AM164" s="23">
        <v>28.542851612903231</v>
      </c>
      <c r="AO164" s="23" t="s">
        <v>78</v>
      </c>
      <c r="AP164" s="10"/>
    </row>
    <row r="165" spans="2:42" hidden="1" outlineLevel="1" x14ac:dyDescent="0.25">
      <c r="B165" s="21">
        <v>42522</v>
      </c>
      <c r="C165" s="27">
        <v>18.490100000000002</v>
      </c>
      <c r="E165" s="30">
        <v>0.89678000000000002</v>
      </c>
      <c r="G165" s="27">
        <v>13.9741</v>
      </c>
      <c r="I165" s="29">
        <v>6.9013799999999996</v>
      </c>
      <c r="K165" s="29">
        <v>3.59206</v>
      </c>
      <c r="M165" s="41"/>
      <c r="O165" s="26">
        <v>3086.45</v>
      </c>
      <c r="Q165" s="26">
        <v>5696.15</v>
      </c>
      <c r="S165" s="26">
        <v>1585.8</v>
      </c>
      <c r="U165" s="29">
        <v>3.37385</v>
      </c>
      <c r="W165" s="27">
        <v>31.138500000000001</v>
      </c>
      <c r="Y165" s="29">
        <v>8.6688700000000001</v>
      </c>
      <c r="AA165" s="41">
        <v>535.97699999999998</v>
      </c>
      <c r="AC165" s="27">
        <v>45.941400000000002</v>
      </c>
      <c r="AE165" s="27">
        <v>1</v>
      </c>
      <c r="AG165" s="29">
        <v>7.6353499999999999</v>
      </c>
      <c r="AI165" s="29">
        <v>8.7574500000000004</v>
      </c>
      <c r="AK165" s="27">
        <v>22.6145</v>
      </c>
      <c r="AM165" s="27">
        <v>28.578399999999998</v>
      </c>
      <c r="AO165" s="29"/>
      <c r="AP165" s="28"/>
    </row>
    <row r="166" spans="2:42" hidden="1" outlineLevel="1" x14ac:dyDescent="0.25">
      <c r="B166" s="21">
        <v>42523</v>
      </c>
      <c r="C166" s="27">
        <v>18.5596</v>
      </c>
      <c r="E166" s="30">
        <v>0.89407000000000003</v>
      </c>
      <c r="G166" s="27">
        <v>13.9519</v>
      </c>
      <c r="I166" s="29">
        <v>6.8828800000000001</v>
      </c>
      <c r="K166" s="29">
        <v>3.5924</v>
      </c>
      <c r="M166" s="41"/>
      <c r="O166" s="26">
        <v>3096.91</v>
      </c>
      <c r="Q166" s="26">
        <v>5682.05</v>
      </c>
      <c r="S166" s="26">
        <v>1581.71</v>
      </c>
      <c r="U166" s="29">
        <v>3.3709600000000002</v>
      </c>
      <c r="W166" s="27">
        <v>30.882000000000001</v>
      </c>
      <c r="Y166" s="29">
        <v>8.5966299999999993</v>
      </c>
      <c r="AA166" s="41">
        <v>536.14499999999998</v>
      </c>
      <c r="AC166" s="27">
        <v>45.857300000000002</v>
      </c>
      <c r="AE166" s="27">
        <v>1</v>
      </c>
      <c r="AG166" s="29">
        <v>7.6192299999999999</v>
      </c>
      <c r="AI166" s="29">
        <v>8.73916</v>
      </c>
      <c r="AK166" s="27">
        <v>22.586600000000001</v>
      </c>
      <c r="AM166" s="27">
        <v>28.507400000000001</v>
      </c>
      <c r="AO166" s="29"/>
      <c r="AP166" s="28"/>
    </row>
    <row r="167" spans="2:42" hidden="1" outlineLevel="1" x14ac:dyDescent="0.25">
      <c r="B167" s="21">
        <v>42524</v>
      </c>
      <c r="C167" s="27">
        <v>18.6569</v>
      </c>
      <c r="E167" s="30">
        <v>0.89165099999999997</v>
      </c>
      <c r="G167" s="27">
        <v>13.8987</v>
      </c>
      <c r="I167" s="29">
        <v>6.90503</v>
      </c>
      <c r="K167" s="29">
        <v>3.5649899999999999</v>
      </c>
      <c r="M167" s="41"/>
      <c r="O167" s="26">
        <v>3090.18</v>
      </c>
      <c r="Q167" s="26">
        <v>5697.36</v>
      </c>
      <c r="S167" s="26">
        <v>1598.18</v>
      </c>
      <c r="U167" s="29">
        <v>3.3745799999999999</v>
      </c>
      <c r="W167" s="27">
        <v>30.968599999999999</v>
      </c>
      <c r="Y167" s="29">
        <v>8.68703</v>
      </c>
      <c r="AA167" s="41">
        <v>537.19500000000005</v>
      </c>
      <c r="AC167" s="27">
        <v>46.034300000000002</v>
      </c>
      <c r="AE167" s="27">
        <v>1</v>
      </c>
      <c r="AG167" s="29">
        <v>7.6435599999999999</v>
      </c>
      <c r="AI167" s="29">
        <v>8.7689299999999992</v>
      </c>
      <c r="AK167" s="27">
        <v>22.697399999999998</v>
      </c>
      <c r="AM167" s="27">
        <v>28.6159</v>
      </c>
      <c r="AO167" s="29"/>
      <c r="AP167" s="28"/>
    </row>
    <row r="168" spans="2:42" hidden="1" outlineLevel="1" x14ac:dyDescent="0.25">
      <c r="B168" s="21">
        <v>42525</v>
      </c>
      <c r="C168" s="27">
        <v>18.592199999999998</v>
      </c>
      <c r="E168" s="30">
        <v>0.87975899999999996</v>
      </c>
      <c r="G168" s="27">
        <v>13.909000000000001</v>
      </c>
      <c r="I168" s="29">
        <v>6.8849999999999998</v>
      </c>
      <c r="K168" s="29">
        <v>3.5291399999999999</v>
      </c>
      <c r="M168" s="41"/>
      <c r="O168" s="26">
        <v>3020</v>
      </c>
      <c r="Q168" s="26">
        <v>5697.36</v>
      </c>
      <c r="S168" s="26">
        <v>1614.42</v>
      </c>
      <c r="U168" s="29">
        <v>3.3380000000000001</v>
      </c>
      <c r="W168" s="27">
        <v>30.968599999999999</v>
      </c>
      <c r="Y168" s="29">
        <v>8.77529</v>
      </c>
      <c r="AA168" s="41">
        <v>540.01</v>
      </c>
      <c r="AC168" s="27">
        <v>45.92</v>
      </c>
      <c r="AE168" s="27">
        <v>1</v>
      </c>
      <c r="AG168" s="29">
        <v>7.6435599999999999</v>
      </c>
      <c r="AI168" s="29">
        <v>8.7271999999999998</v>
      </c>
      <c r="AK168" s="27">
        <v>22.697399999999998</v>
      </c>
      <c r="AM168" s="27">
        <v>28.574999999999999</v>
      </c>
      <c r="AO168" s="29"/>
      <c r="AP168" s="28"/>
    </row>
    <row r="169" spans="2:42" hidden="1" outlineLevel="1" x14ac:dyDescent="0.25">
      <c r="B169" s="21">
        <v>42526</v>
      </c>
      <c r="C169" s="27">
        <v>18.592199999999998</v>
      </c>
      <c r="E169" s="30">
        <v>0.87975899999999996</v>
      </c>
      <c r="G169" s="27">
        <v>13.911</v>
      </c>
      <c r="I169" s="29">
        <v>6.8886000000000003</v>
      </c>
      <c r="K169" s="29">
        <v>3.5291000000000001</v>
      </c>
      <c r="M169" s="41"/>
      <c r="O169" s="26">
        <v>3012.5</v>
      </c>
      <c r="Q169" s="26">
        <v>5683.8</v>
      </c>
      <c r="S169" s="26">
        <v>1610.59</v>
      </c>
      <c r="U169" s="29">
        <v>3.3555000000000001</v>
      </c>
      <c r="W169" s="27">
        <v>31.038499999999999</v>
      </c>
      <c r="Y169" s="29">
        <v>8.7951999999999995</v>
      </c>
      <c r="AA169" s="41">
        <v>537.19500000000005</v>
      </c>
      <c r="AC169" s="27">
        <v>45.93</v>
      </c>
      <c r="AE169" s="27">
        <v>1</v>
      </c>
      <c r="AG169" s="29">
        <v>7.6258999999999997</v>
      </c>
      <c r="AI169" s="29">
        <v>8.7479999999999993</v>
      </c>
      <c r="AK169" s="27">
        <v>22.6</v>
      </c>
      <c r="AM169" s="27">
        <v>28.6</v>
      </c>
      <c r="AO169" s="29"/>
      <c r="AP169" s="28"/>
    </row>
    <row r="170" spans="2:42" hidden="1" outlineLevel="1" x14ac:dyDescent="0.25">
      <c r="B170" s="21">
        <v>42527</v>
      </c>
      <c r="C170" s="27">
        <v>18.617000000000001</v>
      </c>
      <c r="E170" s="30">
        <v>0.88080899999999995</v>
      </c>
      <c r="G170" s="27">
        <v>13.8733</v>
      </c>
      <c r="I170" s="29">
        <v>6.8216000000000001</v>
      </c>
      <c r="K170" s="29">
        <v>3.5163099999999998</v>
      </c>
      <c r="M170" s="41"/>
      <c r="O170" s="26">
        <v>3024.22</v>
      </c>
      <c r="Q170" s="26">
        <v>5628.77</v>
      </c>
      <c r="S170" s="26">
        <v>1600.8</v>
      </c>
      <c r="U170" s="29">
        <v>3.3151700000000002</v>
      </c>
      <c r="W170" s="27">
        <v>30.846399999999999</v>
      </c>
      <c r="Y170" s="29">
        <v>8.7725399999999993</v>
      </c>
      <c r="AA170" s="41">
        <v>533.26800000000003</v>
      </c>
      <c r="AC170" s="27">
        <v>45.489800000000002</v>
      </c>
      <c r="AE170" s="27">
        <v>1</v>
      </c>
      <c r="AG170" s="29">
        <v>7.5557299999999996</v>
      </c>
      <c r="AI170" s="29">
        <v>8.6629500000000004</v>
      </c>
      <c r="AK170" s="27">
        <v>22.403500000000001</v>
      </c>
      <c r="AM170" s="27">
        <v>28.2545</v>
      </c>
      <c r="AO170" s="29"/>
      <c r="AP170" s="28"/>
    </row>
    <row r="171" spans="2:42" hidden="1" outlineLevel="1" x14ac:dyDescent="0.25">
      <c r="B171" s="21">
        <v>42528</v>
      </c>
      <c r="C171" s="27">
        <v>18.587599999999998</v>
      </c>
      <c r="E171" s="30">
        <v>0.880436</v>
      </c>
      <c r="G171" s="27">
        <v>13.787800000000001</v>
      </c>
      <c r="I171" s="29">
        <v>6.8800699999999999</v>
      </c>
      <c r="K171" s="29">
        <v>3.4793799999999999</v>
      </c>
      <c r="M171" s="41"/>
      <c r="O171" s="26">
        <v>3003.49</v>
      </c>
      <c r="Q171" s="26">
        <v>5663.99</v>
      </c>
      <c r="S171" s="26">
        <v>1627.91</v>
      </c>
      <c r="U171" s="29">
        <v>3.32111</v>
      </c>
      <c r="W171" s="27">
        <v>31.118600000000001</v>
      </c>
      <c r="Y171" s="29">
        <v>8.9438899999999997</v>
      </c>
      <c r="AA171" s="41">
        <v>538.86</v>
      </c>
      <c r="AC171" s="27">
        <v>45.862900000000003</v>
      </c>
      <c r="AE171" s="27">
        <v>1</v>
      </c>
      <c r="AG171" s="29">
        <v>7.6284799999999997</v>
      </c>
      <c r="AI171" s="29">
        <v>8.7366799999999998</v>
      </c>
      <c r="AK171" s="27">
        <v>22.593699999999998</v>
      </c>
      <c r="AM171" s="27">
        <v>28.493500000000001</v>
      </c>
      <c r="AO171" s="29"/>
      <c r="AP171" s="28"/>
    </row>
    <row r="172" spans="2:42" hidden="1" outlineLevel="1" x14ac:dyDescent="0.25">
      <c r="B172" s="21">
        <v>42529</v>
      </c>
      <c r="C172" s="27">
        <v>18.268899999999999</v>
      </c>
      <c r="E172" s="30">
        <v>0.87887700000000002</v>
      </c>
      <c r="G172" s="27">
        <v>13.835900000000001</v>
      </c>
      <c r="I172" s="29">
        <v>6.88917</v>
      </c>
      <c r="K172" s="29">
        <v>3.4188999999999998</v>
      </c>
      <c r="M172" s="41"/>
      <c r="O172" s="26">
        <v>2970.26</v>
      </c>
      <c r="Q172" s="26">
        <v>5658.14</v>
      </c>
      <c r="S172" s="26">
        <v>1654.99</v>
      </c>
      <c r="U172" s="29">
        <v>3.3096299999999998</v>
      </c>
      <c r="W172" s="27">
        <v>30.843900000000001</v>
      </c>
      <c r="Y172" s="29">
        <v>9.0217700000000001</v>
      </c>
      <c r="AA172" s="41">
        <v>539.548</v>
      </c>
      <c r="AC172" s="27">
        <v>45.933900000000001</v>
      </c>
      <c r="AE172" s="27">
        <v>1</v>
      </c>
      <c r="AG172" s="29">
        <v>7.6446800000000001</v>
      </c>
      <c r="AI172" s="29">
        <v>8.7487200000000005</v>
      </c>
      <c r="AK172" s="27">
        <v>22.616599999999998</v>
      </c>
      <c r="AM172" s="27">
        <v>28.563099999999999</v>
      </c>
      <c r="AO172" s="29"/>
      <c r="AP172" s="28"/>
    </row>
    <row r="173" spans="2:42" hidden="1" outlineLevel="1" x14ac:dyDescent="0.25">
      <c r="B173" s="21">
        <v>42530</v>
      </c>
      <c r="C173" s="27">
        <v>18.186499999999999</v>
      </c>
      <c r="E173" s="30">
        <v>0.87991399999999997</v>
      </c>
      <c r="G173" s="27">
        <v>13.8756</v>
      </c>
      <c r="I173" s="29">
        <v>6.8803599999999996</v>
      </c>
      <c r="K173" s="29">
        <v>3.3709600000000002</v>
      </c>
      <c r="M173" s="41"/>
      <c r="O173" s="26">
        <v>2933.95</v>
      </c>
      <c r="Q173" s="26">
        <v>5648.49</v>
      </c>
      <c r="S173" s="26">
        <v>1675.67</v>
      </c>
      <c r="U173" s="29">
        <v>3.3582700000000001</v>
      </c>
      <c r="W173" s="27">
        <v>30.615400000000001</v>
      </c>
      <c r="Y173" s="29">
        <v>9.0822800000000008</v>
      </c>
      <c r="AA173" s="41">
        <v>540.65</v>
      </c>
      <c r="AC173" s="27">
        <v>45.7331</v>
      </c>
      <c r="AE173" s="27">
        <v>1</v>
      </c>
      <c r="AG173" s="29">
        <v>7.6371099999999998</v>
      </c>
      <c r="AI173" s="29">
        <v>8.7376900000000006</v>
      </c>
      <c r="AK173" s="27">
        <v>22.5657</v>
      </c>
      <c r="AM173" s="27">
        <v>28.528099999999998</v>
      </c>
      <c r="AO173" s="29"/>
      <c r="AP173" s="28"/>
    </row>
    <row r="174" spans="2:42" hidden="1" outlineLevel="1" x14ac:dyDescent="0.25">
      <c r="B174" s="21">
        <v>42531</v>
      </c>
      <c r="C174" s="27">
        <v>18.3903</v>
      </c>
      <c r="E174" s="30">
        <v>0.88543000000000005</v>
      </c>
      <c r="G174" s="27">
        <v>13.8171</v>
      </c>
      <c r="I174" s="29">
        <v>6.8990200000000002</v>
      </c>
      <c r="K174" s="29">
        <v>3.41039</v>
      </c>
      <c r="M174" s="41"/>
      <c r="O174" s="26">
        <v>2940.76</v>
      </c>
      <c r="Q174" s="26">
        <v>5664.27</v>
      </c>
      <c r="S174" s="26">
        <v>1660.92</v>
      </c>
      <c r="U174" s="29">
        <v>3.3099400000000001</v>
      </c>
      <c r="W174" s="27">
        <v>30.693200000000001</v>
      </c>
      <c r="Y174" s="29">
        <v>9.0001200000000008</v>
      </c>
      <c r="AA174" s="41">
        <v>543.54999999999995</v>
      </c>
      <c r="AC174" s="27">
        <v>45.999200000000002</v>
      </c>
      <c r="AE174" s="27">
        <v>1</v>
      </c>
      <c r="AG174" s="29">
        <v>7.66568</v>
      </c>
      <c r="AI174" s="29">
        <v>8.7607900000000001</v>
      </c>
      <c r="AK174" s="27">
        <v>22.610900000000001</v>
      </c>
      <c r="AM174" s="27">
        <v>28.608799999999999</v>
      </c>
      <c r="AO174" s="29"/>
      <c r="AP174" s="28"/>
    </row>
    <row r="175" spans="2:42" hidden="1" outlineLevel="1" x14ac:dyDescent="0.25">
      <c r="B175" s="21">
        <v>42532</v>
      </c>
      <c r="C175" s="27">
        <v>18.633400000000002</v>
      </c>
      <c r="E175" s="30">
        <v>0.88877799999999996</v>
      </c>
      <c r="G175" s="27">
        <v>13.804</v>
      </c>
      <c r="I175" s="29">
        <v>6.8856999999999999</v>
      </c>
      <c r="K175" s="29">
        <v>3.4199899999999999</v>
      </c>
      <c r="M175" s="41"/>
      <c r="O175" s="26">
        <v>2970</v>
      </c>
      <c r="Q175" s="26">
        <v>5658.9</v>
      </c>
      <c r="S175" s="26">
        <v>1654.68</v>
      </c>
      <c r="U175" s="29">
        <v>3.3180000000000001</v>
      </c>
      <c r="W175" s="27">
        <v>30.596</v>
      </c>
      <c r="Y175" s="29">
        <v>8.9463500000000007</v>
      </c>
      <c r="AA175" s="41">
        <v>542.30499999999995</v>
      </c>
      <c r="AC175" s="27">
        <v>45.875</v>
      </c>
      <c r="AE175" s="27">
        <v>1</v>
      </c>
      <c r="AG175" s="29">
        <v>7.6592000000000002</v>
      </c>
      <c r="AI175" s="29">
        <v>8.7439</v>
      </c>
      <c r="AK175" s="27">
        <v>22.6</v>
      </c>
      <c r="AM175" s="27">
        <v>28.65</v>
      </c>
      <c r="AO175" s="29"/>
      <c r="AP175" s="28"/>
    </row>
    <row r="176" spans="2:42" hidden="1" outlineLevel="1" x14ac:dyDescent="0.25">
      <c r="B176" s="21">
        <v>42533</v>
      </c>
      <c r="C176" s="27">
        <v>18.633400000000002</v>
      </c>
      <c r="E176" s="30">
        <v>0.88877799999999996</v>
      </c>
      <c r="G176" s="27">
        <v>13.803800000000001</v>
      </c>
      <c r="I176" s="29">
        <v>6.8856999999999999</v>
      </c>
      <c r="K176" s="29">
        <v>3.41995</v>
      </c>
      <c r="M176" s="41"/>
      <c r="O176" s="26">
        <v>2970</v>
      </c>
      <c r="Q176" s="26">
        <v>5658.9</v>
      </c>
      <c r="S176" s="26">
        <v>1654.7</v>
      </c>
      <c r="U176" s="29">
        <v>3.3180000000000001</v>
      </c>
      <c r="W176" s="27">
        <v>30.596</v>
      </c>
      <c r="Y176" s="29">
        <v>8.9464600000000001</v>
      </c>
      <c r="AA176" s="41">
        <v>542.30499999999995</v>
      </c>
      <c r="AC176" s="27">
        <v>45.875</v>
      </c>
      <c r="AE176" s="27">
        <v>1</v>
      </c>
      <c r="AG176" s="29">
        <v>7.6592000000000002</v>
      </c>
      <c r="AI176" s="29">
        <v>8.7439</v>
      </c>
      <c r="AK176" s="27">
        <v>22.6</v>
      </c>
      <c r="AM176" s="27">
        <v>28.65</v>
      </c>
      <c r="AO176" s="29"/>
      <c r="AP176" s="28"/>
    </row>
    <row r="177" spans="2:42" hidden="1" outlineLevel="1" x14ac:dyDescent="0.25">
      <c r="B177" s="21">
        <v>42534</v>
      </c>
      <c r="C177" s="27">
        <v>18.722100000000001</v>
      </c>
      <c r="E177" s="30">
        <v>0.88767399999999996</v>
      </c>
      <c r="G177" s="27">
        <v>13.805</v>
      </c>
      <c r="I177" s="29">
        <v>6.9037899999999999</v>
      </c>
      <c r="K177" s="29">
        <v>3.4384600000000001</v>
      </c>
      <c r="M177" s="41"/>
      <c r="O177" s="26">
        <v>2964.97</v>
      </c>
      <c r="Q177" s="26">
        <v>5673.48</v>
      </c>
      <c r="S177" s="26">
        <v>1650.05</v>
      </c>
      <c r="U177" s="29">
        <v>3.3263199999999999</v>
      </c>
      <c r="W177" s="27">
        <v>30.727</v>
      </c>
      <c r="Y177" s="29">
        <v>8.9364299999999997</v>
      </c>
      <c r="AA177" s="41">
        <v>543.66700000000003</v>
      </c>
      <c r="AC177" s="27">
        <v>46.053400000000003</v>
      </c>
      <c r="AE177" s="27">
        <v>1</v>
      </c>
      <c r="AG177" s="29">
        <v>7.6804899999999998</v>
      </c>
      <c r="AI177" s="29">
        <v>8.7670100000000009</v>
      </c>
      <c r="AK177" s="27">
        <v>22.6266</v>
      </c>
      <c r="AM177" s="27">
        <v>28.634699999999999</v>
      </c>
      <c r="AO177" s="29"/>
      <c r="AP177" s="28"/>
    </row>
    <row r="178" spans="2:42" hidden="1" outlineLevel="1" x14ac:dyDescent="0.25">
      <c r="B178" s="21">
        <v>42535</v>
      </c>
      <c r="C178" s="27">
        <v>18.924600000000002</v>
      </c>
      <c r="E178" s="30">
        <v>0.888988</v>
      </c>
      <c r="G178" s="27">
        <v>13.786899999999999</v>
      </c>
      <c r="I178" s="29">
        <v>6.8827400000000001</v>
      </c>
      <c r="K178" s="29">
        <v>3.4815499999999999</v>
      </c>
      <c r="M178" s="41"/>
      <c r="O178" s="26">
        <v>2982.74</v>
      </c>
      <c r="Q178" s="26">
        <v>5660.33</v>
      </c>
      <c r="S178" s="26">
        <v>1625.85</v>
      </c>
      <c r="U178" s="29">
        <v>3.32796</v>
      </c>
      <c r="W178" s="27">
        <v>30.741099999999999</v>
      </c>
      <c r="Y178" s="29">
        <v>8.8299000000000003</v>
      </c>
      <c r="AA178" s="41">
        <v>541.92700000000002</v>
      </c>
      <c r="AC178" s="27">
        <v>45.923699999999997</v>
      </c>
      <c r="AE178" s="27">
        <v>1</v>
      </c>
      <c r="AG178" s="29">
        <v>7.6602399999999999</v>
      </c>
      <c r="AI178" s="29">
        <v>8.7396899999999995</v>
      </c>
      <c r="AK178" s="27">
        <v>22.615500000000001</v>
      </c>
      <c r="AM178" s="27">
        <v>28.610700000000001</v>
      </c>
      <c r="AO178" s="29"/>
      <c r="AP178" s="28"/>
    </row>
    <row r="179" spans="2:42" hidden="1" outlineLevel="1" x14ac:dyDescent="0.25">
      <c r="B179" s="21">
        <v>42536</v>
      </c>
      <c r="C179" s="27">
        <v>18.8919</v>
      </c>
      <c r="E179" s="30">
        <v>0.89089600000000002</v>
      </c>
      <c r="G179" s="27">
        <v>13.741</v>
      </c>
      <c r="I179" s="29">
        <v>6.89276</v>
      </c>
      <c r="K179" s="29">
        <v>3.4759000000000002</v>
      </c>
      <c r="M179" s="41"/>
      <c r="O179" s="26">
        <v>2998.43</v>
      </c>
      <c r="Q179" s="26">
        <v>5669.82</v>
      </c>
      <c r="S179" s="26">
        <v>1631.21</v>
      </c>
      <c r="U179" s="29">
        <v>3.3262200000000002</v>
      </c>
      <c r="W179" s="27">
        <v>30.9373</v>
      </c>
      <c r="Y179" s="29">
        <v>8.9007000000000005</v>
      </c>
      <c r="AA179" s="41">
        <v>542.68299999999999</v>
      </c>
      <c r="AC179" s="27">
        <v>45.945999999999998</v>
      </c>
      <c r="AE179" s="27">
        <v>1</v>
      </c>
      <c r="AG179" s="29">
        <v>7.6713100000000001</v>
      </c>
      <c r="AI179" s="29">
        <v>8.7523999999999997</v>
      </c>
      <c r="AK179" s="27">
        <v>22.579799999999999</v>
      </c>
      <c r="AM179" s="27">
        <v>28.569400000000002</v>
      </c>
      <c r="AO179" s="29"/>
      <c r="AP179" s="28"/>
    </row>
    <row r="180" spans="2:42" hidden="1" outlineLevel="1" x14ac:dyDescent="0.25">
      <c r="B180" s="21">
        <v>42537</v>
      </c>
      <c r="C180" s="27">
        <v>18.9437</v>
      </c>
      <c r="E180" s="30">
        <v>0.89010400000000001</v>
      </c>
      <c r="G180" s="27">
        <v>13.7713</v>
      </c>
      <c r="I180" s="29">
        <v>6.8839800000000002</v>
      </c>
      <c r="K180" s="29">
        <v>3.47675</v>
      </c>
      <c r="M180" s="41"/>
      <c r="O180" s="26">
        <v>3001.2</v>
      </c>
      <c r="Q180" s="26">
        <v>5633.98</v>
      </c>
      <c r="S180" s="26">
        <v>1620.51</v>
      </c>
      <c r="U180" s="29">
        <v>3.3227699999999998</v>
      </c>
      <c r="W180" s="27">
        <v>30.878699999999998</v>
      </c>
      <c r="Y180" s="29">
        <v>8.8816199999999998</v>
      </c>
      <c r="AA180" s="41">
        <v>542.24699999999996</v>
      </c>
      <c r="AC180" s="27">
        <v>45.850499999999997</v>
      </c>
      <c r="AE180" s="27">
        <v>1</v>
      </c>
      <c r="AG180" s="29">
        <v>7.6545800000000002</v>
      </c>
      <c r="AI180" s="29">
        <v>8.7418200000000006</v>
      </c>
      <c r="AK180" s="27">
        <v>22.531300000000002</v>
      </c>
      <c r="AM180" s="27">
        <v>28.4833</v>
      </c>
      <c r="AO180" s="29"/>
      <c r="AP180" s="28"/>
    </row>
    <row r="181" spans="2:42" hidden="1" outlineLevel="1" x14ac:dyDescent="0.25">
      <c r="B181" s="21">
        <v>42538</v>
      </c>
      <c r="C181" s="27">
        <v>18.880700000000001</v>
      </c>
      <c r="E181" s="30">
        <v>0.888289</v>
      </c>
      <c r="G181" s="27">
        <v>13.903499999999999</v>
      </c>
      <c r="I181" s="29">
        <v>6.8761000000000001</v>
      </c>
      <c r="K181" s="29">
        <v>3.4526500000000002</v>
      </c>
      <c r="M181" s="41"/>
      <c r="O181" s="26">
        <v>2990.32</v>
      </c>
      <c r="Q181" s="26">
        <v>5622.18</v>
      </c>
      <c r="S181" s="26">
        <v>1628.4</v>
      </c>
      <c r="U181" s="29">
        <v>3.3074400000000002</v>
      </c>
      <c r="W181" s="27">
        <v>30.613900000000001</v>
      </c>
      <c r="Y181" s="29">
        <v>8.8669600000000006</v>
      </c>
      <c r="AA181" s="41">
        <v>541.875</v>
      </c>
      <c r="AC181" s="27">
        <v>45.839599999999997</v>
      </c>
      <c r="AE181" s="27">
        <v>1</v>
      </c>
      <c r="AG181" s="29">
        <v>7.6360599999999996</v>
      </c>
      <c r="AI181" s="29">
        <v>8.7309999999999999</v>
      </c>
      <c r="AK181" s="27">
        <v>22.659500000000001</v>
      </c>
      <c r="AM181" s="27">
        <v>28.485099999999999</v>
      </c>
      <c r="AO181" s="29"/>
      <c r="AP181" s="28"/>
    </row>
    <row r="182" spans="2:42" hidden="1" outlineLevel="1" x14ac:dyDescent="0.25">
      <c r="B182" s="21">
        <v>42539</v>
      </c>
      <c r="C182" s="27">
        <v>18.8401</v>
      </c>
      <c r="E182" s="30">
        <v>0.88681200000000004</v>
      </c>
      <c r="G182" s="27">
        <v>13.8893</v>
      </c>
      <c r="I182" s="29">
        <v>6.8816499999999996</v>
      </c>
      <c r="K182" s="29">
        <v>3.4161700000000002</v>
      </c>
      <c r="M182" s="41"/>
      <c r="O182" s="26">
        <v>3012.35</v>
      </c>
      <c r="Q182" s="26">
        <v>5653.1</v>
      </c>
      <c r="S182" s="26">
        <v>1654.85</v>
      </c>
      <c r="U182" s="29">
        <v>3.32945</v>
      </c>
      <c r="W182" s="27">
        <v>30.557500000000001</v>
      </c>
      <c r="Y182" s="29">
        <v>8.9451800000000006</v>
      </c>
      <c r="AA182" s="41">
        <v>542.03</v>
      </c>
      <c r="AC182" s="27">
        <v>45.884500000000003</v>
      </c>
      <c r="AE182" s="27">
        <v>1</v>
      </c>
      <c r="AG182" s="29">
        <v>7.6327999999999996</v>
      </c>
      <c r="AI182" s="29">
        <v>8.7384500000000003</v>
      </c>
      <c r="AK182" s="27">
        <v>22.7425</v>
      </c>
      <c r="AM182" s="27">
        <v>28.598600000000001</v>
      </c>
      <c r="AO182" s="29"/>
      <c r="AP182" s="28"/>
    </row>
    <row r="183" spans="2:42" hidden="1" outlineLevel="1" x14ac:dyDescent="0.25">
      <c r="B183" s="21">
        <v>42540</v>
      </c>
      <c r="C183" s="27">
        <v>18.8401</v>
      </c>
      <c r="E183" s="30">
        <v>0.88681200000000004</v>
      </c>
      <c r="G183" s="27">
        <v>13.884</v>
      </c>
      <c r="I183" s="29">
        <v>6.8816499999999996</v>
      </c>
      <c r="K183" s="29">
        <v>3.4168500000000002</v>
      </c>
      <c r="M183" s="41"/>
      <c r="O183" s="26">
        <v>3012.35</v>
      </c>
      <c r="Q183" s="26">
        <v>5653.1</v>
      </c>
      <c r="S183" s="26">
        <v>1654.53</v>
      </c>
      <c r="U183" s="29">
        <v>3.32945</v>
      </c>
      <c r="W183" s="27">
        <v>30.557500000000001</v>
      </c>
      <c r="Y183" s="29">
        <v>8.9434100000000001</v>
      </c>
      <c r="AA183" s="41">
        <v>542.22500000000002</v>
      </c>
      <c r="AC183" s="27">
        <v>45.884500000000003</v>
      </c>
      <c r="AE183" s="27">
        <v>1</v>
      </c>
      <c r="AG183" s="29">
        <v>7.63551</v>
      </c>
      <c r="AI183" s="29">
        <v>8.7384500000000003</v>
      </c>
      <c r="AK183" s="27">
        <v>22.7425</v>
      </c>
      <c r="AM183" s="27">
        <v>28.535699999999999</v>
      </c>
      <c r="AO183" s="29"/>
      <c r="AP183" s="28"/>
    </row>
    <row r="184" spans="2:42" hidden="1" outlineLevel="1" x14ac:dyDescent="0.25">
      <c r="B184" s="21">
        <v>42541</v>
      </c>
      <c r="C184" s="27">
        <v>18.684799999999999</v>
      </c>
      <c r="E184" s="30">
        <v>0.88208299999999995</v>
      </c>
      <c r="G184" s="27">
        <v>13.861800000000001</v>
      </c>
      <c r="I184" s="29">
        <v>6.8640699999999999</v>
      </c>
      <c r="K184" s="29">
        <v>3.4061599999999999</v>
      </c>
      <c r="M184" s="41"/>
      <c r="O184" s="26">
        <v>2998.05</v>
      </c>
      <c r="Q184" s="26">
        <v>5638.96</v>
      </c>
      <c r="S184" s="26">
        <v>1655.56</v>
      </c>
      <c r="U184" s="29">
        <v>3.3054999999999999</v>
      </c>
      <c r="W184" s="27">
        <v>30.540700000000001</v>
      </c>
      <c r="Y184" s="29">
        <v>8.9665099999999995</v>
      </c>
      <c r="AA184" s="41">
        <v>540.00400000000002</v>
      </c>
      <c r="AC184" s="27">
        <v>45.763500000000001</v>
      </c>
      <c r="AE184" s="27">
        <v>1</v>
      </c>
      <c r="AG184" s="29">
        <v>7.6139999999999999</v>
      </c>
      <c r="AI184" s="29">
        <v>8.7159800000000001</v>
      </c>
      <c r="AK184" s="27">
        <v>22.6386</v>
      </c>
      <c r="AM184" s="27">
        <v>28.421600000000002</v>
      </c>
      <c r="AO184" s="29"/>
      <c r="AP184" s="28"/>
    </row>
    <row r="185" spans="2:42" hidden="1" outlineLevel="1" x14ac:dyDescent="0.25">
      <c r="B185" s="21">
        <v>42542</v>
      </c>
      <c r="C185" s="27">
        <v>18.621500000000001</v>
      </c>
      <c r="E185" s="30">
        <v>0.88445499999999999</v>
      </c>
      <c r="G185" s="27">
        <v>13.8994</v>
      </c>
      <c r="I185" s="29">
        <v>6.8945699999999999</v>
      </c>
      <c r="K185" s="29">
        <v>3.3943599999999998</v>
      </c>
      <c r="M185" s="41"/>
      <c r="O185" s="26">
        <v>2996.04</v>
      </c>
      <c r="Q185" s="26">
        <v>5655.38</v>
      </c>
      <c r="S185" s="26">
        <v>1666.14</v>
      </c>
      <c r="U185" s="29">
        <v>3.3039000000000001</v>
      </c>
      <c r="W185" s="27">
        <v>30.736899999999999</v>
      </c>
      <c r="Y185" s="29">
        <v>9.0554400000000008</v>
      </c>
      <c r="AA185" s="41">
        <v>541.346</v>
      </c>
      <c r="AC185" s="27">
        <v>45.953099999999999</v>
      </c>
      <c r="AE185" s="27">
        <v>1</v>
      </c>
      <c r="AG185" s="29">
        <v>7.6425200000000002</v>
      </c>
      <c r="AI185" s="29">
        <v>8.7557100000000005</v>
      </c>
      <c r="AK185" s="27">
        <v>22.738600000000002</v>
      </c>
      <c r="AM185" s="27">
        <v>28.536300000000001</v>
      </c>
      <c r="AO185" s="29"/>
      <c r="AP185" s="28"/>
    </row>
    <row r="186" spans="2:42" hidden="1" outlineLevel="1" x14ac:dyDescent="0.25">
      <c r="B186" s="21">
        <v>42543</v>
      </c>
      <c r="C186" s="27">
        <v>18.604900000000001</v>
      </c>
      <c r="E186" s="30">
        <v>0.88671699999999998</v>
      </c>
      <c r="G186" s="27">
        <v>13.9543</v>
      </c>
      <c r="I186" s="29">
        <v>6.9371900000000002</v>
      </c>
      <c r="K186" s="29">
        <v>3.41533</v>
      </c>
      <c r="M186" s="41"/>
      <c r="O186" s="26">
        <v>2994.62</v>
      </c>
      <c r="Q186" s="26">
        <v>5678.52</v>
      </c>
      <c r="S186" s="26">
        <v>1662.69</v>
      </c>
      <c r="U186" s="29">
        <v>3.3111700000000002</v>
      </c>
      <c r="W186" s="27">
        <v>30.913699999999999</v>
      </c>
      <c r="Y186" s="29">
        <v>9.0516500000000004</v>
      </c>
      <c r="AA186" s="41">
        <v>544.66800000000001</v>
      </c>
      <c r="AC186" s="27">
        <v>46.2515</v>
      </c>
      <c r="AE186" s="27">
        <v>1</v>
      </c>
      <c r="AG186" s="29">
        <v>7.6878500000000001</v>
      </c>
      <c r="AI186" s="29">
        <v>8.8095099999999995</v>
      </c>
      <c r="AK186" s="27">
        <v>22.883400000000002</v>
      </c>
      <c r="AM186" s="27">
        <v>28.724499999999999</v>
      </c>
      <c r="AO186" s="29"/>
      <c r="AP186" s="28"/>
    </row>
    <row r="187" spans="2:42" hidden="1" outlineLevel="1" x14ac:dyDescent="0.25">
      <c r="B187" s="21">
        <v>42544</v>
      </c>
      <c r="C187" s="27">
        <v>18.338999999999999</v>
      </c>
      <c r="E187" s="30">
        <v>0.88074699999999995</v>
      </c>
      <c r="G187" s="27">
        <v>14.384</v>
      </c>
      <c r="I187" s="29">
        <v>6.8849999999999998</v>
      </c>
      <c r="K187" s="29">
        <v>3.3391999999999999</v>
      </c>
      <c r="M187" s="41"/>
      <c r="O187" s="26">
        <v>2909</v>
      </c>
      <c r="Q187" s="26">
        <v>5665</v>
      </c>
      <c r="S187" s="26">
        <v>1696.52</v>
      </c>
      <c r="U187" s="29">
        <v>3.2873000000000001</v>
      </c>
      <c r="W187" s="27">
        <v>30.71</v>
      </c>
      <c r="Y187" s="29">
        <v>9.1968300000000003</v>
      </c>
      <c r="AA187" s="41">
        <v>547.63</v>
      </c>
      <c r="AC187" s="27">
        <v>45.92</v>
      </c>
      <c r="AE187" s="27">
        <v>1</v>
      </c>
      <c r="AG187" s="29">
        <v>7.6360000000000001</v>
      </c>
      <c r="AI187" s="29">
        <v>8.7270000000000003</v>
      </c>
      <c r="AK187" s="27">
        <v>22.68</v>
      </c>
      <c r="AM187" s="27">
        <v>28.5</v>
      </c>
      <c r="AO187" s="29"/>
      <c r="AP187" s="28"/>
    </row>
    <row r="188" spans="2:42" hidden="1" outlineLevel="1" x14ac:dyDescent="0.25">
      <c r="B188" s="21">
        <v>42545</v>
      </c>
      <c r="C188" s="27">
        <v>18.859100000000002</v>
      </c>
      <c r="E188" s="30">
        <v>0.89757299999999995</v>
      </c>
      <c r="G188" s="27">
        <v>14.5953</v>
      </c>
      <c r="I188" s="29">
        <v>6.9023700000000003</v>
      </c>
      <c r="K188" s="29">
        <v>3.36171</v>
      </c>
      <c r="M188" s="41"/>
      <c r="O188" s="26">
        <v>2921.24</v>
      </c>
      <c r="Q188" s="26">
        <v>5668.73</v>
      </c>
      <c r="S188" s="26">
        <v>1686.31</v>
      </c>
      <c r="U188" s="29">
        <v>3.2941600000000002</v>
      </c>
      <c r="W188" s="27">
        <v>30.677</v>
      </c>
      <c r="Y188" s="29">
        <v>9.1255799999999994</v>
      </c>
      <c r="AA188" s="41">
        <v>545.98199999999997</v>
      </c>
      <c r="AC188" s="27">
        <v>46.051699999999997</v>
      </c>
      <c r="AE188" s="27">
        <v>1</v>
      </c>
      <c r="AG188" s="29">
        <v>7.6473599999999999</v>
      </c>
      <c r="AI188" s="29">
        <v>8.7663200000000003</v>
      </c>
      <c r="AK188" s="27">
        <v>22.730699999999999</v>
      </c>
      <c r="AM188" s="27">
        <v>28.589200000000002</v>
      </c>
      <c r="AO188" s="29"/>
      <c r="AP188" s="28"/>
    </row>
    <row r="189" spans="2:42" hidden="1" outlineLevel="1" x14ac:dyDescent="0.25">
      <c r="B189" s="21">
        <v>42546</v>
      </c>
      <c r="C189" s="27">
        <v>18.932400000000001</v>
      </c>
      <c r="E189" s="30">
        <v>0.900204</v>
      </c>
      <c r="G189" s="27">
        <v>14.92</v>
      </c>
      <c r="I189" s="29">
        <v>6.8482500000000002</v>
      </c>
      <c r="K189" s="29">
        <v>3.3728899999999999</v>
      </c>
      <c r="M189" s="41"/>
      <c r="O189" s="26">
        <v>2882.75</v>
      </c>
      <c r="Q189" s="26">
        <v>5630.7</v>
      </c>
      <c r="S189" s="26">
        <v>1669.44</v>
      </c>
      <c r="U189" s="29">
        <v>3.26295</v>
      </c>
      <c r="W189" s="27">
        <v>30.4895</v>
      </c>
      <c r="Y189" s="29">
        <v>9.0398099999999992</v>
      </c>
      <c r="AA189" s="41">
        <v>541.70000000000005</v>
      </c>
      <c r="AC189" s="27">
        <v>45.682499999999997</v>
      </c>
      <c r="AE189" s="27">
        <v>1</v>
      </c>
      <c r="AG189" s="29">
        <v>7.5902500000000002</v>
      </c>
      <c r="AI189" s="29">
        <v>8.6977499999999992</v>
      </c>
      <c r="AK189" s="27">
        <v>22.5425</v>
      </c>
      <c r="AM189" s="27">
        <v>28.357500000000002</v>
      </c>
      <c r="AO189" s="29"/>
      <c r="AP189" s="28"/>
    </row>
    <row r="190" spans="2:42" hidden="1" outlineLevel="1" x14ac:dyDescent="0.25">
      <c r="B190" s="21">
        <v>42547</v>
      </c>
      <c r="C190" s="27">
        <v>18.932400000000001</v>
      </c>
      <c r="E190" s="30">
        <v>0.900204</v>
      </c>
      <c r="G190" s="27">
        <v>14.9526</v>
      </c>
      <c r="I190" s="29">
        <v>6.8482500000000002</v>
      </c>
      <c r="K190" s="29">
        <v>3.3727999999999998</v>
      </c>
      <c r="M190" s="41"/>
      <c r="O190" s="26">
        <v>2882.75</v>
      </c>
      <c r="Q190" s="26">
        <v>5630.7</v>
      </c>
      <c r="S190" s="26">
        <v>1669.49</v>
      </c>
      <c r="U190" s="29">
        <v>3.26295</v>
      </c>
      <c r="W190" s="27">
        <v>30.4895</v>
      </c>
      <c r="Y190" s="29">
        <v>9.0400399999999994</v>
      </c>
      <c r="AA190" s="41">
        <v>541.70000000000005</v>
      </c>
      <c r="AC190" s="27">
        <v>45.682499999999997</v>
      </c>
      <c r="AE190" s="27">
        <v>1</v>
      </c>
      <c r="AG190" s="29">
        <v>7.5902500000000002</v>
      </c>
      <c r="AI190" s="29">
        <v>8.6977499999999992</v>
      </c>
      <c r="AK190" s="27">
        <v>22.5425</v>
      </c>
      <c r="AM190" s="27">
        <v>28.357500000000002</v>
      </c>
      <c r="AO190" s="29"/>
      <c r="AP190" s="28"/>
    </row>
    <row r="191" spans="2:42" hidden="1" outlineLevel="1" x14ac:dyDescent="0.25">
      <c r="B191" s="21">
        <v>42548</v>
      </c>
      <c r="C191" s="27">
        <v>19.020700000000001</v>
      </c>
      <c r="E191" s="30">
        <v>0.90728500000000001</v>
      </c>
      <c r="G191" s="27">
        <v>14.9131</v>
      </c>
      <c r="I191" s="29">
        <v>6.89785</v>
      </c>
      <c r="K191" s="29">
        <v>3.3834599999999999</v>
      </c>
      <c r="M191" s="41"/>
      <c r="O191" s="26">
        <v>2951.6</v>
      </c>
      <c r="Q191" s="26">
        <v>5671.59</v>
      </c>
      <c r="S191" s="26">
        <v>1676.31</v>
      </c>
      <c r="U191" s="29">
        <v>3.30152</v>
      </c>
      <c r="W191" s="27">
        <v>30.730399999999999</v>
      </c>
      <c r="Y191" s="29">
        <v>9.0827299999999997</v>
      </c>
      <c r="AA191" s="41">
        <v>545.649</v>
      </c>
      <c r="AC191" s="27">
        <v>45.990900000000003</v>
      </c>
      <c r="AE191" s="27">
        <v>1</v>
      </c>
      <c r="AG191" s="29">
        <v>7.6455299999999999</v>
      </c>
      <c r="AI191" s="29">
        <v>8.7604000000000006</v>
      </c>
      <c r="AK191" s="27">
        <v>22.6904</v>
      </c>
      <c r="AM191" s="27">
        <v>28.556999999999999</v>
      </c>
      <c r="AO191" s="29"/>
      <c r="AP191" s="28"/>
    </row>
    <row r="192" spans="2:42" hidden="1" outlineLevel="1" x14ac:dyDescent="0.25">
      <c r="B192" s="21">
        <v>42549</v>
      </c>
      <c r="C192" s="27">
        <v>18.982500000000002</v>
      </c>
      <c r="E192" s="30">
        <v>0.90463300000000002</v>
      </c>
      <c r="G192" s="27">
        <v>15.197100000000001</v>
      </c>
      <c r="I192" s="29">
        <v>6.8885199999999998</v>
      </c>
      <c r="K192" s="29">
        <v>3.36551</v>
      </c>
      <c r="M192" s="41"/>
      <c r="O192" s="26">
        <v>2999.82</v>
      </c>
      <c r="Q192" s="26">
        <v>5658.68</v>
      </c>
      <c r="S192" s="26">
        <v>1681.41</v>
      </c>
      <c r="U192" s="29">
        <v>3.3084899999999999</v>
      </c>
      <c r="W192" s="27">
        <v>30.827300000000001</v>
      </c>
      <c r="Y192" s="29">
        <v>9.1599599999999999</v>
      </c>
      <c r="AA192" s="41">
        <v>545.29200000000003</v>
      </c>
      <c r="AC192" s="27">
        <v>45.8</v>
      </c>
      <c r="AE192" s="27">
        <v>1</v>
      </c>
      <c r="AG192" s="29">
        <v>7.6368600000000004</v>
      </c>
      <c r="AI192" s="29">
        <v>8.7486899999999999</v>
      </c>
      <c r="AK192" s="27">
        <v>22.665500000000002</v>
      </c>
      <c r="AM192" s="27">
        <v>28.556899999999999</v>
      </c>
      <c r="AO192" s="29"/>
      <c r="AP192" s="28"/>
    </row>
    <row r="193" spans="2:42" hidden="1" outlineLevel="1" x14ac:dyDescent="0.25">
      <c r="B193" s="21">
        <v>42550</v>
      </c>
      <c r="C193" s="27">
        <v>18.6999</v>
      </c>
      <c r="E193" s="30">
        <v>0.902258</v>
      </c>
      <c r="G193" s="27">
        <v>14.9375</v>
      </c>
      <c r="I193" s="29">
        <v>6.8950100000000001</v>
      </c>
      <c r="K193" s="29">
        <v>3.2825600000000001</v>
      </c>
      <c r="M193" s="41"/>
      <c r="O193" s="26">
        <v>3002.68</v>
      </c>
      <c r="Q193" s="26">
        <v>5655.86</v>
      </c>
      <c r="S193" s="26">
        <v>1723.05</v>
      </c>
      <c r="U193" s="29">
        <v>3.2985000000000002</v>
      </c>
      <c r="W193" s="27">
        <v>31.067799999999998</v>
      </c>
      <c r="Y193" s="29">
        <v>9.4647100000000002</v>
      </c>
      <c r="AA193" s="41">
        <v>546.31299999999999</v>
      </c>
      <c r="AC193" s="27">
        <v>45.987299999999998</v>
      </c>
      <c r="AE193" s="27">
        <v>1</v>
      </c>
      <c r="AG193" s="29">
        <v>7.6475999999999997</v>
      </c>
      <c r="AI193" s="29">
        <v>8.7588799999999996</v>
      </c>
      <c r="AK193" s="27">
        <v>22.704599999999999</v>
      </c>
      <c r="AM193" s="27">
        <v>28.725000000000001</v>
      </c>
      <c r="AO193" s="29"/>
      <c r="AP193" s="28"/>
    </row>
    <row r="194" spans="2:42" hidden="1" outlineLevel="1" x14ac:dyDescent="0.25">
      <c r="B194" s="21">
        <v>42551</v>
      </c>
      <c r="C194" s="49">
        <v>18.555</v>
      </c>
      <c r="E194" s="30">
        <v>0.900532</v>
      </c>
      <c r="G194" s="27">
        <v>14.968999999999999</v>
      </c>
      <c r="I194" s="29">
        <v>6.8766400000000001</v>
      </c>
      <c r="K194" s="29">
        <v>3.2309700000000001</v>
      </c>
      <c r="M194" s="41"/>
      <c r="O194" s="26">
        <v>2952.16</v>
      </c>
      <c r="Q194" s="26">
        <v>5638.73</v>
      </c>
      <c r="S194" s="26">
        <v>1745.25</v>
      </c>
      <c r="U194" s="29">
        <v>3.29061</v>
      </c>
      <c r="W194" s="27">
        <v>30.869499999999999</v>
      </c>
      <c r="Y194" s="29">
        <v>9.5544399999999996</v>
      </c>
      <c r="AA194" s="41">
        <v>545.43299999999999</v>
      </c>
      <c r="AC194" s="27">
        <v>45.874899999999997</v>
      </c>
      <c r="AE194" s="27">
        <v>1</v>
      </c>
      <c r="AG194" s="29">
        <v>7.6236100000000002</v>
      </c>
      <c r="AI194" s="29">
        <v>8.7325900000000001</v>
      </c>
      <c r="AK194" s="27">
        <v>22.739100000000001</v>
      </c>
      <c r="AM194" s="27">
        <v>28.513200000000001</v>
      </c>
      <c r="AO194" s="29"/>
      <c r="AP194" s="28"/>
    </row>
    <row r="195" spans="2:42" ht="13" collapsed="1" x14ac:dyDescent="0.3">
      <c r="B195" s="25" t="s">
        <v>144</v>
      </c>
      <c r="C195" s="19">
        <v>18.6828</v>
      </c>
      <c r="E195" s="24">
        <v>0.88971</v>
      </c>
      <c r="G195" s="19">
        <v>14.126899999999999</v>
      </c>
      <c r="I195" s="23">
        <v>6.88483</v>
      </c>
      <c r="J195" s="9"/>
      <c r="K195" s="23">
        <v>3.4308999999999998</v>
      </c>
      <c r="M195" s="42" t="s">
        <v>78</v>
      </c>
      <c r="O195" s="31">
        <v>2985.73</v>
      </c>
      <c r="Q195" s="31">
        <v>5659.9</v>
      </c>
      <c r="S195" s="31">
        <v>1650.6</v>
      </c>
      <c r="U195" s="23">
        <v>3.3186599999999999</v>
      </c>
      <c r="W195" s="23">
        <v>30.779029999999999</v>
      </c>
      <c r="Y195" s="23">
        <v>8.9759399999999996</v>
      </c>
      <c r="AA195" s="42">
        <v>541.64599999999996</v>
      </c>
      <c r="AC195" s="19">
        <v>45.893099999999997</v>
      </c>
      <c r="AE195" s="19">
        <v>1</v>
      </c>
      <c r="AG195" s="23">
        <v>7.63835</v>
      </c>
      <c r="AI195" s="23">
        <v>8.7418300000000002</v>
      </c>
      <c r="AK195" s="23">
        <v>22.64133</v>
      </c>
      <c r="AM195" s="23">
        <v>28.546029999999998</v>
      </c>
      <c r="AO195" s="23" t="s">
        <v>78</v>
      </c>
      <c r="AP195" s="10"/>
    </row>
    <row r="196" spans="2:42" hidden="1" outlineLevel="1" x14ac:dyDescent="0.25">
      <c r="B196" s="21">
        <v>42552</v>
      </c>
      <c r="C196" s="27">
        <v>18.306100000000001</v>
      </c>
      <c r="E196" s="30">
        <v>0.89959599999999995</v>
      </c>
      <c r="G196" s="27">
        <v>15.0451</v>
      </c>
      <c r="I196" s="29">
        <v>6.9063699999999999</v>
      </c>
      <c r="K196" s="29">
        <v>3.2184599999999999</v>
      </c>
      <c r="M196" s="41"/>
      <c r="O196" s="26">
        <v>2925.64</v>
      </c>
      <c r="Q196" s="26">
        <v>5659.78</v>
      </c>
      <c r="S196" s="26">
        <v>1758.58</v>
      </c>
      <c r="U196" s="29">
        <v>3.2972000000000001</v>
      </c>
      <c r="W196" s="27">
        <v>30.686399999999999</v>
      </c>
      <c r="Y196" s="29">
        <v>9.5346799999999998</v>
      </c>
      <c r="AA196" s="41">
        <v>548.86900000000003</v>
      </c>
      <c r="AC196" s="27">
        <v>46.063200000000002</v>
      </c>
      <c r="AE196" s="27">
        <v>1</v>
      </c>
      <c r="AG196" s="29">
        <v>7.6547299999999998</v>
      </c>
      <c r="AI196" s="29">
        <v>8.7707499999999996</v>
      </c>
      <c r="AK196" s="27">
        <v>22.829000000000001</v>
      </c>
      <c r="AM196" s="27">
        <v>28.625699999999998</v>
      </c>
      <c r="AO196" s="29"/>
      <c r="AP196" s="28"/>
    </row>
    <row r="197" spans="2:42" hidden="1" outlineLevel="1" x14ac:dyDescent="0.25">
      <c r="B197" s="21">
        <v>42553</v>
      </c>
      <c r="C197" s="27">
        <v>18.366</v>
      </c>
      <c r="E197" s="30">
        <v>0.89779600000000004</v>
      </c>
      <c r="G197" s="27">
        <v>15.018000000000001</v>
      </c>
      <c r="I197" s="29">
        <v>6.8801500000000004</v>
      </c>
      <c r="K197" s="29">
        <v>3.2345799999999998</v>
      </c>
      <c r="M197" s="41"/>
      <c r="O197" s="26">
        <v>2916.7</v>
      </c>
      <c r="Q197" s="26">
        <v>5631.95</v>
      </c>
      <c r="S197" s="26">
        <v>1741.21</v>
      </c>
      <c r="U197" s="29">
        <v>3.2869999999999999</v>
      </c>
      <c r="W197" s="27">
        <v>30.441500000000001</v>
      </c>
      <c r="Y197" s="29">
        <v>9.4114599999999999</v>
      </c>
      <c r="AA197" s="41">
        <v>546.22</v>
      </c>
      <c r="AC197" s="27">
        <v>45.874499999999998</v>
      </c>
      <c r="AE197" s="27">
        <v>1</v>
      </c>
      <c r="AG197" s="29">
        <v>7.6260500000000002</v>
      </c>
      <c r="AI197" s="29">
        <v>8.73935</v>
      </c>
      <c r="AK197" s="27">
        <v>22.737500000000001</v>
      </c>
      <c r="AM197" s="27">
        <v>28.489000000000001</v>
      </c>
      <c r="AO197" s="29"/>
      <c r="AP197" s="28"/>
    </row>
    <row r="198" spans="2:42" hidden="1" outlineLevel="1" x14ac:dyDescent="0.25">
      <c r="B198" s="21">
        <v>42554</v>
      </c>
      <c r="C198" s="27">
        <v>18.366</v>
      </c>
      <c r="E198" s="30">
        <v>0.89779600000000004</v>
      </c>
      <c r="G198" s="27">
        <v>15.019399999999999</v>
      </c>
      <c r="I198" s="29">
        <v>6.8801500000000004</v>
      </c>
      <c r="K198" s="29">
        <v>3.2170000000000001</v>
      </c>
      <c r="M198" s="41"/>
      <c r="O198" s="26">
        <v>2916.7</v>
      </c>
      <c r="Q198" s="26">
        <v>5631.95</v>
      </c>
      <c r="S198" s="26">
        <v>1750.69</v>
      </c>
      <c r="U198" s="29">
        <v>3.2869999999999999</v>
      </c>
      <c r="W198" s="27">
        <v>30.441500000000001</v>
      </c>
      <c r="Y198" s="29">
        <v>9.4627300000000005</v>
      </c>
      <c r="AA198" s="41">
        <v>546.22</v>
      </c>
      <c r="AC198" s="27">
        <v>45.874499999999998</v>
      </c>
      <c r="AE198" s="27">
        <v>1</v>
      </c>
      <c r="AG198" s="29">
        <v>7.6260500000000002</v>
      </c>
      <c r="AI198" s="29">
        <v>8.73935</v>
      </c>
      <c r="AK198" s="27">
        <v>22.737500000000001</v>
      </c>
      <c r="AM198" s="27">
        <v>28.489000000000001</v>
      </c>
      <c r="AO198" s="29"/>
      <c r="AP198" s="28"/>
    </row>
    <row r="199" spans="2:42" hidden="1" outlineLevel="1" x14ac:dyDescent="0.25">
      <c r="B199" s="21">
        <v>42555</v>
      </c>
      <c r="C199" s="27">
        <v>18.377500000000001</v>
      </c>
      <c r="E199" s="30">
        <v>0.89790300000000001</v>
      </c>
      <c r="G199" s="27">
        <v>15.034800000000001</v>
      </c>
      <c r="I199" s="29">
        <v>6.8868999999999998</v>
      </c>
      <c r="K199" s="29">
        <v>3.2429600000000001</v>
      </c>
      <c r="M199" s="41"/>
      <c r="O199" s="26">
        <v>2925.22</v>
      </c>
      <c r="Q199" s="26">
        <v>5631.02</v>
      </c>
      <c r="S199" s="26">
        <v>1736.43</v>
      </c>
      <c r="U199" s="29">
        <v>3.2874699999999999</v>
      </c>
      <c r="W199" s="27">
        <v>30.533200000000001</v>
      </c>
      <c r="Y199" s="29">
        <v>9.4154699999999991</v>
      </c>
      <c r="AA199" s="41">
        <v>546.63400000000001</v>
      </c>
      <c r="AC199" s="27">
        <v>45.919499999999999</v>
      </c>
      <c r="AE199" s="27">
        <v>1</v>
      </c>
      <c r="AG199" s="29">
        <v>7.6341200000000002</v>
      </c>
      <c r="AI199" s="29">
        <v>8.7464300000000001</v>
      </c>
      <c r="AK199" s="27">
        <v>22.7484</v>
      </c>
      <c r="AM199" s="27">
        <v>28.515899999999998</v>
      </c>
      <c r="AO199" s="29"/>
      <c r="AP199" s="28"/>
    </row>
    <row r="200" spans="2:42" hidden="1" outlineLevel="1" x14ac:dyDescent="0.25">
      <c r="B200" s="21">
        <v>42556</v>
      </c>
      <c r="C200" s="27">
        <v>18.6083</v>
      </c>
      <c r="E200" s="30">
        <v>0.89876800000000001</v>
      </c>
      <c r="G200" s="27">
        <v>14.998900000000001</v>
      </c>
      <c r="I200" s="29">
        <v>6.8825099999999999</v>
      </c>
      <c r="K200" s="29">
        <v>3.28877</v>
      </c>
      <c r="M200" s="41"/>
      <c r="O200" s="26">
        <v>2944.68</v>
      </c>
      <c r="Q200" s="26">
        <v>5621.43</v>
      </c>
      <c r="S200" s="26">
        <v>1709.33</v>
      </c>
      <c r="U200" s="29">
        <v>3.2833299999999999</v>
      </c>
      <c r="W200" s="27">
        <v>30.5822</v>
      </c>
      <c r="Y200" s="29">
        <v>9.2991700000000002</v>
      </c>
      <c r="AA200" s="41">
        <v>546.19200000000001</v>
      </c>
      <c r="AC200" s="27">
        <v>45.905099999999997</v>
      </c>
      <c r="AE200" s="27">
        <v>1</v>
      </c>
      <c r="AG200" s="29">
        <v>7.6305399999999999</v>
      </c>
      <c r="AI200" s="29">
        <v>8.7415099999999999</v>
      </c>
      <c r="AK200" s="27">
        <v>22.724399999999999</v>
      </c>
      <c r="AM200" s="27">
        <v>28.543199999999999</v>
      </c>
      <c r="AO200" s="29"/>
      <c r="AP200" s="28"/>
    </row>
    <row r="201" spans="2:42" hidden="1" outlineLevel="1" x14ac:dyDescent="0.25">
      <c r="B201" s="21">
        <v>42557</v>
      </c>
      <c r="C201" s="27">
        <v>18.843900000000001</v>
      </c>
      <c r="E201" s="30">
        <v>0.90355099999999999</v>
      </c>
      <c r="G201" s="27">
        <v>14.8306</v>
      </c>
      <c r="I201" s="29">
        <v>6.9201199999999998</v>
      </c>
      <c r="K201" s="29">
        <v>3.3122199999999999</v>
      </c>
      <c r="M201" s="41"/>
      <c r="O201" s="26">
        <v>2972.12</v>
      </c>
      <c r="Q201" s="26">
        <v>5651.4</v>
      </c>
      <c r="S201" s="26">
        <v>1706.27</v>
      </c>
      <c r="U201" s="29">
        <v>3.2990300000000001</v>
      </c>
      <c r="W201" s="27">
        <v>30.753399999999999</v>
      </c>
      <c r="Y201" s="29">
        <v>9.2850099999999998</v>
      </c>
      <c r="AA201" s="41">
        <v>549.048</v>
      </c>
      <c r="AC201" s="27">
        <v>46.152500000000003</v>
      </c>
      <c r="AE201" s="27">
        <v>1</v>
      </c>
      <c r="AG201" s="29">
        <v>7.6717300000000002</v>
      </c>
      <c r="AI201" s="29">
        <v>8.78843</v>
      </c>
      <c r="AK201" s="27">
        <v>22.834199999999999</v>
      </c>
      <c r="AM201" s="27">
        <v>28.707699999999999</v>
      </c>
      <c r="AO201" s="29"/>
      <c r="AP201" s="28"/>
    </row>
    <row r="202" spans="2:42" hidden="1" outlineLevel="1" x14ac:dyDescent="0.25">
      <c r="B202" s="21">
        <v>42558</v>
      </c>
      <c r="C202" s="27">
        <v>18.7605</v>
      </c>
      <c r="E202" s="30">
        <v>0.90244999999999997</v>
      </c>
      <c r="G202" s="27">
        <v>14.6973</v>
      </c>
      <c r="I202" s="29">
        <v>6.8820399999999999</v>
      </c>
      <c r="K202" s="29">
        <v>3.3355399999999999</v>
      </c>
      <c r="M202" s="41"/>
      <c r="O202" s="26">
        <v>2977.42</v>
      </c>
      <c r="Q202" s="26">
        <v>5616.43</v>
      </c>
      <c r="S202" s="26">
        <v>1683.86</v>
      </c>
      <c r="U202" s="29">
        <v>3.2808099999999998</v>
      </c>
      <c r="W202" s="27">
        <v>30.6386</v>
      </c>
      <c r="Y202" s="29">
        <v>9.1856899999999992</v>
      </c>
      <c r="AA202" s="41">
        <v>546.50300000000004</v>
      </c>
      <c r="AC202" s="27">
        <v>45.914499999999997</v>
      </c>
      <c r="AE202" s="27">
        <v>1</v>
      </c>
      <c r="AG202" s="29">
        <v>7.62629</v>
      </c>
      <c r="AI202" s="29">
        <v>8.7398100000000003</v>
      </c>
      <c r="AK202" s="27">
        <v>22.686699999999998</v>
      </c>
      <c r="AM202" s="27">
        <v>28.520800000000001</v>
      </c>
      <c r="AO202" s="29"/>
      <c r="AP202" s="28"/>
    </row>
    <row r="203" spans="2:42" hidden="1" outlineLevel="1" x14ac:dyDescent="0.25">
      <c r="B203" s="21">
        <v>42559</v>
      </c>
      <c r="C203" s="27">
        <v>18.726900000000001</v>
      </c>
      <c r="E203" s="30">
        <v>0.90390999999999999</v>
      </c>
      <c r="G203" s="27">
        <v>14.7013</v>
      </c>
      <c r="I203" s="29">
        <v>6.8936999999999999</v>
      </c>
      <c r="K203" s="29">
        <v>3.3400699999999999</v>
      </c>
      <c r="M203" s="41"/>
      <c r="O203" s="26">
        <v>2991.8</v>
      </c>
      <c r="Q203" s="26">
        <v>5629.03</v>
      </c>
      <c r="S203" s="26">
        <v>1685.35</v>
      </c>
      <c r="U203" s="29">
        <v>3.2826900000000001</v>
      </c>
      <c r="W203" s="27">
        <v>30.7271</v>
      </c>
      <c r="Y203" s="29">
        <v>9.1997499999999999</v>
      </c>
      <c r="AA203" s="41">
        <v>548.25099999999998</v>
      </c>
      <c r="AC203" s="27">
        <v>46.006999999999998</v>
      </c>
      <c r="AE203" s="27">
        <v>1</v>
      </c>
      <c r="AG203" s="29">
        <v>7.6361699999999999</v>
      </c>
      <c r="AI203" s="29">
        <v>8.7542600000000004</v>
      </c>
      <c r="AK203" s="27">
        <v>22.711099999999998</v>
      </c>
      <c r="AM203" s="27">
        <v>28.570699999999999</v>
      </c>
      <c r="AO203" s="29"/>
      <c r="AP203" s="28"/>
    </row>
    <row r="204" spans="2:42" hidden="1" outlineLevel="1" x14ac:dyDescent="0.25">
      <c r="B204" s="21">
        <v>42560</v>
      </c>
      <c r="C204" s="27">
        <v>18.508099999999999</v>
      </c>
      <c r="E204" s="30">
        <v>0.90495300000000001</v>
      </c>
      <c r="G204" s="27">
        <v>14.7227</v>
      </c>
      <c r="I204" s="29">
        <v>6.8987499999999997</v>
      </c>
      <c r="K204" s="29">
        <v>3.2993600000000001</v>
      </c>
      <c r="M204" s="41"/>
      <c r="O204" s="26">
        <v>2991.36</v>
      </c>
      <c r="Q204" s="26">
        <v>5642.1</v>
      </c>
      <c r="S204" s="26">
        <v>1710.11</v>
      </c>
      <c r="U204" s="29">
        <v>3.2862</v>
      </c>
      <c r="W204" s="27">
        <v>30.703499999999998</v>
      </c>
      <c r="Y204" s="29">
        <v>9.3061399999999992</v>
      </c>
      <c r="AA204" s="41">
        <v>548.69000000000005</v>
      </c>
      <c r="AC204" s="27">
        <v>46.020200000000003</v>
      </c>
      <c r="AE204" s="27">
        <v>1</v>
      </c>
      <c r="AG204" s="29">
        <v>7.6411499999999997</v>
      </c>
      <c r="AI204" s="29">
        <v>8.7604000000000006</v>
      </c>
      <c r="AK204" s="27">
        <v>22.708500000000001</v>
      </c>
      <c r="AM204" s="27">
        <v>28.566500000000001</v>
      </c>
      <c r="AO204" s="29"/>
      <c r="AP204" s="28"/>
    </row>
    <row r="205" spans="2:42" hidden="1" outlineLevel="1" x14ac:dyDescent="0.25">
      <c r="B205" s="21">
        <v>42561</v>
      </c>
      <c r="C205" s="27">
        <v>18.508099999999999</v>
      </c>
      <c r="E205" s="30">
        <v>0.90495300000000001</v>
      </c>
      <c r="G205" s="27">
        <v>14.7242</v>
      </c>
      <c r="I205" s="29">
        <v>6.8849999999999998</v>
      </c>
      <c r="K205" s="29">
        <v>3.2888000000000002</v>
      </c>
      <c r="M205" s="41"/>
      <c r="O205" s="26">
        <v>2941.4</v>
      </c>
      <c r="Q205" s="26">
        <v>5657</v>
      </c>
      <c r="S205" s="26">
        <v>1720.08</v>
      </c>
      <c r="U205" s="29">
        <v>3.2730000000000001</v>
      </c>
      <c r="W205" s="27">
        <v>30.53</v>
      </c>
      <c r="Y205" s="29">
        <v>9.2830300000000001</v>
      </c>
      <c r="AA205" s="41">
        <v>549.65</v>
      </c>
      <c r="AC205" s="27">
        <v>45.92</v>
      </c>
      <c r="AE205" s="27">
        <v>1</v>
      </c>
      <c r="AG205" s="29">
        <v>7.625</v>
      </c>
      <c r="AI205" s="29">
        <v>8.7271999999999998</v>
      </c>
      <c r="AK205" s="27">
        <v>22.67</v>
      </c>
      <c r="AM205" s="27">
        <v>28.574999999999999</v>
      </c>
      <c r="AO205" s="29"/>
      <c r="AP205" s="28"/>
    </row>
    <row r="206" spans="2:42" hidden="1" outlineLevel="1" x14ac:dyDescent="0.25">
      <c r="B206" s="21">
        <v>42562</v>
      </c>
      <c r="C206" s="27">
        <v>18.4922</v>
      </c>
      <c r="E206" s="30">
        <v>0.90519899999999998</v>
      </c>
      <c r="G206" s="27">
        <v>14.7088</v>
      </c>
      <c r="I206" s="29">
        <v>6.8966500000000002</v>
      </c>
      <c r="K206" s="29">
        <v>3.3012800000000002</v>
      </c>
      <c r="M206" s="41"/>
      <c r="O206" s="26">
        <v>2963.07</v>
      </c>
      <c r="Q206" s="26">
        <v>5636.88</v>
      </c>
      <c r="S206" s="26">
        <v>1707.53</v>
      </c>
      <c r="U206" s="29">
        <v>3.28363</v>
      </c>
      <c r="W206" s="27">
        <v>30.6206</v>
      </c>
      <c r="Y206" s="29">
        <v>9.2755700000000001</v>
      </c>
      <c r="AA206" s="41">
        <v>548.31700000000001</v>
      </c>
      <c r="AC206" s="27">
        <v>46.023699999999998</v>
      </c>
      <c r="AE206" s="27">
        <v>1</v>
      </c>
      <c r="AG206" s="29">
        <v>7.6364000000000001</v>
      </c>
      <c r="AI206" s="29">
        <v>8.7577499999999997</v>
      </c>
      <c r="AK206" s="27">
        <v>22.7103</v>
      </c>
      <c r="AM206" s="27">
        <v>28.594999999999999</v>
      </c>
      <c r="AO206" s="29"/>
      <c r="AP206" s="28"/>
    </row>
    <row r="207" spans="2:42" hidden="1" outlineLevel="1" x14ac:dyDescent="0.25">
      <c r="B207" s="21">
        <v>42563</v>
      </c>
      <c r="C207" s="27">
        <v>18.3687</v>
      </c>
      <c r="E207" s="30">
        <v>0.90252699999999997</v>
      </c>
      <c r="G207" s="27">
        <v>14.6678</v>
      </c>
      <c r="I207" s="29">
        <v>6.8888600000000002</v>
      </c>
      <c r="K207" s="29">
        <v>3.29881</v>
      </c>
      <c r="M207" s="41"/>
      <c r="O207" s="26">
        <v>2927.64</v>
      </c>
      <c r="Q207" s="26">
        <v>5622.19</v>
      </c>
      <c r="S207" s="26">
        <v>1704.35</v>
      </c>
      <c r="U207" s="29">
        <v>3.2810800000000002</v>
      </c>
      <c r="W207" s="27">
        <v>30.444199999999999</v>
      </c>
      <c r="Y207" s="29">
        <v>9.2290100000000006</v>
      </c>
      <c r="AA207" s="41">
        <v>547.41499999999996</v>
      </c>
      <c r="AC207" s="27">
        <v>45.956600000000002</v>
      </c>
      <c r="AE207" s="27">
        <v>1</v>
      </c>
      <c r="AG207" s="29">
        <v>7.6227200000000002</v>
      </c>
      <c r="AI207" s="29">
        <v>8.7481799999999996</v>
      </c>
      <c r="AK207" s="27">
        <v>22.676400000000001</v>
      </c>
      <c r="AM207" s="27">
        <v>28.537199999999999</v>
      </c>
      <c r="AO207" s="29"/>
      <c r="AP207" s="28"/>
    </row>
    <row r="208" spans="2:42" hidden="1" outlineLevel="1" x14ac:dyDescent="0.25">
      <c r="B208" s="21">
        <v>42564</v>
      </c>
      <c r="C208" s="27">
        <v>18.360900000000001</v>
      </c>
      <c r="E208" s="30">
        <v>0.90279600000000004</v>
      </c>
      <c r="G208" s="27">
        <v>14.5678</v>
      </c>
      <c r="I208" s="29">
        <v>6.9036499999999998</v>
      </c>
      <c r="K208" s="29">
        <v>3.2921800000000001</v>
      </c>
      <c r="M208" s="41"/>
      <c r="O208" s="26">
        <v>2939.82</v>
      </c>
      <c r="Q208" s="26">
        <v>5628.69</v>
      </c>
      <c r="S208" s="26">
        <v>1709.76</v>
      </c>
      <c r="U208" s="29">
        <v>3.2867299999999999</v>
      </c>
      <c r="W208" s="27">
        <v>30.440100000000001</v>
      </c>
      <c r="Y208" s="29">
        <v>9.2463599999999992</v>
      </c>
      <c r="AA208" s="41">
        <v>548.48400000000004</v>
      </c>
      <c r="AC208" s="27">
        <v>46.055300000000003</v>
      </c>
      <c r="AE208" s="27">
        <v>1</v>
      </c>
      <c r="AG208" s="29">
        <v>7.6348700000000003</v>
      </c>
      <c r="AI208" s="29">
        <v>8.7676499999999997</v>
      </c>
      <c r="AK208" s="27">
        <v>22.7469</v>
      </c>
      <c r="AM208" s="27">
        <v>28.6126</v>
      </c>
      <c r="AO208" s="29"/>
      <c r="AP208" s="28"/>
    </row>
    <row r="209" spans="2:42" hidden="1" outlineLevel="1" x14ac:dyDescent="0.25">
      <c r="B209" s="21">
        <v>42565</v>
      </c>
      <c r="C209" s="27">
        <v>18.319099999999999</v>
      </c>
      <c r="E209" s="30">
        <v>0.90000500000000005</v>
      </c>
      <c r="G209" s="27">
        <v>14.5977</v>
      </c>
      <c r="I209" s="29">
        <v>6.8834900000000001</v>
      </c>
      <c r="K209" s="29">
        <v>3.25529</v>
      </c>
      <c r="M209" s="41"/>
      <c r="O209" s="26">
        <v>2922.22</v>
      </c>
      <c r="Q209" s="26">
        <v>5615.3</v>
      </c>
      <c r="S209" s="26">
        <v>1725.03</v>
      </c>
      <c r="U209" s="29">
        <v>3.2773699999999999</v>
      </c>
      <c r="W209" s="27">
        <v>30.335899999999999</v>
      </c>
      <c r="Y209" s="29">
        <v>9.3191699999999997</v>
      </c>
      <c r="AA209" s="41">
        <v>546.83699999999999</v>
      </c>
      <c r="AC209" s="27">
        <v>45.9482</v>
      </c>
      <c r="AE209" s="27">
        <v>1</v>
      </c>
      <c r="AG209" s="29">
        <v>7.6082999999999998</v>
      </c>
      <c r="AI209" s="29">
        <v>8.7419399999999996</v>
      </c>
      <c r="AK209" s="27">
        <v>22.814399999999999</v>
      </c>
      <c r="AM209" s="27">
        <v>28.508099999999999</v>
      </c>
      <c r="AO209" s="29"/>
      <c r="AP209" s="28"/>
    </row>
    <row r="210" spans="2:42" hidden="1" outlineLevel="1" x14ac:dyDescent="0.25">
      <c r="B210" s="21">
        <v>42566</v>
      </c>
      <c r="C210" s="27">
        <v>18.408899999999999</v>
      </c>
      <c r="E210" s="30">
        <v>0.90040200000000004</v>
      </c>
      <c r="G210" s="27">
        <v>14.771100000000001</v>
      </c>
      <c r="I210" s="29">
        <v>6.8862399999999999</v>
      </c>
      <c r="K210" s="29">
        <v>3.25657</v>
      </c>
      <c r="M210" s="41"/>
      <c r="O210" s="26">
        <v>2929.09</v>
      </c>
      <c r="Q210" s="26">
        <v>5611.31</v>
      </c>
      <c r="S210" s="26">
        <v>1723.12</v>
      </c>
      <c r="U210" s="29">
        <v>3.27861</v>
      </c>
      <c r="W210" s="27">
        <v>30.331199999999999</v>
      </c>
      <c r="Y210" s="29">
        <v>9.3140499999999999</v>
      </c>
      <c r="AA210" s="41">
        <v>546.947</v>
      </c>
      <c r="AC210" s="27">
        <v>45.957099999999997</v>
      </c>
      <c r="AE210" s="27">
        <v>1</v>
      </c>
      <c r="AG210" s="29">
        <v>7.6115399999999998</v>
      </c>
      <c r="AI210" s="29">
        <v>8.7461000000000002</v>
      </c>
      <c r="AK210" s="27">
        <v>22.810600000000001</v>
      </c>
      <c r="AM210" s="27">
        <v>28.518000000000001</v>
      </c>
      <c r="AO210" s="29"/>
      <c r="AP210" s="28"/>
    </row>
    <row r="211" spans="2:42" hidden="1" outlineLevel="1" x14ac:dyDescent="0.25">
      <c r="B211" s="21">
        <v>42567</v>
      </c>
      <c r="C211" s="27">
        <v>18.6067</v>
      </c>
      <c r="E211" s="30">
        <v>0.90618299999999996</v>
      </c>
      <c r="G211" s="27">
        <v>14.8917</v>
      </c>
      <c r="I211" s="29">
        <v>6.9509499999999997</v>
      </c>
      <c r="K211" s="29">
        <v>3.28078</v>
      </c>
      <c r="M211" s="41"/>
      <c r="O211" s="26">
        <v>2943.9</v>
      </c>
      <c r="Q211" s="26">
        <v>5648.6</v>
      </c>
      <c r="S211" s="26">
        <v>1721.78</v>
      </c>
      <c r="U211" s="29">
        <v>3.3109500000000001</v>
      </c>
      <c r="W211" s="27">
        <v>30.6355</v>
      </c>
      <c r="Y211" s="29">
        <v>9.33812</v>
      </c>
      <c r="AA211" s="41">
        <v>551.75</v>
      </c>
      <c r="AC211" s="27">
        <v>46.395000000000003</v>
      </c>
      <c r="AE211" s="27">
        <v>1</v>
      </c>
      <c r="AG211" s="29">
        <v>7.6834499999999997</v>
      </c>
      <c r="AI211" s="29">
        <v>8.8308999999999997</v>
      </c>
      <c r="AK211" s="27">
        <v>23.029</v>
      </c>
      <c r="AM211" s="27">
        <v>28.717500000000001</v>
      </c>
      <c r="AO211" s="29"/>
      <c r="AP211" s="28"/>
    </row>
    <row r="212" spans="2:42" hidden="1" outlineLevel="1" x14ac:dyDescent="0.25">
      <c r="B212" s="21">
        <v>42568</v>
      </c>
      <c r="C212" s="27">
        <v>18.6067</v>
      </c>
      <c r="E212" s="30">
        <v>0.90618299999999996</v>
      </c>
      <c r="G212" s="27">
        <v>14.9275</v>
      </c>
      <c r="I212" s="29">
        <v>6.9509499999999997</v>
      </c>
      <c r="K212" s="29">
        <v>3.2797999999999998</v>
      </c>
      <c r="M212" s="41"/>
      <c r="O212" s="26">
        <v>2943.9</v>
      </c>
      <c r="Q212" s="26">
        <v>5648.6</v>
      </c>
      <c r="S212" s="26">
        <v>1722.31</v>
      </c>
      <c r="U212" s="29">
        <v>3.3109500000000001</v>
      </c>
      <c r="W212" s="27">
        <v>30.6355</v>
      </c>
      <c r="Y212" s="29">
        <v>9.3409600000000008</v>
      </c>
      <c r="AA212" s="41">
        <v>551.75</v>
      </c>
      <c r="AC212" s="27">
        <v>46.395000000000003</v>
      </c>
      <c r="AE212" s="27">
        <v>1</v>
      </c>
      <c r="AG212" s="29">
        <v>7.6834499999999997</v>
      </c>
      <c r="AI212" s="29">
        <v>8.8308999999999997</v>
      </c>
      <c r="AK212" s="27">
        <v>23.029</v>
      </c>
      <c r="AM212" s="27">
        <v>28.717500000000001</v>
      </c>
      <c r="AO212" s="29"/>
      <c r="AP212" s="28"/>
    </row>
    <row r="213" spans="2:42" hidden="1" outlineLevel="1" x14ac:dyDescent="0.25">
      <c r="B213" s="21">
        <v>42569</v>
      </c>
      <c r="C213" s="27">
        <v>18.486999999999998</v>
      </c>
      <c r="E213" s="30">
        <v>0.90404099999999998</v>
      </c>
      <c r="G213" s="27">
        <v>14.9495</v>
      </c>
      <c r="I213" s="29">
        <v>6.9125899999999998</v>
      </c>
      <c r="K213" s="29">
        <v>3.27094</v>
      </c>
      <c r="M213" s="41"/>
      <c r="O213" s="26">
        <v>2930.13</v>
      </c>
      <c r="Q213" s="26">
        <v>5613.18</v>
      </c>
      <c r="S213" s="26">
        <v>1716.12</v>
      </c>
      <c r="U213" s="29">
        <v>3.2909899999999999</v>
      </c>
      <c r="W213" s="27">
        <v>30.456199999999999</v>
      </c>
      <c r="Y213" s="29">
        <v>9.3113399999999995</v>
      </c>
      <c r="AA213" s="41">
        <v>548.51099999999997</v>
      </c>
      <c r="AC213" s="27">
        <v>46.13</v>
      </c>
      <c r="AE213" s="27">
        <v>1</v>
      </c>
      <c r="AG213" s="29">
        <v>7.6383599999999996</v>
      </c>
      <c r="AI213" s="29">
        <v>8.7805</v>
      </c>
      <c r="AK213" s="27">
        <v>22.893599999999999</v>
      </c>
      <c r="AM213" s="27">
        <v>28.589200000000002</v>
      </c>
      <c r="AO213" s="29"/>
      <c r="AP213" s="28"/>
    </row>
    <row r="214" spans="2:42" hidden="1" outlineLevel="1" x14ac:dyDescent="0.25">
      <c r="B214" s="21">
        <v>42570</v>
      </c>
      <c r="C214" s="27">
        <v>18.4725</v>
      </c>
      <c r="E214" s="30">
        <v>0.90500199999999997</v>
      </c>
      <c r="G214" s="27">
        <v>15.139699999999999</v>
      </c>
      <c r="I214" s="29">
        <v>6.8839699999999997</v>
      </c>
      <c r="K214" s="29">
        <v>3.2597499999999999</v>
      </c>
      <c r="M214" s="41"/>
      <c r="O214" s="26">
        <v>2919.51</v>
      </c>
      <c r="Q214" s="26">
        <v>5585.1</v>
      </c>
      <c r="S214" s="26">
        <v>1713.4</v>
      </c>
      <c r="U214" s="29">
        <v>3.2766899999999999</v>
      </c>
      <c r="W214" s="27">
        <v>30.251899999999999</v>
      </c>
      <c r="Y214" s="29">
        <v>9.2806599999999992</v>
      </c>
      <c r="AA214" s="41">
        <v>546.11500000000001</v>
      </c>
      <c r="AC214" s="27">
        <v>45.924599999999998</v>
      </c>
      <c r="AE214" s="27">
        <v>1</v>
      </c>
      <c r="AG214" s="29">
        <v>7.6000399999999999</v>
      </c>
      <c r="AI214" s="29">
        <v>8.7421199999999999</v>
      </c>
      <c r="AK214" s="27">
        <v>22.785900000000002</v>
      </c>
      <c r="AM214" s="27">
        <v>28.505099999999999</v>
      </c>
      <c r="AO214" s="29"/>
      <c r="AP214" s="28"/>
    </row>
    <row r="215" spans="2:42" hidden="1" outlineLevel="1" x14ac:dyDescent="0.25">
      <c r="B215" s="21">
        <v>42571</v>
      </c>
      <c r="C215" s="27">
        <v>18.5364</v>
      </c>
      <c r="E215" s="30">
        <v>0.90836399999999995</v>
      </c>
      <c r="G215" s="27">
        <v>15.0084</v>
      </c>
      <c r="I215" s="29">
        <v>6.9155699999999998</v>
      </c>
      <c r="K215" s="29">
        <v>3.2515399999999999</v>
      </c>
      <c r="M215" s="41"/>
      <c r="O215" s="26">
        <v>2930.86</v>
      </c>
      <c r="Q215" s="26">
        <v>5605.18</v>
      </c>
      <c r="S215" s="26">
        <v>1723.89</v>
      </c>
      <c r="U215" s="29">
        <v>3.2992400000000002</v>
      </c>
      <c r="W215" s="27">
        <v>30.256799999999998</v>
      </c>
      <c r="Y215" s="29">
        <v>9.3055699999999995</v>
      </c>
      <c r="AA215" s="41">
        <v>548.23500000000001</v>
      </c>
      <c r="AC215" s="27">
        <v>46.078000000000003</v>
      </c>
      <c r="AE215" s="27">
        <v>1</v>
      </c>
      <c r="AG215" s="29">
        <v>7.6147499999999999</v>
      </c>
      <c r="AI215" s="29">
        <v>8.7717600000000004</v>
      </c>
      <c r="AK215" s="27">
        <v>22.853400000000001</v>
      </c>
      <c r="AM215" s="27">
        <v>28.625900000000001</v>
      </c>
      <c r="AO215" s="29"/>
      <c r="AP215" s="28"/>
    </row>
    <row r="216" spans="2:42" hidden="1" outlineLevel="1" x14ac:dyDescent="0.25">
      <c r="B216" s="21">
        <v>42572</v>
      </c>
      <c r="C216" s="27">
        <v>18.639900000000001</v>
      </c>
      <c r="E216" s="30">
        <v>0.90747</v>
      </c>
      <c r="G216" s="27">
        <v>15.0543</v>
      </c>
      <c r="I216" s="29">
        <v>6.9154499999999999</v>
      </c>
      <c r="K216" s="29">
        <v>3.26166</v>
      </c>
      <c r="M216" s="41"/>
      <c r="O216" s="26">
        <v>2928.37</v>
      </c>
      <c r="Q216" s="26">
        <v>5590.1</v>
      </c>
      <c r="S216" s="26">
        <v>1713.93</v>
      </c>
      <c r="U216" s="29">
        <v>3.30722</v>
      </c>
      <c r="W216" s="27">
        <v>30.1495</v>
      </c>
      <c r="Y216" s="29">
        <v>9.2438099999999999</v>
      </c>
      <c r="AA216" s="41">
        <v>546.78800000000001</v>
      </c>
      <c r="AC216" s="27">
        <v>45.957799999999999</v>
      </c>
      <c r="AE216" s="27">
        <v>1</v>
      </c>
      <c r="AG216" s="29">
        <v>7.5837599999999998</v>
      </c>
      <c r="AI216" s="29">
        <v>8.7464899999999997</v>
      </c>
      <c r="AK216" s="27">
        <v>22.787500000000001</v>
      </c>
      <c r="AM216" s="27">
        <v>28.612200000000001</v>
      </c>
      <c r="AO216" s="29"/>
      <c r="AP216" s="28"/>
    </row>
    <row r="217" spans="2:42" hidden="1" outlineLevel="1" x14ac:dyDescent="0.25">
      <c r="B217" s="21">
        <v>42573</v>
      </c>
      <c r="C217" s="27">
        <v>18.591000000000001</v>
      </c>
      <c r="E217" s="30">
        <v>0.90829400000000005</v>
      </c>
      <c r="G217" s="27">
        <v>14.9732</v>
      </c>
      <c r="I217" s="29">
        <v>6.9160500000000003</v>
      </c>
      <c r="K217" s="29">
        <v>3.2749000000000001</v>
      </c>
      <c r="M217" s="41"/>
      <c r="O217" s="26">
        <v>2931.47</v>
      </c>
      <c r="Q217" s="26">
        <v>5588.97</v>
      </c>
      <c r="S217" s="26">
        <v>1706.64</v>
      </c>
      <c r="U217" s="29">
        <v>3.3159999999999998</v>
      </c>
      <c r="W217" s="27">
        <v>30.120899999999999</v>
      </c>
      <c r="Y217" s="29">
        <v>9.1976800000000001</v>
      </c>
      <c r="AA217" s="41">
        <v>546.54899999999998</v>
      </c>
      <c r="AC217" s="27">
        <v>45.933799999999998</v>
      </c>
      <c r="AE217" s="27">
        <v>1</v>
      </c>
      <c r="AG217" s="29">
        <v>7.5793499999999998</v>
      </c>
      <c r="AI217" s="29">
        <v>8.7425899999999999</v>
      </c>
      <c r="AK217" s="27">
        <v>22.803799999999999</v>
      </c>
      <c r="AM217" s="27">
        <v>28.607500000000002</v>
      </c>
      <c r="AO217" s="29"/>
      <c r="AP217" s="28"/>
    </row>
    <row r="218" spans="2:42" hidden="1" outlineLevel="1" x14ac:dyDescent="0.25">
      <c r="B218" s="21">
        <v>42574</v>
      </c>
      <c r="C218" s="27">
        <v>18.545200000000001</v>
      </c>
      <c r="E218" s="30">
        <v>0.91104600000000002</v>
      </c>
      <c r="G218" s="27">
        <v>15.0366</v>
      </c>
      <c r="I218" s="29">
        <v>6.9355000000000002</v>
      </c>
      <c r="K218" s="29">
        <v>3.2575500000000002</v>
      </c>
      <c r="M218" s="41"/>
      <c r="O218" s="26">
        <v>2951.95</v>
      </c>
      <c r="Q218" s="26">
        <v>5615.7</v>
      </c>
      <c r="S218" s="26">
        <v>1723.95</v>
      </c>
      <c r="U218" s="29">
        <v>3.3285</v>
      </c>
      <c r="W218" s="27">
        <v>30.256499999999999</v>
      </c>
      <c r="Y218" s="29">
        <v>9.2883499999999994</v>
      </c>
      <c r="AA218" s="41">
        <v>549.02499999999998</v>
      </c>
      <c r="AC218" s="27">
        <v>46.1295</v>
      </c>
      <c r="AE218" s="27">
        <v>1</v>
      </c>
      <c r="AG218" s="29">
        <v>7.61355</v>
      </c>
      <c r="AI218" s="29">
        <v>8.782</v>
      </c>
      <c r="AK218" s="27">
        <v>22.803799999999999</v>
      </c>
      <c r="AM218" s="27">
        <v>28.705500000000001</v>
      </c>
      <c r="AO218" s="29"/>
      <c r="AP218" s="28"/>
    </row>
    <row r="219" spans="2:42" hidden="1" outlineLevel="1" x14ac:dyDescent="0.25">
      <c r="B219" s="21">
        <v>42575</v>
      </c>
      <c r="C219" s="27">
        <v>18.545200000000001</v>
      </c>
      <c r="E219" s="30">
        <v>0.91104600000000002</v>
      </c>
      <c r="G219" s="27">
        <v>14.9825</v>
      </c>
      <c r="I219" s="29">
        <v>6.9355000000000002</v>
      </c>
      <c r="K219" s="29">
        <v>3.2575500000000002</v>
      </c>
      <c r="M219" s="41"/>
      <c r="O219" s="26">
        <v>2951.95</v>
      </c>
      <c r="Q219" s="26">
        <v>5615.7</v>
      </c>
      <c r="S219" s="26">
        <v>1723.95</v>
      </c>
      <c r="U219" s="29">
        <v>3.3224999999999998</v>
      </c>
      <c r="W219" s="27">
        <v>30.256499999999999</v>
      </c>
      <c r="Y219" s="29">
        <v>9.2883499999999994</v>
      </c>
      <c r="AA219" s="41">
        <v>549.02499999999998</v>
      </c>
      <c r="AC219" s="27">
        <v>46.1295</v>
      </c>
      <c r="AE219" s="27">
        <v>1</v>
      </c>
      <c r="AG219" s="29">
        <v>7.61355</v>
      </c>
      <c r="AI219" s="29">
        <v>8.782</v>
      </c>
      <c r="AK219" s="27">
        <v>22.824999999999999</v>
      </c>
      <c r="AM219" s="27">
        <v>28.705500000000001</v>
      </c>
      <c r="AO219" s="29"/>
      <c r="AP219" s="28"/>
    </row>
    <row r="220" spans="2:42" hidden="1" outlineLevel="1" x14ac:dyDescent="0.25">
      <c r="B220" s="21">
        <v>42576</v>
      </c>
      <c r="C220" s="27">
        <v>18.624300000000002</v>
      </c>
      <c r="E220" s="30">
        <v>0.91096299999999997</v>
      </c>
      <c r="G220" s="27">
        <v>14.946</v>
      </c>
      <c r="I220" s="29">
        <v>6.9354100000000001</v>
      </c>
      <c r="K220" s="29">
        <v>3.2685599999999999</v>
      </c>
      <c r="M220" s="41"/>
      <c r="O220" s="26">
        <v>2964.43</v>
      </c>
      <c r="Q220" s="26">
        <v>5609.14</v>
      </c>
      <c r="S220" s="26">
        <v>1716.13</v>
      </c>
      <c r="U220" s="29">
        <v>3.3412999999999999</v>
      </c>
      <c r="W220" s="27">
        <v>30.215</v>
      </c>
      <c r="Y220" s="29">
        <v>9.2443100000000005</v>
      </c>
      <c r="AA220" s="41">
        <v>548.03800000000001</v>
      </c>
      <c r="AC220" s="27">
        <v>45.93</v>
      </c>
      <c r="AE220" s="27">
        <v>1</v>
      </c>
      <c r="AG220" s="29">
        <v>7.6074099999999998</v>
      </c>
      <c r="AI220" s="29">
        <v>8.7701799999999999</v>
      </c>
      <c r="AK220" s="27">
        <v>22.825800000000001</v>
      </c>
      <c r="AM220" s="27">
        <v>28.6</v>
      </c>
      <c r="AO220" s="29"/>
      <c r="AP220" s="28"/>
    </row>
    <row r="221" spans="2:42" hidden="1" outlineLevel="1" x14ac:dyDescent="0.25">
      <c r="B221" s="21">
        <v>42577</v>
      </c>
      <c r="C221" s="27">
        <v>18.7789</v>
      </c>
      <c r="E221" s="30">
        <v>0.90948799999999996</v>
      </c>
      <c r="G221" s="27">
        <v>14.952199999999999</v>
      </c>
      <c r="I221" s="29">
        <v>6.9313399999999996</v>
      </c>
      <c r="K221" s="29">
        <v>3.2824900000000001</v>
      </c>
      <c r="M221" s="41"/>
      <c r="O221" s="26">
        <v>2987.72</v>
      </c>
      <c r="Q221" s="26">
        <v>5600.7</v>
      </c>
      <c r="S221" s="26">
        <v>1706.28</v>
      </c>
      <c r="U221" s="29">
        <v>3.3401999999999998</v>
      </c>
      <c r="W221" s="27">
        <v>30.053799999999999</v>
      </c>
      <c r="Y221" s="29">
        <v>9.1559799999999996</v>
      </c>
      <c r="AA221" s="41">
        <v>546.60599999999999</v>
      </c>
      <c r="AC221" s="27">
        <v>45.972700000000003</v>
      </c>
      <c r="AE221" s="27">
        <v>1</v>
      </c>
      <c r="AG221" s="29">
        <v>7.59518</v>
      </c>
      <c r="AI221" s="29">
        <v>8.7517700000000005</v>
      </c>
      <c r="AK221" s="27">
        <v>22.7469</v>
      </c>
      <c r="AM221" s="27">
        <v>28.623899999999999</v>
      </c>
      <c r="AO221" s="29"/>
      <c r="AP221" s="28"/>
    </row>
    <row r="222" spans="2:42" hidden="1" outlineLevel="1" x14ac:dyDescent="0.25">
      <c r="B222" s="21">
        <v>42578</v>
      </c>
      <c r="C222" s="27">
        <v>18.792400000000001</v>
      </c>
      <c r="E222" s="30">
        <v>0.90918600000000005</v>
      </c>
      <c r="G222" s="27">
        <v>14.9596</v>
      </c>
      <c r="I222" s="29">
        <v>6.9357600000000001</v>
      </c>
      <c r="K222" s="29">
        <v>3.27732</v>
      </c>
      <c r="M222" s="41"/>
      <c r="O222" s="26">
        <v>3044.76</v>
      </c>
      <c r="Q222" s="26">
        <v>5598.85</v>
      </c>
      <c r="S222" s="26">
        <v>1708.4</v>
      </c>
      <c r="U222" s="29">
        <v>3.3666900000000002</v>
      </c>
      <c r="W222" s="27">
        <v>29.9359</v>
      </c>
      <c r="Y222" s="29">
        <v>9.1344499999999993</v>
      </c>
      <c r="AA222" s="41">
        <v>547.57399999999996</v>
      </c>
      <c r="AC222" s="27">
        <v>46.0002</v>
      </c>
      <c r="AE222" s="27">
        <v>1</v>
      </c>
      <c r="AG222" s="29">
        <v>7.5928800000000001</v>
      </c>
      <c r="AI222" s="29">
        <v>8.7570800000000002</v>
      </c>
      <c r="AK222" s="27">
        <v>22.7592</v>
      </c>
      <c r="AM222" s="27">
        <v>28.827500000000001</v>
      </c>
      <c r="AO222" s="29"/>
      <c r="AP222" s="28"/>
    </row>
    <row r="223" spans="2:42" hidden="1" outlineLevel="1" x14ac:dyDescent="0.25">
      <c r="B223" s="21">
        <v>42579</v>
      </c>
      <c r="C223" s="27">
        <v>18.838699999999999</v>
      </c>
      <c r="E223" s="30">
        <v>0.90251499999999996</v>
      </c>
      <c r="G223" s="27">
        <v>15.0037</v>
      </c>
      <c r="I223" s="29">
        <v>6.8943599999999998</v>
      </c>
      <c r="K223" s="29">
        <v>3.2683200000000001</v>
      </c>
      <c r="M223" s="41"/>
      <c r="O223" s="26">
        <v>3082.8</v>
      </c>
      <c r="Q223" s="26">
        <v>5560.6</v>
      </c>
      <c r="S223" s="26">
        <v>1701.4</v>
      </c>
      <c r="U223" s="29">
        <v>3.3415900000000001</v>
      </c>
      <c r="W223" s="27">
        <v>29.7836</v>
      </c>
      <c r="Y223" s="29">
        <v>9.1129899999999999</v>
      </c>
      <c r="AA223" s="41">
        <v>545.21299999999997</v>
      </c>
      <c r="AC223" s="27">
        <v>45.790100000000002</v>
      </c>
      <c r="AE223" s="27">
        <v>1</v>
      </c>
      <c r="AG223" s="29">
        <v>7.5479099999999999</v>
      </c>
      <c r="AI223" s="29">
        <v>8.7152600000000007</v>
      </c>
      <c r="AK223" s="27">
        <v>22.6538</v>
      </c>
      <c r="AM223" s="27">
        <v>28.646000000000001</v>
      </c>
      <c r="AO223" s="29"/>
      <c r="AP223" s="28"/>
    </row>
    <row r="224" spans="2:42" hidden="1" outlineLevel="1" x14ac:dyDescent="0.25">
      <c r="B224" s="21">
        <v>42580</v>
      </c>
      <c r="C224" s="27">
        <v>18.8705</v>
      </c>
      <c r="E224" s="30">
        <v>0.89949900000000005</v>
      </c>
      <c r="G224" s="27">
        <v>15.0319</v>
      </c>
      <c r="I224" s="29">
        <v>6.9195700000000002</v>
      </c>
      <c r="K224" s="29">
        <v>3.2720699999999998</v>
      </c>
      <c r="M224" s="41"/>
      <c r="O224" s="26">
        <v>3081.65</v>
      </c>
      <c r="Q224" s="26">
        <v>5587.68</v>
      </c>
      <c r="S224" s="26">
        <v>1707.73</v>
      </c>
      <c r="U224" s="29">
        <v>3.3538000000000001</v>
      </c>
      <c r="W224" s="27">
        <v>29.896100000000001</v>
      </c>
      <c r="Y224" s="29">
        <v>9.1369699999999998</v>
      </c>
      <c r="AA224" s="41">
        <v>546.80600000000004</v>
      </c>
      <c r="AC224" s="27">
        <v>45.998600000000003</v>
      </c>
      <c r="AE224" s="27">
        <v>1</v>
      </c>
      <c r="AG224" s="29">
        <v>7.5741399999999999</v>
      </c>
      <c r="AI224" s="29">
        <v>8.7516300000000005</v>
      </c>
      <c r="AK224" s="27">
        <v>22.703099999999999</v>
      </c>
      <c r="AM224" s="27">
        <v>28.765899999999998</v>
      </c>
      <c r="AO224" s="29"/>
      <c r="AP224" s="28"/>
    </row>
    <row r="225" spans="2:42" hidden="1" outlineLevel="1" x14ac:dyDescent="0.25">
      <c r="B225" s="21">
        <v>42581</v>
      </c>
      <c r="C225" s="27">
        <v>18.7516</v>
      </c>
      <c r="E225" s="30">
        <v>0.89488699999999999</v>
      </c>
      <c r="G225" s="27">
        <v>15</v>
      </c>
      <c r="I225" s="29">
        <v>6.8909000000000002</v>
      </c>
      <c r="K225" s="29">
        <v>3.2517800000000001</v>
      </c>
      <c r="M225" s="41"/>
      <c r="O225" s="26">
        <v>3076.6</v>
      </c>
      <c r="Q225" s="26">
        <v>5561</v>
      </c>
      <c r="S225" s="26">
        <v>1710.18</v>
      </c>
      <c r="U225" s="29">
        <v>3.3468599999999999</v>
      </c>
      <c r="W225" s="27">
        <v>29.716000000000001</v>
      </c>
      <c r="Y225" s="29">
        <v>9.13856</v>
      </c>
      <c r="AA225" s="41">
        <v>543.91999999999996</v>
      </c>
      <c r="AC225" s="27">
        <v>45.720999999999997</v>
      </c>
      <c r="AE225" s="27">
        <v>1</v>
      </c>
      <c r="AG225" s="29">
        <v>7.5248499999999998</v>
      </c>
      <c r="AI225" s="29">
        <v>8.7006499999999996</v>
      </c>
      <c r="AK225" s="27">
        <v>22.4925</v>
      </c>
      <c r="AM225" s="27">
        <v>28.737500000000001</v>
      </c>
      <c r="AO225" s="29"/>
      <c r="AP225" s="28"/>
    </row>
    <row r="226" spans="2:42" hidden="1" outlineLevel="1" x14ac:dyDescent="0.25">
      <c r="B226" s="21">
        <v>42582</v>
      </c>
      <c r="C226" s="49">
        <v>18.8979</v>
      </c>
      <c r="E226" s="30">
        <v>0.89488699999999999</v>
      </c>
      <c r="G226" s="27">
        <v>14.959</v>
      </c>
      <c r="I226" s="29">
        <v>6.9450000000000003</v>
      </c>
      <c r="K226" s="29">
        <v>3.2521</v>
      </c>
      <c r="M226" s="41"/>
      <c r="O226" s="26">
        <v>3071</v>
      </c>
      <c r="Q226" s="26">
        <v>5609</v>
      </c>
      <c r="S226" s="26">
        <v>1724.74</v>
      </c>
      <c r="U226" s="29">
        <v>3.3675000000000002</v>
      </c>
      <c r="W226" s="27">
        <v>29.9</v>
      </c>
      <c r="Y226" s="29">
        <v>9.1940899999999992</v>
      </c>
      <c r="AA226" s="41">
        <v>550.30999999999995</v>
      </c>
      <c r="AC226" s="27">
        <v>45.92</v>
      </c>
      <c r="AE226" s="27">
        <v>1</v>
      </c>
      <c r="AG226" s="29">
        <v>7.5620000000000003</v>
      </c>
      <c r="AI226" s="29">
        <v>8.7270000000000003</v>
      </c>
      <c r="AK226" s="27">
        <v>22.62</v>
      </c>
      <c r="AM226" s="27">
        <v>28.715</v>
      </c>
      <c r="AO226" s="29"/>
      <c r="AP226" s="28"/>
    </row>
    <row r="227" spans="2:42" ht="13" collapsed="1" x14ac:dyDescent="0.3">
      <c r="B227" s="25" t="s">
        <v>145</v>
      </c>
      <c r="C227" s="19">
        <v>18.5776</v>
      </c>
      <c r="E227" s="24">
        <v>0.90360200000000002</v>
      </c>
      <c r="G227" s="19">
        <v>14.900700000000001</v>
      </c>
      <c r="I227" s="23">
        <v>6.9078499999999998</v>
      </c>
      <c r="J227" s="9"/>
      <c r="K227" s="23">
        <v>3.2725499999999998</v>
      </c>
      <c r="M227" s="42" t="s">
        <v>78</v>
      </c>
      <c r="O227" s="31">
        <v>2965.35</v>
      </c>
      <c r="Q227" s="31">
        <v>5616.92</v>
      </c>
      <c r="S227" s="31">
        <v>1716.53</v>
      </c>
      <c r="U227" s="23">
        <v>3.3062</v>
      </c>
      <c r="W227" s="23">
        <v>30.3461</v>
      </c>
      <c r="Y227" s="23">
        <v>9.2735299999999992</v>
      </c>
      <c r="AA227" s="42">
        <v>547.75800000000004</v>
      </c>
      <c r="AC227" s="19">
        <v>45.999899999999997</v>
      </c>
      <c r="AE227" s="19">
        <v>1</v>
      </c>
      <c r="AG227" s="23">
        <v>7.6161399999999997</v>
      </c>
      <c r="AI227" s="23">
        <v>8.7565100000000005</v>
      </c>
      <c r="AK227" s="23">
        <v>22.766393548387097</v>
      </c>
      <c r="AM227" s="23">
        <v>28.615358064516126</v>
      </c>
      <c r="AO227" s="23" t="s">
        <v>78</v>
      </c>
      <c r="AP227" s="10"/>
    </row>
    <row r="228" spans="2:42" hidden="1" outlineLevel="1" x14ac:dyDescent="0.25">
      <c r="B228" s="21">
        <v>42583</v>
      </c>
      <c r="C228" s="27">
        <v>18.7745</v>
      </c>
      <c r="E228" s="30">
        <v>0.89529099999999995</v>
      </c>
      <c r="G228" s="27">
        <v>14.913</v>
      </c>
      <c r="I228" s="29">
        <v>6.9115900000000003</v>
      </c>
      <c r="K228" s="29">
        <v>3.2574999999999998</v>
      </c>
      <c r="M228" s="41"/>
      <c r="O228" s="26">
        <v>3080.18</v>
      </c>
      <c r="Q228" s="26">
        <v>5575.31</v>
      </c>
      <c r="S228" s="26">
        <v>1711.58</v>
      </c>
      <c r="U228" s="29">
        <v>3.34538</v>
      </c>
      <c r="W228" s="27">
        <v>29.800799999999999</v>
      </c>
      <c r="Y228" s="29">
        <v>9.1485500000000002</v>
      </c>
      <c r="AA228" s="41">
        <v>546.71900000000005</v>
      </c>
      <c r="AC228" s="27">
        <v>45.59</v>
      </c>
      <c r="AE228" s="27">
        <v>1</v>
      </c>
      <c r="AG228" s="29">
        <v>7.5450400000000002</v>
      </c>
      <c r="AI228" s="29">
        <v>8.7268299999999996</v>
      </c>
      <c r="AK228" s="27">
        <v>22.6342</v>
      </c>
      <c r="AM228" s="27">
        <v>28.664999999999999</v>
      </c>
      <c r="AO228" s="29"/>
      <c r="AP228" s="28"/>
    </row>
    <row r="229" spans="2:42" hidden="1" outlineLevel="1" x14ac:dyDescent="0.25">
      <c r="B229" s="21">
        <v>42584</v>
      </c>
      <c r="C229" s="27">
        <v>18.8871</v>
      </c>
      <c r="E229" s="30">
        <v>0.89329199999999997</v>
      </c>
      <c r="G229" s="27">
        <v>14.8545</v>
      </c>
      <c r="I229" s="29">
        <v>6.9219499999999998</v>
      </c>
      <c r="K229" s="29">
        <v>3.26098</v>
      </c>
      <c r="M229" s="41"/>
      <c r="O229" s="26">
        <v>3080.36</v>
      </c>
      <c r="Q229" s="26">
        <v>5584.65</v>
      </c>
      <c r="S229" s="26">
        <v>1712.61</v>
      </c>
      <c r="U229" s="29">
        <v>3.3508</v>
      </c>
      <c r="W229" s="27">
        <v>29.842500000000001</v>
      </c>
      <c r="Y229" s="29">
        <v>9.1516099999999998</v>
      </c>
      <c r="AA229" s="41">
        <v>549.529</v>
      </c>
      <c r="AC229" s="27">
        <v>45.97</v>
      </c>
      <c r="AE229" s="27">
        <v>1</v>
      </c>
      <c r="AG229" s="29">
        <v>7.56243</v>
      </c>
      <c r="AI229" s="29">
        <v>8.7504899999999992</v>
      </c>
      <c r="AK229" s="27">
        <v>22.712700000000002</v>
      </c>
      <c r="AM229" s="27">
        <v>28.831</v>
      </c>
      <c r="AO229" s="29"/>
      <c r="AP229" s="28"/>
    </row>
    <row r="230" spans="2:42" hidden="1" outlineLevel="1" x14ac:dyDescent="0.25">
      <c r="B230" s="21">
        <v>42585</v>
      </c>
      <c r="C230" s="27">
        <v>18.943899999999999</v>
      </c>
      <c r="E230" s="30">
        <v>0.89333600000000002</v>
      </c>
      <c r="G230" s="27">
        <v>14.935</v>
      </c>
      <c r="I230" s="29">
        <v>6.8995699999999998</v>
      </c>
      <c r="K230" s="29">
        <v>3.25841</v>
      </c>
      <c r="M230" s="41"/>
      <c r="O230" s="26">
        <v>3107.7</v>
      </c>
      <c r="Q230" s="26">
        <v>5555.56</v>
      </c>
      <c r="S230" s="26">
        <v>1705.04</v>
      </c>
      <c r="U230" s="29">
        <v>3.34206</v>
      </c>
      <c r="W230" s="27">
        <v>29.7332</v>
      </c>
      <c r="Y230" s="29">
        <v>9.1252600000000008</v>
      </c>
      <c r="AA230" s="41">
        <v>548.56799999999998</v>
      </c>
      <c r="AC230" s="27">
        <v>45.93</v>
      </c>
      <c r="AE230" s="27">
        <v>1</v>
      </c>
      <c r="AG230" s="29">
        <v>7.5496699999999999</v>
      </c>
      <c r="AI230" s="29">
        <v>8.7364499999999996</v>
      </c>
      <c r="AK230" s="27">
        <v>22.838999999999999</v>
      </c>
      <c r="AM230" s="27">
        <v>28.55</v>
      </c>
      <c r="AO230" s="29"/>
      <c r="AP230" s="28"/>
    </row>
    <row r="231" spans="2:42" hidden="1" outlineLevel="1" x14ac:dyDescent="0.25">
      <c r="B231" s="21">
        <v>42586</v>
      </c>
      <c r="C231" s="27">
        <v>18.875499999999999</v>
      </c>
      <c r="E231" s="30">
        <v>0.89773000000000003</v>
      </c>
      <c r="G231" s="27">
        <v>14.839</v>
      </c>
      <c r="I231" s="29">
        <v>6.9365100000000002</v>
      </c>
      <c r="K231" s="29">
        <v>3.2275900000000002</v>
      </c>
      <c r="M231" s="41"/>
      <c r="O231" s="26">
        <v>3103.84</v>
      </c>
      <c r="Q231" s="26">
        <v>5559.1</v>
      </c>
      <c r="S231" s="26">
        <v>1722.41</v>
      </c>
      <c r="U231" s="29">
        <v>3.35364</v>
      </c>
      <c r="W231" s="27">
        <v>29.747900000000001</v>
      </c>
      <c r="Y231" s="29">
        <v>9.2169500000000006</v>
      </c>
      <c r="AA231" s="41">
        <v>550.36800000000005</v>
      </c>
      <c r="AC231" s="27">
        <v>45.92</v>
      </c>
      <c r="AE231" s="27">
        <v>1</v>
      </c>
      <c r="AG231" s="29">
        <v>7.5764399999999998</v>
      </c>
      <c r="AI231" s="29">
        <v>8.7720400000000005</v>
      </c>
      <c r="AK231" s="27">
        <v>22.9313</v>
      </c>
      <c r="AM231" s="27">
        <v>28.6</v>
      </c>
      <c r="AO231" s="29"/>
      <c r="AP231" s="28"/>
    </row>
    <row r="232" spans="2:42" hidden="1" outlineLevel="1" x14ac:dyDescent="0.25">
      <c r="B232" s="21">
        <v>42587</v>
      </c>
      <c r="C232" s="27">
        <v>18.8672</v>
      </c>
      <c r="E232" s="30">
        <v>0.89942200000000005</v>
      </c>
      <c r="G232" s="27">
        <v>14.8325</v>
      </c>
      <c r="I232" s="29">
        <v>6.9272900000000002</v>
      </c>
      <c r="K232" s="29">
        <v>3.1851500000000001</v>
      </c>
      <c r="M232" s="41"/>
      <c r="O232" s="26">
        <v>3082.84</v>
      </c>
      <c r="Q232" s="26">
        <v>5551.38</v>
      </c>
      <c r="S232" s="26">
        <v>1742.93</v>
      </c>
      <c r="U232" s="29">
        <v>3.3416700000000001</v>
      </c>
      <c r="W232" s="27">
        <v>29.567799999999998</v>
      </c>
      <c r="Y232" s="29">
        <v>9.2832100000000004</v>
      </c>
      <c r="AA232" s="41">
        <v>548.30100000000004</v>
      </c>
      <c r="AC232" s="27">
        <v>45.6</v>
      </c>
      <c r="AE232" s="27">
        <v>1</v>
      </c>
      <c r="AG232" s="29">
        <v>7.5445000000000002</v>
      </c>
      <c r="AI232" s="29">
        <v>8.7462</v>
      </c>
      <c r="AK232" s="27">
        <v>22.8583</v>
      </c>
      <c r="AM232" s="27">
        <v>28.68</v>
      </c>
      <c r="AO232" s="29"/>
      <c r="AP232" s="28"/>
    </row>
    <row r="233" spans="2:42" hidden="1" outlineLevel="1" x14ac:dyDescent="0.25">
      <c r="B233" s="21">
        <v>42588</v>
      </c>
      <c r="C233" s="27">
        <v>18.761500000000002</v>
      </c>
      <c r="E233" s="30">
        <v>0.90193699999999999</v>
      </c>
      <c r="G233" s="27">
        <v>14.923</v>
      </c>
      <c r="I233" s="29">
        <v>6.9663000000000004</v>
      </c>
      <c r="K233" s="29">
        <v>3.16696</v>
      </c>
      <c r="M233" s="41"/>
      <c r="O233" s="26">
        <v>3099.2</v>
      </c>
      <c r="Q233" s="26">
        <v>5589.15</v>
      </c>
      <c r="S233" s="26">
        <v>1764.87</v>
      </c>
      <c r="U233" s="29">
        <v>3.3499500000000002</v>
      </c>
      <c r="W233" s="27">
        <v>29.76</v>
      </c>
      <c r="Y233" s="29">
        <v>9.3971800000000005</v>
      </c>
      <c r="AA233" s="41">
        <v>551.375</v>
      </c>
      <c r="AC233" s="27">
        <v>46.220500000000001</v>
      </c>
      <c r="AE233" s="27">
        <v>1</v>
      </c>
      <c r="AG233" s="29">
        <v>7.5819999999999999</v>
      </c>
      <c r="AI233" s="29">
        <v>8.7955500000000004</v>
      </c>
      <c r="AK233" s="27">
        <v>22.99</v>
      </c>
      <c r="AM233" s="27">
        <v>29.052</v>
      </c>
      <c r="AO233" s="29"/>
      <c r="AP233" s="28"/>
    </row>
    <row r="234" spans="2:42" hidden="1" outlineLevel="1" x14ac:dyDescent="0.25">
      <c r="B234" s="21">
        <v>42589</v>
      </c>
      <c r="C234" s="27">
        <v>18.761500000000002</v>
      </c>
      <c r="E234" s="30">
        <v>0.90193699999999999</v>
      </c>
      <c r="G234" s="27">
        <v>14.923500000000001</v>
      </c>
      <c r="I234" s="29">
        <v>6.9663000000000004</v>
      </c>
      <c r="K234" s="29">
        <v>3.1669999999999998</v>
      </c>
      <c r="M234" s="41"/>
      <c r="O234" s="26">
        <v>3099.2</v>
      </c>
      <c r="Q234" s="26">
        <v>5589.15</v>
      </c>
      <c r="S234" s="26">
        <v>1764.85</v>
      </c>
      <c r="U234" s="29">
        <v>3.3499500000000002</v>
      </c>
      <c r="W234" s="27">
        <v>29.76</v>
      </c>
      <c r="Y234" s="29">
        <v>9.3970699999999994</v>
      </c>
      <c r="AA234" s="41">
        <v>551.375</v>
      </c>
      <c r="AC234" s="27">
        <v>46.220500000000001</v>
      </c>
      <c r="AE234" s="27">
        <v>1</v>
      </c>
      <c r="AG234" s="29">
        <v>7.5819999999999999</v>
      </c>
      <c r="AI234" s="29">
        <v>8.7955500000000004</v>
      </c>
      <c r="AK234" s="27">
        <v>22.99</v>
      </c>
      <c r="AM234" s="27">
        <v>29.052</v>
      </c>
      <c r="AO234" s="29"/>
      <c r="AP234" s="28"/>
    </row>
    <row r="235" spans="2:42" hidden="1" outlineLevel="1" x14ac:dyDescent="0.25">
      <c r="B235" s="21">
        <v>42590</v>
      </c>
      <c r="C235" s="27">
        <v>18.6617</v>
      </c>
      <c r="E235" s="30">
        <v>0.90196100000000001</v>
      </c>
      <c r="G235" s="27">
        <v>14.7902</v>
      </c>
      <c r="I235" s="29">
        <v>6.9492599999999998</v>
      </c>
      <c r="K235" s="29">
        <v>3.1688999999999998</v>
      </c>
      <c r="M235" s="41"/>
      <c r="O235" s="26">
        <v>3070.8</v>
      </c>
      <c r="Q235" s="26">
        <v>5573.09</v>
      </c>
      <c r="S235" s="26">
        <v>1758.73</v>
      </c>
      <c r="U235" s="29">
        <v>3.3385899999999999</v>
      </c>
      <c r="W235" s="27">
        <v>29.625800000000002</v>
      </c>
      <c r="Y235" s="29">
        <v>9.3491700000000009</v>
      </c>
      <c r="AA235" s="41">
        <v>550.02300000000002</v>
      </c>
      <c r="AC235" s="27">
        <v>46.117800000000003</v>
      </c>
      <c r="AE235" s="27">
        <v>1</v>
      </c>
      <c r="AG235" s="29">
        <v>7.5625</v>
      </c>
      <c r="AI235" s="29">
        <v>8.7740299999999998</v>
      </c>
      <c r="AK235" s="27">
        <v>22.926300000000001</v>
      </c>
      <c r="AM235" s="27">
        <v>28.912199999999999</v>
      </c>
      <c r="AO235" s="29"/>
      <c r="AP235" s="28"/>
    </row>
    <row r="236" spans="2:42" hidden="1" outlineLevel="1" x14ac:dyDescent="0.25">
      <c r="B236" s="21">
        <v>42591</v>
      </c>
      <c r="C236" s="27">
        <v>18.508600000000001</v>
      </c>
      <c r="E236" s="30">
        <v>0.90161999999999998</v>
      </c>
      <c r="G236" s="27">
        <v>14.694000000000001</v>
      </c>
      <c r="I236" s="29">
        <v>6.9281199999999998</v>
      </c>
      <c r="K236" s="29">
        <v>3.1620599999999999</v>
      </c>
      <c r="M236" s="41"/>
      <c r="O236" s="26">
        <v>3013.61</v>
      </c>
      <c r="Q236" s="26">
        <v>5552.47</v>
      </c>
      <c r="S236" s="26">
        <v>1756.02</v>
      </c>
      <c r="U236" s="29">
        <v>3.3215300000000001</v>
      </c>
      <c r="W236" s="27">
        <v>29.354199999999999</v>
      </c>
      <c r="Y236" s="29">
        <v>9.2834699999999994</v>
      </c>
      <c r="AA236" s="41">
        <v>548.35</v>
      </c>
      <c r="AC236" s="27">
        <v>45.977800000000002</v>
      </c>
      <c r="AE236" s="27">
        <v>1</v>
      </c>
      <c r="AG236" s="29">
        <v>7.53843</v>
      </c>
      <c r="AI236" s="29">
        <v>8.74742</v>
      </c>
      <c r="AK236" s="27">
        <v>22.8581</v>
      </c>
      <c r="AM236" s="27">
        <v>28.872699999999998</v>
      </c>
      <c r="AO236" s="29"/>
      <c r="AP236" s="28"/>
    </row>
    <row r="237" spans="2:42" hidden="1" outlineLevel="1" x14ac:dyDescent="0.25">
      <c r="B237" s="21">
        <v>42592</v>
      </c>
      <c r="C237" s="27">
        <v>18.384699999999999</v>
      </c>
      <c r="E237" s="30">
        <v>0.89628200000000002</v>
      </c>
      <c r="G237" s="27">
        <v>14.758699999999999</v>
      </c>
      <c r="I237" s="29">
        <v>6.9144800000000002</v>
      </c>
      <c r="K237" s="29">
        <v>3.14011</v>
      </c>
      <c r="M237" s="41"/>
      <c r="O237" s="26">
        <v>2981.28</v>
      </c>
      <c r="Q237" s="26">
        <v>5541.13</v>
      </c>
      <c r="S237" s="26">
        <v>1764.67</v>
      </c>
      <c r="U237" s="29">
        <v>3.3134800000000002</v>
      </c>
      <c r="W237" s="27">
        <v>29.101400000000002</v>
      </c>
      <c r="Y237" s="29">
        <v>9.26783</v>
      </c>
      <c r="AA237" s="41">
        <v>547.27099999999996</v>
      </c>
      <c r="AC237" s="27">
        <v>45.896900000000002</v>
      </c>
      <c r="AE237" s="27">
        <v>1</v>
      </c>
      <c r="AG237" s="29">
        <v>7.5227300000000001</v>
      </c>
      <c r="AI237" s="29">
        <v>8.7302099999999996</v>
      </c>
      <c r="AK237" s="27">
        <v>22.8066</v>
      </c>
      <c r="AM237" s="27">
        <v>28.8538</v>
      </c>
      <c r="AO237" s="29"/>
      <c r="AP237" s="28"/>
    </row>
    <row r="238" spans="2:42" hidden="1" outlineLevel="1" x14ac:dyDescent="0.25">
      <c r="B238" s="21">
        <v>42593</v>
      </c>
      <c r="C238" s="27">
        <v>18.3658</v>
      </c>
      <c r="E238" s="30">
        <v>0.89586900000000003</v>
      </c>
      <c r="G238" s="27">
        <v>14.664</v>
      </c>
      <c r="I238" s="29">
        <v>6.9236000000000004</v>
      </c>
      <c r="K238" s="29">
        <v>3.13158</v>
      </c>
      <c r="M238" s="41"/>
      <c r="O238" s="26">
        <v>2955.49</v>
      </c>
      <c r="Q238" s="26">
        <v>5549.97</v>
      </c>
      <c r="S238" s="26">
        <v>1772.31</v>
      </c>
      <c r="U238" s="29">
        <v>3.3064900000000002</v>
      </c>
      <c r="W238" s="27">
        <v>29.034199999999998</v>
      </c>
      <c r="Y238" s="29">
        <v>9.2716100000000008</v>
      </c>
      <c r="AA238" s="41">
        <v>548.21</v>
      </c>
      <c r="AC238" s="27">
        <v>45.959899999999998</v>
      </c>
      <c r="AE238" s="27">
        <v>1</v>
      </c>
      <c r="AG238" s="29">
        <v>7.5318100000000001</v>
      </c>
      <c r="AI238" s="29">
        <v>8.7418999999999993</v>
      </c>
      <c r="AK238" s="27">
        <v>22.817</v>
      </c>
      <c r="AM238" s="27">
        <v>28.959900000000001</v>
      </c>
      <c r="AO238" s="29"/>
      <c r="AP238" s="28"/>
    </row>
    <row r="239" spans="2:42" hidden="1" outlineLevel="1" x14ac:dyDescent="0.25">
      <c r="B239" s="21">
        <v>42594</v>
      </c>
      <c r="C239" s="27">
        <v>18.248799999999999</v>
      </c>
      <c r="E239" s="30">
        <v>0.89650700000000005</v>
      </c>
      <c r="G239" s="27">
        <v>14.6653</v>
      </c>
      <c r="I239" s="29">
        <v>6.9322499999999998</v>
      </c>
      <c r="K239" s="29">
        <v>3.15218</v>
      </c>
      <c r="M239" s="41"/>
      <c r="O239" s="26">
        <v>2927.11</v>
      </c>
      <c r="Q239" s="26">
        <v>5556.81</v>
      </c>
      <c r="S239" s="26">
        <v>1762.89</v>
      </c>
      <c r="U239" s="29">
        <v>3.3090199999999999</v>
      </c>
      <c r="W239" s="27">
        <v>28.927600000000002</v>
      </c>
      <c r="Y239" s="29">
        <v>9.1772600000000004</v>
      </c>
      <c r="AA239" s="41">
        <v>549.803</v>
      </c>
      <c r="AC239" s="27">
        <v>46.0227</v>
      </c>
      <c r="AE239" s="27">
        <v>1</v>
      </c>
      <c r="AG239" s="29">
        <v>7.53552</v>
      </c>
      <c r="AI239" s="29">
        <v>8.7525999999999993</v>
      </c>
      <c r="AK239" s="27">
        <v>22.856999999999999</v>
      </c>
      <c r="AM239" s="27">
        <v>28.9757</v>
      </c>
      <c r="AO239" s="29"/>
      <c r="AP239" s="28"/>
    </row>
    <row r="240" spans="2:42" hidden="1" outlineLevel="1" x14ac:dyDescent="0.25">
      <c r="B240" s="21">
        <v>42595</v>
      </c>
      <c r="C240" s="27">
        <v>18.263500000000001</v>
      </c>
      <c r="E240" s="30">
        <v>0.89588900000000005</v>
      </c>
      <c r="G240" s="27">
        <v>14.657299999999999</v>
      </c>
      <c r="I240" s="29">
        <v>6.9236500000000003</v>
      </c>
      <c r="K240" s="29">
        <v>3.1925599999999998</v>
      </c>
      <c r="M240" s="41"/>
      <c r="O240" s="26">
        <v>2888</v>
      </c>
      <c r="Q240" s="26">
        <v>5549.95</v>
      </c>
      <c r="S240" s="26">
        <v>1738.41</v>
      </c>
      <c r="U240" s="29">
        <v>3.29935</v>
      </c>
      <c r="W240" s="27">
        <v>28.799499999999998</v>
      </c>
      <c r="Y240" s="29">
        <v>9.0208899999999996</v>
      </c>
      <c r="AA240" s="41">
        <v>550</v>
      </c>
      <c r="AC240" s="27">
        <v>45.957999999999998</v>
      </c>
      <c r="AE240" s="27">
        <v>1</v>
      </c>
      <c r="AG240" s="29">
        <v>7.5186500000000001</v>
      </c>
      <c r="AI240" s="29">
        <v>8.7415500000000002</v>
      </c>
      <c r="AK240" s="27">
        <v>22.7895</v>
      </c>
      <c r="AM240" s="27">
        <v>28.993500000000001</v>
      </c>
      <c r="AO240" s="29"/>
      <c r="AP240" s="28"/>
    </row>
    <row r="241" spans="2:42" hidden="1" outlineLevel="1" x14ac:dyDescent="0.25">
      <c r="B241" s="21">
        <v>42596</v>
      </c>
      <c r="C241" s="27">
        <v>18.263500000000001</v>
      </c>
      <c r="E241" s="30">
        <v>0.89588900000000005</v>
      </c>
      <c r="G241" s="27">
        <v>14.6563</v>
      </c>
      <c r="I241" s="29">
        <v>6.9236500000000003</v>
      </c>
      <c r="K241" s="29">
        <v>3.1926000000000001</v>
      </c>
      <c r="M241" s="41"/>
      <c r="O241" s="26">
        <v>2888</v>
      </c>
      <c r="Q241" s="26">
        <v>5549.95</v>
      </c>
      <c r="S241" s="26">
        <v>1738.39</v>
      </c>
      <c r="U241" s="29">
        <v>3.29935</v>
      </c>
      <c r="W241" s="27">
        <v>28.799499999999998</v>
      </c>
      <c r="Y241" s="29">
        <v>9.0207800000000002</v>
      </c>
      <c r="AA241" s="41">
        <v>550</v>
      </c>
      <c r="AC241" s="27">
        <v>45.957999999999998</v>
      </c>
      <c r="AE241" s="27">
        <v>1</v>
      </c>
      <c r="AG241" s="29">
        <v>7.5186500000000001</v>
      </c>
      <c r="AI241" s="29">
        <v>8.7415500000000002</v>
      </c>
      <c r="AK241" s="27">
        <v>22.7895</v>
      </c>
      <c r="AM241" s="27">
        <v>28.993500000000001</v>
      </c>
      <c r="AO241" s="29"/>
      <c r="AP241" s="28"/>
    </row>
    <row r="242" spans="2:42" hidden="1" outlineLevel="1" x14ac:dyDescent="0.25">
      <c r="B242" s="21">
        <v>42597</v>
      </c>
      <c r="C242" s="27">
        <v>18.163499999999999</v>
      </c>
      <c r="E242" s="30">
        <v>0.89505500000000005</v>
      </c>
      <c r="G242" s="27">
        <v>14.6645</v>
      </c>
      <c r="I242" s="29">
        <v>6.92652</v>
      </c>
      <c r="K242" s="29">
        <v>3.1842100000000002</v>
      </c>
      <c r="M242" s="41"/>
      <c r="O242" s="26">
        <v>2907.57</v>
      </c>
      <c r="Q242" s="26">
        <v>5545.13</v>
      </c>
      <c r="S242" s="26">
        <v>1741.46</v>
      </c>
      <c r="U242" s="29">
        <v>3.3054999999999999</v>
      </c>
      <c r="W242" s="27">
        <v>28.734999999999999</v>
      </c>
      <c r="Y242" s="29">
        <v>9.0243099999999998</v>
      </c>
      <c r="AA242" s="41">
        <v>550.22299999999996</v>
      </c>
      <c r="AC242" s="27">
        <v>45.978499999999997</v>
      </c>
      <c r="AE242" s="27">
        <v>1</v>
      </c>
      <c r="AG242" s="29">
        <v>7.5132099999999999</v>
      </c>
      <c r="AI242" s="29">
        <v>8.7453800000000008</v>
      </c>
      <c r="AK242" s="27">
        <v>22.818300000000001</v>
      </c>
      <c r="AM242" s="27">
        <v>28.970600000000001</v>
      </c>
      <c r="AO242" s="29"/>
      <c r="AP242" s="28"/>
    </row>
    <row r="243" spans="2:42" hidden="1" outlineLevel="1" x14ac:dyDescent="0.25">
      <c r="B243" s="21">
        <v>42598</v>
      </c>
      <c r="C243" s="27">
        <v>18.0365</v>
      </c>
      <c r="E243" s="30">
        <v>0.88973599999999997</v>
      </c>
      <c r="G243" s="27">
        <v>14.6691</v>
      </c>
      <c r="I243" s="29">
        <v>6.9211200000000002</v>
      </c>
      <c r="K243" s="29">
        <v>3.1844399999999999</v>
      </c>
      <c r="M243" s="41"/>
      <c r="O243" s="26">
        <v>2927.91</v>
      </c>
      <c r="Q243" s="26">
        <v>5532.88</v>
      </c>
      <c r="S243" s="26">
        <v>1737.49</v>
      </c>
      <c r="U243" s="29">
        <v>3.3102200000000002</v>
      </c>
      <c r="W243" s="27">
        <v>28.730899999999998</v>
      </c>
      <c r="Y243" s="29">
        <v>9.0223899999999997</v>
      </c>
      <c r="AA243" s="41">
        <v>549.79300000000001</v>
      </c>
      <c r="AC243" s="27">
        <v>45.973999999999997</v>
      </c>
      <c r="AE243" s="27">
        <v>1</v>
      </c>
      <c r="AG243" s="29">
        <v>7.4977200000000002</v>
      </c>
      <c r="AI243" s="29">
        <v>8.7386900000000001</v>
      </c>
      <c r="AK243" s="27">
        <v>22.826000000000001</v>
      </c>
      <c r="AM243" s="27">
        <v>28.9434</v>
      </c>
      <c r="AO243" s="29"/>
      <c r="AP243" s="28"/>
    </row>
    <row r="244" spans="2:42" hidden="1" outlineLevel="1" x14ac:dyDescent="0.25">
      <c r="B244" s="21">
        <v>42599</v>
      </c>
      <c r="C244" s="27">
        <v>18.134</v>
      </c>
      <c r="E244" s="30">
        <v>0.88704400000000005</v>
      </c>
      <c r="G244" s="27">
        <v>14.69</v>
      </c>
      <c r="I244" s="29">
        <v>6.9293100000000001</v>
      </c>
      <c r="K244" s="29">
        <v>3.20872</v>
      </c>
      <c r="M244" s="41"/>
      <c r="O244" s="26">
        <v>2919.12</v>
      </c>
      <c r="Q244" s="26">
        <v>5539.46</v>
      </c>
      <c r="S244" s="26">
        <v>1726.39</v>
      </c>
      <c r="U244" s="29">
        <v>3.3092000000000001</v>
      </c>
      <c r="W244" s="27">
        <v>28.803699999999999</v>
      </c>
      <c r="Y244" s="29">
        <v>8.9767799999999998</v>
      </c>
      <c r="AA244" s="41">
        <v>550.452</v>
      </c>
      <c r="AC244" s="27">
        <v>46.014000000000003</v>
      </c>
      <c r="AE244" s="27">
        <v>1</v>
      </c>
      <c r="AG244" s="29">
        <v>7.5055100000000001</v>
      </c>
      <c r="AI244" s="29">
        <v>8.7488200000000003</v>
      </c>
      <c r="AK244" s="27">
        <v>22.822700000000001</v>
      </c>
      <c r="AM244" s="27">
        <v>28.956800000000001</v>
      </c>
      <c r="AO244" s="29"/>
      <c r="AP244" s="28"/>
    </row>
    <row r="245" spans="2:42" hidden="1" outlineLevel="1" x14ac:dyDescent="0.25">
      <c r="B245" s="21">
        <v>42600</v>
      </c>
      <c r="C245" s="27">
        <v>18.090399999999999</v>
      </c>
      <c r="E245" s="30">
        <v>0.88349</v>
      </c>
      <c r="G245" s="27">
        <v>14.816599999999999</v>
      </c>
      <c r="I245" s="29">
        <v>6.9195399999999996</v>
      </c>
      <c r="K245" s="29">
        <v>3.2137099999999998</v>
      </c>
      <c r="M245" s="41"/>
      <c r="O245" s="26">
        <v>2911.18</v>
      </c>
      <c r="Q245" s="26">
        <v>5539.73</v>
      </c>
      <c r="S245" s="26">
        <v>1723.8</v>
      </c>
      <c r="U245" s="29">
        <v>3.3080099999999999</v>
      </c>
      <c r="W245" s="27">
        <v>28.6647</v>
      </c>
      <c r="Y245" s="29">
        <v>8.9195799999999998</v>
      </c>
      <c r="AA245" s="41">
        <v>549.66700000000003</v>
      </c>
      <c r="AC245" s="27">
        <v>46.008499999999998</v>
      </c>
      <c r="AE245" s="27">
        <v>1</v>
      </c>
      <c r="AG245" s="29">
        <v>7.4922599999999999</v>
      </c>
      <c r="AI245" s="29">
        <v>8.7364200000000007</v>
      </c>
      <c r="AK245" s="27">
        <v>22.853100000000001</v>
      </c>
      <c r="AM245" s="27">
        <v>28.933700000000002</v>
      </c>
      <c r="AO245" s="29"/>
      <c r="AP245" s="28"/>
    </row>
    <row r="246" spans="2:42" hidden="1" outlineLevel="1" x14ac:dyDescent="0.25">
      <c r="B246" s="21">
        <v>42601</v>
      </c>
      <c r="C246" s="27">
        <v>18.263000000000002</v>
      </c>
      <c r="E246" s="30">
        <v>0.882629</v>
      </c>
      <c r="G246" s="27">
        <v>14.9209</v>
      </c>
      <c r="I246" s="29">
        <v>6.9196799999999996</v>
      </c>
      <c r="K246" s="29">
        <v>3.2334000000000001</v>
      </c>
      <c r="M246" s="41"/>
      <c r="O246" s="26">
        <v>2884.36</v>
      </c>
      <c r="Q246" s="26">
        <v>5546.34</v>
      </c>
      <c r="S246" s="26">
        <v>1715.35</v>
      </c>
      <c r="U246" s="29">
        <v>3.3085900000000001</v>
      </c>
      <c r="W246" s="27">
        <v>28.5459</v>
      </c>
      <c r="Y246" s="29">
        <v>8.8285099999999996</v>
      </c>
      <c r="AA246" s="41">
        <v>549.70799999999997</v>
      </c>
      <c r="AC246" s="27">
        <v>45.971899999999998</v>
      </c>
      <c r="AE246" s="27">
        <v>1</v>
      </c>
      <c r="AG246" s="29">
        <v>7.4954999999999998</v>
      </c>
      <c r="AI246" s="29">
        <v>8.73705</v>
      </c>
      <c r="AK246" s="27">
        <v>22.7669</v>
      </c>
      <c r="AM246" s="27">
        <v>28.946200000000001</v>
      </c>
      <c r="AO246" s="29"/>
      <c r="AP246" s="28"/>
    </row>
    <row r="247" spans="2:42" hidden="1" outlineLevel="1" x14ac:dyDescent="0.25">
      <c r="B247" s="21">
        <v>42602</v>
      </c>
      <c r="C247" s="27">
        <v>18.221800000000002</v>
      </c>
      <c r="E247" s="30">
        <v>0.88298299999999996</v>
      </c>
      <c r="G247" s="27">
        <v>14.919499999999999</v>
      </c>
      <c r="I247" s="29">
        <v>6.93</v>
      </c>
      <c r="K247" s="29">
        <v>3.2111399999999999</v>
      </c>
      <c r="M247" s="41"/>
      <c r="O247" s="26">
        <v>2860.2</v>
      </c>
      <c r="Q247" s="26">
        <v>5550</v>
      </c>
      <c r="S247" s="26">
        <v>1728.43</v>
      </c>
      <c r="U247" s="29">
        <v>3.3036500000000002</v>
      </c>
      <c r="W247" s="27">
        <v>28.565000000000001</v>
      </c>
      <c r="Y247" s="29">
        <v>8.8959399999999995</v>
      </c>
      <c r="AA247" s="41">
        <v>550.505</v>
      </c>
      <c r="AC247" s="27">
        <v>46.170499999999997</v>
      </c>
      <c r="AE247" s="27">
        <v>1</v>
      </c>
      <c r="AG247" s="29">
        <v>7.5125500000000001</v>
      </c>
      <c r="AI247" s="29">
        <v>8.7504500000000007</v>
      </c>
      <c r="AK247" s="27">
        <v>22.849299999999999</v>
      </c>
      <c r="AM247" s="27">
        <v>28.8873</v>
      </c>
      <c r="AO247" s="29"/>
      <c r="AP247" s="28"/>
    </row>
    <row r="248" spans="2:42" hidden="1" outlineLevel="1" x14ac:dyDescent="0.25">
      <c r="B248" s="21">
        <v>42603</v>
      </c>
      <c r="C248" s="27">
        <v>18.221800000000002</v>
      </c>
      <c r="E248" s="30">
        <v>0.88298299999999996</v>
      </c>
      <c r="G248" s="27">
        <v>14.9123</v>
      </c>
      <c r="I248" s="29">
        <v>6.93</v>
      </c>
      <c r="K248" s="29">
        <v>3.2106400000000002</v>
      </c>
      <c r="M248" s="41"/>
      <c r="O248" s="26">
        <v>2858.3</v>
      </c>
      <c r="Q248" s="26">
        <v>5550</v>
      </c>
      <c r="S248" s="26">
        <v>1728.7</v>
      </c>
      <c r="U248" s="29">
        <v>3.3036500000000002</v>
      </c>
      <c r="W248" s="27">
        <v>28.565000000000001</v>
      </c>
      <c r="Y248" s="29">
        <v>8.8972999999999995</v>
      </c>
      <c r="AA248" s="41">
        <v>550.505</v>
      </c>
      <c r="AC248" s="27">
        <v>46.170499999999997</v>
      </c>
      <c r="AE248" s="27">
        <v>1</v>
      </c>
      <c r="AG248" s="29">
        <v>7.5125500000000001</v>
      </c>
      <c r="AI248" s="29">
        <v>8.7504500000000007</v>
      </c>
      <c r="AK248" s="27">
        <v>22.86</v>
      </c>
      <c r="AM248" s="27">
        <v>28.87</v>
      </c>
      <c r="AO248" s="29"/>
      <c r="AP248" s="28"/>
    </row>
    <row r="249" spans="2:42" hidden="1" outlineLevel="1" x14ac:dyDescent="0.25">
      <c r="B249" s="21">
        <v>42604</v>
      </c>
      <c r="C249" s="27">
        <v>18.302399999999999</v>
      </c>
      <c r="E249" s="30">
        <v>0.88480300000000001</v>
      </c>
      <c r="G249" s="27">
        <v>14.8309</v>
      </c>
      <c r="I249" s="29">
        <v>6.9371900000000002</v>
      </c>
      <c r="K249" s="29">
        <v>3.2095600000000002</v>
      </c>
      <c r="M249" s="41"/>
      <c r="O249" s="26">
        <v>2874</v>
      </c>
      <c r="Q249" s="26">
        <v>5555.56</v>
      </c>
      <c r="S249" s="26">
        <v>1730.96</v>
      </c>
      <c r="U249" s="29">
        <v>3.3187500000000001</v>
      </c>
      <c r="W249" s="27">
        <v>28.5289</v>
      </c>
      <c r="Y249" s="29">
        <v>8.8888099999999994</v>
      </c>
      <c r="AA249" s="41">
        <v>551.05100000000004</v>
      </c>
      <c r="AC249" s="27">
        <v>46.1</v>
      </c>
      <c r="AE249" s="27">
        <v>1</v>
      </c>
      <c r="AG249" s="29">
        <v>7.5309999999999997</v>
      </c>
      <c r="AI249" s="29">
        <v>8.7590500000000002</v>
      </c>
      <c r="AK249" s="27">
        <v>22.91</v>
      </c>
      <c r="AM249" s="27">
        <v>28.817</v>
      </c>
      <c r="AO249" s="29"/>
      <c r="AP249" s="28"/>
    </row>
    <row r="250" spans="2:42" hidden="1" outlineLevel="1" x14ac:dyDescent="0.25">
      <c r="B250" s="21">
        <v>42605</v>
      </c>
      <c r="C250" s="27">
        <v>18.310600000000001</v>
      </c>
      <c r="E250" s="30">
        <v>0.88288500000000003</v>
      </c>
      <c r="G250" s="27">
        <v>14.832000000000001</v>
      </c>
      <c r="I250" s="29">
        <v>6.9209300000000002</v>
      </c>
      <c r="K250" s="29">
        <v>3.2057699999999998</v>
      </c>
      <c r="M250" s="41"/>
      <c r="O250" s="26">
        <v>2915</v>
      </c>
      <c r="Q250" s="26">
        <v>5542.76</v>
      </c>
      <c r="S250" s="26">
        <v>1729.01</v>
      </c>
      <c r="U250" s="29">
        <v>3.3349000000000002</v>
      </c>
      <c r="W250" s="27">
        <v>28.429400000000001</v>
      </c>
      <c r="Y250" s="29">
        <v>8.8682800000000004</v>
      </c>
      <c r="AA250" s="41">
        <v>549.66999999999996</v>
      </c>
      <c r="AC250" s="27">
        <v>46.13</v>
      </c>
      <c r="AE250" s="27">
        <v>1</v>
      </c>
      <c r="AG250" s="29">
        <v>7.5430000000000001</v>
      </c>
      <c r="AI250" s="29">
        <v>8.7382200000000001</v>
      </c>
      <c r="AK250" s="27">
        <v>22.9</v>
      </c>
      <c r="AM250" s="27">
        <v>28.820900000000002</v>
      </c>
      <c r="AO250" s="29"/>
      <c r="AP250" s="28"/>
    </row>
    <row r="251" spans="2:42" hidden="1" outlineLevel="1" x14ac:dyDescent="0.25">
      <c r="B251" s="21">
        <v>42606</v>
      </c>
      <c r="C251" s="27">
        <v>18.526900000000001</v>
      </c>
      <c r="E251" s="30">
        <v>0.88635600000000003</v>
      </c>
      <c r="G251" s="27">
        <v>14.853</v>
      </c>
      <c r="I251" s="29">
        <v>6.9370599999999998</v>
      </c>
      <c r="K251" s="29">
        <v>3.2347199999999998</v>
      </c>
      <c r="M251" s="41"/>
      <c r="O251" s="26">
        <v>2938</v>
      </c>
      <c r="Q251" s="26">
        <v>5550.26</v>
      </c>
      <c r="S251" s="26">
        <v>1715.86</v>
      </c>
      <c r="U251" s="29">
        <v>3.35812</v>
      </c>
      <c r="W251" s="27">
        <v>28.582000000000001</v>
      </c>
      <c r="Y251" s="29">
        <v>8.8361199999999993</v>
      </c>
      <c r="AA251" s="41">
        <v>551.50099999999998</v>
      </c>
      <c r="AC251" s="27">
        <v>46.1</v>
      </c>
      <c r="AE251" s="27">
        <v>1</v>
      </c>
      <c r="AG251" s="29">
        <v>7.5549999999999997</v>
      </c>
      <c r="AI251" s="29">
        <v>8.7700499999999995</v>
      </c>
      <c r="AK251" s="27">
        <v>22.89</v>
      </c>
      <c r="AM251" s="27">
        <v>28.8247</v>
      </c>
      <c r="AO251" s="29"/>
      <c r="AP251" s="28"/>
    </row>
    <row r="252" spans="2:42" hidden="1" outlineLevel="1" x14ac:dyDescent="0.25">
      <c r="B252" s="21">
        <v>42607</v>
      </c>
      <c r="C252" s="27">
        <v>18.4465</v>
      </c>
      <c r="E252" s="30">
        <v>0.88670599999999999</v>
      </c>
      <c r="G252" s="27">
        <v>14.8628</v>
      </c>
      <c r="I252" s="29">
        <v>6.9253</v>
      </c>
      <c r="K252" s="29">
        <v>3.2267999999999999</v>
      </c>
      <c r="M252" s="41"/>
      <c r="O252" s="26">
        <v>2925.86</v>
      </c>
      <c r="Q252" s="26">
        <v>5522.47</v>
      </c>
      <c r="S252" s="26">
        <v>1711.45</v>
      </c>
      <c r="U252" s="29">
        <v>3.3591799999999998</v>
      </c>
      <c r="W252" s="27">
        <v>28.556799999999999</v>
      </c>
      <c r="Y252" s="29">
        <v>8.84999</v>
      </c>
      <c r="AA252" s="41">
        <v>550.923</v>
      </c>
      <c r="AC252" s="27">
        <v>46.159300000000002</v>
      </c>
      <c r="AE252" s="27">
        <v>1</v>
      </c>
      <c r="AG252" s="29">
        <v>7.5562800000000001</v>
      </c>
      <c r="AI252" s="29">
        <v>8.7589199999999998</v>
      </c>
      <c r="AK252" s="27">
        <v>22.923500000000001</v>
      </c>
      <c r="AM252" s="27">
        <v>28.884399999999999</v>
      </c>
      <c r="AO252" s="29"/>
      <c r="AP252" s="28"/>
    </row>
    <row r="253" spans="2:42" hidden="1" outlineLevel="1" x14ac:dyDescent="0.25">
      <c r="B253" s="21">
        <v>42608</v>
      </c>
      <c r="C253" s="27">
        <v>18.389199999999999</v>
      </c>
      <c r="E253" s="30">
        <v>0.88712599999999997</v>
      </c>
      <c r="G253" s="27">
        <v>14.8774</v>
      </c>
      <c r="I253" s="29">
        <v>6.93</v>
      </c>
      <c r="K253" s="29">
        <v>3.2286700000000002</v>
      </c>
      <c r="M253" s="41"/>
      <c r="O253" s="26">
        <v>2905.49</v>
      </c>
      <c r="Q253" s="26">
        <v>5512.55</v>
      </c>
      <c r="S253" s="26">
        <v>1707.39</v>
      </c>
      <c r="U253" s="29">
        <v>3.35093</v>
      </c>
      <c r="W253" s="27">
        <v>28.6675</v>
      </c>
      <c r="Y253" s="29">
        <v>8.87913</v>
      </c>
      <c r="AA253" s="41">
        <v>550.91899999999998</v>
      </c>
      <c r="AC253" s="27">
        <v>46.105400000000003</v>
      </c>
      <c r="AE253" s="27">
        <v>1</v>
      </c>
      <c r="AG253" s="29">
        <v>7.5555300000000001</v>
      </c>
      <c r="AI253" s="29">
        <v>8.7498900000000006</v>
      </c>
      <c r="AK253" s="27">
        <v>22.879100000000001</v>
      </c>
      <c r="AM253" s="27">
        <v>28.813099999999999</v>
      </c>
      <c r="AO253" s="29"/>
      <c r="AP253" s="28"/>
    </row>
    <row r="254" spans="2:42" hidden="1" outlineLevel="1" x14ac:dyDescent="0.25">
      <c r="B254" s="21">
        <v>42609</v>
      </c>
      <c r="C254" s="27">
        <v>18.584599999999998</v>
      </c>
      <c r="E254" s="30">
        <v>0.89312400000000003</v>
      </c>
      <c r="G254" s="27">
        <v>14.9765</v>
      </c>
      <c r="I254" s="29">
        <v>6.9877500000000001</v>
      </c>
      <c r="K254" s="29">
        <v>3.2648299999999999</v>
      </c>
      <c r="M254" s="41"/>
      <c r="O254" s="26">
        <v>2920.75</v>
      </c>
      <c r="Q254" s="26">
        <v>5559.95</v>
      </c>
      <c r="S254" s="26">
        <v>1703.05</v>
      </c>
      <c r="U254" s="29">
        <v>3.3768500000000001</v>
      </c>
      <c r="W254" s="27">
        <v>29.065000000000001</v>
      </c>
      <c r="Y254" s="29">
        <v>8.9027700000000003</v>
      </c>
      <c r="AA254" s="41">
        <v>556.09500000000003</v>
      </c>
      <c r="AC254" s="27">
        <v>46.544499999999999</v>
      </c>
      <c r="AE254" s="27">
        <v>1</v>
      </c>
      <c r="AG254" s="29">
        <v>7.6184500000000002</v>
      </c>
      <c r="AI254" s="29">
        <v>8.8226499999999994</v>
      </c>
      <c r="AK254" s="27">
        <v>23.060500000000001</v>
      </c>
      <c r="AM254" s="27">
        <v>28.876999999999999</v>
      </c>
      <c r="AO254" s="29"/>
      <c r="AP254" s="28"/>
    </row>
    <row r="255" spans="2:42" hidden="1" outlineLevel="1" x14ac:dyDescent="0.25">
      <c r="B255" s="21">
        <v>42610</v>
      </c>
      <c r="C255" s="27">
        <v>18.584599999999998</v>
      </c>
      <c r="E255" s="30">
        <v>0.89312400000000003</v>
      </c>
      <c r="G255" s="27">
        <v>14.9833</v>
      </c>
      <c r="I255" s="29">
        <v>6.9898600000000002</v>
      </c>
      <c r="K255" s="29">
        <v>3.26484</v>
      </c>
      <c r="M255" s="41"/>
      <c r="O255" s="26">
        <v>2919.97</v>
      </c>
      <c r="Q255" s="26">
        <v>5561.63</v>
      </c>
      <c r="S255" s="26">
        <v>1703.54</v>
      </c>
      <c r="U255" s="29">
        <v>3.37792</v>
      </c>
      <c r="W255" s="27">
        <v>29.074300000000001</v>
      </c>
      <c r="Y255" s="29">
        <v>8.9054900000000004</v>
      </c>
      <c r="AA255" s="41">
        <v>556.26400000000001</v>
      </c>
      <c r="AC255" s="27">
        <v>46.558799999999998</v>
      </c>
      <c r="AE255" s="27">
        <v>1</v>
      </c>
      <c r="AG255" s="29">
        <v>7.6207099999999999</v>
      </c>
      <c r="AI255" s="29">
        <v>8.8253599999999999</v>
      </c>
      <c r="AK255" s="27">
        <v>23.067499999999999</v>
      </c>
      <c r="AM255" s="27">
        <v>29.300799999999999</v>
      </c>
      <c r="AO255" s="29"/>
      <c r="AP255" s="28"/>
    </row>
    <row r="256" spans="2:42" hidden="1" outlineLevel="1" x14ac:dyDescent="0.25">
      <c r="B256" s="21">
        <v>42611</v>
      </c>
      <c r="C256" s="27">
        <v>18.590499999999999</v>
      </c>
      <c r="E256" s="30">
        <v>0.89386699999999997</v>
      </c>
      <c r="G256" s="27">
        <v>15.0145</v>
      </c>
      <c r="I256" s="29">
        <v>6.9609100000000002</v>
      </c>
      <c r="K256" s="29">
        <v>3.2592400000000001</v>
      </c>
      <c r="M256" s="41"/>
      <c r="O256" s="26">
        <v>2913.22</v>
      </c>
      <c r="Q256" s="26">
        <v>5537.4</v>
      </c>
      <c r="S256" s="26">
        <v>1699</v>
      </c>
      <c r="U256" s="29">
        <v>3.3659699999999999</v>
      </c>
      <c r="W256" s="27">
        <v>28.951599999999999</v>
      </c>
      <c r="Y256" s="29">
        <v>8.8829799999999999</v>
      </c>
      <c r="AA256" s="41">
        <v>553.70699999999999</v>
      </c>
      <c r="AC256" s="27">
        <v>46.3643</v>
      </c>
      <c r="AE256" s="27">
        <v>1</v>
      </c>
      <c r="AG256" s="29">
        <v>7.5886899999999997</v>
      </c>
      <c r="AI256" s="29">
        <v>8.7887299999999993</v>
      </c>
      <c r="AK256" s="27">
        <v>22.962700000000002</v>
      </c>
      <c r="AM256" s="27">
        <v>29.178699999999999</v>
      </c>
      <c r="AO256" s="29"/>
      <c r="AP256" s="28"/>
    </row>
    <row r="257" spans="2:42" hidden="1" outlineLevel="1" x14ac:dyDescent="0.25">
      <c r="B257" s="21">
        <v>42612</v>
      </c>
      <c r="C257" s="27">
        <v>18.6873</v>
      </c>
      <c r="E257" s="30">
        <v>0.89565600000000001</v>
      </c>
      <c r="G257" s="27">
        <v>15.0876</v>
      </c>
      <c r="I257" s="29">
        <v>6.9283400000000004</v>
      </c>
      <c r="K257" s="29">
        <v>3.2365900000000001</v>
      </c>
      <c r="M257" s="41"/>
      <c r="O257" s="26">
        <v>2903.23</v>
      </c>
      <c r="Q257" s="26">
        <v>5510.16</v>
      </c>
      <c r="S257" s="26">
        <v>1702.47</v>
      </c>
      <c r="U257" s="29">
        <v>3.3636200000000001</v>
      </c>
      <c r="W257" s="27">
        <v>28.734200000000001</v>
      </c>
      <c r="Y257" s="29">
        <v>8.8780099999999997</v>
      </c>
      <c r="AA257" s="41">
        <v>551.08000000000004</v>
      </c>
      <c r="AC257" s="27">
        <v>46.149299999999997</v>
      </c>
      <c r="AE257" s="27">
        <v>1</v>
      </c>
      <c r="AG257" s="29">
        <v>7.5537200000000002</v>
      </c>
      <c r="AI257" s="29">
        <v>8.7478999999999996</v>
      </c>
      <c r="AK257" s="27">
        <v>22.836400000000001</v>
      </c>
      <c r="AM257" s="27">
        <v>29.043299999999999</v>
      </c>
      <c r="AO257" s="29"/>
      <c r="AP257" s="28"/>
    </row>
    <row r="258" spans="2:42" hidden="1" outlineLevel="1" x14ac:dyDescent="0.25">
      <c r="B258" s="21">
        <v>42613</v>
      </c>
      <c r="C258" s="49">
        <v>18.795300000000001</v>
      </c>
      <c r="E258" s="30">
        <v>0.89708699999999997</v>
      </c>
      <c r="G258" s="27">
        <v>14.983000000000001</v>
      </c>
      <c r="I258" s="29">
        <v>6.9378000000000002</v>
      </c>
      <c r="K258" s="29">
        <v>3.2366700000000002</v>
      </c>
      <c r="M258" s="41"/>
      <c r="O258" s="26">
        <v>2930.82</v>
      </c>
      <c r="Q258" s="26">
        <v>5517.95</v>
      </c>
      <c r="S258" s="26">
        <v>1704.84</v>
      </c>
      <c r="U258" s="29">
        <v>3.3835000000000002</v>
      </c>
      <c r="W258" s="27">
        <v>28.636600000000001</v>
      </c>
      <c r="Y258" s="29">
        <v>8.8476499999999998</v>
      </c>
      <c r="AA258" s="41">
        <v>552.15899999999999</v>
      </c>
      <c r="AC258" s="27">
        <v>46.214399999999998</v>
      </c>
      <c r="AE258" s="27">
        <v>1</v>
      </c>
      <c r="AG258" s="29">
        <v>7.5636999999999999</v>
      </c>
      <c r="AI258" s="29">
        <v>8.7604699999999998</v>
      </c>
      <c r="AK258" s="27">
        <v>22.886199999999999</v>
      </c>
      <c r="AM258" s="27">
        <v>29.084499999999998</v>
      </c>
      <c r="AO258" s="29"/>
      <c r="AP258" s="28"/>
    </row>
    <row r="259" spans="2:42" ht="13" collapsed="1" x14ac:dyDescent="0.3">
      <c r="B259" s="25" t="s">
        <v>146</v>
      </c>
      <c r="C259" s="19">
        <v>18.481200000000001</v>
      </c>
      <c r="E259" s="24">
        <v>0.89263300000000001</v>
      </c>
      <c r="G259" s="19">
        <v>14.838699999999999</v>
      </c>
      <c r="I259" s="23">
        <v>6.9340599999999997</v>
      </c>
      <c r="J259" s="9"/>
      <c r="K259" s="23">
        <v>3.2089500000000002</v>
      </c>
      <c r="M259" s="42" t="s">
        <v>78</v>
      </c>
      <c r="O259" s="31">
        <v>2961.05</v>
      </c>
      <c r="Q259" s="31">
        <v>5550.06</v>
      </c>
      <c r="S259" s="31">
        <v>1729.84</v>
      </c>
      <c r="U259" s="23">
        <v>3.33419</v>
      </c>
      <c r="W259" s="23">
        <v>29.022290000000002</v>
      </c>
      <c r="Y259" s="23">
        <v>9.0456400000000006</v>
      </c>
      <c r="AA259" s="42">
        <v>550.45500000000004</v>
      </c>
      <c r="AC259" s="19">
        <v>46.066299999999998</v>
      </c>
      <c r="AE259" s="19">
        <v>1</v>
      </c>
      <c r="AG259" s="23">
        <v>7.5446999999999997</v>
      </c>
      <c r="AI259" s="23">
        <v>8.7574500000000004</v>
      </c>
      <c r="AK259" s="23">
        <v>22.868119354838718</v>
      </c>
      <c r="AM259" s="23">
        <v>28.907861290322582</v>
      </c>
      <c r="AO259" s="23" t="s">
        <v>78</v>
      </c>
      <c r="AP259" s="10"/>
    </row>
    <row r="260" spans="2:42" hidden="1" outlineLevel="1" x14ac:dyDescent="0.25">
      <c r="B260" s="21">
        <v>42614</v>
      </c>
      <c r="C260" s="27">
        <v>18.802600000000002</v>
      </c>
      <c r="E260" s="30">
        <v>0.89580000000000004</v>
      </c>
      <c r="G260" s="27">
        <v>14.914199999999999</v>
      </c>
      <c r="I260" s="29">
        <v>6.9251100000000001</v>
      </c>
      <c r="K260" s="29">
        <v>3.23332</v>
      </c>
      <c r="M260" s="41"/>
      <c r="O260" s="26">
        <v>2941.22</v>
      </c>
      <c r="Q260" s="26">
        <v>5571.69</v>
      </c>
      <c r="S260" s="26">
        <v>1703.4</v>
      </c>
      <c r="U260" s="29">
        <v>3.3823099999999999</v>
      </c>
      <c r="W260" s="27">
        <v>28.434000000000001</v>
      </c>
      <c r="Y260" s="29">
        <v>8.8315900000000003</v>
      </c>
      <c r="AA260" s="41">
        <v>551.53099999999995</v>
      </c>
      <c r="AC260" s="27">
        <v>46.214399999999998</v>
      </c>
      <c r="AE260" s="27">
        <v>1</v>
      </c>
      <c r="AG260" s="29">
        <v>7.5491099999999998</v>
      </c>
      <c r="AI260" s="29">
        <v>8.74315</v>
      </c>
      <c r="AK260" s="27">
        <v>22.884</v>
      </c>
      <c r="AM260" s="27">
        <v>29.029599999999999</v>
      </c>
      <c r="AO260" s="29"/>
      <c r="AP260" s="28"/>
    </row>
    <row r="261" spans="2:42" hidden="1" outlineLevel="1" x14ac:dyDescent="0.25">
      <c r="B261" s="21">
        <v>42615</v>
      </c>
      <c r="C261" s="27">
        <v>18.709299999999999</v>
      </c>
      <c r="E261" s="30">
        <v>0.894015</v>
      </c>
      <c r="G261" s="27">
        <v>14.9222</v>
      </c>
      <c r="I261" s="29">
        <v>6.9123799999999997</v>
      </c>
      <c r="K261" s="29">
        <v>3.2494000000000001</v>
      </c>
      <c r="M261" s="41"/>
      <c r="O261" s="26">
        <v>2964.05</v>
      </c>
      <c r="Q261" s="26">
        <v>5569.9</v>
      </c>
      <c r="S261" s="26">
        <v>1694.88</v>
      </c>
      <c r="U261" s="29">
        <v>3.3845700000000001</v>
      </c>
      <c r="W261" s="27">
        <v>28.377500000000001</v>
      </c>
      <c r="Y261" s="29">
        <v>8.7704299999999993</v>
      </c>
      <c r="AA261" s="41">
        <v>550.99199999999996</v>
      </c>
      <c r="AC261" s="27">
        <v>46.127800000000001</v>
      </c>
      <c r="AE261" s="27">
        <v>1</v>
      </c>
      <c r="AG261" s="29">
        <v>7.5335700000000001</v>
      </c>
      <c r="AI261" s="29">
        <v>8.7272700000000007</v>
      </c>
      <c r="AK261" s="27">
        <v>22.833200000000001</v>
      </c>
      <c r="AM261" s="27">
        <v>28.979800000000001</v>
      </c>
      <c r="AO261" s="29"/>
      <c r="AP261" s="28"/>
    </row>
    <row r="262" spans="2:42" hidden="1" outlineLevel="1" x14ac:dyDescent="0.25">
      <c r="B262" s="21">
        <v>42616</v>
      </c>
      <c r="C262" s="27">
        <v>18.585799999999999</v>
      </c>
      <c r="E262" s="30">
        <v>0.89643099999999998</v>
      </c>
      <c r="G262" s="27">
        <v>14.958299999999999</v>
      </c>
      <c r="I262" s="29">
        <v>6.9477500000000001</v>
      </c>
      <c r="K262" s="29">
        <v>3.25752</v>
      </c>
      <c r="M262" s="41"/>
      <c r="O262" s="26">
        <v>2997.85</v>
      </c>
      <c r="Q262" s="26">
        <v>5583</v>
      </c>
      <c r="S262" s="26">
        <v>1703.55</v>
      </c>
      <c r="U262" s="29">
        <v>3.4035500000000001</v>
      </c>
      <c r="W262" s="27">
        <v>28.4695</v>
      </c>
      <c r="Y262" s="29">
        <v>8.7917100000000001</v>
      </c>
      <c r="AA262" s="41">
        <v>553.66999999999996</v>
      </c>
      <c r="AC262" s="27">
        <v>46.0426</v>
      </c>
      <c r="AE262" s="27">
        <v>1</v>
      </c>
      <c r="AG262" s="29">
        <v>7.5698499999999997</v>
      </c>
      <c r="AI262" s="29">
        <v>8.7719500000000004</v>
      </c>
      <c r="AK262" s="27">
        <v>22.938500000000001</v>
      </c>
      <c r="AM262" s="27">
        <v>29.134</v>
      </c>
      <c r="AO262" s="29"/>
      <c r="AP262" s="28"/>
    </row>
    <row r="263" spans="2:42" hidden="1" outlineLevel="1" x14ac:dyDescent="0.25">
      <c r="B263" s="21">
        <v>42617</v>
      </c>
      <c r="C263" s="27">
        <v>18.585799999999999</v>
      </c>
      <c r="E263" s="30">
        <v>0.89643099999999998</v>
      </c>
      <c r="G263" s="27">
        <v>14.9598</v>
      </c>
      <c r="I263" s="29">
        <v>6.9477500000000001</v>
      </c>
      <c r="K263" s="29">
        <v>3.25752</v>
      </c>
      <c r="M263" s="41"/>
      <c r="O263" s="26">
        <v>2997.85</v>
      </c>
      <c r="Q263" s="26">
        <v>5580.2</v>
      </c>
      <c r="S263" s="26">
        <v>1703.53</v>
      </c>
      <c r="U263" s="29">
        <v>3.4035500000000001</v>
      </c>
      <c r="W263" s="27">
        <v>28.444500000000001</v>
      </c>
      <c r="Y263" s="29">
        <v>8.79162</v>
      </c>
      <c r="AA263" s="41">
        <v>553.66999999999996</v>
      </c>
      <c r="AC263" s="27">
        <v>46.277999999999999</v>
      </c>
      <c r="AE263" s="27">
        <v>1</v>
      </c>
      <c r="AG263" s="29">
        <v>7.5698499999999997</v>
      </c>
      <c r="AI263" s="29">
        <v>8.7719500000000004</v>
      </c>
      <c r="AK263" s="27">
        <v>22.938500000000001</v>
      </c>
      <c r="AM263" s="27">
        <v>29.134</v>
      </c>
      <c r="AO263" s="29"/>
      <c r="AP263" s="28"/>
    </row>
    <row r="264" spans="2:42" hidden="1" outlineLevel="1" x14ac:dyDescent="0.25">
      <c r="B264" s="21">
        <v>42618</v>
      </c>
      <c r="C264" s="27">
        <v>18.536799999999999</v>
      </c>
      <c r="E264" s="30">
        <v>0.896065</v>
      </c>
      <c r="G264" s="27">
        <v>14.9719</v>
      </c>
      <c r="I264" s="29">
        <v>6.9395199999999999</v>
      </c>
      <c r="K264" s="29">
        <v>3.2625500000000001</v>
      </c>
      <c r="M264" s="41"/>
      <c r="O264" s="26">
        <v>2969.36</v>
      </c>
      <c r="Q264" s="26">
        <v>5580.73</v>
      </c>
      <c r="S264" s="26">
        <v>1699.94</v>
      </c>
      <c r="U264" s="29">
        <v>3.3854600000000001</v>
      </c>
      <c r="W264" s="27">
        <v>28.470099999999999</v>
      </c>
      <c r="Y264" s="29">
        <v>8.7660400000000003</v>
      </c>
      <c r="AA264" s="41">
        <v>552.649</v>
      </c>
      <c r="AC264" s="27">
        <v>46.277999999999999</v>
      </c>
      <c r="AE264" s="27">
        <v>1</v>
      </c>
      <c r="AG264" s="29">
        <v>7.5584800000000003</v>
      </c>
      <c r="AI264" s="29">
        <v>8.7619100000000003</v>
      </c>
      <c r="AK264" s="27">
        <v>22.949200000000001</v>
      </c>
      <c r="AM264" s="27">
        <v>29.043600000000001</v>
      </c>
      <c r="AO264" s="29"/>
      <c r="AP264" s="28"/>
    </row>
    <row r="265" spans="2:42" hidden="1" outlineLevel="1" x14ac:dyDescent="0.25">
      <c r="B265" s="21">
        <v>42619</v>
      </c>
      <c r="C265" s="27">
        <v>18.482399999999998</v>
      </c>
      <c r="E265" s="30">
        <v>0.89434999999999998</v>
      </c>
      <c r="G265" s="27">
        <v>14.9994</v>
      </c>
      <c r="I265" s="29">
        <v>6.9272600000000004</v>
      </c>
      <c r="K265" s="29">
        <v>3.25014</v>
      </c>
      <c r="M265" s="41"/>
      <c r="O265" s="26">
        <v>2924.81</v>
      </c>
      <c r="Q265" s="26">
        <v>5583.7</v>
      </c>
      <c r="S265" s="26">
        <v>1706.08</v>
      </c>
      <c r="U265" s="29">
        <v>3.3875600000000001</v>
      </c>
      <c r="W265" s="27">
        <v>28.5185</v>
      </c>
      <c r="Y265" s="29">
        <v>8.7930799999999998</v>
      </c>
      <c r="AA265" s="41">
        <v>551.846</v>
      </c>
      <c r="AC265" s="27">
        <v>46.175199999999997</v>
      </c>
      <c r="AE265" s="27">
        <v>1</v>
      </c>
      <c r="AG265" s="29">
        <v>7.5516100000000002</v>
      </c>
      <c r="AI265" s="29">
        <v>8.7572700000000001</v>
      </c>
      <c r="AK265" s="27">
        <v>22.927700000000002</v>
      </c>
      <c r="AM265" s="27">
        <v>29.024799999999999</v>
      </c>
      <c r="AO265" s="29"/>
      <c r="AP265" s="28"/>
    </row>
    <row r="266" spans="2:42" hidden="1" outlineLevel="1" x14ac:dyDescent="0.25">
      <c r="B266" s="21">
        <v>42620</v>
      </c>
      <c r="C266" s="27">
        <v>18.326899999999998</v>
      </c>
      <c r="E266" s="30">
        <v>0.88922800000000002</v>
      </c>
      <c r="G266" s="27">
        <v>15.0214</v>
      </c>
      <c r="I266" s="29">
        <v>6.8902900000000002</v>
      </c>
      <c r="K266" s="29">
        <v>3.19712</v>
      </c>
      <c r="M266" s="41"/>
      <c r="O266" s="26">
        <v>2865.99</v>
      </c>
      <c r="Q266" s="26">
        <v>5583.7</v>
      </c>
      <c r="S266" s="26">
        <v>1725</v>
      </c>
      <c r="U266" s="29">
        <v>3.36816</v>
      </c>
      <c r="W266" s="27">
        <v>28.5185</v>
      </c>
      <c r="Y266" s="29">
        <v>8.8940900000000003</v>
      </c>
      <c r="AA266" s="41">
        <v>549.12699999999995</v>
      </c>
      <c r="AC266" s="27">
        <v>46.151299999999999</v>
      </c>
      <c r="AE266" s="27">
        <v>1</v>
      </c>
      <c r="AG266" s="29">
        <v>7.5139800000000001</v>
      </c>
      <c r="AI266" s="29">
        <v>8.7141800000000007</v>
      </c>
      <c r="AK266" s="27">
        <v>22.7776</v>
      </c>
      <c r="AM266" s="27">
        <v>28.883500000000002</v>
      </c>
      <c r="AO266" s="29"/>
      <c r="AP266" s="28"/>
    </row>
    <row r="267" spans="2:42" hidden="1" outlineLevel="1" x14ac:dyDescent="0.25">
      <c r="B267" s="21">
        <v>42621</v>
      </c>
      <c r="C267" s="27">
        <v>18.434799999999999</v>
      </c>
      <c r="E267" s="30">
        <v>0.887965</v>
      </c>
      <c r="G267" s="27">
        <v>15.0505</v>
      </c>
      <c r="I267" s="29">
        <v>6.9252500000000001</v>
      </c>
      <c r="K267" s="29">
        <v>3.1943700000000002</v>
      </c>
      <c r="M267" s="41"/>
      <c r="O267" s="26">
        <v>2861.51</v>
      </c>
      <c r="Q267" s="26">
        <v>5573.23</v>
      </c>
      <c r="S267" s="26">
        <v>1737.41</v>
      </c>
      <c r="U267" s="29">
        <v>3.3661699999999999</v>
      </c>
      <c r="W267" s="27">
        <v>28.5517</v>
      </c>
      <c r="Y267" s="29">
        <v>8.93811</v>
      </c>
      <c r="AA267" s="41">
        <v>551.60799999999995</v>
      </c>
      <c r="AC267" s="27">
        <v>45.921799999999998</v>
      </c>
      <c r="AE267" s="27">
        <v>1</v>
      </c>
      <c r="AG267" s="29">
        <v>7.5453299999999999</v>
      </c>
      <c r="AI267" s="29">
        <v>8.7545999999999999</v>
      </c>
      <c r="AK267" s="27">
        <v>22.874500000000001</v>
      </c>
      <c r="AM267" s="27">
        <v>29.040900000000001</v>
      </c>
      <c r="AO267" s="29"/>
      <c r="AP267" s="28"/>
    </row>
    <row r="268" spans="2:42" hidden="1" outlineLevel="1" x14ac:dyDescent="0.25">
      <c r="B268" s="21">
        <v>42622</v>
      </c>
      <c r="C268" s="27">
        <v>18.751300000000001</v>
      </c>
      <c r="E268" s="30">
        <v>0.88861299999999999</v>
      </c>
      <c r="G268" s="27">
        <v>15.069599999999999</v>
      </c>
      <c r="I268" s="29">
        <v>6.9337200000000001</v>
      </c>
      <c r="K268" s="29">
        <v>3.2351299999999998</v>
      </c>
      <c r="M268" s="41"/>
      <c r="O268" s="26">
        <v>2868.84</v>
      </c>
      <c r="Q268" s="26">
        <v>5537.33</v>
      </c>
      <c r="S268" s="26">
        <v>1721.88</v>
      </c>
      <c r="U268" s="29">
        <v>3.3751799999999998</v>
      </c>
      <c r="W268" s="27">
        <v>28.4373</v>
      </c>
      <c r="Y268" s="29">
        <v>8.9192499999999999</v>
      </c>
      <c r="AA268" s="41">
        <v>552.44399999999996</v>
      </c>
      <c r="AC268" s="27">
        <v>46.152099999999997</v>
      </c>
      <c r="AE268" s="27">
        <v>1</v>
      </c>
      <c r="AG268" s="29">
        <v>7.55443</v>
      </c>
      <c r="AI268" s="29">
        <v>8.7696799999999993</v>
      </c>
      <c r="AK268" s="27">
        <v>22.883500000000002</v>
      </c>
      <c r="AM268" s="27">
        <v>29.057200000000002</v>
      </c>
      <c r="AO268" s="29"/>
      <c r="AP268" s="28"/>
    </row>
    <row r="269" spans="2:42" hidden="1" outlineLevel="1" x14ac:dyDescent="0.25">
      <c r="B269" s="21">
        <v>42623</v>
      </c>
      <c r="C269" s="27">
        <v>18.906700000000001</v>
      </c>
      <c r="E269" s="30">
        <v>0.890262</v>
      </c>
      <c r="G269" s="27">
        <v>15.0946</v>
      </c>
      <c r="I269" s="29">
        <v>6.9482499999999998</v>
      </c>
      <c r="K269" s="29">
        <v>3.2727300000000001</v>
      </c>
      <c r="M269" s="41"/>
      <c r="O269" s="26">
        <v>2853.13</v>
      </c>
      <c r="Q269" s="26">
        <v>5561.28</v>
      </c>
      <c r="S269" s="26">
        <v>1701.84</v>
      </c>
      <c r="U269" s="29">
        <v>3.3758499999999998</v>
      </c>
      <c r="W269" s="27">
        <v>29.001899999999999</v>
      </c>
      <c r="Y269" s="29">
        <v>8.9351199999999995</v>
      </c>
      <c r="AA269" s="41">
        <v>552.95500000000004</v>
      </c>
      <c r="AC269" s="27">
        <v>46.171700000000001</v>
      </c>
      <c r="AE269" s="27">
        <v>1</v>
      </c>
      <c r="AG269" s="29">
        <v>7.5573499999999996</v>
      </c>
      <c r="AI269" s="29">
        <v>8.77285</v>
      </c>
      <c r="AK269" s="27">
        <v>22.9</v>
      </c>
      <c r="AM269" s="27">
        <v>29.135999999999999</v>
      </c>
      <c r="AO269" s="29"/>
      <c r="AP269" s="28"/>
    </row>
    <row r="270" spans="2:42" hidden="1" outlineLevel="1" x14ac:dyDescent="0.25">
      <c r="B270" s="21">
        <v>42624</v>
      </c>
      <c r="C270" s="27">
        <v>18.906700000000001</v>
      </c>
      <c r="E270" s="30">
        <v>0.890262</v>
      </c>
      <c r="G270" s="27">
        <v>15.0961</v>
      </c>
      <c r="I270" s="29">
        <v>6.9482499999999998</v>
      </c>
      <c r="K270" s="29">
        <v>3.27332</v>
      </c>
      <c r="M270" s="41"/>
      <c r="O270" s="26">
        <v>2920.15</v>
      </c>
      <c r="Q270" s="26">
        <v>5553.32</v>
      </c>
      <c r="S270" s="26">
        <v>1701.53</v>
      </c>
      <c r="U270" s="29">
        <v>3.3758499999999998</v>
      </c>
      <c r="W270" s="27">
        <v>29.272099999999998</v>
      </c>
      <c r="Y270" s="29">
        <v>8.9335100000000001</v>
      </c>
      <c r="AA270" s="41">
        <v>552.95500000000004</v>
      </c>
      <c r="AC270" s="27">
        <v>46.07</v>
      </c>
      <c r="AE270" s="27">
        <v>1</v>
      </c>
      <c r="AG270" s="29">
        <v>7.5573499999999996</v>
      </c>
      <c r="AI270" s="29">
        <v>8.77285</v>
      </c>
      <c r="AK270" s="27">
        <v>22.9</v>
      </c>
      <c r="AM270" s="27">
        <v>29.135999999999999</v>
      </c>
      <c r="AO270" s="29"/>
      <c r="AP270" s="28"/>
    </row>
    <row r="271" spans="2:42" hidden="1" outlineLevel="1" x14ac:dyDescent="0.25">
      <c r="B271" s="21">
        <v>42625</v>
      </c>
      <c r="C271" s="27">
        <v>18.981999999999999</v>
      </c>
      <c r="E271" s="30">
        <v>0.88997300000000001</v>
      </c>
      <c r="G271" s="27">
        <v>15.0131</v>
      </c>
      <c r="I271" s="29">
        <v>6.9283000000000001</v>
      </c>
      <c r="K271" s="29">
        <v>3.27182</v>
      </c>
      <c r="M271" s="41"/>
      <c r="O271" s="26">
        <v>2925.72</v>
      </c>
      <c r="Q271" s="26">
        <v>5558.75</v>
      </c>
      <c r="S271" s="26">
        <v>1699.63</v>
      </c>
      <c r="U271" s="29">
        <v>3.38544</v>
      </c>
      <c r="W271" s="27">
        <v>29.4072</v>
      </c>
      <c r="Y271" s="29">
        <v>8.91812</v>
      </c>
      <c r="AA271" s="41">
        <v>552.07600000000002</v>
      </c>
      <c r="AC271" s="27">
        <v>46.07</v>
      </c>
      <c r="AE271" s="27">
        <v>1</v>
      </c>
      <c r="AG271" s="29">
        <v>7.5438000000000001</v>
      </c>
      <c r="AI271" s="29">
        <v>8.7590500000000002</v>
      </c>
      <c r="AK271" s="27">
        <v>22.855799999999999</v>
      </c>
      <c r="AM271" s="27">
        <v>29.055</v>
      </c>
      <c r="AO271" s="29"/>
      <c r="AP271" s="28"/>
    </row>
    <row r="272" spans="2:42" hidden="1" outlineLevel="1" x14ac:dyDescent="0.25">
      <c r="B272" s="21">
        <v>42626</v>
      </c>
      <c r="C272" s="27">
        <v>18.975200000000001</v>
      </c>
      <c r="E272" s="30">
        <v>0.89035699999999995</v>
      </c>
      <c r="G272" s="27">
        <v>14.9244</v>
      </c>
      <c r="I272" s="29">
        <v>6.9130500000000001</v>
      </c>
      <c r="K272" s="29">
        <v>3.26973</v>
      </c>
      <c r="M272" s="41"/>
      <c r="O272" s="26">
        <v>2947.27</v>
      </c>
      <c r="Q272" s="26">
        <v>5593.75</v>
      </c>
      <c r="S272" s="26">
        <v>1698.35</v>
      </c>
      <c r="U272" s="29">
        <v>3.3988900000000002</v>
      </c>
      <c r="W272" s="27">
        <v>29.502500000000001</v>
      </c>
      <c r="Y272" s="29">
        <v>8.9289000000000005</v>
      </c>
      <c r="AA272" s="41">
        <v>551.077</v>
      </c>
      <c r="AC272" s="27">
        <v>46.186599999999999</v>
      </c>
      <c r="AE272" s="27">
        <v>1</v>
      </c>
      <c r="AG272" s="29">
        <v>7.5256299999999996</v>
      </c>
      <c r="AI272" s="29">
        <v>8.7430199999999996</v>
      </c>
      <c r="AK272" s="27">
        <v>22.8568</v>
      </c>
      <c r="AM272" s="27">
        <v>28.979700000000001</v>
      </c>
      <c r="AO272" s="29"/>
      <c r="AP272" s="28"/>
    </row>
    <row r="273" spans="2:42" hidden="1" outlineLevel="1" x14ac:dyDescent="0.25">
      <c r="B273" s="21">
        <v>42627</v>
      </c>
      <c r="C273" s="27">
        <v>19.1431</v>
      </c>
      <c r="E273" s="30">
        <v>0.89037699999999997</v>
      </c>
      <c r="G273" s="27">
        <v>15.0021</v>
      </c>
      <c r="I273" s="29">
        <v>6.9346100000000002</v>
      </c>
      <c r="K273" s="29">
        <v>3.3209200000000001</v>
      </c>
      <c r="M273" s="41"/>
      <c r="O273" s="26">
        <v>2968.32</v>
      </c>
      <c r="Q273" s="26">
        <v>5593.75</v>
      </c>
      <c r="S273" s="26">
        <v>1675.37</v>
      </c>
      <c r="U273" s="29">
        <v>3.3993600000000002</v>
      </c>
      <c r="W273" s="27">
        <v>29.502500000000001</v>
      </c>
      <c r="Y273" s="29">
        <v>8.8409399999999998</v>
      </c>
      <c r="AA273" s="41">
        <v>551.87</v>
      </c>
      <c r="AC273" s="27">
        <v>46.093499999999999</v>
      </c>
      <c r="AE273" s="27">
        <v>1</v>
      </c>
      <c r="AG273" s="29">
        <v>7.53043</v>
      </c>
      <c r="AI273" s="29">
        <v>8.75549</v>
      </c>
      <c r="AK273" s="27">
        <v>22.843299999999999</v>
      </c>
      <c r="AM273" s="27">
        <v>28.970500000000001</v>
      </c>
      <c r="AO273" s="29"/>
      <c r="AP273" s="28"/>
    </row>
    <row r="274" spans="2:42" hidden="1" outlineLevel="1" x14ac:dyDescent="0.25">
      <c r="B274" s="21">
        <v>42628</v>
      </c>
      <c r="C274" s="27">
        <v>19.299099999999999</v>
      </c>
      <c r="E274" s="30">
        <v>0.88944699999999999</v>
      </c>
      <c r="G274" s="27">
        <v>15.0319</v>
      </c>
      <c r="I274" s="29">
        <v>6.9213800000000001</v>
      </c>
      <c r="K274" s="29">
        <v>3.3359700000000001</v>
      </c>
      <c r="M274" s="41"/>
      <c r="O274" s="26">
        <v>2954.36</v>
      </c>
      <c r="Q274" s="26">
        <v>5559.14</v>
      </c>
      <c r="S274" s="26">
        <v>1664.63</v>
      </c>
      <c r="U274" s="29">
        <v>3.3902999999999999</v>
      </c>
      <c r="W274" s="27">
        <v>29.327100000000002</v>
      </c>
      <c r="Y274" s="29">
        <v>8.7826599999999999</v>
      </c>
      <c r="AA274" s="41">
        <v>550.84</v>
      </c>
      <c r="AC274" s="27">
        <v>46.1676</v>
      </c>
      <c r="AE274" s="27">
        <v>1</v>
      </c>
      <c r="AG274" s="29">
        <v>7.51241</v>
      </c>
      <c r="AI274" s="29">
        <v>8.7390100000000004</v>
      </c>
      <c r="AK274" s="27">
        <v>22.781300000000002</v>
      </c>
      <c r="AM274" s="27">
        <v>28.986599999999999</v>
      </c>
      <c r="AO274" s="29"/>
      <c r="AP274" s="28"/>
    </row>
    <row r="275" spans="2:42" hidden="1" outlineLevel="1" x14ac:dyDescent="0.25">
      <c r="B275" s="21">
        <v>42629</v>
      </c>
      <c r="C275" s="27">
        <v>19.452300000000001</v>
      </c>
      <c r="E275" s="30">
        <v>0.891957</v>
      </c>
      <c r="G275" s="27">
        <v>15.0762</v>
      </c>
      <c r="I275" s="29">
        <v>6.9296899999999999</v>
      </c>
      <c r="K275" s="29">
        <v>3.2971699999999999</v>
      </c>
      <c r="M275" s="41"/>
      <c r="O275" s="26">
        <v>2938.2</v>
      </c>
      <c r="Q275" s="26">
        <v>5553.11</v>
      </c>
      <c r="S275" s="26">
        <v>1686.06</v>
      </c>
      <c r="U275" s="29">
        <v>3.3868100000000001</v>
      </c>
      <c r="W275" s="27">
        <v>29.298400000000001</v>
      </c>
      <c r="Y275" s="29">
        <v>8.8947299999999991</v>
      </c>
      <c r="AA275" s="41">
        <v>551.41800000000001</v>
      </c>
      <c r="AC275" s="27">
        <v>46.096600000000002</v>
      </c>
      <c r="AE275" s="27">
        <v>1</v>
      </c>
      <c r="AG275" s="29">
        <v>7.5194299999999998</v>
      </c>
      <c r="AI275" s="29">
        <v>8.7485999999999997</v>
      </c>
      <c r="AK275" s="27">
        <v>22.802600000000002</v>
      </c>
      <c r="AM275" s="27">
        <v>28.988299999999999</v>
      </c>
      <c r="AO275" s="29"/>
      <c r="AP275" s="28"/>
    </row>
    <row r="276" spans="2:42" hidden="1" outlineLevel="1" x14ac:dyDescent="0.25">
      <c r="B276" s="21">
        <v>42630</v>
      </c>
      <c r="C276" s="27">
        <v>19.6099</v>
      </c>
      <c r="E276" s="30">
        <v>0.89624999999999999</v>
      </c>
      <c r="G276" s="27">
        <v>15.151400000000001</v>
      </c>
      <c r="I276" s="29">
        <v>6.9720500000000003</v>
      </c>
      <c r="K276" s="29">
        <v>3.26729</v>
      </c>
      <c r="M276" s="41"/>
      <c r="O276" s="26">
        <v>2947.3</v>
      </c>
      <c r="Q276" s="26">
        <v>5563.69</v>
      </c>
      <c r="S276" s="26">
        <v>1712.11</v>
      </c>
      <c r="U276" s="29">
        <v>3.4056000000000002</v>
      </c>
      <c r="W276" s="27">
        <v>29.3598</v>
      </c>
      <c r="Y276" s="29">
        <v>9.0299200000000006</v>
      </c>
      <c r="AA276" s="41">
        <v>554.85</v>
      </c>
      <c r="AC276" s="27">
        <v>46.125999999999998</v>
      </c>
      <c r="AE276" s="27">
        <v>1</v>
      </c>
      <c r="AG276" s="29">
        <v>7.5661500000000004</v>
      </c>
      <c r="AI276" s="29">
        <v>8.8032000000000004</v>
      </c>
      <c r="AK276" s="27">
        <v>22.802600000000002</v>
      </c>
      <c r="AM276" s="27">
        <v>28.988299999999999</v>
      </c>
      <c r="AO276" s="29"/>
      <c r="AP276" s="28"/>
    </row>
    <row r="277" spans="2:42" hidden="1" outlineLevel="1" x14ac:dyDescent="0.25">
      <c r="B277" s="21">
        <v>42631</v>
      </c>
      <c r="C277" s="27">
        <v>19.6099</v>
      </c>
      <c r="E277" s="30">
        <v>0.89624999999999999</v>
      </c>
      <c r="G277" s="27">
        <v>15.152900000000001</v>
      </c>
      <c r="I277" s="29">
        <v>6.9720500000000003</v>
      </c>
      <c r="K277" s="29">
        <v>3.2656900000000002</v>
      </c>
      <c r="M277" s="41"/>
      <c r="O277" s="26">
        <v>2947.3</v>
      </c>
      <c r="Q277" s="26">
        <v>5553.06</v>
      </c>
      <c r="S277" s="26">
        <v>1712.91</v>
      </c>
      <c r="U277" s="29">
        <v>3.4056000000000002</v>
      </c>
      <c r="W277" s="27">
        <v>29.194800000000001</v>
      </c>
      <c r="Y277" s="29">
        <v>9.0342099999999999</v>
      </c>
      <c r="AA277" s="41">
        <v>554.85</v>
      </c>
      <c r="AC277" s="27">
        <v>46.46</v>
      </c>
      <c r="AE277" s="27">
        <v>1</v>
      </c>
      <c r="AG277" s="29">
        <v>7.5661500000000004</v>
      </c>
      <c r="AI277" s="29">
        <v>8.8032000000000004</v>
      </c>
      <c r="AK277" s="27">
        <v>22.8675</v>
      </c>
      <c r="AM277" s="27">
        <v>29.236499999999999</v>
      </c>
      <c r="AO277" s="29"/>
      <c r="AP277" s="28"/>
    </row>
    <row r="278" spans="2:42" hidden="1" outlineLevel="1" x14ac:dyDescent="0.25">
      <c r="B278" s="21">
        <v>42632</v>
      </c>
      <c r="C278" s="27">
        <v>19.583300000000001</v>
      </c>
      <c r="E278" s="30">
        <v>0.89543600000000001</v>
      </c>
      <c r="G278" s="27">
        <v>15.1418</v>
      </c>
      <c r="I278" s="29">
        <v>6.9284499999999998</v>
      </c>
      <c r="K278" s="29">
        <v>3.2661099999999998</v>
      </c>
      <c r="M278" s="41"/>
      <c r="O278" s="26">
        <v>2941.2</v>
      </c>
      <c r="Q278" s="26">
        <v>5560.81</v>
      </c>
      <c r="S278" s="26">
        <v>1701.96</v>
      </c>
      <c r="U278" s="29">
        <v>3.3887999999999998</v>
      </c>
      <c r="W278" s="27">
        <v>29.1782</v>
      </c>
      <c r="Y278" s="29">
        <v>9.0038</v>
      </c>
      <c r="AA278" s="41">
        <v>550.88</v>
      </c>
      <c r="AC278" s="27">
        <v>46.46</v>
      </c>
      <c r="AE278" s="27">
        <v>1</v>
      </c>
      <c r="AG278" s="29">
        <v>7.5435400000000001</v>
      </c>
      <c r="AI278" s="29">
        <v>8.7773699999999995</v>
      </c>
      <c r="AK278" s="27">
        <v>22.875900000000001</v>
      </c>
      <c r="AM278" s="27">
        <v>28.950600000000001</v>
      </c>
      <c r="AO278" s="29"/>
      <c r="AP278" s="28"/>
    </row>
    <row r="279" spans="2:42" hidden="1" outlineLevel="1" x14ac:dyDescent="0.25">
      <c r="B279" s="21">
        <v>42633</v>
      </c>
      <c r="C279" s="27">
        <v>19.709299999999999</v>
      </c>
      <c r="E279" s="30">
        <v>0.89484699999999995</v>
      </c>
      <c r="G279" s="27">
        <v>15.1411</v>
      </c>
      <c r="I279" s="29">
        <v>6.9159600000000001</v>
      </c>
      <c r="K279" s="29">
        <v>3.26661</v>
      </c>
      <c r="M279" s="41"/>
      <c r="O279" s="26">
        <v>2917.26</v>
      </c>
      <c r="Q279" s="26">
        <v>5569.6</v>
      </c>
      <c r="S279" s="26">
        <v>1700.04</v>
      </c>
      <c r="U279" s="29">
        <v>3.3884099999999999</v>
      </c>
      <c r="W279" s="27">
        <v>29.242000000000001</v>
      </c>
      <c r="Y279" s="29">
        <v>8.9610699999999994</v>
      </c>
      <c r="AA279" s="41">
        <v>551.18499999999995</v>
      </c>
      <c r="AC279" s="27">
        <v>46.135800000000003</v>
      </c>
      <c r="AE279" s="27">
        <v>1</v>
      </c>
      <c r="AG279" s="29">
        <v>7.5103400000000002</v>
      </c>
      <c r="AI279" s="29">
        <v>8.7428500000000007</v>
      </c>
      <c r="AK279" s="27">
        <v>22.727599999999999</v>
      </c>
      <c r="AM279" s="27">
        <v>29.0181</v>
      </c>
      <c r="AO279" s="29"/>
      <c r="AP279" s="28"/>
    </row>
    <row r="280" spans="2:42" hidden="1" outlineLevel="1" x14ac:dyDescent="0.25">
      <c r="B280" s="21">
        <v>42634</v>
      </c>
      <c r="C280" s="27">
        <v>19.791899999999998</v>
      </c>
      <c r="E280" s="30">
        <v>0.896652</v>
      </c>
      <c r="G280" s="27">
        <v>15.138</v>
      </c>
      <c r="I280" s="29">
        <v>6.92896</v>
      </c>
      <c r="K280" s="29">
        <v>3.2484000000000002</v>
      </c>
      <c r="M280" s="41"/>
      <c r="O280" s="26">
        <v>2918.7</v>
      </c>
      <c r="Q280" s="26">
        <v>5569.6</v>
      </c>
      <c r="S280" s="26">
        <v>1712.02</v>
      </c>
      <c r="U280" s="29">
        <v>3.39059</v>
      </c>
      <c r="W280" s="27">
        <v>29.242000000000001</v>
      </c>
      <c r="Y280" s="29">
        <v>8.9281299999999995</v>
      </c>
      <c r="AA280" s="41">
        <v>553.33900000000006</v>
      </c>
      <c r="AC280" s="27">
        <v>46.126600000000003</v>
      </c>
      <c r="AE280" s="27">
        <v>1</v>
      </c>
      <c r="AG280" s="29">
        <v>7.5242800000000001</v>
      </c>
      <c r="AI280" s="29">
        <v>8.7633700000000001</v>
      </c>
      <c r="AK280" s="27">
        <v>22.804200000000002</v>
      </c>
      <c r="AM280" s="27">
        <v>29.093800000000002</v>
      </c>
      <c r="AO280" s="29"/>
      <c r="AP280" s="28"/>
    </row>
    <row r="281" spans="2:42" hidden="1" outlineLevel="1" x14ac:dyDescent="0.25">
      <c r="B281" s="21">
        <v>42635</v>
      </c>
      <c r="C281" s="27">
        <v>19.657900000000001</v>
      </c>
      <c r="E281" s="30">
        <v>0.89163899999999996</v>
      </c>
      <c r="G281" s="27">
        <v>15.147</v>
      </c>
      <c r="I281" s="29">
        <v>6.9142200000000003</v>
      </c>
      <c r="K281" s="29">
        <v>3.2106400000000002</v>
      </c>
      <c r="M281" s="41"/>
      <c r="O281" s="26">
        <v>2890.78</v>
      </c>
      <c r="Q281" s="26">
        <v>5570.45</v>
      </c>
      <c r="S281" s="26">
        <v>1724.69</v>
      </c>
      <c r="U281" s="29">
        <v>3.36781</v>
      </c>
      <c r="W281" s="27">
        <v>28.854600000000001</v>
      </c>
      <c r="Y281" s="29">
        <v>8.8572799999999994</v>
      </c>
      <c r="AA281" s="41">
        <v>550.61199999999997</v>
      </c>
      <c r="AC281" s="27">
        <v>46.2393</v>
      </c>
      <c r="AE281" s="27">
        <v>1</v>
      </c>
      <c r="AG281" s="29">
        <v>7.4976500000000001</v>
      </c>
      <c r="AI281" s="29">
        <v>8.7301300000000008</v>
      </c>
      <c r="AK281" s="27">
        <v>22.822700000000001</v>
      </c>
      <c r="AM281" s="27">
        <v>28.982900000000001</v>
      </c>
      <c r="AO281" s="29"/>
      <c r="AP281" s="28"/>
    </row>
    <row r="282" spans="2:42" hidden="1" outlineLevel="1" x14ac:dyDescent="0.25">
      <c r="B282" s="21">
        <v>42636</v>
      </c>
      <c r="C282" s="27">
        <v>19.688300000000002</v>
      </c>
      <c r="E282" s="30">
        <v>0.89180599999999999</v>
      </c>
      <c r="G282" s="27">
        <v>15.157999999999999</v>
      </c>
      <c r="I282" s="29">
        <v>6.9408099999999999</v>
      </c>
      <c r="K282" s="29">
        <v>3.2234400000000001</v>
      </c>
      <c r="M282" s="41"/>
      <c r="O282" s="26">
        <v>2902.21</v>
      </c>
      <c r="Q282" s="26">
        <v>5549.88</v>
      </c>
      <c r="S282" s="26">
        <v>1728.99</v>
      </c>
      <c r="U282" s="29">
        <v>3.3607200000000002</v>
      </c>
      <c r="W282" s="27">
        <v>28.551300000000001</v>
      </c>
      <c r="Y282" s="29">
        <v>8.8576099999999993</v>
      </c>
      <c r="AA282" s="41">
        <v>552.072</v>
      </c>
      <c r="AC282" s="27">
        <v>46.147599999999997</v>
      </c>
      <c r="AE282" s="27">
        <v>1</v>
      </c>
      <c r="AG282" s="29">
        <v>7.5290699999999999</v>
      </c>
      <c r="AI282" s="29">
        <v>8.7635299999999994</v>
      </c>
      <c r="AK282" s="27">
        <v>22.776900000000001</v>
      </c>
      <c r="AM282" s="27">
        <v>29.080500000000001</v>
      </c>
      <c r="AO282" s="29"/>
      <c r="AP282" s="28"/>
    </row>
    <row r="283" spans="2:42" hidden="1" outlineLevel="1" x14ac:dyDescent="0.25">
      <c r="B283" s="21">
        <v>42637</v>
      </c>
      <c r="C283" s="27">
        <v>19.789000000000001</v>
      </c>
      <c r="E283" s="30">
        <v>0.89082099999999997</v>
      </c>
      <c r="G283" s="27">
        <v>15.1568</v>
      </c>
      <c r="I283" s="29">
        <v>6.9285500000000004</v>
      </c>
      <c r="K283" s="29">
        <v>3.2451599999999998</v>
      </c>
      <c r="M283" s="41"/>
      <c r="O283" s="26">
        <v>2889.92</v>
      </c>
      <c r="Q283" s="26">
        <v>5514.95</v>
      </c>
      <c r="S283" s="26">
        <v>1720.66</v>
      </c>
      <c r="U283" s="29">
        <v>3.3433000000000002</v>
      </c>
      <c r="W283" s="27">
        <v>28.435199999999998</v>
      </c>
      <c r="Y283" s="29">
        <v>8.7881900000000002</v>
      </c>
      <c r="AA283" s="41">
        <v>551.38</v>
      </c>
      <c r="AC283" s="27">
        <v>46.241799999999998</v>
      </c>
      <c r="AE283" s="27">
        <v>1</v>
      </c>
      <c r="AG283" s="29">
        <v>7.5168499999999998</v>
      </c>
      <c r="AI283" s="29">
        <v>8.7482000000000006</v>
      </c>
      <c r="AK283" s="27">
        <v>22.645</v>
      </c>
      <c r="AM283" s="27">
        <v>29.094000000000001</v>
      </c>
      <c r="AO283" s="29"/>
      <c r="AP283" s="28"/>
    </row>
    <row r="284" spans="2:42" hidden="1" outlineLevel="1" x14ac:dyDescent="0.25">
      <c r="B284" s="21">
        <v>42638</v>
      </c>
      <c r="C284" s="27">
        <v>19.789000000000001</v>
      </c>
      <c r="E284" s="30">
        <v>0.89082099999999997</v>
      </c>
      <c r="G284" s="27">
        <v>15.1609</v>
      </c>
      <c r="I284" s="29">
        <v>6.9285500000000004</v>
      </c>
      <c r="K284" s="29">
        <v>3.2444199999999999</v>
      </c>
      <c r="M284" s="41"/>
      <c r="O284" s="26">
        <v>2919.94</v>
      </c>
      <c r="Q284" s="26">
        <v>5544.94</v>
      </c>
      <c r="S284" s="26">
        <v>1721.04</v>
      </c>
      <c r="U284" s="29">
        <v>3.3433000000000002</v>
      </c>
      <c r="W284" s="27">
        <v>28.578499999999998</v>
      </c>
      <c r="Y284" s="29">
        <v>8.7901100000000003</v>
      </c>
      <c r="AA284" s="41">
        <v>551.38</v>
      </c>
      <c r="AC284" s="27">
        <v>46.160499999999999</v>
      </c>
      <c r="AE284" s="27">
        <v>1</v>
      </c>
      <c r="AG284" s="29">
        <v>7.5168499999999998</v>
      </c>
      <c r="AI284" s="29">
        <v>8.7482000000000006</v>
      </c>
      <c r="AK284" s="27">
        <v>22.645</v>
      </c>
      <c r="AM284" s="27">
        <v>29.094000000000001</v>
      </c>
      <c r="AO284" s="29"/>
      <c r="AP284" s="28"/>
    </row>
    <row r="285" spans="2:42" hidden="1" outlineLevel="1" x14ac:dyDescent="0.25">
      <c r="B285" s="21">
        <v>42639</v>
      </c>
      <c r="C285" s="27">
        <v>19.8306</v>
      </c>
      <c r="E285" s="30">
        <v>0.88939100000000004</v>
      </c>
      <c r="G285" s="27">
        <v>15.1714</v>
      </c>
      <c r="I285" s="29">
        <v>6.9247500000000004</v>
      </c>
      <c r="K285" s="29">
        <v>3.24322</v>
      </c>
      <c r="M285" s="41"/>
      <c r="O285" s="26">
        <v>2918.84</v>
      </c>
      <c r="Q285" s="26">
        <v>5546.08</v>
      </c>
      <c r="S285" s="26">
        <v>1720.75</v>
      </c>
      <c r="U285" s="29">
        <v>3.3477100000000002</v>
      </c>
      <c r="W285" s="27">
        <v>28.599399999999999</v>
      </c>
      <c r="Y285" s="29">
        <v>8.7783999999999995</v>
      </c>
      <c r="AA285" s="41">
        <v>551.08299999999997</v>
      </c>
      <c r="AC285" s="27">
        <v>46.160499999999999</v>
      </c>
      <c r="AE285" s="27">
        <v>1</v>
      </c>
      <c r="AG285" s="29">
        <v>7.5131600000000001</v>
      </c>
      <c r="AI285" s="29">
        <v>8.7433399999999999</v>
      </c>
      <c r="AK285" s="27">
        <v>22.710799999999999</v>
      </c>
      <c r="AM285" s="27">
        <v>29.0106</v>
      </c>
      <c r="AO285" s="29"/>
      <c r="AP285" s="28"/>
    </row>
    <row r="286" spans="2:42" hidden="1" outlineLevel="1" x14ac:dyDescent="0.25">
      <c r="B286" s="21">
        <v>42640</v>
      </c>
      <c r="C286" s="27">
        <v>19.594999999999999</v>
      </c>
      <c r="E286" s="30">
        <v>0.89017000000000002</v>
      </c>
      <c r="G286" s="27">
        <v>15.242900000000001</v>
      </c>
      <c r="I286" s="29">
        <v>6.93058</v>
      </c>
      <c r="K286" s="29">
        <v>3.23983</v>
      </c>
      <c r="M286" s="41"/>
      <c r="O286" s="26">
        <v>2914.75</v>
      </c>
      <c r="Q286" s="26">
        <v>5549.2</v>
      </c>
      <c r="S286" s="26">
        <v>1722.39</v>
      </c>
      <c r="U286" s="29">
        <v>3.3613499999999998</v>
      </c>
      <c r="W286" s="27">
        <v>28.638500000000001</v>
      </c>
      <c r="Y286" s="29">
        <v>8.7797199999999993</v>
      </c>
      <c r="AA286" s="41">
        <v>552.38900000000001</v>
      </c>
      <c r="AC286" s="27">
        <v>46.149700000000003</v>
      </c>
      <c r="AE286" s="27">
        <v>1</v>
      </c>
      <c r="AG286" s="29">
        <v>7.5197200000000004</v>
      </c>
      <c r="AI286" s="29">
        <v>8.7505000000000006</v>
      </c>
      <c r="AK286" s="27">
        <v>22.696000000000002</v>
      </c>
      <c r="AM286" s="27">
        <v>29.026199999999999</v>
      </c>
      <c r="AO286" s="29"/>
      <c r="AP286" s="28"/>
    </row>
    <row r="287" spans="2:42" hidden="1" outlineLevel="1" x14ac:dyDescent="0.25">
      <c r="B287" s="21">
        <v>42641</v>
      </c>
      <c r="C287" s="27">
        <v>19.429200000000002</v>
      </c>
      <c r="E287" s="30">
        <v>0.89202099999999995</v>
      </c>
      <c r="G287" s="27">
        <v>15.295299999999999</v>
      </c>
      <c r="I287" s="29">
        <v>6.9431099999999999</v>
      </c>
      <c r="K287" s="29">
        <v>3.2361</v>
      </c>
      <c r="M287" s="41"/>
      <c r="O287" s="26">
        <v>2900</v>
      </c>
      <c r="Q287" s="26">
        <v>5549.2</v>
      </c>
      <c r="S287" s="26">
        <v>1725.24</v>
      </c>
      <c r="U287" s="29">
        <v>3.37575</v>
      </c>
      <c r="W287" s="27">
        <v>28.638500000000001</v>
      </c>
      <c r="Y287" s="29">
        <v>8.79758</v>
      </c>
      <c r="AA287" s="41">
        <v>553.71600000000001</v>
      </c>
      <c r="AC287" s="27">
        <v>46.179699999999997</v>
      </c>
      <c r="AE287" s="27">
        <v>1</v>
      </c>
      <c r="AG287" s="29">
        <v>7.5329199999999998</v>
      </c>
      <c r="AI287" s="29">
        <v>8.7664399999999993</v>
      </c>
      <c r="AK287" s="27">
        <v>22.754200000000001</v>
      </c>
      <c r="AM287" s="27">
        <v>29.093900000000001</v>
      </c>
      <c r="AO287" s="29"/>
      <c r="AP287" s="28"/>
    </row>
    <row r="288" spans="2:42" hidden="1" outlineLevel="1" x14ac:dyDescent="0.25">
      <c r="B288" s="21">
        <v>42642</v>
      </c>
      <c r="C288" s="27">
        <v>19.4025</v>
      </c>
      <c r="E288" s="30">
        <v>0.89107099999999995</v>
      </c>
      <c r="G288" s="27">
        <v>15.363200000000001</v>
      </c>
      <c r="I288" s="29">
        <v>6.91812</v>
      </c>
      <c r="K288" s="29">
        <v>3.2246000000000001</v>
      </c>
      <c r="M288" s="41"/>
      <c r="O288" s="26">
        <v>2893.53</v>
      </c>
      <c r="Q288" s="26">
        <v>5507.31</v>
      </c>
      <c r="S288" s="26">
        <v>1727.33</v>
      </c>
      <c r="U288" s="29">
        <v>3.3720699999999999</v>
      </c>
      <c r="W288" s="27">
        <v>28.4984</v>
      </c>
      <c r="Y288" s="29">
        <v>8.8003900000000002</v>
      </c>
      <c r="AA288" s="41">
        <v>551.65899999999999</v>
      </c>
      <c r="AC288" s="27">
        <v>46.287100000000002</v>
      </c>
      <c r="AE288" s="27">
        <v>1</v>
      </c>
      <c r="AG288" s="29">
        <v>7.5177899999999998</v>
      </c>
      <c r="AI288" s="29">
        <v>8.7460699999999996</v>
      </c>
      <c r="AK288" s="27">
        <v>22.721900000000002</v>
      </c>
      <c r="AM288" s="27">
        <v>29.030200000000001</v>
      </c>
      <c r="AO288" s="29"/>
      <c r="AP288" s="28"/>
    </row>
    <row r="289" spans="2:42" hidden="1" outlineLevel="1" x14ac:dyDescent="0.25">
      <c r="B289" s="21">
        <v>42643</v>
      </c>
      <c r="C289" s="49">
        <v>19.4086</v>
      </c>
      <c r="E289" s="30">
        <v>0.89196500000000001</v>
      </c>
      <c r="G289" s="27">
        <v>15.3338</v>
      </c>
      <c r="I289" s="29">
        <v>6.9089700000000001</v>
      </c>
      <c r="K289" s="29">
        <v>3.2551100000000002</v>
      </c>
      <c r="M289" s="41"/>
      <c r="O289" s="26">
        <v>2899.44</v>
      </c>
      <c r="Q289" s="26">
        <v>5507.57</v>
      </c>
      <c r="S289" s="26">
        <v>1711.69</v>
      </c>
      <c r="U289" s="29">
        <v>3.3830800000000001</v>
      </c>
      <c r="W289" s="27">
        <v>28.555099999999999</v>
      </c>
      <c r="Y289" s="29">
        <v>8.7352600000000002</v>
      </c>
      <c r="AA289" s="41">
        <v>552.43200000000002</v>
      </c>
      <c r="AC289" s="27">
        <v>46.197499999999998</v>
      </c>
      <c r="AE289" s="27">
        <v>1</v>
      </c>
      <c r="AG289" s="29">
        <v>7.5228000000000002</v>
      </c>
      <c r="AI289" s="29">
        <v>8.7487300000000001</v>
      </c>
      <c r="AK289" s="27">
        <v>22.8733</v>
      </c>
      <c r="AM289" s="27">
        <v>29.046299999999999</v>
      </c>
      <c r="AO289" s="29"/>
      <c r="AP289" s="28"/>
    </row>
    <row r="290" spans="2:42" ht="13" collapsed="1" x14ac:dyDescent="0.3">
      <c r="B290" s="25" t="s">
        <v>147</v>
      </c>
      <c r="C290" s="19">
        <v>19.192499999999999</v>
      </c>
      <c r="E290" s="24">
        <v>0.89235600000000004</v>
      </c>
      <c r="G290" s="19">
        <v>15.0953</v>
      </c>
      <c r="I290" s="23">
        <v>6.9309200000000004</v>
      </c>
      <c r="J290" s="9"/>
      <c r="K290" s="23">
        <v>3.2538499999999999</v>
      </c>
      <c r="M290" s="42" t="s">
        <v>78</v>
      </c>
      <c r="O290" s="31">
        <v>2923.33</v>
      </c>
      <c r="Q290" s="31">
        <v>5559.76</v>
      </c>
      <c r="S290" s="31">
        <v>1708.83</v>
      </c>
      <c r="U290" s="23">
        <v>3.3801000000000001</v>
      </c>
      <c r="W290" s="23">
        <v>28.836649999999999</v>
      </c>
      <c r="Y290" s="23">
        <v>8.8623899999999995</v>
      </c>
      <c r="AA290" s="42">
        <v>552.08500000000004</v>
      </c>
      <c r="AC290" s="19">
        <v>46.231499999999997</v>
      </c>
      <c r="AE290" s="19">
        <v>1</v>
      </c>
      <c r="AG290" s="23">
        <v>7.53566</v>
      </c>
      <c r="AI290" s="23">
        <v>8.7566000000000006</v>
      </c>
      <c r="AK290" s="23">
        <v>22.822340000000001</v>
      </c>
      <c r="AM290" s="23">
        <v>29.044180000000001</v>
      </c>
      <c r="AO290" s="23" t="s">
        <v>78</v>
      </c>
      <c r="AP290" s="10"/>
    </row>
    <row r="291" spans="2:42" hidden="1" outlineLevel="1" x14ac:dyDescent="0.25">
      <c r="B291" s="21">
        <v>42644</v>
      </c>
      <c r="C291" s="27">
        <v>19.386199999999999</v>
      </c>
      <c r="E291" s="30">
        <v>0.88949800000000001</v>
      </c>
      <c r="G291" s="27">
        <v>15.2539</v>
      </c>
      <c r="I291" s="29">
        <v>6.8631000000000002</v>
      </c>
      <c r="K291" s="29">
        <v>3.2610999999999999</v>
      </c>
      <c r="M291" s="41"/>
      <c r="O291" s="26">
        <v>2873.29</v>
      </c>
      <c r="Q291" s="26">
        <v>5534.65</v>
      </c>
      <c r="S291" s="26">
        <v>1697.2</v>
      </c>
      <c r="U291" s="29">
        <v>3.3705500000000002</v>
      </c>
      <c r="W291" s="27">
        <v>28.331</v>
      </c>
      <c r="Y291" s="29">
        <v>8.6876800000000003</v>
      </c>
      <c r="AA291" s="41">
        <v>548.75</v>
      </c>
      <c r="AC291" s="27">
        <v>45.8765</v>
      </c>
      <c r="AE291" s="27">
        <v>1</v>
      </c>
      <c r="AG291" s="29">
        <v>7.4714</v>
      </c>
      <c r="AI291" s="29">
        <v>8.6898999999999997</v>
      </c>
      <c r="AK291" s="27">
        <v>22.6755</v>
      </c>
      <c r="AM291" s="27">
        <v>28.902000000000001</v>
      </c>
      <c r="AO291" s="29"/>
      <c r="AP291" s="28"/>
    </row>
    <row r="292" spans="2:42" hidden="1" outlineLevel="1" x14ac:dyDescent="0.25">
      <c r="B292" s="21">
        <v>42645</v>
      </c>
      <c r="C292" s="27">
        <v>19.386199999999999</v>
      </c>
      <c r="E292" s="30">
        <v>0.88949800000000001</v>
      </c>
      <c r="G292" s="27">
        <v>15.2631</v>
      </c>
      <c r="I292" s="29">
        <v>6.8631000000000002</v>
      </c>
      <c r="K292" s="29">
        <v>3.2615799999999999</v>
      </c>
      <c r="M292" s="41"/>
      <c r="O292" s="26">
        <v>2881.94</v>
      </c>
      <c r="Q292" s="26">
        <v>5534.65</v>
      </c>
      <c r="S292" s="26">
        <v>1696.94</v>
      </c>
      <c r="U292" s="29">
        <v>3.3705500000000002</v>
      </c>
      <c r="W292" s="27">
        <v>28.331</v>
      </c>
      <c r="Y292" s="29">
        <v>8.6863700000000001</v>
      </c>
      <c r="AA292" s="41">
        <v>548.75</v>
      </c>
      <c r="AC292" s="27">
        <v>45.8765</v>
      </c>
      <c r="AE292" s="27">
        <v>1</v>
      </c>
      <c r="AG292" s="29">
        <v>7.4714</v>
      </c>
      <c r="AI292" s="29">
        <v>8.6898999999999997</v>
      </c>
      <c r="AK292" s="27">
        <v>22.6755</v>
      </c>
      <c r="AM292" s="27">
        <v>28.902000000000001</v>
      </c>
      <c r="AO292" s="29"/>
      <c r="AP292" s="28"/>
    </row>
    <row r="293" spans="2:42" hidden="1" outlineLevel="1" x14ac:dyDescent="0.25">
      <c r="B293" s="21">
        <v>42646</v>
      </c>
      <c r="C293" s="27">
        <v>19.329499999999999</v>
      </c>
      <c r="E293" s="30">
        <v>0.89065099999999997</v>
      </c>
      <c r="G293" s="27">
        <v>15.2986</v>
      </c>
      <c r="I293" s="29">
        <v>6.8893599999999999</v>
      </c>
      <c r="K293" s="29">
        <v>3.2468300000000001</v>
      </c>
      <c r="M293" s="41"/>
      <c r="O293" s="26">
        <v>2899.09</v>
      </c>
      <c r="Q293" s="26">
        <v>5555.86</v>
      </c>
      <c r="S293" s="26">
        <v>1711.18</v>
      </c>
      <c r="U293" s="29">
        <v>3.37954</v>
      </c>
      <c r="W293" s="27">
        <v>28.425699999999999</v>
      </c>
      <c r="Y293" s="29">
        <v>8.7549899999999994</v>
      </c>
      <c r="AA293" s="41">
        <v>550.85400000000004</v>
      </c>
      <c r="AC293" s="27">
        <v>46.098999999999997</v>
      </c>
      <c r="AE293" s="27">
        <v>1</v>
      </c>
      <c r="AG293" s="29">
        <v>7.5</v>
      </c>
      <c r="AI293" s="29">
        <v>8.7236399999999996</v>
      </c>
      <c r="AK293" s="27">
        <v>22.803899999999999</v>
      </c>
      <c r="AM293" s="27">
        <v>28.96</v>
      </c>
      <c r="AO293" s="29"/>
      <c r="AP293" s="28"/>
    </row>
    <row r="294" spans="2:42" hidden="1" outlineLevel="1" x14ac:dyDescent="0.25">
      <c r="B294" s="21">
        <v>42647</v>
      </c>
      <c r="C294" s="27">
        <v>19.309200000000001</v>
      </c>
      <c r="E294" s="30">
        <v>0.89376299999999997</v>
      </c>
      <c r="G294" s="27">
        <v>15.1873</v>
      </c>
      <c r="I294" s="29">
        <v>6.9300100000000002</v>
      </c>
      <c r="K294" s="29">
        <v>3.21977</v>
      </c>
      <c r="M294" s="41"/>
      <c r="O294" s="26">
        <v>2924.18</v>
      </c>
      <c r="Q294" s="26">
        <v>5581.59</v>
      </c>
      <c r="S294" s="26">
        <v>1733.56</v>
      </c>
      <c r="U294" s="29">
        <v>3.3932799999999999</v>
      </c>
      <c r="W294" s="27">
        <v>28.514500000000002</v>
      </c>
      <c r="Y294" s="29">
        <v>8.8561399999999999</v>
      </c>
      <c r="AA294" s="41">
        <v>553.22500000000002</v>
      </c>
      <c r="AC294" s="27">
        <v>46.321800000000003</v>
      </c>
      <c r="AE294" s="27">
        <v>1</v>
      </c>
      <c r="AG294" s="29">
        <v>7.5348100000000002</v>
      </c>
      <c r="AI294" s="29">
        <v>8.7645800000000005</v>
      </c>
      <c r="AK294" s="27">
        <v>22.902200000000001</v>
      </c>
      <c r="AM294" s="27">
        <v>29.117999999999999</v>
      </c>
      <c r="AO294" s="29"/>
      <c r="AP294" s="28"/>
    </row>
    <row r="295" spans="2:42" hidden="1" outlineLevel="1" x14ac:dyDescent="0.25">
      <c r="B295" s="21">
        <v>42648</v>
      </c>
      <c r="C295" s="27">
        <v>19.285699999999999</v>
      </c>
      <c r="E295" s="30">
        <v>0.891822</v>
      </c>
      <c r="G295" s="27">
        <v>15.1685</v>
      </c>
      <c r="I295" s="29">
        <v>6.90794</v>
      </c>
      <c r="K295" s="29">
        <v>3.2481599999999999</v>
      </c>
      <c r="M295" s="41"/>
      <c r="O295" s="26">
        <v>2955.08</v>
      </c>
      <c r="Q295" s="26">
        <v>5564.57</v>
      </c>
      <c r="S295" s="26">
        <v>1713.16</v>
      </c>
      <c r="U295" s="29">
        <v>3.3859699999999999</v>
      </c>
      <c r="W295" s="27">
        <v>28.293299999999999</v>
      </c>
      <c r="Y295" s="29">
        <v>8.7106499999999993</v>
      </c>
      <c r="AA295" s="41">
        <v>550.88499999999999</v>
      </c>
      <c r="AC295" s="27">
        <v>46.154600000000002</v>
      </c>
      <c r="AE295" s="27">
        <v>1</v>
      </c>
      <c r="AG295" s="29">
        <v>7.5030999999999999</v>
      </c>
      <c r="AI295" s="29">
        <v>8.7316599999999998</v>
      </c>
      <c r="AK295" s="27">
        <v>22.808900000000001</v>
      </c>
      <c r="AM295" s="27">
        <v>29.035</v>
      </c>
      <c r="AO295" s="29"/>
      <c r="AP295" s="28"/>
    </row>
    <row r="296" spans="2:42" hidden="1" outlineLevel="1" x14ac:dyDescent="0.25">
      <c r="B296" s="21">
        <v>42649</v>
      </c>
      <c r="C296" s="27">
        <v>19.242899999999999</v>
      </c>
      <c r="E296" s="30">
        <v>0.89401900000000001</v>
      </c>
      <c r="G296" s="27">
        <v>15.198499999999999</v>
      </c>
      <c r="I296" s="29">
        <v>6.92476</v>
      </c>
      <c r="K296" s="29">
        <v>3.2236699999999998</v>
      </c>
      <c r="M296" s="41"/>
      <c r="O296" s="26">
        <v>2932.08</v>
      </c>
      <c r="Q296" s="26">
        <v>5587.1</v>
      </c>
      <c r="S296" s="26">
        <v>1733.16</v>
      </c>
      <c r="U296" s="29">
        <v>3.4045899999999998</v>
      </c>
      <c r="W296" s="27">
        <v>28.319500000000001</v>
      </c>
      <c r="Y296" s="29">
        <v>8.7849599999999999</v>
      </c>
      <c r="AA296" s="41">
        <v>552.49099999999999</v>
      </c>
      <c r="AC296" s="27">
        <v>46.368699999999997</v>
      </c>
      <c r="AE296" s="27">
        <v>1</v>
      </c>
      <c r="AG296" s="29">
        <v>7.5195400000000001</v>
      </c>
      <c r="AI296" s="29">
        <v>8.7574100000000001</v>
      </c>
      <c r="AK296" s="27">
        <v>22.9422</v>
      </c>
      <c r="AM296" s="27">
        <v>28.9864</v>
      </c>
      <c r="AO296" s="29"/>
      <c r="AP296" s="28"/>
    </row>
    <row r="297" spans="2:42" hidden="1" outlineLevel="1" x14ac:dyDescent="0.25">
      <c r="B297" s="21">
        <v>42650</v>
      </c>
      <c r="C297" s="27">
        <v>19.280999999999999</v>
      </c>
      <c r="E297" s="30">
        <v>0.89719499999999996</v>
      </c>
      <c r="G297" s="27">
        <v>15.2087</v>
      </c>
      <c r="I297" s="29">
        <v>6.9470700000000001</v>
      </c>
      <c r="K297" s="29">
        <v>3.2247400000000002</v>
      </c>
      <c r="M297" s="41"/>
      <c r="O297" s="26">
        <v>2914.01</v>
      </c>
      <c r="Q297" s="26">
        <v>5596.63</v>
      </c>
      <c r="S297" s="26">
        <v>1735.55</v>
      </c>
      <c r="U297" s="29">
        <v>3.4116</v>
      </c>
      <c r="W297" s="27">
        <v>28.376200000000001</v>
      </c>
      <c r="Y297" s="29">
        <v>8.7996099999999995</v>
      </c>
      <c r="AA297" s="41">
        <v>553.58299999999997</v>
      </c>
      <c r="AC297" s="27">
        <v>46.364899999999999</v>
      </c>
      <c r="AE297" s="27">
        <v>1</v>
      </c>
      <c r="AG297" s="29">
        <v>7.5284300000000002</v>
      </c>
      <c r="AI297" s="29">
        <v>8.7713400000000004</v>
      </c>
      <c r="AK297" s="27">
        <v>22.8964</v>
      </c>
      <c r="AM297" s="27">
        <v>29.161200000000001</v>
      </c>
      <c r="AO297" s="29"/>
      <c r="AP297" s="28"/>
    </row>
    <row r="298" spans="2:42" hidden="1" outlineLevel="1" x14ac:dyDescent="0.25">
      <c r="B298" s="21">
        <v>42651</v>
      </c>
      <c r="C298" s="27">
        <v>19.2972</v>
      </c>
      <c r="E298" s="30">
        <v>0.89275400000000005</v>
      </c>
      <c r="G298" s="27">
        <v>15.131600000000001</v>
      </c>
      <c r="I298" s="29">
        <v>6.8929</v>
      </c>
      <c r="K298" s="29">
        <v>3.22072</v>
      </c>
      <c r="M298" s="41"/>
      <c r="O298" s="26">
        <v>2889.45</v>
      </c>
      <c r="Q298" s="26">
        <v>5550.1</v>
      </c>
      <c r="S298" s="26">
        <v>1723.33</v>
      </c>
      <c r="U298" s="29">
        <v>3.3901500000000002</v>
      </c>
      <c r="W298" s="27">
        <v>28.074000000000002</v>
      </c>
      <c r="Y298" s="29">
        <v>8.71706</v>
      </c>
      <c r="AA298" s="41">
        <v>549.54499999999996</v>
      </c>
      <c r="AC298" s="27">
        <v>45.932499999999997</v>
      </c>
      <c r="AE298" s="27">
        <v>1</v>
      </c>
      <c r="AG298" s="29">
        <v>7.4663000000000004</v>
      </c>
      <c r="AI298" s="29">
        <v>8.7033000000000005</v>
      </c>
      <c r="AK298" s="27">
        <v>22.6585</v>
      </c>
      <c r="AM298" s="27">
        <v>28.924499999999998</v>
      </c>
      <c r="AO298" s="29"/>
      <c r="AP298" s="28"/>
    </row>
    <row r="299" spans="2:42" hidden="1" outlineLevel="1" x14ac:dyDescent="0.25">
      <c r="B299" s="21">
        <v>42652</v>
      </c>
      <c r="C299" s="27">
        <v>19.2972</v>
      </c>
      <c r="E299" s="30">
        <v>0.89275400000000005</v>
      </c>
      <c r="G299" s="27">
        <v>15.127599999999999</v>
      </c>
      <c r="I299" s="29">
        <v>6.8929</v>
      </c>
      <c r="K299" s="29">
        <v>3.2216200000000002</v>
      </c>
      <c r="M299" s="41"/>
      <c r="O299" s="26">
        <v>2926.51</v>
      </c>
      <c r="Q299" s="26">
        <v>5550.1</v>
      </c>
      <c r="S299" s="26">
        <v>1722.79</v>
      </c>
      <c r="U299" s="29">
        <v>3.3901500000000002</v>
      </c>
      <c r="W299" s="27">
        <v>28.074000000000002</v>
      </c>
      <c r="Y299" s="29">
        <v>8.71434</v>
      </c>
      <c r="AA299" s="41">
        <v>549.54499999999996</v>
      </c>
      <c r="AC299" s="27">
        <v>45.932499999999997</v>
      </c>
      <c r="AE299" s="27">
        <v>1</v>
      </c>
      <c r="AG299" s="29">
        <v>7.4663000000000004</v>
      </c>
      <c r="AI299" s="29">
        <v>8.7033000000000005</v>
      </c>
      <c r="AK299" s="27">
        <v>22.6585</v>
      </c>
      <c r="AM299" s="27">
        <v>28.924499999999998</v>
      </c>
      <c r="AO299" s="29"/>
      <c r="AP299" s="28"/>
    </row>
    <row r="300" spans="2:42" hidden="1" outlineLevel="1" x14ac:dyDescent="0.25">
      <c r="B300" s="21">
        <v>42653</v>
      </c>
      <c r="C300" s="27">
        <v>18.953199999999999</v>
      </c>
      <c r="E300" s="30">
        <v>0.89521099999999998</v>
      </c>
      <c r="G300" s="27">
        <v>15.188000000000001</v>
      </c>
      <c r="I300" s="29">
        <v>6.9040100000000004</v>
      </c>
      <c r="K300" s="29">
        <v>3.21658</v>
      </c>
      <c r="M300" s="41"/>
      <c r="O300" s="26">
        <v>2923.35</v>
      </c>
      <c r="Q300" s="26">
        <v>5565.27</v>
      </c>
      <c r="S300" s="26">
        <v>1730.2</v>
      </c>
      <c r="U300" s="29">
        <v>3.3978999999999999</v>
      </c>
      <c r="W300" s="27">
        <v>28.087800000000001</v>
      </c>
      <c r="Y300" s="29">
        <v>8.7323000000000004</v>
      </c>
      <c r="AA300" s="41">
        <v>551.15800000000002</v>
      </c>
      <c r="AC300" s="27">
        <v>46.293999999999997</v>
      </c>
      <c r="AE300" s="27">
        <v>1</v>
      </c>
      <c r="AG300" s="29">
        <v>7.4836600000000004</v>
      </c>
      <c r="AI300" s="29">
        <v>8.7288200000000007</v>
      </c>
      <c r="AK300" s="27">
        <v>22.720300000000002</v>
      </c>
      <c r="AM300" s="27">
        <v>29.1495</v>
      </c>
      <c r="AO300" s="29"/>
      <c r="AP300" s="28"/>
    </row>
    <row r="301" spans="2:42" hidden="1" outlineLevel="1" x14ac:dyDescent="0.25">
      <c r="B301" s="21">
        <v>42654</v>
      </c>
      <c r="C301" s="27">
        <v>18.937799999999999</v>
      </c>
      <c r="E301" s="30">
        <v>0.90080700000000002</v>
      </c>
      <c r="G301" s="27">
        <v>15.1881</v>
      </c>
      <c r="I301" s="29">
        <v>6.9278599999999999</v>
      </c>
      <c r="K301" s="29">
        <v>3.2065199999999998</v>
      </c>
      <c r="M301" s="41"/>
      <c r="O301" s="26">
        <v>2915.11</v>
      </c>
      <c r="Q301" s="26">
        <v>5585.19</v>
      </c>
      <c r="S301" s="26">
        <v>1741.85</v>
      </c>
      <c r="U301" s="29">
        <v>3.4056299999999999</v>
      </c>
      <c r="W301" s="27">
        <v>28.1008</v>
      </c>
      <c r="Y301" s="29">
        <v>8.7637400000000003</v>
      </c>
      <c r="AA301" s="41">
        <v>552.90899999999999</v>
      </c>
      <c r="AC301" s="27">
        <v>46.3065</v>
      </c>
      <c r="AE301" s="27">
        <v>1</v>
      </c>
      <c r="AG301" s="29">
        <v>7.5022099999999998</v>
      </c>
      <c r="AI301" s="29">
        <v>8.7623599999999993</v>
      </c>
      <c r="AK301" s="27">
        <v>22.839700000000001</v>
      </c>
      <c r="AM301" s="27">
        <v>29.085699999999999</v>
      </c>
      <c r="AO301" s="29"/>
      <c r="AP301" s="28"/>
    </row>
    <row r="302" spans="2:42" hidden="1" outlineLevel="1" x14ac:dyDescent="0.25">
      <c r="B302" s="21">
        <v>42655</v>
      </c>
      <c r="C302" s="27">
        <v>18.905100000000001</v>
      </c>
      <c r="E302" s="30">
        <v>0.90626899999999999</v>
      </c>
      <c r="G302" s="27">
        <v>15.162599999999999</v>
      </c>
      <c r="I302" s="29">
        <v>6.9369399999999999</v>
      </c>
      <c r="K302" s="29">
        <v>3.1988099999999999</v>
      </c>
      <c r="M302" s="41"/>
      <c r="O302" s="26">
        <v>2919.71</v>
      </c>
      <c r="Q302" s="26">
        <v>5584.08</v>
      </c>
      <c r="S302" s="26">
        <v>1745.69</v>
      </c>
      <c r="U302" s="29">
        <v>3.4017300000000001</v>
      </c>
      <c r="W302" s="27">
        <v>28.081299999999999</v>
      </c>
      <c r="Y302" s="29">
        <v>8.7787600000000001</v>
      </c>
      <c r="AA302" s="41">
        <v>553.14599999999996</v>
      </c>
      <c r="AC302" s="27">
        <v>46.297199999999997</v>
      </c>
      <c r="AE302" s="27">
        <v>1</v>
      </c>
      <c r="AG302" s="29">
        <v>7.4891300000000003</v>
      </c>
      <c r="AI302" s="29">
        <v>8.7593200000000007</v>
      </c>
      <c r="AK302" s="27">
        <v>22.842099999999999</v>
      </c>
      <c r="AM302" s="27">
        <v>29.031199999999998</v>
      </c>
      <c r="AO302" s="29"/>
      <c r="AP302" s="28"/>
    </row>
    <row r="303" spans="2:42" hidden="1" outlineLevel="1" x14ac:dyDescent="0.25">
      <c r="B303" s="21">
        <v>42656</v>
      </c>
      <c r="C303" s="27">
        <v>18.980899999999998</v>
      </c>
      <c r="E303" s="30">
        <v>0.90705400000000003</v>
      </c>
      <c r="G303" s="27">
        <v>15.0862</v>
      </c>
      <c r="I303" s="29">
        <v>6.9235800000000003</v>
      </c>
      <c r="K303" s="29">
        <v>3.2001200000000001</v>
      </c>
      <c r="M303" s="41"/>
      <c r="O303" s="26">
        <v>2913.84</v>
      </c>
      <c r="Q303" s="26">
        <v>5582.63</v>
      </c>
      <c r="S303" s="26">
        <v>1744.53</v>
      </c>
      <c r="U303" s="29">
        <v>3.4048799999999999</v>
      </c>
      <c r="W303" s="27">
        <v>28.071899999999999</v>
      </c>
      <c r="Y303" s="29">
        <v>8.7722099999999994</v>
      </c>
      <c r="AA303" s="41">
        <v>553.84699999999998</v>
      </c>
      <c r="AC303" s="27">
        <v>46.2682</v>
      </c>
      <c r="AE303" s="27">
        <v>1</v>
      </c>
      <c r="AG303" s="29">
        <v>7.47879</v>
      </c>
      <c r="AI303" s="29">
        <v>8.7533300000000001</v>
      </c>
      <c r="AK303" s="27">
        <v>22.825700000000001</v>
      </c>
      <c r="AM303" s="27">
        <v>29.020299999999999</v>
      </c>
      <c r="AO303" s="29"/>
      <c r="AP303" s="28"/>
    </row>
    <row r="304" spans="2:42" hidden="1" outlineLevel="1" x14ac:dyDescent="0.25">
      <c r="B304" s="21">
        <v>42657</v>
      </c>
      <c r="C304" s="27">
        <v>18.9526</v>
      </c>
      <c r="E304" s="30">
        <v>0.90750699999999995</v>
      </c>
      <c r="G304" s="27">
        <v>15.1311</v>
      </c>
      <c r="I304" s="29">
        <v>6.9092500000000001</v>
      </c>
      <c r="K304" s="29">
        <v>3.1838000000000002</v>
      </c>
      <c r="M304" s="41"/>
      <c r="O304" s="26">
        <v>2915.17</v>
      </c>
      <c r="Q304" s="26">
        <v>5584.49</v>
      </c>
      <c r="S304" s="26">
        <v>1754.06</v>
      </c>
      <c r="U304" s="29">
        <v>3.39716</v>
      </c>
      <c r="W304" s="27">
        <v>28.0322</v>
      </c>
      <c r="Y304" s="29">
        <v>8.80471</v>
      </c>
      <c r="AA304" s="41">
        <v>552.78</v>
      </c>
      <c r="AC304" s="27">
        <v>46.194200000000002</v>
      </c>
      <c r="AE304" s="27">
        <v>1</v>
      </c>
      <c r="AG304" s="29">
        <v>7.4641999999999999</v>
      </c>
      <c r="AI304" s="29">
        <v>8.7382100000000005</v>
      </c>
      <c r="AK304" s="27">
        <v>22.756</v>
      </c>
      <c r="AM304" s="27">
        <v>29.015999999999998</v>
      </c>
      <c r="AO304" s="29"/>
      <c r="AP304" s="28"/>
    </row>
    <row r="305" spans="2:42" hidden="1" outlineLevel="1" x14ac:dyDescent="0.25">
      <c r="B305" s="21">
        <v>42658</v>
      </c>
      <c r="C305" s="27">
        <v>19.008099999999999</v>
      </c>
      <c r="E305" s="30">
        <v>0.91147800000000001</v>
      </c>
      <c r="G305" s="27">
        <v>15.182</v>
      </c>
      <c r="I305" s="29">
        <v>6.9554999999999998</v>
      </c>
      <c r="K305" s="29">
        <v>3.2058499999999999</v>
      </c>
      <c r="M305" s="41"/>
      <c r="O305" s="26">
        <v>2929</v>
      </c>
      <c r="Q305" s="26">
        <v>5625.7</v>
      </c>
      <c r="S305" s="26">
        <v>1754.86</v>
      </c>
      <c r="U305" s="29">
        <v>3.4180000000000001</v>
      </c>
      <c r="W305" s="27">
        <v>28.178000000000001</v>
      </c>
      <c r="Y305" s="29">
        <v>8.7897099999999995</v>
      </c>
      <c r="AA305" s="41">
        <v>555.54</v>
      </c>
      <c r="AC305" s="27">
        <v>46.37</v>
      </c>
      <c r="AE305" s="27">
        <v>1</v>
      </c>
      <c r="AG305" s="29">
        <v>7.4980500000000001</v>
      </c>
      <c r="AI305" s="29">
        <v>8.7820499999999999</v>
      </c>
      <c r="AK305" s="27">
        <v>22.803999999999998</v>
      </c>
      <c r="AM305" s="27">
        <v>29.2075</v>
      </c>
      <c r="AO305" s="29"/>
      <c r="AP305" s="28"/>
    </row>
    <row r="306" spans="2:42" hidden="1" outlineLevel="1" x14ac:dyDescent="0.25">
      <c r="B306" s="21">
        <v>42659</v>
      </c>
      <c r="C306" s="27">
        <v>19.008099999999999</v>
      </c>
      <c r="E306" s="30">
        <v>0.91147800000000001</v>
      </c>
      <c r="G306" s="27">
        <v>15.183</v>
      </c>
      <c r="I306" s="29">
        <v>6.9554999999999998</v>
      </c>
      <c r="K306" s="29">
        <v>3.20479</v>
      </c>
      <c r="M306" s="41"/>
      <c r="O306" s="26">
        <v>2920.62</v>
      </c>
      <c r="Q306" s="26">
        <v>5625.7</v>
      </c>
      <c r="S306" s="26">
        <v>1755.43</v>
      </c>
      <c r="U306" s="29">
        <v>3.4180000000000001</v>
      </c>
      <c r="W306" s="27">
        <v>28.178000000000001</v>
      </c>
      <c r="Y306" s="29">
        <v>8.7925799999999992</v>
      </c>
      <c r="AA306" s="41">
        <v>555.54</v>
      </c>
      <c r="AC306" s="27">
        <v>46.37</v>
      </c>
      <c r="AE306" s="27">
        <v>1</v>
      </c>
      <c r="AG306" s="29">
        <v>7.4980500000000001</v>
      </c>
      <c r="AI306" s="29">
        <v>8.7820499999999999</v>
      </c>
      <c r="AK306" s="27">
        <v>22.803999999999998</v>
      </c>
      <c r="AM306" s="27">
        <v>29.2075</v>
      </c>
      <c r="AO306" s="29"/>
      <c r="AP306" s="28"/>
    </row>
    <row r="307" spans="2:42" hidden="1" outlineLevel="1" x14ac:dyDescent="0.25">
      <c r="B307" s="21">
        <v>42660</v>
      </c>
      <c r="C307" s="27">
        <v>18.957699999999999</v>
      </c>
      <c r="E307" s="30">
        <v>0.91016699999999995</v>
      </c>
      <c r="G307" s="27">
        <v>15.185</v>
      </c>
      <c r="I307" s="29">
        <v>6.9431799999999999</v>
      </c>
      <c r="K307" s="29">
        <v>3.20146</v>
      </c>
      <c r="M307" s="41"/>
      <c r="O307" s="26">
        <v>2922.83</v>
      </c>
      <c r="Q307" s="26">
        <v>5617.98</v>
      </c>
      <c r="S307" s="26">
        <v>1754.84</v>
      </c>
      <c r="U307" s="29">
        <v>3.4101400000000002</v>
      </c>
      <c r="W307" s="27">
        <v>28.146899999999999</v>
      </c>
      <c r="Y307" s="29">
        <v>8.7919699999999992</v>
      </c>
      <c r="AA307" s="41">
        <v>554.55200000000002</v>
      </c>
      <c r="AC307" s="27">
        <v>46.36</v>
      </c>
      <c r="AE307" s="27">
        <v>1</v>
      </c>
      <c r="AG307" s="29">
        <v>7.4860899999999999</v>
      </c>
      <c r="AI307" s="29">
        <v>8.7665799999999994</v>
      </c>
      <c r="AK307" s="27">
        <v>22.827000000000002</v>
      </c>
      <c r="AM307" s="27">
        <v>29.100899999999999</v>
      </c>
      <c r="AO307" s="29"/>
      <c r="AP307" s="28"/>
    </row>
    <row r="308" spans="2:42" hidden="1" outlineLevel="1" x14ac:dyDescent="0.25">
      <c r="B308" s="21">
        <v>42661</v>
      </c>
      <c r="C308" s="27">
        <v>18.747599999999998</v>
      </c>
      <c r="E308" s="30">
        <v>0.90888400000000003</v>
      </c>
      <c r="G308" s="27">
        <v>15.209899999999999</v>
      </c>
      <c r="I308" s="29">
        <v>6.91533</v>
      </c>
      <c r="K308" s="29">
        <v>3.1960299999999999</v>
      </c>
      <c r="M308" s="41"/>
      <c r="O308" s="26">
        <v>2913.59</v>
      </c>
      <c r="Q308" s="26">
        <v>5601.87</v>
      </c>
      <c r="S308" s="26">
        <v>1752.78</v>
      </c>
      <c r="U308" s="29">
        <v>3.3936199999999999</v>
      </c>
      <c r="W308" s="27">
        <v>28.089200000000002</v>
      </c>
      <c r="Y308" s="29">
        <v>8.7888800000000007</v>
      </c>
      <c r="AA308" s="41">
        <v>552.97500000000002</v>
      </c>
      <c r="AC308" s="27">
        <v>46.242600000000003</v>
      </c>
      <c r="AE308" s="27">
        <v>1</v>
      </c>
      <c r="AG308" s="29">
        <v>7.4695999999999998</v>
      </c>
      <c r="AI308" s="29">
        <v>8.7421199999999999</v>
      </c>
      <c r="AK308" s="27">
        <v>22.756699999999999</v>
      </c>
      <c r="AM308" s="27">
        <v>29.001200000000001</v>
      </c>
      <c r="AO308" s="29"/>
      <c r="AP308" s="28"/>
    </row>
    <row r="309" spans="2:42" hidden="1" outlineLevel="1" x14ac:dyDescent="0.25">
      <c r="B309" s="21">
        <v>42662</v>
      </c>
      <c r="C309" s="27">
        <v>18.603400000000001</v>
      </c>
      <c r="E309" s="30">
        <v>0.91085899999999997</v>
      </c>
      <c r="G309" s="27">
        <v>15.1991</v>
      </c>
      <c r="I309" s="29">
        <v>6.9237099999999998</v>
      </c>
      <c r="K309" s="29">
        <v>3.1826400000000001</v>
      </c>
      <c r="M309" s="41"/>
      <c r="O309" s="26">
        <v>2910.53</v>
      </c>
      <c r="Q309" s="26">
        <v>5615.66</v>
      </c>
      <c r="S309" s="26">
        <v>1764.48</v>
      </c>
      <c r="U309" s="29">
        <v>3.39703</v>
      </c>
      <c r="W309" s="27">
        <v>28.148499999999999</v>
      </c>
      <c r="Y309" s="29">
        <v>8.8444500000000001</v>
      </c>
      <c r="AA309" s="41">
        <v>554.80100000000004</v>
      </c>
      <c r="AC309" s="27">
        <v>46.3279</v>
      </c>
      <c r="AE309" s="27">
        <v>1</v>
      </c>
      <c r="AG309" s="29">
        <v>7.4946999999999999</v>
      </c>
      <c r="AI309" s="29">
        <v>8.7672699999999999</v>
      </c>
      <c r="AK309" s="27">
        <v>22.781400000000001</v>
      </c>
      <c r="AM309" s="27">
        <v>29.124199999999998</v>
      </c>
      <c r="AO309" s="29"/>
      <c r="AP309" s="28"/>
    </row>
    <row r="310" spans="2:42" hidden="1" outlineLevel="1" x14ac:dyDescent="0.25">
      <c r="B310" s="21">
        <v>42663</v>
      </c>
      <c r="C310" s="27">
        <v>18.551500000000001</v>
      </c>
      <c r="E310" s="30">
        <v>0.91243399999999997</v>
      </c>
      <c r="G310" s="27">
        <v>15.177099999999999</v>
      </c>
      <c r="I310" s="29">
        <v>6.9219200000000001</v>
      </c>
      <c r="K310" s="29">
        <v>3.1621299999999999</v>
      </c>
      <c r="M310" s="41"/>
      <c r="O310" s="26">
        <v>2917.68</v>
      </c>
      <c r="Q310" s="26">
        <v>5611.2</v>
      </c>
      <c r="S310" s="26">
        <v>1774.52</v>
      </c>
      <c r="U310" s="29">
        <v>3.3844799999999999</v>
      </c>
      <c r="W310" s="27">
        <v>28.0684</v>
      </c>
      <c r="Y310" s="29">
        <v>8.8765499999999999</v>
      </c>
      <c r="AA310" s="41">
        <v>554.27300000000002</v>
      </c>
      <c r="AC310" s="27">
        <v>46.311300000000003</v>
      </c>
      <c r="AE310" s="27">
        <v>1</v>
      </c>
      <c r="AG310" s="29">
        <v>7.4863999999999997</v>
      </c>
      <c r="AI310" s="29">
        <v>8.75441</v>
      </c>
      <c r="AK310" s="27">
        <v>22.788399999999999</v>
      </c>
      <c r="AM310" s="27">
        <v>29.055599999999998</v>
      </c>
      <c r="AO310" s="29"/>
      <c r="AP310" s="28"/>
    </row>
    <row r="311" spans="2:42" hidden="1" outlineLevel="1" x14ac:dyDescent="0.25">
      <c r="B311" s="21">
        <v>42664</v>
      </c>
      <c r="C311" s="27">
        <v>18.627600000000001</v>
      </c>
      <c r="E311" s="30">
        <v>0.91792799999999997</v>
      </c>
      <c r="G311" s="27">
        <v>15.167</v>
      </c>
      <c r="I311" s="29">
        <v>6.94712</v>
      </c>
      <c r="K311" s="29">
        <v>3.1470400000000001</v>
      </c>
      <c r="M311" s="41"/>
      <c r="O311" s="26">
        <v>2928.07</v>
      </c>
      <c r="Q311" s="26">
        <v>5636.31</v>
      </c>
      <c r="S311" s="26">
        <v>1791.01</v>
      </c>
      <c r="U311" s="29">
        <v>3.38531</v>
      </c>
      <c r="W311" s="27">
        <v>28.1325</v>
      </c>
      <c r="Y311" s="29">
        <v>8.9394399999999994</v>
      </c>
      <c r="AA311" s="41">
        <v>555.05799999999999</v>
      </c>
      <c r="AC311" s="27">
        <v>46.396900000000002</v>
      </c>
      <c r="AE311" s="27">
        <v>1</v>
      </c>
      <c r="AG311" s="29">
        <v>7.5089499999999996</v>
      </c>
      <c r="AI311" s="29">
        <v>8.7717299999999998</v>
      </c>
      <c r="AK311" s="27">
        <v>22.825900000000001</v>
      </c>
      <c r="AM311" s="27">
        <v>29.110499999999998</v>
      </c>
      <c r="AO311" s="29"/>
      <c r="AP311" s="28"/>
    </row>
    <row r="312" spans="2:42" hidden="1" outlineLevel="1" x14ac:dyDescent="0.25">
      <c r="B312" s="21">
        <v>42665</v>
      </c>
      <c r="C312" s="27">
        <v>18.589700000000001</v>
      </c>
      <c r="E312" s="30">
        <v>0.91878899999999997</v>
      </c>
      <c r="G312" s="27">
        <v>15.1828</v>
      </c>
      <c r="I312" s="29">
        <v>6.9337</v>
      </c>
      <c r="K312" s="29">
        <v>3.1505200000000002</v>
      </c>
      <c r="M312" s="41"/>
      <c r="O312" s="26">
        <v>2928.78</v>
      </c>
      <c r="Q312" s="26">
        <v>5642.95</v>
      </c>
      <c r="S312" s="26">
        <v>1791.15</v>
      </c>
      <c r="U312" s="29">
        <v>3.3774999999999999</v>
      </c>
      <c r="W312" s="27">
        <v>28.089500000000001</v>
      </c>
      <c r="Y312" s="29">
        <v>8.91601</v>
      </c>
      <c r="AA312" s="41">
        <v>553.54</v>
      </c>
      <c r="AC312" s="27">
        <v>46.234000000000002</v>
      </c>
      <c r="AE312" s="27">
        <v>1</v>
      </c>
      <c r="AG312" s="29">
        <v>7.4944499999999996</v>
      </c>
      <c r="AI312" s="29">
        <v>8.7549499999999991</v>
      </c>
      <c r="AK312" s="27">
        <v>22.661999999999999</v>
      </c>
      <c r="AM312" s="27">
        <v>29.115500000000001</v>
      </c>
      <c r="AO312" s="29"/>
      <c r="AP312" s="28"/>
    </row>
    <row r="313" spans="2:42" hidden="1" outlineLevel="1" x14ac:dyDescent="0.25">
      <c r="B313" s="21">
        <v>42666</v>
      </c>
      <c r="C313" s="27">
        <v>18.589700000000001</v>
      </c>
      <c r="E313" s="30">
        <v>0.91878899999999997</v>
      </c>
      <c r="G313" s="27">
        <v>15.1828</v>
      </c>
      <c r="I313" s="29">
        <v>6.9337</v>
      </c>
      <c r="K313" s="29">
        <v>3.1508500000000002</v>
      </c>
      <c r="M313" s="41"/>
      <c r="O313" s="26">
        <v>2929.78</v>
      </c>
      <c r="Q313" s="26">
        <v>5642.95</v>
      </c>
      <c r="S313" s="26">
        <v>1790.94</v>
      </c>
      <c r="U313" s="29">
        <v>3.3774999999999999</v>
      </c>
      <c r="W313" s="27">
        <v>28.089500000000001</v>
      </c>
      <c r="Y313" s="29">
        <v>8.9149799999999999</v>
      </c>
      <c r="AA313" s="41">
        <v>553.54</v>
      </c>
      <c r="AC313" s="27">
        <v>46.234000000000002</v>
      </c>
      <c r="AE313" s="27">
        <v>1</v>
      </c>
      <c r="AG313" s="29">
        <v>7.4944499999999996</v>
      </c>
      <c r="AI313" s="29">
        <v>8.7549499999999991</v>
      </c>
      <c r="AK313" s="27">
        <v>22.661999999999999</v>
      </c>
      <c r="AM313" s="27">
        <v>29.115500000000001</v>
      </c>
      <c r="AO313" s="29"/>
      <c r="AP313" s="28"/>
    </row>
    <row r="314" spans="2:42" hidden="1" outlineLevel="1" x14ac:dyDescent="0.25">
      <c r="B314" s="21">
        <v>42667</v>
      </c>
      <c r="C314" s="27">
        <v>18.572500000000002</v>
      </c>
      <c r="E314" s="30">
        <v>0.91911799999999999</v>
      </c>
      <c r="G314" s="27">
        <v>15.1661</v>
      </c>
      <c r="I314" s="29">
        <v>6.9332500000000001</v>
      </c>
      <c r="K314" s="29">
        <v>3.1396999999999999</v>
      </c>
      <c r="M314" s="41"/>
      <c r="O314" s="26">
        <v>2930.99</v>
      </c>
      <c r="Q314" s="26">
        <v>5658.88</v>
      </c>
      <c r="S314" s="26">
        <v>1802.38</v>
      </c>
      <c r="U314" s="29">
        <v>3.3692600000000001</v>
      </c>
      <c r="W314" s="27">
        <v>28.083400000000001</v>
      </c>
      <c r="Y314" s="29">
        <v>8.9447299999999998</v>
      </c>
      <c r="AA314" s="41">
        <v>553.625</v>
      </c>
      <c r="AC314" s="27">
        <v>46.240900000000003</v>
      </c>
      <c r="AE314" s="27">
        <v>1</v>
      </c>
      <c r="AG314" s="29">
        <v>7.4949300000000001</v>
      </c>
      <c r="AI314" s="29">
        <v>8.7541799999999999</v>
      </c>
      <c r="AK314" s="27">
        <v>22.651399999999999</v>
      </c>
      <c r="AM314" s="27">
        <v>29.113900000000001</v>
      </c>
      <c r="AO314" s="29"/>
      <c r="AP314" s="28"/>
    </row>
    <row r="315" spans="2:42" hidden="1" outlineLevel="1" x14ac:dyDescent="0.25">
      <c r="B315" s="21">
        <v>42668</v>
      </c>
      <c r="C315" s="27">
        <v>18.524699999999999</v>
      </c>
      <c r="E315" s="30">
        <v>0.91920199999999996</v>
      </c>
      <c r="G315" s="27">
        <v>15.177</v>
      </c>
      <c r="I315" s="29">
        <v>6.9285199999999998</v>
      </c>
      <c r="K315" s="29">
        <v>3.1206100000000001</v>
      </c>
      <c r="M315" s="41"/>
      <c r="O315" s="26">
        <v>2938.35</v>
      </c>
      <c r="Q315" s="26">
        <v>5685.85</v>
      </c>
      <c r="S315" s="26">
        <v>1822.06</v>
      </c>
      <c r="U315" s="29">
        <v>3.36117</v>
      </c>
      <c r="W315" s="27">
        <v>28.088799999999999</v>
      </c>
      <c r="Y315" s="29">
        <v>9.0011299999999999</v>
      </c>
      <c r="AA315" s="41">
        <v>554.05600000000004</v>
      </c>
      <c r="AC315" s="27">
        <v>46.276400000000002</v>
      </c>
      <c r="AE315" s="27">
        <v>1</v>
      </c>
      <c r="AG315" s="29">
        <v>7.5036100000000001</v>
      </c>
      <c r="AI315" s="29">
        <v>8.7583400000000005</v>
      </c>
      <c r="AK315" s="27">
        <v>22.648700000000002</v>
      </c>
      <c r="AM315" s="27">
        <v>29.129200000000001</v>
      </c>
      <c r="AO315" s="29"/>
      <c r="AP315" s="28"/>
    </row>
    <row r="316" spans="2:42" hidden="1" outlineLevel="1" x14ac:dyDescent="0.25">
      <c r="B316" s="21">
        <v>42669</v>
      </c>
      <c r="C316" s="27">
        <v>18.594899999999999</v>
      </c>
      <c r="E316" s="30">
        <v>0.91705700000000001</v>
      </c>
      <c r="G316" s="27">
        <v>15.2219</v>
      </c>
      <c r="I316" s="29">
        <v>6.9153700000000002</v>
      </c>
      <c r="K316" s="29">
        <v>3.1205099999999999</v>
      </c>
      <c r="M316" s="41"/>
      <c r="O316" s="26">
        <v>2947.08</v>
      </c>
      <c r="Q316" s="26">
        <v>5687.1</v>
      </c>
      <c r="S316" s="26">
        <v>1822.52</v>
      </c>
      <c r="U316" s="29">
        <v>3.3532899999999999</v>
      </c>
      <c r="W316" s="27">
        <v>28.0473</v>
      </c>
      <c r="Y316" s="29">
        <v>8.9881600000000006</v>
      </c>
      <c r="AA316" s="41">
        <v>553.26599999999996</v>
      </c>
      <c r="AC316" s="27">
        <v>46.210900000000002</v>
      </c>
      <c r="AE316" s="27">
        <v>1</v>
      </c>
      <c r="AG316" s="29">
        <v>7.4995700000000003</v>
      </c>
      <c r="AI316" s="29">
        <v>8.7461099999999998</v>
      </c>
      <c r="AK316" s="27">
        <v>22.6022</v>
      </c>
      <c r="AM316" s="27">
        <v>29.088000000000001</v>
      </c>
      <c r="AO316" s="29"/>
      <c r="AP316" s="28"/>
    </row>
    <row r="317" spans="2:42" hidden="1" outlineLevel="1" x14ac:dyDescent="0.25">
      <c r="B317" s="21">
        <v>42670</v>
      </c>
      <c r="C317" s="27">
        <v>18.7729</v>
      </c>
      <c r="E317" s="30">
        <v>0.916767</v>
      </c>
      <c r="G317" s="27">
        <v>15.1935</v>
      </c>
      <c r="I317" s="29">
        <v>6.9356099999999996</v>
      </c>
      <c r="K317" s="29">
        <v>3.14473</v>
      </c>
      <c r="M317" s="41"/>
      <c r="O317" s="26">
        <v>2964.88</v>
      </c>
      <c r="Q317" s="26">
        <v>5697.16</v>
      </c>
      <c r="S317" s="26">
        <v>1811.67</v>
      </c>
      <c r="U317" s="29">
        <v>3.36124</v>
      </c>
      <c r="W317" s="27">
        <v>28.082799999999999</v>
      </c>
      <c r="Y317" s="29">
        <v>8.9301899999999996</v>
      </c>
      <c r="AA317" s="41">
        <v>553.99599999999998</v>
      </c>
      <c r="AC317" s="27">
        <v>46.272100000000002</v>
      </c>
      <c r="AE317" s="27">
        <v>1</v>
      </c>
      <c r="AG317" s="29">
        <v>7.5188800000000002</v>
      </c>
      <c r="AI317" s="29">
        <v>8.75718</v>
      </c>
      <c r="AK317" s="27">
        <v>22.6114</v>
      </c>
      <c r="AM317" s="27">
        <v>29.1267</v>
      </c>
      <c r="AO317" s="29"/>
      <c r="AP317" s="28"/>
    </row>
    <row r="318" spans="2:42" hidden="1" outlineLevel="1" x14ac:dyDescent="0.25">
      <c r="B318" s="21">
        <v>42671</v>
      </c>
      <c r="C318" s="27">
        <v>18.829999999999998</v>
      </c>
      <c r="E318" s="30">
        <v>0.91547000000000001</v>
      </c>
      <c r="G318" s="27">
        <v>15.1778</v>
      </c>
      <c r="I318" s="29">
        <v>6.9390000000000001</v>
      </c>
      <c r="K318" s="29">
        <v>3.1752400000000001</v>
      </c>
      <c r="M318" s="41"/>
      <c r="O318" s="26">
        <v>2963.78</v>
      </c>
      <c r="Q318" s="26">
        <v>5705.09</v>
      </c>
      <c r="S318" s="26">
        <v>1796.76</v>
      </c>
      <c r="U318" s="29">
        <v>3.3747400000000001</v>
      </c>
      <c r="W318" s="27">
        <v>28.0868</v>
      </c>
      <c r="Y318" s="29">
        <v>8.8456700000000001</v>
      </c>
      <c r="AA318" s="41">
        <v>552.96600000000001</v>
      </c>
      <c r="AC318" s="27">
        <v>46.290100000000002</v>
      </c>
      <c r="AE318" s="27">
        <v>1</v>
      </c>
      <c r="AG318" s="29">
        <v>7.5375399999999999</v>
      </c>
      <c r="AI318" s="29">
        <v>8.7619799999999994</v>
      </c>
      <c r="AK318" s="27">
        <v>22.604800000000001</v>
      </c>
      <c r="AM318" s="27">
        <v>29.137699999999999</v>
      </c>
      <c r="AO318" s="29"/>
      <c r="AP318" s="28"/>
    </row>
    <row r="319" spans="2:42" hidden="1" outlineLevel="1" x14ac:dyDescent="0.25">
      <c r="B319" s="21">
        <v>42672</v>
      </c>
      <c r="C319" s="27">
        <v>18.980899999999998</v>
      </c>
      <c r="E319" s="30">
        <v>0.91012199999999999</v>
      </c>
      <c r="G319" s="27">
        <v>15.0764</v>
      </c>
      <c r="I319" s="29">
        <v>6.8847500000000004</v>
      </c>
      <c r="K319" s="29">
        <v>3.20459</v>
      </c>
      <c r="M319" s="41"/>
      <c r="O319" s="26">
        <v>2941</v>
      </c>
      <c r="Q319" s="26">
        <v>5667.85</v>
      </c>
      <c r="S319" s="26">
        <v>1768.7</v>
      </c>
      <c r="U319" s="29">
        <v>3.3510499999999999</v>
      </c>
      <c r="W319" s="27">
        <v>27.861999999999998</v>
      </c>
      <c r="Y319" s="29">
        <v>8.6945899999999998</v>
      </c>
      <c r="AA319" s="41">
        <v>546.91499999999996</v>
      </c>
      <c r="AC319" s="27">
        <v>45.927999999999997</v>
      </c>
      <c r="AE319" s="27">
        <v>1</v>
      </c>
      <c r="AG319" s="29">
        <v>7.4833499999999997</v>
      </c>
      <c r="AI319" s="29">
        <v>8.6938999999999993</v>
      </c>
      <c r="AK319" s="27">
        <v>22.422499999999999</v>
      </c>
      <c r="AM319" s="27">
        <v>28.91</v>
      </c>
      <c r="AO319" s="29"/>
      <c r="AP319" s="28"/>
    </row>
    <row r="320" spans="2:42" hidden="1" outlineLevel="1" x14ac:dyDescent="0.25">
      <c r="B320" s="21">
        <v>42673</v>
      </c>
      <c r="C320" s="27">
        <v>18.980899999999998</v>
      </c>
      <c r="E320" s="30">
        <v>0.91012199999999999</v>
      </c>
      <c r="G320" s="27">
        <v>15.071</v>
      </c>
      <c r="I320" s="29">
        <v>6.8847500000000004</v>
      </c>
      <c r="K320" s="29">
        <v>3.2046000000000001</v>
      </c>
      <c r="M320" s="41"/>
      <c r="O320" s="26">
        <v>2961.62</v>
      </c>
      <c r="Q320" s="26">
        <v>5667.85</v>
      </c>
      <c r="S320" s="26">
        <v>1768.68</v>
      </c>
      <c r="U320" s="29">
        <v>3.3510499999999999</v>
      </c>
      <c r="W320" s="27">
        <v>27.861999999999998</v>
      </c>
      <c r="Y320" s="29">
        <v>8.6944599999999994</v>
      </c>
      <c r="AA320" s="41">
        <v>546.91499999999996</v>
      </c>
      <c r="AC320" s="27">
        <v>45.927999999999997</v>
      </c>
      <c r="AE320" s="27">
        <v>1</v>
      </c>
      <c r="AG320" s="29">
        <v>7.4833499999999997</v>
      </c>
      <c r="AI320" s="29">
        <v>8.6938999999999993</v>
      </c>
      <c r="AK320" s="27">
        <v>22.422499999999999</v>
      </c>
      <c r="AM320" s="27">
        <v>28.91</v>
      </c>
      <c r="AO320" s="29"/>
      <c r="AP320" s="28"/>
    </row>
    <row r="321" spans="2:42" hidden="1" outlineLevel="1" x14ac:dyDescent="0.25">
      <c r="B321" s="21">
        <v>42674</v>
      </c>
      <c r="C321" s="49">
        <v>18.730399999999999</v>
      </c>
      <c r="E321" s="30">
        <v>0.91206399999999999</v>
      </c>
      <c r="G321" s="27">
        <v>15.1625</v>
      </c>
      <c r="I321" s="29">
        <v>6.9450000000000003</v>
      </c>
      <c r="K321" s="29">
        <v>3.1997</v>
      </c>
      <c r="M321" s="41"/>
      <c r="O321" s="26">
        <v>3000</v>
      </c>
      <c r="Q321" s="26">
        <v>5736</v>
      </c>
      <c r="S321" s="26">
        <v>1792.67</v>
      </c>
      <c r="U321" s="29">
        <v>3.3645</v>
      </c>
      <c r="W321" s="27">
        <v>28.43</v>
      </c>
      <c r="Y321" s="29">
        <v>8.8852200000000003</v>
      </c>
      <c r="AA321" s="41">
        <v>554.88</v>
      </c>
      <c r="AC321" s="27">
        <v>46.17</v>
      </c>
      <c r="AE321" s="27">
        <v>1</v>
      </c>
      <c r="AG321" s="29">
        <v>7.5170000000000003</v>
      </c>
      <c r="AI321" s="29">
        <v>8.7270000000000003</v>
      </c>
      <c r="AK321" s="27">
        <v>22.55</v>
      </c>
      <c r="AM321" s="27">
        <v>29.087199999999999</v>
      </c>
      <c r="AO321" s="29"/>
      <c r="AP321" s="28"/>
    </row>
    <row r="322" spans="2:42" ht="13" collapsed="1" x14ac:dyDescent="0.3">
      <c r="B322" s="25" t="s">
        <v>148</v>
      </c>
      <c r="C322" s="19">
        <v>18.942399999999999</v>
      </c>
      <c r="E322" s="24">
        <v>0.90611399999999998</v>
      </c>
      <c r="G322" s="19">
        <v>15.1777</v>
      </c>
      <c r="I322" s="23">
        <v>6.9196400000000002</v>
      </c>
      <c r="J322" s="9"/>
      <c r="K322" s="23">
        <v>3.1949999999999998</v>
      </c>
      <c r="M322" s="42" t="s">
        <v>78</v>
      </c>
      <c r="O322" s="31">
        <v>2926.82</v>
      </c>
      <c r="Q322" s="31">
        <v>5615.58</v>
      </c>
      <c r="S322" s="31">
        <v>1758.02</v>
      </c>
      <c r="U322" s="23">
        <v>3.3855300000000002</v>
      </c>
      <c r="W322" s="23">
        <v>28.15409</v>
      </c>
      <c r="Y322" s="23">
        <v>8.8129799999999996</v>
      </c>
      <c r="AA322" s="42">
        <v>552.51300000000003</v>
      </c>
      <c r="AC322" s="19">
        <v>46.208100000000002</v>
      </c>
      <c r="AE322" s="19">
        <v>1</v>
      </c>
      <c r="AG322" s="23">
        <v>7.4950999999999999</v>
      </c>
      <c r="AI322" s="23">
        <v>8.7434100000000008</v>
      </c>
      <c r="AK322" s="23">
        <v>22.723558064516126</v>
      </c>
      <c r="AM322" s="23">
        <v>29.056690322580643</v>
      </c>
      <c r="AO322" s="23" t="s">
        <v>78</v>
      </c>
      <c r="AP322" s="10"/>
    </row>
    <row r="323" spans="2:42" hidden="1" outlineLevel="1" x14ac:dyDescent="0.25">
      <c r="B323" s="21">
        <v>42675</v>
      </c>
      <c r="C323" s="27">
        <v>18.9438</v>
      </c>
      <c r="E323" s="30">
        <v>0.90888000000000002</v>
      </c>
      <c r="G323" s="27">
        <v>15.055999999999999</v>
      </c>
      <c r="I323" s="29">
        <v>6.9450000000000003</v>
      </c>
      <c r="K323" s="29">
        <v>3.2368999999999999</v>
      </c>
      <c r="M323" s="41"/>
      <c r="O323" s="26">
        <v>3045</v>
      </c>
      <c r="Q323" s="26">
        <v>5695</v>
      </c>
      <c r="S323" s="26">
        <v>1759.4</v>
      </c>
      <c r="U323" s="29">
        <v>3.3650000000000002</v>
      </c>
      <c r="W323" s="27">
        <v>28.34</v>
      </c>
      <c r="Y323" s="29">
        <v>8.7553000000000001</v>
      </c>
      <c r="AA323" s="41">
        <v>554.9</v>
      </c>
      <c r="AC323" s="27">
        <v>46.43</v>
      </c>
      <c r="AE323" s="27">
        <v>1</v>
      </c>
      <c r="AG323" s="29">
        <v>7.5170000000000003</v>
      </c>
      <c r="AI323" s="29">
        <v>8.7271999999999998</v>
      </c>
      <c r="AK323" s="27">
        <v>22.52</v>
      </c>
      <c r="AM323" s="27">
        <v>29.087199999999999</v>
      </c>
      <c r="AO323" s="29"/>
      <c r="AP323" s="28"/>
    </row>
    <row r="324" spans="2:42" hidden="1" outlineLevel="1" x14ac:dyDescent="0.25">
      <c r="B324" s="21">
        <v>42676</v>
      </c>
      <c r="C324" s="27">
        <v>19.314</v>
      </c>
      <c r="E324" s="30">
        <v>0.90246999999999999</v>
      </c>
      <c r="G324" s="27">
        <v>15.117100000000001</v>
      </c>
      <c r="I324" s="29">
        <v>6.9306999999999999</v>
      </c>
      <c r="K324" s="29">
        <v>3.2363200000000001</v>
      </c>
      <c r="M324" s="41"/>
      <c r="O324" s="26">
        <v>3069.76</v>
      </c>
      <c r="Q324" s="26">
        <v>5729.55</v>
      </c>
      <c r="S324" s="26">
        <v>1770.4</v>
      </c>
      <c r="U324" s="29">
        <v>3.3847800000000001</v>
      </c>
      <c r="W324" s="27">
        <v>28.2075</v>
      </c>
      <c r="Y324" s="29">
        <v>8.7159800000000001</v>
      </c>
      <c r="AA324" s="41">
        <v>553.82500000000005</v>
      </c>
      <c r="AC324" s="27">
        <v>46.483400000000003</v>
      </c>
      <c r="AE324" s="27">
        <v>1</v>
      </c>
      <c r="AG324" s="29">
        <v>7.5077499999999997</v>
      </c>
      <c r="AI324" s="29">
        <v>8.7513500000000004</v>
      </c>
      <c r="AK324" s="27">
        <v>23.005800000000001</v>
      </c>
      <c r="AM324" s="27">
        <v>28.921700000000001</v>
      </c>
      <c r="AO324" s="29"/>
      <c r="AP324" s="28"/>
    </row>
    <row r="325" spans="2:42" hidden="1" outlineLevel="1" x14ac:dyDescent="0.25">
      <c r="B325" s="21">
        <v>42677</v>
      </c>
      <c r="C325" s="27">
        <v>19.3279</v>
      </c>
      <c r="E325" s="30">
        <v>0.90095000000000003</v>
      </c>
      <c r="G325" s="27">
        <v>15.111599999999999</v>
      </c>
      <c r="I325" s="29">
        <v>6.9296699999999998</v>
      </c>
      <c r="K325" s="29">
        <v>3.2453099999999999</v>
      </c>
      <c r="M325" s="41"/>
      <c r="O325" s="26">
        <v>3070.55</v>
      </c>
      <c r="Q325" s="26">
        <v>5727.74</v>
      </c>
      <c r="S325" s="26">
        <v>1764.95</v>
      </c>
      <c r="U325" s="29">
        <v>3.3712900000000001</v>
      </c>
      <c r="W325" s="27">
        <v>28.188400000000001</v>
      </c>
      <c r="Y325" s="29">
        <v>8.6859599999999997</v>
      </c>
      <c r="AA325" s="41">
        <v>553.26499999999999</v>
      </c>
      <c r="AC325" s="27">
        <v>46.292499999999997</v>
      </c>
      <c r="AE325" s="27">
        <v>1</v>
      </c>
      <c r="AG325" s="29">
        <v>7.5029500000000002</v>
      </c>
      <c r="AI325" s="29">
        <v>8.7498400000000007</v>
      </c>
      <c r="AK325" s="27">
        <v>22.9069</v>
      </c>
      <c r="AM325" s="27">
        <v>29.060600000000001</v>
      </c>
      <c r="AO325" s="29"/>
      <c r="AP325" s="28"/>
    </row>
    <row r="326" spans="2:42" hidden="1" outlineLevel="1" x14ac:dyDescent="0.25">
      <c r="B326" s="21">
        <v>42678</v>
      </c>
      <c r="C326" s="27">
        <v>19.141300000000001</v>
      </c>
      <c r="E326" s="30">
        <v>0.90048700000000004</v>
      </c>
      <c r="G326" s="27">
        <v>15.0717</v>
      </c>
      <c r="I326" s="29">
        <v>6.9105299999999996</v>
      </c>
      <c r="K326" s="29">
        <v>3.2505600000000001</v>
      </c>
      <c r="M326" s="41"/>
      <c r="O326" s="26">
        <v>3064.72</v>
      </c>
      <c r="Q326" s="26">
        <v>5718.76</v>
      </c>
      <c r="S326" s="26">
        <v>1759.33</v>
      </c>
      <c r="U326" s="29">
        <v>3.3805299999999998</v>
      </c>
      <c r="W326" s="27">
        <v>28.132999999999999</v>
      </c>
      <c r="Y326" s="29">
        <v>8.6549099999999992</v>
      </c>
      <c r="AA326" s="41">
        <v>551.548</v>
      </c>
      <c r="AC326" s="27">
        <v>46.277099999999997</v>
      </c>
      <c r="AE326" s="27">
        <v>1</v>
      </c>
      <c r="AG326" s="29">
        <v>7.4874099999999997</v>
      </c>
      <c r="AI326" s="29">
        <v>8.7349800000000002</v>
      </c>
      <c r="AK326" s="27">
        <v>22.855699999999999</v>
      </c>
      <c r="AM326" s="27">
        <v>29.0153</v>
      </c>
      <c r="AO326" s="29"/>
      <c r="AP326" s="28"/>
    </row>
    <row r="327" spans="2:42" hidden="1" outlineLevel="1" x14ac:dyDescent="0.25">
      <c r="B327" s="21">
        <v>42679</v>
      </c>
      <c r="C327" s="27">
        <v>19.020900000000001</v>
      </c>
      <c r="E327" s="30">
        <v>0.897706</v>
      </c>
      <c r="G327" s="27">
        <v>15.026400000000001</v>
      </c>
      <c r="I327" s="29">
        <v>6.8864999999999998</v>
      </c>
      <c r="K327" s="29">
        <v>3.2356500000000001</v>
      </c>
      <c r="M327" s="41"/>
      <c r="O327" s="26">
        <v>3062.1</v>
      </c>
      <c r="Q327" s="26">
        <v>5712</v>
      </c>
      <c r="S327" s="26">
        <v>1765.38</v>
      </c>
      <c r="U327" s="29">
        <v>3.3671000000000002</v>
      </c>
      <c r="W327" s="27">
        <v>28.109500000000001</v>
      </c>
      <c r="Y327" s="29">
        <v>8.6876200000000008</v>
      </c>
      <c r="AA327" s="41">
        <v>550.62</v>
      </c>
      <c r="AC327" s="27">
        <v>46.122</v>
      </c>
      <c r="AE327" s="27">
        <v>1</v>
      </c>
      <c r="AG327" s="29">
        <v>7.4794</v>
      </c>
      <c r="AI327" s="29">
        <v>8.7198499999999992</v>
      </c>
      <c r="AK327" s="27">
        <v>22.602499999999999</v>
      </c>
      <c r="AM327" s="27">
        <v>29.030999999999999</v>
      </c>
      <c r="AO327" s="29"/>
      <c r="AP327" s="28"/>
    </row>
    <row r="328" spans="2:42" hidden="1" outlineLevel="1" x14ac:dyDescent="0.25">
      <c r="B328" s="21">
        <v>42680</v>
      </c>
      <c r="C328" s="27">
        <v>19.020900000000001</v>
      </c>
      <c r="E328" s="30">
        <v>0.897706</v>
      </c>
      <c r="G328" s="27">
        <v>15.110300000000001</v>
      </c>
      <c r="I328" s="29">
        <v>6.9349999999999996</v>
      </c>
      <c r="K328" s="29">
        <v>3.23455</v>
      </c>
      <c r="M328" s="41"/>
      <c r="O328" s="26">
        <v>3072.5</v>
      </c>
      <c r="Q328" s="26">
        <v>5724</v>
      </c>
      <c r="S328" s="26">
        <v>1769.65</v>
      </c>
      <c r="U328" s="29">
        <v>3.3807</v>
      </c>
      <c r="W328" s="27">
        <v>28.25</v>
      </c>
      <c r="Y328" s="29">
        <v>8.7338299999999993</v>
      </c>
      <c r="AA328" s="41">
        <v>555.44000000000005</v>
      </c>
      <c r="AC328" s="27">
        <v>46.25</v>
      </c>
      <c r="AE328" s="27">
        <v>1</v>
      </c>
      <c r="AG328" s="29">
        <v>7.5060000000000002</v>
      </c>
      <c r="AI328" s="29">
        <v>8.7271999999999998</v>
      </c>
      <c r="AK328" s="27">
        <v>22.67</v>
      </c>
      <c r="AM328" s="27">
        <v>29.102699999999999</v>
      </c>
      <c r="AO328" s="29"/>
      <c r="AP328" s="28"/>
    </row>
    <row r="329" spans="2:42" hidden="1" outlineLevel="1" x14ac:dyDescent="0.25">
      <c r="B329" s="21">
        <v>42681</v>
      </c>
      <c r="C329" s="27">
        <v>18.673200000000001</v>
      </c>
      <c r="E329" s="30">
        <v>0.903555</v>
      </c>
      <c r="G329" s="27">
        <v>15.1036</v>
      </c>
      <c r="I329" s="29">
        <v>6.9255199999999997</v>
      </c>
      <c r="K329" s="29">
        <v>3.2175600000000002</v>
      </c>
      <c r="M329" s="41"/>
      <c r="O329" s="26">
        <v>3065.03</v>
      </c>
      <c r="Q329" s="26">
        <v>5737.77</v>
      </c>
      <c r="S329" s="26">
        <v>1783.29</v>
      </c>
      <c r="U329" s="29">
        <v>3.3824700000000001</v>
      </c>
      <c r="W329" s="27">
        <v>28.235099999999999</v>
      </c>
      <c r="Y329" s="29">
        <v>8.7753999999999994</v>
      </c>
      <c r="AA329" s="41">
        <v>553.16</v>
      </c>
      <c r="AC329" s="27">
        <v>46.393999999999998</v>
      </c>
      <c r="AE329" s="27">
        <v>1</v>
      </c>
      <c r="AG329" s="29">
        <v>7.5148299999999999</v>
      </c>
      <c r="AI329" s="29">
        <v>8.75685</v>
      </c>
      <c r="AK329" s="27">
        <v>22.834</v>
      </c>
      <c r="AM329" s="27">
        <v>29.098500000000001</v>
      </c>
      <c r="AO329" s="29"/>
      <c r="AP329" s="28"/>
    </row>
    <row r="330" spans="2:42" hidden="1" outlineLevel="1" x14ac:dyDescent="0.25">
      <c r="B330" s="21">
        <v>42682</v>
      </c>
      <c r="C330" s="27">
        <v>18.554500000000001</v>
      </c>
      <c r="E330" s="30">
        <v>0.90572799999999998</v>
      </c>
      <c r="G330" s="27">
        <v>15.0474</v>
      </c>
      <c r="I330" s="29">
        <v>6.9391800000000003</v>
      </c>
      <c r="K330" s="29">
        <v>3.1947999999999999</v>
      </c>
      <c r="M330" s="41"/>
      <c r="O330" s="26">
        <v>3048</v>
      </c>
      <c r="Q330" s="26">
        <v>5741.19</v>
      </c>
      <c r="S330" s="26">
        <v>1797.06</v>
      </c>
      <c r="U330" s="29">
        <v>3.3856600000000001</v>
      </c>
      <c r="W330" s="27">
        <v>28.2484</v>
      </c>
      <c r="Y330" s="29">
        <v>8.8420699999999997</v>
      </c>
      <c r="AA330" s="41">
        <v>553.71900000000005</v>
      </c>
      <c r="AC330" s="27">
        <v>46.373800000000003</v>
      </c>
      <c r="AE330" s="27">
        <v>1</v>
      </c>
      <c r="AG330" s="29">
        <v>7.5221200000000001</v>
      </c>
      <c r="AI330" s="29">
        <v>8.7614300000000007</v>
      </c>
      <c r="AK330" s="27">
        <v>22.785299999999999</v>
      </c>
      <c r="AM330" s="27">
        <v>29.134799999999998</v>
      </c>
      <c r="AO330" s="29"/>
      <c r="AP330" s="28"/>
    </row>
    <row r="331" spans="2:42" hidden="1" outlineLevel="1" x14ac:dyDescent="0.25">
      <c r="B331" s="21">
        <v>42683</v>
      </c>
      <c r="C331" s="27">
        <v>19.665800000000001</v>
      </c>
      <c r="E331" s="30">
        <v>0.90424899999999997</v>
      </c>
      <c r="G331" s="27">
        <v>14.9574</v>
      </c>
      <c r="I331" s="29">
        <v>6.9553200000000004</v>
      </c>
      <c r="K331" s="29">
        <v>3.1976399999999998</v>
      </c>
      <c r="M331" s="41"/>
      <c r="O331" s="26">
        <v>3021.65</v>
      </c>
      <c r="Q331" s="26">
        <v>5753.58</v>
      </c>
      <c r="S331" s="26">
        <v>1799.34</v>
      </c>
      <c r="U331" s="29">
        <v>3.3910499999999999</v>
      </c>
      <c r="W331" s="27">
        <v>28.311399999999999</v>
      </c>
      <c r="Y331" s="29">
        <v>8.8539600000000007</v>
      </c>
      <c r="AA331" s="41">
        <v>554.80999999999995</v>
      </c>
      <c r="AC331" s="27">
        <v>46.447600000000001</v>
      </c>
      <c r="AE331" s="27">
        <v>1</v>
      </c>
      <c r="AG331" s="29">
        <v>7.5354200000000002</v>
      </c>
      <c r="AI331" s="29">
        <v>8.7821999999999996</v>
      </c>
      <c r="AK331" s="27">
        <v>22.7681</v>
      </c>
      <c r="AM331" s="27">
        <v>29.168299999999999</v>
      </c>
      <c r="AO331" s="29"/>
      <c r="AP331" s="28"/>
    </row>
    <row r="332" spans="2:42" hidden="1" outlineLevel="1" x14ac:dyDescent="0.25">
      <c r="B332" s="21">
        <v>42684</v>
      </c>
      <c r="C332" s="27">
        <v>20.0761</v>
      </c>
      <c r="E332" s="30">
        <v>0.91653200000000001</v>
      </c>
      <c r="G332" s="27">
        <v>14.9749</v>
      </c>
      <c r="I332" s="29">
        <v>6.9837100000000003</v>
      </c>
      <c r="K332" s="29">
        <v>3.2846299999999999</v>
      </c>
      <c r="M332" s="41"/>
      <c r="O332" s="26">
        <v>3024.11</v>
      </c>
      <c r="Q332" s="26">
        <v>5786.24</v>
      </c>
      <c r="S332" s="26">
        <v>1761.63</v>
      </c>
      <c r="U332" s="29">
        <v>3.3986299999999998</v>
      </c>
      <c r="W332" s="27">
        <v>28.4438</v>
      </c>
      <c r="Y332" s="29">
        <v>8.6597299999999997</v>
      </c>
      <c r="AA332" s="41">
        <v>558.63400000000001</v>
      </c>
      <c r="AC332" s="27">
        <v>46.738100000000003</v>
      </c>
      <c r="AE332" s="27">
        <v>1</v>
      </c>
      <c r="AG332" s="29">
        <v>7.5705900000000002</v>
      </c>
      <c r="AI332" s="29">
        <v>8.8284300000000009</v>
      </c>
      <c r="AK332" s="27">
        <v>22.929099999999998</v>
      </c>
      <c r="AM332" s="27">
        <v>29.311</v>
      </c>
      <c r="AO332" s="29"/>
      <c r="AP332" s="28"/>
    </row>
    <row r="333" spans="2:42" hidden="1" outlineLevel="1" x14ac:dyDescent="0.25">
      <c r="B333" s="21">
        <v>42685</v>
      </c>
      <c r="C333" s="27">
        <v>20.765799999999999</v>
      </c>
      <c r="E333" s="30">
        <v>0.91894500000000001</v>
      </c>
      <c r="G333" s="27">
        <v>15.1089</v>
      </c>
      <c r="I333" s="29">
        <v>6.9146999999999998</v>
      </c>
      <c r="K333" s="29">
        <v>3.4089</v>
      </c>
      <c r="M333" s="41"/>
      <c r="O333" s="26">
        <v>3052.27</v>
      </c>
      <c r="Q333" s="26">
        <v>5744.89</v>
      </c>
      <c r="S333" s="26">
        <v>1685.28</v>
      </c>
      <c r="U333" s="29">
        <v>3.3894000000000002</v>
      </c>
      <c r="W333" s="27">
        <v>28.153500000000001</v>
      </c>
      <c r="Y333" s="29">
        <v>8.2589299999999994</v>
      </c>
      <c r="AA333" s="41">
        <v>554.54999999999995</v>
      </c>
      <c r="AC333" s="27">
        <v>46.298200000000001</v>
      </c>
      <c r="AE333" s="27">
        <v>1</v>
      </c>
      <c r="AG333" s="29">
        <v>7.5050499999999998</v>
      </c>
      <c r="AI333" s="29">
        <v>8.7560099999999998</v>
      </c>
      <c r="AK333" s="27">
        <v>23.104299999999999</v>
      </c>
      <c r="AM333" s="27">
        <v>29.150200000000002</v>
      </c>
      <c r="AO333" s="29"/>
      <c r="AP333" s="28"/>
    </row>
    <row r="334" spans="2:42" hidden="1" outlineLevel="1" x14ac:dyDescent="0.25">
      <c r="B334" s="21">
        <v>42686</v>
      </c>
      <c r="C334" s="27">
        <v>20.849</v>
      </c>
      <c r="E334" s="30">
        <v>0.92110300000000001</v>
      </c>
      <c r="G334" s="27">
        <v>15.2021</v>
      </c>
      <c r="I334" s="29">
        <v>6.9209500000000004</v>
      </c>
      <c r="K334" s="29">
        <v>3.3921299999999999</v>
      </c>
      <c r="M334" s="41"/>
      <c r="O334" s="26">
        <v>3122.3</v>
      </c>
      <c r="Q334" s="26">
        <v>5752.05</v>
      </c>
      <c r="S334" s="26">
        <v>1695.76</v>
      </c>
      <c r="U334" s="29">
        <v>3.4083999999999999</v>
      </c>
      <c r="W334" s="27">
        <v>28.1495</v>
      </c>
      <c r="Y334" s="29">
        <v>8.2987300000000008</v>
      </c>
      <c r="AA334" s="41">
        <v>553.38499999999999</v>
      </c>
      <c r="AC334" s="27">
        <v>46.323999999999998</v>
      </c>
      <c r="AE334" s="27">
        <v>1</v>
      </c>
      <c r="AG334" s="29">
        <v>7.5089499999999996</v>
      </c>
      <c r="AI334" s="29">
        <v>8.7638499999999997</v>
      </c>
      <c r="AK334" s="27">
        <v>23.067499999999999</v>
      </c>
      <c r="AM334" s="27">
        <v>29.176500000000001</v>
      </c>
      <c r="AO334" s="29"/>
      <c r="AP334" s="28"/>
    </row>
    <row r="335" spans="2:42" hidden="1" outlineLevel="1" x14ac:dyDescent="0.25">
      <c r="B335" s="21">
        <v>42687</v>
      </c>
      <c r="C335" s="27">
        <v>20.8522</v>
      </c>
      <c r="E335" s="30">
        <v>0.921099</v>
      </c>
      <c r="G335" s="27">
        <v>15.3017</v>
      </c>
      <c r="I335" s="29">
        <v>6.9209500000000004</v>
      </c>
      <c r="K335" s="29">
        <v>3.39141</v>
      </c>
      <c r="M335" s="41"/>
      <c r="O335" s="26">
        <v>3122.3</v>
      </c>
      <c r="Q335" s="26">
        <v>5752.05</v>
      </c>
      <c r="S335" s="26">
        <v>1696.12</v>
      </c>
      <c r="U335" s="29">
        <v>3.4083999999999999</v>
      </c>
      <c r="W335" s="27">
        <v>28.1495</v>
      </c>
      <c r="Y335" s="29">
        <v>8.3004499999999997</v>
      </c>
      <c r="AA335" s="41">
        <v>553.38499999999999</v>
      </c>
      <c r="AC335" s="27">
        <v>46.323999999999998</v>
      </c>
      <c r="AE335" s="27">
        <v>1</v>
      </c>
      <c r="AG335" s="29">
        <v>7.5089499999999996</v>
      </c>
      <c r="AI335" s="29">
        <v>8.7638499999999997</v>
      </c>
      <c r="AK335" s="27">
        <v>23.067499999999999</v>
      </c>
      <c r="AM335" s="27">
        <v>29.176500000000001</v>
      </c>
      <c r="AO335" s="29"/>
      <c r="AP335" s="28"/>
    </row>
    <row r="336" spans="2:42" hidden="1" outlineLevel="1" x14ac:dyDescent="0.25">
      <c r="B336" s="21">
        <v>42688</v>
      </c>
      <c r="C336" s="27">
        <v>20.8233</v>
      </c>
      <c r="E336" s="30">
        <v>0.92805300000000002</v>
      </c>
      <c r="G336" s="27">
        <v>15.4239</v>
      </c>
      <c r="I336" s="29">
        <v>6.9487399999999999</v>
      </c>
      <c r="K336" s="29">
        <v>3.4167200000000002</v>
      </c>
      <c r="M336" s="41"/>
      <c r="O336" s="26">
        <v>3130.18</v>
      </c>
      <c r="Q336" s="26">
        <v>5767.26</v>
      </c>
      <c r="S336" s="26">
        <v>1687.97</v>
      </c>
      <c r="U336" s="29">
        <v>3.4199799999999998</v>
      </c>
      <c r="W336" s="27">
        <v>28.1709</v>
      </c>
      <c r="Y336" s="29">
        <v>8.2450500000000009</v>
      </c>
      <c r="AA336" s="41">
        <v>554.86500000000001</v>
      </c>
      <c r="AC336" s="27">
        <v>46.460299999999997</v>
      </c>
      <c r="AE336" s="27">
        <v>1</v>
      </c>
      <c r="AG336" s="29">
        <v>7.5289999999999999</v>
      </c>
      <c r="AI336" s="29">
        <v>8.7875599999999991</v>
      </c>
      <c r="AK336" s="27">
        <v>23.122199999999999</v>
      </c>
      <c r="AM336" s="27">
        <v>29.179200000000002</v>
      </c>
      <c r="AO336" s="29"/>
      <c r="AP336" s="28"/>
    </row>
    <row r="337" spans="2:42" hidden="1" outlineLevel="1" x14ac:dyDescent="0.25">
      <c r="B337" s="21">
        <v>42689</v>
      </c>
      <c r="C337" s="27">
        <v>20.521999999999998</v>
      </c>
      <c r="E337" s="30">
        <v>0.93002899999999999</v>
      </c>
      <c r="G337" s="27">
        <v>15.5654</v>
      </c>
      <c r="I337" s="29">
        <v>6.9319800000000003</v>
      </c>
      <c r="K337" s="29">
        <v>3.4384000000000001</v>
      </c>
      <c r="M337" s="41"/>
      <c r="O337" s="26">
        <v>3121.76</v>
      </c>
      <c r="Q337" s="26">
        <v>5758.26</v>
      </c>
      <c r="S337" s="26">
        <v>1674.7</v>
      </c>
      <c r="U337" s="29">
        <v>3.4304899999999998</v>
      </c>
      <c r="W337" s="27">
        <v>28.1144</v>
      </c>
      <c r="Y337" s="29">
        <v>8.1766500000000004</v>
      </c>
      <c r="AA337" s="41">
        <v>552.96600000000001</v>
      </c>
      <c r="AC337" s="27">
        <v>46.426000000000002</v>
      </c>
      <c r="AE337" s="27">
        <v>1</v>
      </c>
      <c r="AG337" s="29">
        <v>7.5052000000000003</v>
      </c>
      <c r="AI337" s="29">
        <v>8.7638200000000008</v>
      </c>
      <c r="AK337" s="27">
        <v>23.0335</v>
      </c>
      <c r="AM337" s="27">
        <v>29.135000000000002</v>
      </c>
      <c r="AO337" s="29"/>
      <c r="AP337" s="28"/>
    </row>
    <row r="338" spans="2:42" hidden="1" outlineLevel="1" x14ac:dyDescent="0.25">
      <c r="B338" s="21">
        <v>42690</v>
      </c>
      <c r="C338" s="27">
        <v>20.318000000000001</v>
      </c>
      <c r="E338" s="30">
        <v>0.93308800000000003</v>
      </c>
      <c r="G338" s="27">
        <v>15.496700000000001</v>
      </c>
      <c r="I338" s="29">
        <v>6.92225</v>
      </c>
      <c r="K338" s="29">
        <v>3.4331399999999999</v>
      </c>
      <c r="M338" s="41"/>
      <c r="O338" s="26">
        <v>3143.12</v>
      </c>
      <c r="Q338" s="26">
        <v>5765.45</v>
      </c>
      <c r="S338" s="26">
        <v>1679.37</v>
      </c>
      <c r="U338" s="29">
        <v>3.4213399999999998</v>
      </c>
      <c r="W338" s="27">
        <v>28.079599999999999</v>
      </c>
      <c r="Y338" s="29">
        <v>8.1790000000000003</v>
      </c>
      <c r="AA338" s="41">
        <v>554.15</v>
      </c>
      <c r="AC338" s="27">
        <v>46.288499999999999</v>
      </c>
      <c r="AE338" s="27">
        <v>1</v>
      </c>
      <c r="AG338" s="29">
        <v>7.5033500000000002</v>
      </c>
      <c r="AI338" s="29">
        <v>8.7650900000000007</v>
      </c>
      <c r="AK338" s="27">
        <v>22.969799999999999</v>
      </c>
      <c r="AM338" s="27">
        <v>29.144500000000001</v>
      </c>
      <c r="AO338" s="29"/>
      <c r="AP338" s="28"/>
    </row>
    <row r="339" spans="2:42" hidden="1" outlineLevel="1" x14ac:dyDescent="0.25">
      <c r="B339" s="21">
        <v>42691</v>
      </c>
      <c r="C339" s="27">
        <v>20.227499999999999</v>
      </c>
      <c r="E339" s="30">
        <v>0.93527499999999997</v>
      </c>
      <c r="G339" s="27">
        <v>15.494199999999999</v>
      </c>
      <c r="I339" s="29">
        <v>6.9178100000000002</v>
      </c>
      <c r="K339" s="29">
        <v>3.4318599999999999</v>
      </c>
      <c r="M339" s="41"/>
      <c r="O339" s="26">
        <v>3135.98</v>
      </c>
      <c r="Q339" s="26">
        <v>5755.24</v>
      </c>
      <c r="S339" s="26">
        <v>1677.02</v>
      </c>
      <c r="U339" s="29">
        <v>3.4043899999999998</v>
      </c>
      <c r="W339" s="27">
        <v>28.053699999999999</v>
      </c>
      <c r="Y339" s="29">
        <v>8.1744900000000005</v>
      </c>
      <c r="AA339" s="41">
        <v>553.72799999999995</v>
      </c>
      <c r="AC339" s="27">
        <v>46.380899999999997</v>
      </c>
      <c r="AE339" s="27">
        <v>1</v>
      </c>
      <c r="AG339" s="29">
        <v>7.4899199999999997</v>
      </c>
      <c r="AI339" s="29">
        <v>8.7476000000000003</v>
      </c>
      <c r="AK339" s="27">
        <v>22.939699999999998</v>
      </c>
      <c r="AM339" s="27">
        <v>29.096</v>
      </c>
      <c r="AO339" s="29"/>
      <c r="AP339" s="28"/>
    </row>
    <row r="340" spans="2:42" hidden="1" outlineLevel="1" x14ac:dyDescent="0.25">
      <c r="B340" s="21">
        <v>42692</v>
      </c>
      <c r="C340" s="27">
        <v>20.4862</v>
      </c>
      <c r="E340" s="30">
        <v>0.94287600000000005</v>
      </c>
      <c r="G340" s="27">
        <v>15.495200000000001</v>
      </c>
      <c r="I340" s="29">
        <v>6.9767400000000004</v>
      </c>
      <c r="K340" s="29">
        <v>3.4129399999999999</v>
      </c>
      <c r="M340" s="41"/>
      <c r="O340" s="26">
        <v>3167.77</v>
      </c>
      <c r="Q340" s="26">
        <v>5808.24</v>
      </c>
      <c r="S340" s="26">
        <v>1701.84</v>
      </c>
      <c r="U340" s="29">
        <v>3.4289999999999998</v>
      </c>
      <c r="W340" s="27">
        <v>28.243300000000001</v>
      </c>
      <c r="Y340" s="29">
        <v>8.2754600000000007</v>
      </c>
      <c r="AA340" s="41">
        <v>556.69799999999998</v>
      </c>
      <c r="AC340" s="27">
        <v>46.747799999999998</v>
      </c>
      <c r="AE340" s="27">
        <v>1</v>
      </c>
      <c r="AG340" s="29">
        <v>7.5449999999999999</v>
      </c>
      <c r="AI340" s="29">
        <v>8.8087499999999999</v>
      </c>
      <c r="AK340" s="27">
        <v>23.209900000000001</v>
      </c>
      <c r="AM340" s="27">
        <v>29.328499999999998</v>
      </c>
      <c r="AO340" s="29"/>
      <c r="AP340" s="28"/>
    </row>
    <row r="341" spans="2:42" hidden="1" outlineLevel="1" x14ac:dyDescent="0.25">
      <c r="B341" s="21">
        <v>42693</v>
      </c>
      <c r="C341" s="27">
        <v>20.634</v>
      </c>
      <c r="E341" s="30">
        <v>0.94431399999999999</v>
      </c>
      <c r="G341" s="27">
        <v>15.5281</v>
      </c>
      <c r="I341" s="29">
        <v>6.9554499999999999</v>
      </c>
      <c r="K341" s="29">
        <v>3.38422</v>
      </c>
      <c r="M341" s="41"/>
      <c r="O341" s="26">
        <v>3169.95</v>
      </c>
      <c r="Q341" s="26">
        <v>5797.9</v>
      </c>
      <c r="S341" s="26">
        <v>1713.25</v>
      </c>
      <c r="U341" s="29">
        <v>3.4189500000000002</v>
      </c>
      <c r="W341" s="27">
        <v>28.158000000000001</v>
      </c>
      <c r="Y341" s="29">
        <v>8.3205399999999994</v>
      </c>
      <c r="AA341" s="41">
        <v>557.05999999999995</v>
      </c>
      <c r="AC341" s="27">
        <v>46.569499999999998</v>
      </c>
      <c r="AE341" s="27">
        <v>1</v>
      </c>
      <c r="AG341" s="29">
        <v>7.5255000000000001</v>
      </c>
      <c r="AI341" s="29">
        <v>8.7819500000000001</v>
      </c>
      <c r="AK341" s="27">
        <v>23.085000000000001</v>
      </c>
      <c r="AM341" s="27">
        <v>29.307500000000001</v>
      </c>
      <c r="AO341" s="29"/>
      <c r="AP341" s="28"/>
    </row>
    <row r="342" spans="2:42" hidden="1" outlineLevel="1" x14ac:dyDescent="0.25">
      <c r="B342" s="21">
        <v>42694</v>
      </c>
      <c r="C342" s="27">
        <v>20.6342</v>
      </c>
      <c r="E342" s="30">
        <v>0.94432199999999999</v>
      </c>
      <c r="G342" s="27">
        <v>15.4871</v>
      </c>
      <c r="I342" s="29">
        <v>6.9554499999999999</v>
      </c>
      <c r="K342" s="29">
        <v>3.3841299999999999</v>
      </c>
      <c r="M342" s="41"/>
      <c r="O342" s="26">
        <v>3182</v>
      </c>
      <c r="Q342" s="26">
        <v>5797.9</v>
      </c>
      <c r="S342" s="26">
        <v>1713.28</v>
      </c>
      <c r="U342" s="29">
        <v>3.4189500000000002</v>
      </c>
      <c r="W342" s="27">
        <v>28.158000000000001</v>
      </c>
      <c r="Y342" s="29">
        <v>8.3206900000000008</v>
      </c>
      <c r="AA342" s="41">
        <v>557.05999999999995</v>
      </c>
      <c r="AC342" s="27">
        <v>46.569499999999998</v>
      </c>
      <c r="AE342" s="27">
        <v>1</v>
      </c>
      <c r="AG342" s="29">
        <v>7.5255000000000001</v>
      </c>
      <c r="AI342" s="29">
        <v>8.7819500000000001</v>
      </c>
      <c r="AK342" s="27">
        <v>23.085000000000001</v>
      </c>
      <c r="AM342" s="27">
        <v>29.307500000000001</v>
      </c>
      <c r="AO342" s="29"/>
      <c r="AP342" s="28"/>
    </row>
    <row r="343" spans="2:42" hidden="1" outlineLevel="1" x14ac:dyDescent="0.25">
      <c r="B343" s="21">
        <v>42695</v>
      </c>
      <c r="C343" s="27">
        <v>20.545999999999999</v>
      </c>
      <c r="E343" s="30">
        <v>0.94237400000000004</v>
      </c>
      <c r="G343" s="27">
        <v>15.4686</v>
      </c>
      <c r="I343" s="29">
        <v>6.9395800000000003</v>
      </c>
      <c r="K343" s="29">
        <v>3.3684599999999998</v>
      </c>
      <c r="M343" s="41"/>
      <c r="O343" s="26">
        <v>3165.73</v>
      </c>
      <c r="Q343" s="26">
        <v>5795.94</v>
      </c>
      <c r="S343" s="26">
        <v>1720.66</v>
      </c>
      <c r="U343" s="29">
        <v>3.4144399999999999</v>
      </c>
      <c r="W343" s="27">
        <v>28.086400000000001</v>
      </c>
      <c r="Y343" s="29">
        <v>8.3381399999999992</v>
      </c>
      <c r="AA343" s="41">
        <v>554.14700000000005</v>
      </c>
      <c r="AC343" s="27">
        <v>46.5075</v>
      </c>
      <c r="AE343" s="27">
        <v>1</v>
      </c>
      <c r="AG343" s="29">
        <v>7.51098</v>
      </c>
      <c r="AI343" s="29">
        <v>8.7622999999999998</v>
      </c>
      <c r="AK343" s="27">
        <v>23.093699999999998</v>
      </c>
      <c r="AM343" s="27">
        <v>29.2302</v>
      </c>
      <c r="AO343" s="29"/>
      <c r="AP343" s="28"/>
    </row>
    <row r="344" spans="2:42" hidden="1" outlineLevel="1" x14ac:dyDescent="0.25">
      <c r="B344" s="21">
        <v>42696</v>
      </c>
      <c r="C344" s="27">
        <v>20.441299999999998</v>
      </c>
      <c r="E344" s="30">
        <v>0.941052</v>
      </c>
      <c r="G344" s="27">
        <v>15.3987</v>
      </c>
      <c r="I344" s="29">
        <v>6.9294700000000002</v>
      </c>
      <c r="K344" s="29">
        <v>3.3700899999999998</v>
      </c>
      <c r="M344" s="41"/>
      <c r="O344" s="26">
        <v>3167.79</v>
      </c>
      <c r="Q344" s="26">
        <v>5801.05</v>
      </c>
      <c r="S344" s="26">
        <v>1721.35</v>
      </c>
      <c r="U344" s="29">
        <v>3.4117500000000001</v>
      </c>
      <c r="W344" s="27">
        <v>28.473299999999998</v>
      </c>
      <c r="Y344" s="29">
        <v>8.4489300000000007</v>
      </c>
      <c r="AA344" s="41">
        <v>551.46299999999997</v>
      </c>
      <c r="AC344" s="27">
        <v>46.441000000000003</v>
      </c>
      <c r="AE344" s="27">
        <v>1</v>
      </c>
      <c r="AG344" s="29">
        <v>7.5056099999999999</v>
      </c>
      <c r="AI344" s="29">
        <v>8.7497299999999996</v>
      </c>
      <c r="AK344" s="27">
        <v>23.117899999999999</v>
      </c>
      <c r="AM344" s="27">
        <v>29.142800000000001</v>
      </c>
      <c r="AO344" s="29"/>
      <c r="AP344" s="28"/>
    </row>
    <row r="345" spans="2:42" hidden="1" outlineLevel="1" x14ac:dyDescent="0.25">
      <c r="B345" s="21">
        <v>42697</v>
      </c>
      <c r="C345" s="27">
        <v>20.6219</v>
      </c>
      <c r="E345" s="30">
        <v>0.943218</v>
      </c>
      <c r="G345" s="27">
        <v>15.471299999999999</v>
      </c>
      <c r="I345" s="29">
        <v>6.9395199999999999</v>
      </c>
      <c r="K345" s="29">
        <v>3.3755099999999998</v>
      </c>
      <c r="M345" s="41"/>
      <c r="O345" s="26">
        <v>3153.33</v>
      </c>
      <c r="Q345" s="26">
        <v>5809.82</v>
      </c>
      <c r="S345" s="26">
        <v>1721.19</v>
      </c>
      <c r="U345" s="29">
        <v>3.4247100000000001</v>
      </c>
      <c r="W345" s="27">
        <v>29.110600000000002</v>
      </c>
      <c r="Y345" s="29">
        <v>8.6241599999999998</v>
      </c>
      <c r="AA345" s="41">
        <v>553.11699999999996</v>
      </c>
      <c r="AC345" s="27">
        <v>46.496600000000001</v>
      </c>
      <c r="AE345" s="27">
        <v>1</v>
      </c>
      <c r="AG345" s="29">
        <v>7.51776</v>
      </c>
      <c r="AI345" s="29">
        <v>8.7621699999999993</v>
      </c>
      <c r="AK345" s="27">
        <v>23.130500000000001</v>
      </c>
      <c r="AM345" s="27">
        <v>29.211600000000001</v>
      </c>
      <c r="AO345" s="29"/>
      <c r="AP345" s="28"/>
    </row>
    <row r="346" spans="2:42" hidden="1" outlineLevel="1" x14ac:dyDescent="0.25">
      <c r="B346" s="21">
        <v>42698</v>
      </c>
      <c r="C346" s="27">
        <v>20.7014</v>
      </c>
      <c r="E346" s="30">
        <v>0.94769599999999998</v>
      </c>
      <c r="G346" s="27">
        <v>15.5456</v>
      </c>
      <c r="I346" s="29">
        <v>6.97241</v>
      </c>
      <c r="K346" s="29">
        <v>3.4245700000000001</v>
      </c>
      <c r="M346" s="41"/>
      <c r="O346" s="26">
        <v>3175.4</v>
      </c>
      <c r="Q346" s="26">
        <v>5840.16</v>
      </c>
      <c r="S346" s="26">
        <v>1705.39</v>
      </c>
      <c r="U346" s="29">
        <v>3.44035</v>
      </c>
      <c r="W346" s="27">
        <v>29.241299999999999</v>
      </c>
      <c r="Y346" s="29">
        <v>8.5387599999999999</v>
      </c>
      <c r="AA346" s="41">
        <v>557.21100000000001</v>
      </c>
      <c r="AC346" s="27">
        <v>46.720300000000002</v>
      </c>
      <c r="AE346" s="27">
        <v>1</v>
      </c>
      <c r="AG346" s="29">
        <v>7.5553600000000003</v>
      </c>
      <c r="AI346" s="29">
        <v>8.8068399999999993</v>
      </c>
      <c r="AK346" s="27">
        <v>23.241499999999998</v>
      </c>
      <c r="AM346" s="27">
        <v>29.3813</v>
      </c>
      <c r="AO346" s="29"/>
      <c r="AP346" s="28"/>
    </row>
    <row r="347" spans="2:42" hidden="1" outlineLevel="1" x14ac:dyDescent="0.25">
      <c r="B347" s="21">
        <v>42699</v>
      </c>
      <c r="C347" s="27">
        <v>20.685099999999998</v>
      </c>
      <c r="E347" s="30">
        <v>0.94496599999999997</v>
      </c>
      <c r="G347" s="27">
        <v>15.5405</v>
      </c>
      <c r="I347" s="29">
        <v>6.9248000000000003</v>
      </c>
      <c r="K347" s="29">
        <v>3.4224999999999999</v>
      </c>
      <c r="M347" s="41"/>
      <c r="O347" s="26">
        <v>3178</v>
      </c>
      <c r="Q347" s="26">
        <v>5845</v>
      </c>
      <c r="S347" s="26">
        <v>1707.82</v>
      </c>
      <c r="U347" s="29">
        <v>3.419</v>
      </c>
      <c r="W347" s="27">
        <v>29.08</v>
      </c>
      <c r="Y347" s="29">
        <v>8.4967199999999998</v>
      </c>
      <c r="AA347" s="41">
        <v>554.54999999999995</v>
      </c>
      <c r="AC347" s="27">
        <v>46.18</v>
      </c>
      <c r="AE347" s="27">
        <v>1</v>
      </c>
      <c r="AG347" s="29">
        <v>7.5103999999999997</v>
      </c>
      <c r="AI347" s="29">
        <v>8.7270000000000003</v>
      </c>
      <c r="AK347" s="27">
        <v>23.135000000000002</v>
      </c>
      <c r="AM347" s="27">
        <v>29.1843</v>
      </c>
      <c r="AO347" s="29"/>
      <c r="AP347" s="28"/>
    </row>
    <row r="348" spans="2:42" hidden="1" outlineLevel="1" x14ac:dyDescent="0.25">
      <c r="B348" s="21">
        <v>42700</v>
      </c>
      <c r="C348" s="27">
        <v>20.670100000000001</v>
      </c>
      <c r="E348" s="30">
        <v>0.94397600000000004</v>
      </c>
      <c r="G348" s="27">
        <v>15.5207</v>
      </c>
      <c r="I348" s="29">
        <v>6.9248000000000003</v>
      </c>
      <c r="K348" s="29">
        <v>3.4219900000000001</v>
      </c>
      <c r="M348" s="41"/>
      <c r="O348" s="26">
        <v>3167.4</v>
      </c>
      <c r="Q348" s="26">
        <v>5810.2</v>
      </c>
      <c r="S348" s="26">
        <v>1697.95</v>
      </c>
      <c r="U348" s="29">
        <v>3.4125700000000001</v>
      </c>
      <c r="W348" s="27">
        <v>29.0335</v>
      </c>
      <c r="Y348" s="29">
        <v>8.4845900000000007</v>
      </c>
      <c r="AA348" s="41">
        <v>551.08500000000004</v>
      </c>
      <c r="AC348" s="27">
        <v>46.414999999999999</v>
      </c>
      <c r="AE348" s="27">
        <v>1</v>
      </c>
      <c r="AG348" s="29">
        <v>7.5103999999999997</v>
      </c>
      <c r="AI348" s="29">
        <v>8.7436500000000006</v>
      </c>
      <c r="AK348" s="27">
        <v>23.067699999999999</v>
      </c>
      <c r="AM348" s="27">
        <v>29.1493</v>
      </c>
      <c r="AO348" s="29"/>
      <c r="AP348" s="28"/>
    </row>
    <row r="349" spans="2:42" hidden="1" outlineLevel="1" x14ac:dyDescent="0.25">
      <c r="B349" s="21">
        <v>42701</v>
      </c>
      <c r="C349" s="27">
        <v>20.669799999999999</v>
      </c>
      <c r="E349" s="30">
        <v>0.943967</v>
      </c>
      <c r="G349" s="27">
        <v>15.546799999999999</v>
      </c>
      <c r="I349" s="29">
        <v>6.9248000000000003</v>
      </c>
      <c r="K349" s="29">
        <v>3.4226399999999999</v>
      </c>
      <c r="M349" s="41"/>
      <c r="O349" s="26">
        <v>3167.4</v>
      </c>
      <c r="Q349" s="26">
        <v>5810.2</v>
      </c>
      <c r="S349" s="26">
        <v>1697.6</v>
      </c>
      <c r="U349" s="29">
        <v>3.4099499999999998</v>
      </c>
      <c r="W349" s="27">
        <v>29.0335</v>
      </c>
      <c r="Y349" s="29">
        <v>8.4828799999999998</v>
      </c>
      <c r="AA349" s="41">
        <v>551.08500000000004</v>
      </c>
      <c r="AC349" s="27">
        <v>46.414999999999999</v>
      </c>
      <c r="AE349" s="27">
        <v>1</v>
      </c>
      <c r="AG349" s="29">
        <v>7.5103999999999997</v>
      </c>
      <c r="AI349" s="29">
        <v>8.7436500000000006</v>
      </c>
      <c r="AK349" s="27">
        <v>23.042000000000002</v>
      </c>
      <c r="AM349" s="27">
        <v>29.178000000000001</v>
      </c>
      <c r="AO349" s="29"/>
      <c r="AP349" s="28"/>
    </row>
    <row r="350" spans="2:42" hidden="1" outlineLevel="1" x14ac:dyDescent="0.25">
      <c r="B350" s="21">
        <v>42702</v>
      </c>
      <c r="C350" s="27">
        <v>20.593499999999999</v>
      </c>
      <c r="E350" s="30">
        <v>0.94172599999999995</v>
      </c>
      <c r="G350" s="27">
        <v>15.508100000000001</v>
      </c>
      <c r="I350" s="29">
        <v>6.9118500000000003</v>
      </c>
      <c r="K350" s="29">
        <v>3.40801</v>
      </c>
      <c r="M350" s="41"/>
      <c r="O350" s="26">
        <v>3161.61</v>
      </c>
      <c r="Q350" s="26">
        <v>5801.79</v>
      </c>
      <c r="S350" s="26">
        <v>1702.42</v>
      </c>
      <c r="U350" s="29">
        <v>3.4064999999999999</v>
      </c>
      <c r="W350" s="27">
        <v>28.979299999999999</v>
      </c>
      <c r="Y350" s="29">
        <v>8.5033700000000003</v>
      </c>
      <c r="AA350" s="41">
        <v>549.56899999999996</v>
      </c>
      <c r="AC350" s="27">
        <v>46.3932</v>
      </c>
      <c r="AE350" s="27">
        <v>1</v>
      </c>
      <c r="AG350" s="29">
        <v>7.4959499999999997</v>
      </c>
      <c r="AI350" s="29">
        <v>8.7273300000000003</v>
      </c>
      <c r="AK350" s="27">
        <v>23.0564</v>
      </c>
      <c r="AM350" s="27">
        <v>29.075399999999998</v>
      </c>
      <c r="AO350" s="29"/>
      <c r="AP350" s="28"/>
    </row>
    <row r="351" spans="2:42" hidden="1" outlineLevel="1" x14ac:dyDescent="0.25">
      <c r="B351" s="21">
        <v>42703</v>
      </c>
      <c r="C351" s="27">
        <v>20.644100000000002</v>
      </c>
      <c r="E351" s="30">
        <v>0.94262699999999999</v>
      </c>
      <c r="G351" s="27">
        <v>15.5442</v>
      </c>
      <c r="I351" s="29">
        <v>6.9146599999999996</v>
      </c>
      <c r="K351" s="29">
        <v>3.40266</v>
      </c>
      <c r="M351" s="41"/>
      <c r="O351" s="26">
        <v>3168.56</v>
      </c>
      <c r="Q351" s="26">
        <v>5814.98</v>
      </c>
      <c r="S351" s="26">
        <v>1708.97</v>
      </c>
      <c r="U351" s="29">
        <v>3.4151899999999999</v>
      </c>
      <c r="W351" s="27">
        <v>29.017199999999999</v>
      </c>
      <c r="Y351" s="29">
        <v>8.5278799999999997</v>
      </c>
      <c r="AA351" s="41">
        <v>549.96900000000005</v>
      </c>
      <c r="AC351" s="27">
        <v>46.476700000000001</v>
      </c>
      <c r="AE351" s="27">
        <v>1</v>
      </c>
      <c r="AG351" s="29">
        <v>7.5066699999999997</v>
      </c>
      <c r="AI351" s="29">
        <v>8.7416800000000006</v>
      </c>
      <c r="AK351" s="27">
        <v>23.067399999999999</v>
      </c>
      <c r="AM351" s="27">
        <v>29.1541</v>
      </c>
      <c r="AO351" s="29"/>
      <c r="AP351" s="28"/>
    </row>
    <row r="352" spans="2:42" hidden="1" outlineLevel="1" x14ac:dyDescent="0.25">
      <c r="B352" s="21">
        <v>42704</v>
      </c>
      <c r="C352" s="49">
        <v>20.622499999999999</v>
      </c>
      <c r="E352" s="30">
        <v>0.94091100000000005</v>
      </c>
      <c r="G352" s="27">
        <v>15.749499999999999</v>
      </c>
      <c r="I352" s="29">
        <v>6.8992599999999999</v>
      </c>
      <c r="K352" s="29">
        <v>3.4228399999999999</v>
      </c>
      <c r="M352" s="41"/>
      <c r="O352" s="26">
        <v>3125.61</v>
      </c>
      <c r="Q352" s="26">
        <v>5808.22</v>
      </c>
      <c r="S352" s="26">
        <v>1696.91</v>
      </c>
      <c r="U352" s="29">
        <v>3.3998699999999999</v>
      </c>
      <c r="W352" s="27">
        <v>28.950299999999999</v>
      </c>
      <c r="Y352" s="29">
        <v>8.4580400000000004</v>
      </c>
      <c r="AA352" s="41">
        <v>548.995</v>
      </c>
      <c r="AC352" s="27">
        <v>46.374499999999998</v>
      </c>
      <c r="AE352" s="27">
        <v>1</v>
      </c>
      <c r="AG352" s="29">
        <v>7.4917400000000001</v>
      </c>
      <c r="AI352" s="29">
        <v>8.7252299999999998</v>
      </c>
      <c r="AK352" s="27">
        <v>23.043299999999999</v>
      </c>
      <c r="AM352" s="27">
        <v>29.098299999999998</v>
      </c>
      <c r="AO352" s="29"/>
      <c r="AP352" s="28"/>
    </row>
    <row r="353" spans="2:42" ht="13" collapsed="1" x14ac:dyDescent="0.3">
      <c r="B353" s="25" t="s">
        <v>149</v>
      </c>
      <c r="C353" s="19">
        <v>20.134899999999998</v>
      </c>
      <c r="E353" s="24">
        <v>0.92632899999999996</v>
      </c>
      <c r="G353" s="19">
        <v>15.3325</v>
      </c>
      <c r="I353" s="23">
        <v>6.9329099999999997</v>
      </c>
      <c r="J353" s="9"/>
      <c r="K353" s="23">
        <v>3.3489</v>
      </c>
      <c r="M353" s="42" t="s">
        <v>78</v>
      </c>
      <c r="O353" s="31">
        <v>3117.4</v>
      </c>
      <c r="Q353" s="31">
        <v>5772.08</v>
      </c>
      <c r="S353" s="31">
        <v>1724.51</v>
      </c>
      <c r="U353" s="23">
        <v>3.4036900000000001</v>
      </c>
      <c r="W353" s="23">
        <v>28.430099999999999</v>
      </c>
      <c r="Y353" s="23">
        <v>8.4939400000000003</v>
      </c>
      <c r="AA353" s="42">
        <v>553.63199999999995</v>
      </c>
      <c r="AC353" s="19">
        <v>46.4206</v>
      </c>
      <c r="AE353" s="19">
        <v>1</v>
      </c>
      <c r="AG353" s="23">
        <v>7.5135100000000001</v>
      </c>
      <c r="AI353" s="23">
        <v>8.7583099999999998</v>
      </c>
      <c r="AK353" s="23">
        <v>22.985240000000001</v>
      </c>
      <c r="AM353" s="23">
        <v>29.15793</v>
      </c>
      <c r="AO353" s="23" t="s">
        <v>78</v>
      </c>
      <c r="AP353" s="10"/>
    </row>
    <row r="354" spans="2:42" hidden="1" outlineLevel="1" x14ac:dyDescent="0.25">
      <c r="B354" s="21">
        <v>42705</v>
      </c>
      <c r="C354" s="27">
        <v>20.611799999999999</v>
      </c>
      <c r="E354" s="30">
        <v>0.94216500000000003</v>
      </c>
      <c r="G354" s="27">
        <v>15.860200000000001</v>
      </c>
      <c r="I354" s="29">
        <v>6.9465899999999996</v>
      </c>
      <c r="K354" s="29">
        <v>3.4292199999999999</v>
      </c>
      <c r="M354" s="41">
        <v>674.952</v>
      </c>
      <c r="O354" s="26">
        <v>3081.52</v>
      </c>
      <c r="Q354" s="26">
        <v>5847.84</v>
      </c>
      <c r="S354" s="26">
        <v>1705.32</v>
      </c>
      <c r="U354" s="29">
        <v>3.38856</v>
      </c>
      <c r="W354" s="27">
        <v>29.071200000000001</v>
      </c>
      <c r="Y354" s="29">
        <v>8.4775799999999997</v>
      </c>
      <c r="AA354" s="41">
        <v>551.80999999999995</v>
      </c>
      <c r="AC354" s="27">
        <v>46.646299999999997</v>
      </c>
      <c r="AE354" s="27">
        <v>1</v>
      </c>
      <c r="AG354" s="29">
        <v>7.5317800000000004</v>
      </c>
      <c r="AI354" s="29">
        <v>8.7701600000000006</v>
      </c>
      <c r="AK354" s="27">
        <v>23.207100000000001</v>
      </c>
      <c r="AM354" s="27">
        <v>29.257400000000001</v>
      </c>
      <c r="AO354" s="29">
        <v>6.7457500000000001</v>
      </c>
      <c r="AP354" s="28"/>
    </row>
    <row r="355" spans="2:42" hidden="1" outlineLevel="1" x14ac:dyDescent="0.25">
      <c r="B355" s="21">
        <v>42706</v>
      </c>
      <c r="C355" s="27">
        <v>20.7362</v>
      </c>
      <c r="E355" s="30">
        <v>0.93774400000000002</v>
      </c>
      <c r="G355" s="27">
        <v>15.840400000000001</v>
      </c>
      <c r="I355" s="29">
        <v>6.9120200000000001</v>
      </c>
      <c r="K355" s="29">
        <v>3.5249700000000002</v>
      </c>
      <c r="M355" s="41">
        <v>673.39599999999996</v>
      </c>
      <c r="O355" s="26">
        <v>3066.69</v>
      </c>
      <c r="Q355" s="26">
        <v>5823.76</v>
      </c>
      <c r="S355" s="26">
        <v>1652.16</v>
      </c>
      <c r="U355" s="29">
        <v>3.4087399999999999</v>
      </c>
      <c r="W355" s="27">
        <v>28.890699999999999</v>
      </c>
      <c r="Y355" s="29">
        <v>8.1960899999999999</v>
      </c>
      <c r="AA355" s="41">
        <v>549.47199999999998</v>
      </c>
      <c r="AC355" s="27">
        <v>46.270400000000002</v>
      </c>
      <c r="AE355" s="27">
        <v>1</v>
      </c>
      <c r="AG355" s="29">
        <v>7.5017800000000001</v>
      </c>
      <c r="AI355" s="29">
        <v>8.7270699999999994</v>
      </c>
      <c r="AK355" s="27">
        <v>23.029900000000001</v>
      </c>
      <c r="AM355" s="27">
        <v>29.111799999999999</v>
      </c>
      <c r="AO355" s="29">
        <v>6.7124499999999996</v>
      </c>
      <c r="AP355" s="28"/>
    </row>
    <row r="356" spans="2:42" hidden="1" outlineLevel="1" x14ac:dyDescent="0.25">
      <c r="B356" s="21">
        <v>42707</v>
      </c>
      <c r="C356" s="27">
        <v>20.625599999999999</v>
      </c>
      <c r="E356" s="30">
        <v>0.93751899999999999</v>
      </c>
      <c r="G356" s="27">
        <v>15.938000000000001</v>
      </c>
      <c r="I356" s="29">
        <v>6.9189499999999997</v>
      </c>
      <c r="K356" s="29">
        <v>3.4751799999999999</v>
      </c>
      <c r="M356" s="41">
        <v>673.48</v>
      </c>
      <c r="O356" s="26">
        <v>3068.55</v>
      </c>
      <c r="Q356" s="26">
        <v>5828.3</v>
      </c>
      <c r="S356" s="26">
        <v>1677.19</v>
      </c>
      <c r="U356" s="29">
        <v>3.4131</v>
      </c>
      <c r="W356" s="27">
        <v>28.909500000000001</v>
      </c>
      <c r="Y356" s="29">
        <v>8.3191799999999994</v>
      </c>
      <c r="AA356" s="41">
        <v>550.65</v>
      </c>
      <c r="AC356" s="27">
        <v>46.426000000000002</v>
      </c>
      <c r="AE356" s="27">
        <v>1</v>
      </c>
      <c r="AG356" s="29">
        <v>7.5170500000000002</v>
      </c>
      <c r="AI356" s="29">
        <v>8.7359500000000008</v>
      </c>
      <c r="AK356" s="27">
        <v>23.013000000000002</v>
      </c>
      <c r="AM356" s="27">
        <v>29.183</v>
      </c>
      <c r="AO356" s="29">
        <v>6.7193500000000004</v>
      </c>
      <c r="AP356" s="28"/>
    </row>
    <row r="357" spans="2:42" hidden="1" outlineLevel="1" x14ac:dyDescent="0.25">
      <c r="B357" s="21">
        <v>42708</v>
      </c>
      <c r="C357" s="27">
        <v>20.625399999999999</v>
      </c>
      <c r="E357" s="30">
        <v>0.93753200000000003</v>
      </c>
      <c r="G357" s="27">
        <v>15.9376</v>
      </c>
      <c r="I357" s="29">
        <v>6.9189499999999997</v>
      </c>
      <c r="K357" s="29">
        <v>3.47655</v>
      </c>
      <c r="M357" s="41">
        <v>669.8</v>
      </c>
      <c r="O357" s="26">
        <v>3068.55</v>
      </c>
      <c r="Q357" s="26">
        <v>5828.3</v>
      </c>
      <c r="S357" s="26">
        <v>1676.47</v>
      </c>
      <c r="U357" s="29">
        <v>3.4131</v>
      </c>
      <c r="W357" s="27">
        <v>28.909500000000001</v>
      </c>
      <c r="Y357" s="29">
        <v>8.3156400000000001</v>
      </c>
      <c r="AA357" s="41">
        <v>550.65</v>
      </c>
      <c r="AC357" s="27">
        <v>46.426000000000002</v>
      </c>
      <c r="AE357" s="27">
        <v>1</v>
      </c>
      <c r="AG357" s="29">
        <v>7.5170500000000002</v>
      </c>
      <c r="AI357" s="29">
        <v>8.7359500000000008</v>
      </c>
      <c r="AK357" s="27">
        <v>23.013000000000002</v>
      </c>
      <c r="AM357" s="27">
        <v>29.183</v>
      </c>
      <c r="AO357" s="29">
        <v>6.7193500000000004</v>
      </c>
      <c r="AP357" s="28"/>
    </row>
    <row r="358" spans="2:42" hidden="1" outlineLevel="1" x14ac:dyDescent="0.25">
      <c r="B358" s="21">
        <v>42709</v>
      </c>
      <c r="C358" s="27">
        <v>20.644200000000001</v>
      </c>
      <c r="E358" s="30">
        <v>0.939245</v>
      </c>
      <c r="G358" s="27">
        <v>15.9871</v>
      </c>
      <c r="I358" s="29">
        <v>6.9374000000000002</v>
      </c>
      <c r="K358" s="29">
        <v>3.45905</v>
      </c>
      <c r="M358" s="41">
        <v>670.36900000000003</v>
      </c>
      <c r="O358" s="26">
        <v>3080.97</v>
      </c>
      <c r="Q358" s="26">
        <v>5849.25</v>
      </c>
      <c r="S358" s="26">
        <v>1691.01</v>
      </c>
      <c r="U358" s="29">
        <v>3.42746</v>
      </c>
      <c r="W358" s="27">
        <v>29.006399999999999</v>
      </c>
      <c r="Y358" s="29">
        <v>8.3857099999999996</v>
      </c>
      <c r="AA358" s="41">
        <v>552.85900000000004</v>
      </c>
      <c r="AC358" s="27">
        <v>46.646999999999998</v>
      </c>
      <c r="AE358" s="27">
        <v>1</v>
      </c>
      <c r="AG358" s="29">
        <v>7.55084</v>
      </c>
      <c r="AI358" s="29">
        <v>8.77163</v>
      </c>
      <c r="AK358" s="27">
        <v>23.1433</v>
      </c>
      <c r="AM358" s="27">
        <v>29.250699999999998</v>
      </c>
      <c r="AO358" s="29">
        <v>6.7465599999999997</v>
      </c>
      <c r="AP358" s="28"/>
    </row>
    <row r="359" spans="2:42" hidden="1" outlineLevel="1" x14ac:dyDescent="0.25">
      <c r="B359" s="21">
        <v>42710</v>
      </c>
      <c r="C359" s="27">
        <v>20.502099999999999</v>
      </c>
      <c r="E359" s="30">
        <v>0.93048399999999998</v>
      </c>
      <c r="G359" s="27">
        <v>15.868</v>
      </c>
      <c r="I359" s="29">
        <v>6.8961600000000001</v>
      </c>
      <c r="K359" s="29">
        <v>3.4238200000000001</v>
      </c>
      <c r="M359" s="41">
        <v>663.95699999999999</v>
      </c>
      <c r="O359" s="26">
        <v>3063.52</v>
      </c>
      <c r="Q359" s="26">
        <v>5814.23</v>
      </c>
      <c r="S359" s="26">
        <v>1698.19</v>
      </c>
      <c r="U359" s="29">
        <v>3.4177200000000001</v>
      </c>
      <c r="W359" s="27">
        <v>28.892800000000001</v>
      </c>
      <c r="Y359" s="29">
        <v>8.4388000000000005</v>
      </c>
      <c r="AA359" s="41">
        <v>549.702</v>
      </c>
      <c r="AC359" s="27">
        <v>46.541600000000003</v>
      </c>
      <c r="AE359" s="27">
        <v>1</v>
      </c>
      <c r="AG359" s="29">
        <v>7.5114299999999998</v>
      </c>
      <c r="AI359" s="29">
        <v>8.7215900000000008</v>
      </c>
      <c r="AK359" s="27">
        <v>23.0883</v>
      </c>
      <c r="AM359" s="27">
        <v>29.110499999999998</v>
      </c>
      <c r="AO359" s="29">
        <v>6.7253699999999998</v>
      </c>
      <c r="AP359" s="28"/>
    </row>
    <row r="360" spans="2:42" hidden="1" outlineLevel="1" x14ac:dyDescent="0.25">
      <c r="B360" s="21">
        <v>42711</v>
      </c>
      <c r="C360" s="27">
        <v>20.357399999999998</v>
      </c>
      <c r="E360" s="30">
        <v>0.93188899999999997</v>
      </c>
      <c r="G360" s="27">
        <v>15.937099999999999</v>
      </c>
      <c r="I360" s="29">
        <v>6.9289399999999999</v>
      </c>
      <c r="K360" s="29">
        <v>3.4014899999999999</v>
      </c>
      <c r="M360" s="41">
        <v>661.45899999999995</v>
      </c>
      <c r="O360" s="26">
        <v>3005.28</v>
      </c>
      <c r="Q360" s="26">
        <v>5824.91</v>
      </c>
      <c r="S360" s="26">
        <v>1712.47</v>
      </c>
      <c r="U360" s="29">
        <v>3.41899</v>
      </c>
      <c r="W360" s="27">
        <v>28.906600000000001</v>
      </c>
      <c r="Y360" s="29">
        <v>8.49831</v>
      </c>
      <c r="AA360" s="41">
        <v>551.87199999999996</v>
      </c>
      <c r="AC360" s="27">
        <v>46.59</v>
      </c>
      <c r="AE360" s="27">
        <v>1</v>
      </c>
      <c r="AG360" s="29">
        <v>7.5393999999999997</v>
      </c>
      <c r="AI360" s="29">
        <v>8.7590400000000006</v>
      </c>
      <c r="AK360" s="27">
        <v>23.215599999999998</v>
      </c>
      <c r="AM360" s="27">
        <v>29.219899999999999</v>
      </c>
      <c r="AO360" s="29">
        <v>6.7370099999999997</v>
      </c>
      <c r="AP360" s="28"/>
    </row>
    <row r="361" spans="2:42" hidden="1" outlineLevel="1" x14ac:dyDescent="0.25">
      <c r="B361" s="21">
        <v>42712</v>
      </c>
      <c r="C361" s="27">
        <v>20.3507</v>
      </c>
      <c r="E361" s="30">
        <v>0.93235299999999999</v>
      </c>
      <c r="G361" s="27">
        <v>15.996600000000001</v>
      </c>
      <c r="I361" s="29">
        <v>6.9061500000000002</v>
      </c>
      <c r="K361" s="29">
        <v>3.3847900000000002</v>
      </c>
      <c r="M361" s="41">
        <v>654.702</v>
      </c>
      <c r="O361" s="26">
        <v>2997.7</v>
      </c>
      <c r="Q361" s="26">
        <v>5801.53</v>
      </c>
      <c r="S361" s="26">
        <v>1714.02</v>
      </c>
      <c r="U361" s="29">
        <v>3.4060000000000001</v>
      </c>
      <c r="W361" s="27">
        <v>28.796900000000001</v>
      </c>
      <c r="Y361" s="29">
        <v>8.5078200000000006</v>
      </c>
      <c r="AA361" s="41">
        <v>550.053</v>
      </c>
      <c r="AC361" s="27">
        <v>46.439100000000003</v>
      </c>
      <c r="AE361" s="27">
        <v>1</v>
      </c>
      <c r="AG361" s="29">
        <v>7.5098000000000003</v>
      </c>
      <c r="AI361" s="29">
        <v>8.7353299999999994</v>
      </c>
      <c r="AK361" s="27">
        <v>23.0793</v>
      </c>
      <c r="AM361" s="27">
        <v>29.143599999999999</v>
      </c>
      <c r="AO361" s="29">
        <v>6.7186399999999997</v>
      </c>
      <c r="AP361" s="28"/>
    </row>
    <row r="362" spans="2:42" hidden="1" outlineLevel="1" x14ac:dyDescent="0.25">
      <c r="B362" s="21">
        <v>42713</v>
      </c>
      <c r="C362" s="27">
        <v>20.347100000000001</v>
      </c>
      <c r="E362" s="30">
        <v>0.94437599999999999</v>
      </c>
      <c r="G362" s="27">
        <v>15.9918</v>
      </c>
      <c r="I362" s="29">
        <v>6.9953099999999999</v>
      </c>
      <c r="K362" s="29">
        <v>3.3765700000000001</v>
      </c>
      <c r="M362" s="41">
        <v>659.92899999999997</v>
      </c>
      <c r="O362" s="26">
        <v>3002.74</v>
      </c>
      <c r="Q362" s="26">
        <v>5887.44</v>
      </c>
      <c r="S362" s="26">
        <v>1743.63</v>
      </c>
      <c r="U362" s="29">
        <v>3.4343499999999998</v>
      </c>
      <c r="W362" s="27">
        <v>29.087800000000001</v>
      </c>
      <c r="Y362" s="29">
        <v>8.6147100000000005</v>
      </c>
      <c r="AA362" s="41">
        <v>556.21500000000003</v>
      </c>
      <c r="AC362" s="27">
        <v>46.966799999999999</v>
      </c>
      <c r="AE362" s="27">
        <v>1</v>
      </c>
      <c r="AG362" s="29">
        <v>7.5842900000000002</v>
      </c>
      <c r="AI362" s="29">
        <v>8.8321000000000005</v>
      </c>
      <c r="AK362" s="27">
        <v>23.309799999999999</v>
      </c>
      <c r="AM362" s="27">
        <v>29.470300000000002</v>
      </c>
      <c r="AO362" s="29">
        <v>6.7934400000000004</v>
      </c>
      <c r="AP362" s="28"/>
    </row>
    <row r="363" spans="2:42" hidden="1" outlineLevel="1" x14ac:dyDescent="0.25">
      <c r="B363" s="21">
        <v>42714</v>
      </c>
      <c r="C363" s="27">
        <v>20.394400000000001</v>
      </c>
      <c r="E363" s="30">
        <v>0.94688899999999998</v>
      </c>
      <c r="G363" s="27">
        <v>15.99</v>
      </c>
      <c r="I363" s="29">
        <v>6.9409999999999998</v>
      </c>
      <c r="K363" s="29">
        <v>3.3785400000000001</v>
      </c>
      <c r="M363" s="41">
        <v>656.19</v>
      </c>
      <c r="O363" s="26">
        <v>3008.25</v>
      </c>
      <c r="Q363" s="26">
        <v>5841.75</v>
      </c>
      <c r="S363" s="26">
        <v>1729.11</v>
      </c>
      <c r="U363" s="29">
        <v>3.4084500000000002</v>
      </c>
      <c r="W363" s="27">
        <v>28.8505</v>
      </c>
      <c r="Y363" s="29">
        <v>8.5394600000000001</v>
      </c>
      <c r="AA363" s="41">
        <v>551.88</v>
      </c>
      <c r="AC363" s="27">
        <v>46.5745</v>
      </c>
      <c r="AE363" s="27">
        <v>1</v>
      </c>
      <c r="AG363" s="29">
        <v>7.5219500000000004</v>
      </c>
      <c r="AI363" s="29">
        <v>8.7632999999999992</v>
      </c>
      <c r="AK363" s="27">
        <v>23.086500000000001</v>
      </c>
      <c r="AM363" s="27">
        <v>29.275500000000001</v>
      </c>
      <c r="AO363" s="29">
        <v>6.7407000000000004</v>
      </c>
      <c r="AP363" s="28"/>
    </row>
    <row r="364" spans="2:42" hidden="1" outlineLevel="1" x14ac:dyDescent="0.25">
      <c r="B364" s="21">
        <v>42715</v>
      </c>
      <c r="C364" s="27">
        <v>20.393799999999999</v>
      </c>
      <c r="E364" s="30">
        <v>0.94687100000000002</v>
      </c>
      <c r="G364" s="27">
        <v>15.995799999999999</v>
      </c>
      <c r="I364" s="29">
        <v>6.9406400000000001</v>
      </c>
      <c r="K364" s="29">
        <v>3.3795000000000002</v>
      </c>
      <c r="M364" s="41">
        <v>652.49099999999999</v>
      </c>
      <c r="O364" s="26">
        <v>2997.13</v>
      </c>
      <c r="Q364" s="26">
        <v>5841.45</v>
      </c>
      <c r="S364" s="26">
        <v>1728.52</v>
      </c>
      <c r="U364" s="29">
        <v>3.4082699999999999</v>
      </c>
      <c r="W364" s="27">
        <v>28.8491</v>
      </c>
      <c r="Y364" s="29">
        <v>8.5366099999999996</v>
      </c>
      <c r="AA364" s="41">
        <v>551.851</v>
      </c>
      <c r="AC364" s="27">
        <v>46.5745</v>
      </c>
      <c r="AE364" s="27">
        <v>1</v>
      </c>
      <c r="AG364" s="29">
        <v>7.52156</v>
      </c>
      <c r="AI364" s="29">
        <v>8.7628400000000006</v>
      </c>
      <c r="AK364" s="27">
        <v>23.0854</v>
      </c>
      <c r="AM364" s="27">
        <v>29.274100000000001</v>
      </c>
      <c r="AO364" s="29">
        <v>6.7403500000000003</v>
      </c>
      <c r="AP364" s="28"/>
    </row>
    <row r="365" spans="2:42" hidden="1" outlineLevel="1" x14ac:dyDescent="0.25">
      <c r="B365" s="21">
        <v>42716</v>
      </c>
      <c r="C365" s="27">
        <v>20.280200000000001</v>
      </c>
      <c r="E365" s="30">
        <v>0.94475500000000001</v>
      </c>
      <c r="G365" s="27">
        <v>16.0198</v>
      </c>
      <c r="I365" s="29">
        <v>6.9317799999999998</v>
      </c>
      <c r="K365" s="29">
        <v>3.3689900000000002</v>
      </c>
      <c r="M365" s="41">
        <v>653.38699999999994</v>
      </c>
      <c r="O365" s="26">
        <v>3005.2</v>
      </c>
      <c r="Q365" s="26">
        <v>5834.57</v>
      </c>
      <c r="S365" s="26">
        <v>1731.87</v>
      </c>
      <c r="U365" s="29">
        <v>3.4075799999999998</v>
      </c>
      <c r="W365" s="27">
        <v>28.829000000000001</v>
      </c>
      <c r="Y365" s="29">
        <v>8.5572599999999994</v>
      </c>
      <c r="AA365" s="41">
        <v>552.06100000000004</v>
      </c>
      <c r="AC365" s="27">
        <v>46.5745</v>
      </c>
      <c r="AE365" s="27">
        <v>1</v>
      </c>
      <c r="AG365" s="29">
        <v>7.5183</v>
      </c>
      <c r="AI365" s="29">
        <v>8.76328</v>
      </c>
      <c r="AK365" s="27">
        <v>23.207599999999999</v>
      </c>
      <c r="AM365" s="27">
        <v>29.221</v>
      </c>
      <c r="AO365" s="29">
        <v>6.7501600000000002</v>
      </c>
      <c r="AP365" s="28"/>
    </row>
    <row r="366" spans="2:42" hidden="1" outlineLevel="1" x14ac:dyDescent="0.25">
      <c r="B366" s="21">
        <v>42717</v>
      </c>
      <c r="C366" s="27">
        <v>20.2407</v>
      </c>
      <c r="E366" s="30">
        <v>0.94078700000000004</v>
      </c>
      <c r="G366" s="27">
        <v>16.011299999999999</v>
      </c>
      <c r="I366" s="29">
        <v>6.8956499999999998</v>
      </c>
      <c r="K366" s="29">
        <v>3.3362500000000002</v>
      </c>
      <c r="M366" s="41">
        <v>649.55499999999995</v>
      </c>
      <c r="O366" s="26">
        <v>2993.24</v>
      </c>
      <c r="Q366" s="26">
        <v>5797.01</v>
      </c>
      <c r="S366" s="26">
        <v>1737.6</v>
      </c>
      <c r="U366" s="29">
        <v>3.4024700000000001</v>
      </c>
      <c r="W366" s="27">
        <v>28.7456</v>
      </c>
      <c r="Y366" s="29">
        <v>8.6161799999999999</v>
      </c>
      <c r="AA366" s="41">
        <v>550.03399999999999</v>
      </c>
      <c r="AC366" s="27">
        <v>46.5745</v>
      </c>
      <c r="AE366" s="27">
        <v>1</v>
      </c>
      <c r="AG366" s="29">
        <v>7.4867600000000003</v>
      </c>
      <c r="AI366" s="29">
        <v>8.7311099999999993</v>
      </c>
      <c r="AK366" s="27">
        <v>23.093900000000001</v>
      </c>
      <c r="AM366" s="27">
        <v>29.1127</v>
      </c>
      <c r="AO366" s="29">
        <v>6.7363999999999997</v>
      </c>
      <c r="AP366" s="28"/>
    </row>
    <row r="367" spans="2:42" hidden="1" outlineLevel="1" x14ac:dyDescent="0.25">
      <c r="B367" s="21">
        <v>42718</v>
      </c>
      <c r="C367" s="27">
        <v>20.271000000000001</v>
      </c>
      <c r="E367" s="30">
        <v>0.94052999999999998</v>
      </c>
      <c r="G367" s="27">
        <v>15.9537</v>
      </c>
      <c r="I367" s="29">
        <v>6.9092399999999996</v>
      </c>
      <c r="K367" s="29">
        <v>3.33548</v>
      </c>
      <c r="M367" s="41">
        <v>652.375</v>
      </c>
      <c r="O367" s="26">
        <v>2968.02</v>
      </c>
      <c r="Q367" s="26">
        <v>5789.87</v>
      </c>
      <c r="S367" s="26">
        <v>1735.86</v>
      </c>
      <c r="U367" s="29">
        <v>3.3939499999999998</v>
      </c>
      <c r="W367" s="27">
        <v>28.6815</v>
      </c>
      <c r="Y367" s="29">
        <v>8.5989400000000007</v>
      </c>
      <c r="AA367" s="41">
        <v>550.226</v>
      </c>
      <c r="AC367" s="27">
        <v>46.056100000000001</v>
      </c>
      <c r="AE367" s="27">
        <v>1</v>
      </c>
      <c r="AG367" s="29">
        <v>7.4922800000000001</v>
      </c>
      <c r="AI367" s="29">
        <v>8.7375699999999998</v>
      </c>
      <c r="AK367" s="27">
        <v>23.124700000000001</v>
      </c>
      <c r="AM367" s="27">
        <v>29.1249</v>
      </c>
      <c r="AO367" s="29">
        <v>6.7389200000000002</v>
      </c>
      <c r="AP367" s="28"/>
    </row>
    <row r="368" spans="2:42" hidden="1" outlineLevel="1" x14ac:dyDescent="0.25">
      <c r="B368" s="21">
        <v>42719</v>
      </c>
      <c r="C368" s="27">
        <v>20.537500000000001</v>
      </c>
      <c r="E368" s="30">
        <v>0.95527799999999996</v>
      </c>
      <c r="G368" s="27">
        <v>15.975099999999999</v>
      </c>
      <c r="I368" s="29">
        <v>6.9955299999999996</v>
      </c>
      <c r="K368" s="29">
        <v>3.37453</v>
      </c>
      <c r="M368" s="41">
        <v>663.49</v>
      </c>
      <c r="O368" s="26">
        <v>2998.8</v>
      </c>
      <c r="Q368" s="26">
        <v>5839.43</v>
      </c>
      <c r="S368" s="26">
        <v>1730.46</v>
      </c>
      <c r="U368" s="29">
        <v>3.4184800000000002</v>
      </c>
      <c r="W368" s="27">
        <v>28.779599999999999</v>
      </c>
      <c r="Y368" s="29">
        <v>8.5284999999999993</v>
      </c>
      <c r="AA368" s="41">
        <v>555.36599999999999</v>
      </c>
      <c r="AC368" s="27">
        <v>46.751399999999997</v>
      </c>
      <c r="AE368" s="27">
        <v>1</v>
      </c>
      <c r="AG368" s="29">
        <v>7.5576999999999996</v>
      </c>
      <c r="AI368" s="29">
        <v>8.8199000000000005</v>
      </c>
      <c r="AK368" s="27">
        <v>23.646000000000001</v>
      </c>
      <c r="AM368" s="27">
        <v>29.388100000000001</v>
      </c>
      <c r="AO368" s="29">
        <v>6.7798100000000003</v>
      </c>
      <c r="AP368" s="28"/>
    </row>
    <row r="369" spans="2:42" hidden="1" outlineLevel="1" x14ac:dyDescent="0.25">
      <c r="B369" s="21">
        <v>42720</v>
      </c>
      <c r="C369" s="27">
        <v>20.3687</v>
      </c>
      <c r="E369" s="30">
        <v>0.95832200000000001</v>
      </c>
      <c r="G369" s="27">
        <v>15.9457</v>
      </c>
      <c r="I369" s="29">
        <v>6.9386000000000001</v>
      </c>
      <c r="K369" s="29">
        <v>3.3753099999999998</v>
      </c>
      <c r="M369" s="41">
        <v>666.75800000000004</v>
      </c>
      <c r="O369" s="26">
        <v>2992.7</v>
      </c>
      <c r="Q369" s="26">
        <v>5791.86</v>
      </c>
      <c r="S369" s="26">
        <v>1715.97</v>
      </c>
      <c r="U369" s="29">
        <v>3.3939300000000001</v>
      </c>
      <c r="W369" s="27">
        <v>28.593299999999999</v>
      </c>
      <c r="Y369" s="29">
        <v>8.4713499999999993</v>
      </c>
      <c r="AA369" s="41">
        <v>550.51700000000005</v>
      </c>
      <c r="AC369" s="27">
        <v>46.496299999999998</v>
      </c>
      <c r="AE369" s="27">
        <v>1</v>
      </c>
      <c r="AG369" s="29">
        <v>7.4872500000000004</v>
      </c>
      <c r="AI369" s="29">
        <v>8.7428299999999997</v>
      </c>
      <c r="AK369" s="27">
        <v>23.417899999999999</v>
      </c>
      <c r="AM369" s="27">
        <v>29.160900000000002</v>
      </c>
      <c r="AO369" s="29">
        <v>6.7271599999999996</v>
      </c>
      <c r="AP369" s="28"/>
    </row>
    <row r="370" spans="2:42" hidden="1" outlineLevel="1" x14ac:dyDescent="0.25">
      <c r="B370" s="21">
        <v>42721</v>
      </c>
      <c r="C370" s="27">
        <v>20.434999999999999</v>
      </c>
      <c r="E370" s="30">
        <v>0.95684599999999997</v>
      </c>
      <c r="G370" s="27">
        <v>15.9506</v>
      </c>
      <c r="I370" s="29">
        <v>6.9279500000000001</v>
      </c>
      <c r="K370" s="29">
        <v>3.3929299999999998</v>
      </c>
      <c r="M370" s="41">
        <v>669.89599999999996</v>
      </c>
      <c r="O370" s="26">
        <v>3003.77</v>
      </c>
      <c r="Q370" s="26">
        <v>5805.9</v>
      </c>
      <c r="S370" s="26">
        <v>1711.21</v>
      </c>
      <c r="U370" s="29">
        <v>3.4017499999999998</v>
      </c>
      <c r="W370" s="27">
        <v>28.496500000000001</v>
      </c>
      <c r="Y370" s="29">
        <v>8.3989399999999996</v>
      </c>
      <c r="AA370" s="41">
        <v>550.84500000000003</v>
      </c>
      <c r="AC370" s="27">
        <v>46.486499999999999</v>
      </c>
      <c r="AE370" s="27">
        <v>1</v>
      </c>
      <c r="AG370" s="29">
        <v>7.4897499999999999</v>
      </c>
      <c r="AI370" s="29">
        <v>8.7470999999999997</v>
      </c>
      <c r="AK370" s="27">
        <v>23.393000000000001</v>
      </c>
      <c r="AM370" s="27">
        <v>29.451499999999999</v>
      </c>
      <c r="AO370" s="29">
        <v>6.718</v>
      </c>
      <c r="AP370" s="28"/>
    </row>
    <row r="371" spans="2:42" hidden="1" outlineLevel="1" x14ac:dyDescent="0.25">
      <c r="B371" s="21">
        <v>42722</v>
      </c>
      <c r="C371" s="27">
        <v>20.434200000000001</v>
      </c>
      <c r="E371" s="30">
        <v>0.95682800000000001</v>
      </c>
      <c r="G371" s="27">
        <v>15.978300000000001</v>
      </c>
      <c r="I371" s="29">
        <v>6.9279500000000001</v>
      </c>
      <c r="K371" s="29">
        <v>3.39344</v>
      </c>
      <c r="M371" s="41">
        <v>665.6</v>
      </c>
      <c r="O371" s="26">
        <v>3000.65</v>
      </c>
      <c r="Q371" s="26">
        <v>5833.5</v>
      </c>
      <c r="S371" s="26">
        <v>1719.06</v>
      </c>
      <c r="U371" s="29">
        <v>3.403</v>
      </c>
      <c r="W371" s="27">
        <v>28.78</v>
      </c>
      <c r="Y371" s="29">
        <v>8.4810800000000004</v>
      </c>
      <c r="AA371" s="41">
        <v>549.08000000000004</v>
      </c>
      <c r="AC371" s="27">
        <v>46.47</v>
      </c>
      <c r="AE371" s="27">
        <v>1</v>
      </c>
      <c r="AG371" s="29">
        <v>7.5380000000000003</v>
      </c>
      <c r="AI371" s="29">
        <v>8.7270000000000003</v>
      </c>
      <c r="AK371" s="27">
        <v>23.4</v>
      </c>
      <c r="AM371" s="27">
        <v>29.266100000000002</v>
      </c>
      <c r="AO371" s="29">
        <v>6.7244999999999999</v>
      </c>
      <c r="AP371" s="28"/>
    </row>
    <row r="372" spans="2:42" hidden="1" outlineLevel="1" x14ac:dyDescent="0.25">
      <c r="B372" s="21">
        <v>42723</v>
      </c>
      <c r="C372" s="27">
        <v>20.440100000000001</v>
      </c>
      <c r="E372" s="30">
        <v>0.95732700000000004</v>
      </c>
      <c r="G372" s="27">
        <v>15.868399999999999</v>
      </c>
      <c r="I372" s="29">
        <v>6.92408</v>
      </c>
      <c r="K372" s="29">
        <v>3.3835199999999999</v>
      </c>
      <c r="M372" s="41">
        <v>671.95399999999995</v>
      </c>
      <c r="O372" s="26">
        <v>3007.66</v>
      </c>
      <c r="Q372" s="26">
        <v>5796.7</v>
      </c>
      <c r="S372" s="26">
        <v>1713.24</v>
      </c>
      <c r="U372" s="29">
        <v>3.4013</v>
      </c>
      <c r="W372" s="27">
        <v>28.582999999999998</v>
      </c>
      <c r="Y372" s="29">
        <v>8.4477799999999998</v>
      </c>
      <c r="AA372" s="41">
        <v>550.56500000000005</v>
      </c>
      <c r="AC372" s="27">
        <v>46.486499999999999</v>
      </c>
      <c r="AE372" s="27">
        <v>1</v>
      </c>
      <c r="AG372" s="29">
        <v>7.4826600000000001</v>
      </c>
      <c r="AI372" s="29">
        <v>8.7425300000000004</v>
      </c>
      <c r="AK372" s="27">
        <v>23.406099999999999</v>
      </c>
      <c r="AM372" s="27">
        <v>29.283200000000001</v>
      </c>
      <c r="AO372" s="29">
        <v>6.7193100000000001</v>
      </c>
      <c r="AP372" s="28"/>
    </row>
    <row r="373" spans="2:42" hidden="1" outlineLevel="1" x14ac:dyDescent="0.25">
      <c r="B373" s="21">
        <v>42724</v>
      </c>
      <c r="C373" s="27">
        <v>20.412700000000001</v>
      </c>
      <c r="E373" s="30">
        <v>0.96240800000000004</v>
      </c>
      <c r="G373" s="27">
        <v>15.8568</v>
      </c>
      <c r="I373" s="29">
        <v>6.9313500000000001</v>
      </c>
      <c r="K373" s="29">
        <v>3.3611900000000001</v>
      </c>
      <c r="M373" s="41">
        <v>677.34199999999998</v>
      </c>
      <c r="O373" s="26">
        <v>3002.96</v>
      </c>
      <c r="Q373" s="26">
        <v>5795.56</v>
      </c>
      <c r="S373" s="26">
        <v>1724.28</v>
      </c>
      <c r="U373" s="29">
        <v>3.4075500000000001</v>
      </c>
      <c r="W373" s="27">
        <v>28.756</v>
      </c>
      <c r="Y373" s="29">
        <v>8.5553399999999993</v>
      </c>
      <c r="AA373" s="41">
        <v>551.78200000000004</v>
      </c>
      <c r="AC373" s="27">
        <v>46.534799999999997</v>
      </c>
      <c r="AE373" s="27">
        <v>1</v>
      </c>
      <c r="AG373" s="29">
        <v>7.4893000000000001</v>
      </c>
      <c r="AI373" s="29">
        <v>8.7622499999999999</v>
      </c>
      <c r="AK373" s="27">
        <v>23.444199999999999</v>
      </c>
      <c r="AM373" s="27">
        <v>29.356300000000001</v>
      </c>
      <c r="AO373" s="29">
        <v>6.7360499999999996</v>
      </c>
      <c r="AP373" s="28"/>
    </row>
    <row r="374" spans="2:42" hidden="1" outlineLevel="1" x14ac:dyDescent="0.25">
      <c r="B374" s="21">
        <v>42725</v>
      </c>
      <c r="C374" s="27">
        <v>20.4815</v>
      </c>
      <c r="E374" s="30">
        <v>0.96037899999999998</v>
      </c>
      <c r="G374" s="27">
        <v>15.8521</v>
      </c>
      <c r="I374" s="29">
        <v>6.9070499999999999</v>
      </c>
      <c r="K374" s="29">
        <v>3.3439899999999998</v>
      </c>
      <c r="M374" s="41">
        <v>677.34199999999998</v>
      </c>
      <c r="O374" s="26">
        <v>2997.61</v>
      </c>
      <c r="Q374" s="26">
        <v>5765.09</v>
      </c>
      <c r="S374" s="26">
        <v>1724.03</v>
      </c>
      <c r="U374" s="29">
        <v>3.4002699999999999</v>
      </c>
      <c r="W374" s="27">
        <v>28.624700000000001</v>
      </c>
      <c r="Y374" s="29">
        <v>8.5601099999999999</v>
      </c>
      <c r="AA374" s="41">
        <v>550.09400000000005</v>
      </c>
      <c r="AC374" s="27">
        <v>46.447200000000002</v>
      </c>
      <c r="AE374" s="27">
        <v>1</v>
      </c>
      <c r="AG374" s="29">
        <v>7.4583300000000001</v>
      </c>
      <c r="AI374" s="29">
        <v>8.7352900000000009</v>
      </c>
      <c r="AK374" s="27">
        <v>23.372599999999998</v>
      </c>
      <c r="AM374" s="27">
        <v>29.312999999999999</v>
      </c>
      <c r="AO374" s="29">
        <v>6.7238699999999998</v>
      </c>
      <c r="AP374" s="28"/>
    </row>
    <row r="375" spans="2:42" hidden="1" outlineLevel="1" x14ac:dyDescent="0.25">
      <c r="B375" s="21">
        <v>42726</v>
      </c>
      <c r="C375" s="27">
        <v>20.645700000000001</v>
      </c>
      <c r="E375" s="30">
        <v>0.95755599999999996</v>
      </c>
      <c r="G375" s="27">
        <v>15.7719</v>
      </c>
      <c r="I375" s="29">
        <v>6.9113100000000003</v>
      </c>
      <c r="K375" s="29">
        <v>3.3206899999999999</v>
      </c>
      <c r="M375" s="41">
        <v>673.71500000000003</v>
      </c>
      <c r="O375" s="26">
        <v>2995.41</v>
      </c>
      <c r="Q375" s="26">
        <v>5750.62</v>
      </c>
      <c r="S375" s="26">
        <v>1731.78</v>
      </c>
      <c r="U375" s="29">
        <v>3.3938199999999998</v>
      </c>
      <c r="W375" s="27">
        <v>28.5517</v>
      </c>
      <c r="Y375" s="29">
        <v>8.59816</v>
      </c>
      <c r="AA375" s="41">
        <v>550.19500000000005</v>
      </c>
      <c r="AC375" s="27">
        <v>46.496000000000002</v>
      </c>
      <c r="AE375" s="27">
        <v>1</v>
      </c>
      <c r="AG375" s="29">
        <v>7.46319</v>
      </c>
      <c r="AI375" s="29">
        <v>8.7369000000000003</v>
      </c>
      <c r="AK375" s="27">
        <v>23.417300000000001</v>
      </c>
      <c r="AM375" s="27">
        <v>29.292300000000001</v>
      </c>
      <c r="AO375" s="29">
        <v>6.7231199999999998</v>
      </c>
      <c r="AP375" s="28"/>
    </row>
    <row r="376" spans="2:42" hidden="1" outlineLevel="1" x14ac:dyDescent="0.25">
      <c r="B376" s="21">
        <v>42727</v>
      </c>
      <c r="C376" s="27">
        <v>20.714500000000001</v>
      </c>
      <c r="E376" s="30">
        <v>0.95740499999999995</v>
      </c>
      <c r="G376" s="27">
        <v>15.654999999999999</v>
      </c>
      <c r="I376" s="29">
        <v>6.9235199999999999</v>
      </c>
      <c r="K376" s="29">
        <v>3.27963</v>
      </c>
      <c r="M376" s="41">
        <v>675.43200000000002</v>
      </c>
      <c r="O376" s="26">
        <v>2996.51</v>
      </c>
      <c r="Q376" s="26">
        <v>5762.15</v>
      </c>
      <c r="S376" s="26">
        <v>1756.97</v>
      </c>
      <c r="U376" s="29">
        <v>3.39133</v>
      </c>
      <c r="W376" s="27">
        <v>28.556799999999999</v>
      </c>
      <c r="Y376" s="29">
        <v>8.7073900000000002</v>
      </c>
      <c r="AA376" s="41">
        <v>551.38300000000004</v>
      </c>
      <c r="AC376" s="27">
        <v>46.544800000000002</v>
      </c>
      <c r="AE376" s="27">
        <v>1</v>
      </c>
      <c r="AG376" s="29">
        <v>7.4880000000000004</v>
      </c>
      <c r="AI376" s="29">
        <v>8.7569599999999994</v>
      </c>
      <c r="AK376" s="27">
        <v>23.441400000000002</v>
      </c>
      <c r="AM376" s="27">
        <v>29.375900000000001</v>
      </c>
      <c r="AO376" s="29">
        <v>6.7412400000000003</v>
      </c>
      <c r="AP376" s="28"/>
    </row>
    <row r="377" spans="2:42" hidden="1" outlineLevel="1" x14ac:dyDescent="0.25">
      <c r="B377" s="21">
        <v>42728</v>
      </c>
      <c r="C377" s="27">
        <v>20.605699999999999</v>
      </c>
      <c r="E377" s="30">
        <v>0.95647599999999999</v>
      </c>
      <c r="G377" s="27">
        <v>15.487299999999999</v>
      </c>
      <c r="I377" s="29">
        <v>6.93025</v>
      </c>
      <c r="K377" s="29">
        <v>3.2713000000000001</v>
      </c>
      <c r="M377" s="41">
        <v>674.31799999999998</v>
      </c>
      <c r="O377" s="26">
        <v>2995.84</v>
      </c>
      <c r="Q377" s="26">
        <v>5773.5</v>
      </c>
      <c r="S377" s="26">
        <v>1764.95</v>
      </c>
      <c r="U377" s="29">
        <v>3.38</v>
      </c>
      <c r="W377" s="27">
        <v>28.486999999999998</v>
      </c>
      <c r="Y377" s="29">
        <v>8.7084100000000007</v>
      </c>
      <c r="AA377" s="41">
        <v>551.02</v>
      </c>
      <c r="AC377" s="27">
        <v>46.704999999999998</v>
      </c>
      <c r="AE377" s="27">
        <v>1</v>
      </c>
      <c r="AG377" s="29">
        <v>7.4872500000000004</v>
      </c>
      <c r="AI377" s="29">
        <v>8.7502999999999993</v>
      </c>
      <c r="AK377" s="27">
        <v>23.395</v>
      </c>
      <c r="AM377" s="27">
        <v>29.09</v>
      </c>
      <c r="AO377" s="29">
        <v>6.7202999999999999</v>
      </c>
      <c r="AP377" s="28"/>
    </row>
    <row r="378" spans="2:42" hidden="1" outlineLevel="1" x14ac:dyDescent="0.25">
      <c r="B378" s="21">
        <v>42729</v>
      </c>
      <c r="C378" s="27">
        <v>20.6052</v>
      </c>
      <c r="E378" s="30">
        <v>0.95646200000000003</v>
      </c>
      <c r="G378" s="27">
        <v>15.481999999999999</v>
      </c>
      <c r="I378" s="29">
        <v>6.9349999999999996</v>
      </c>
      <c r="K378" s="29">
        <v>3.2723200000000001</v>
      </c>
      <c r="M378" s="41">
        <v>673.69500000000005</v>
      </c>
      <c r="O378" s="26">
        <v>2998</v>
      </c>
      <c r="Q378" s="26">
        <v>5826</v>
      </c>
      <c r="S378" s="26">
        <v>1780.39</v>
      </c>
      <c r="U378" s="29">
        <v>3.3809999999999998</v>
      </c>
      <c r="W378" s="27">
        <v>28.4</v>
      </c>
      <c r="Y378" s="29">
        <v>8.6788799999999995</v>
      </c>
      <c r="AA378" s="41">
        <v>553.04999999999995</v>
      </c>
      <c r="AC378" s="27">
        <v>46.34</v>
      </c>
      <c r="AE378" s="27">
        <v>1</v>
      </c>
      <c r="AG378" s="29">
        <v>7.5380000000000003</v>
      </c>
      <c r="AI378" s="29">
        <v>8.7271999999999998</v>
      </c>
      <c r="AK378" s="27">
        <v>23.4</v>
      </c>
      <c r="AM378" s="27">
        <v>29.293399999999998</v>
      </c>
      <c r="AO378" s="29">
        <v>6.7247000000000003</v>
      </c>
      <c r="AP378" s="28"/>
    </row>
    <row r="379" spans="2:42" hidden="1" outlineLevel="1" x14ac:dyDescent="0.25">
      <c r="B379" s="21">
        <v>42730</v>
      </c>
      <c r="C379" s="27">
        <v>20.6052</v>
      </c>
      <c r="E379" s="30">
        <v>0.95646200000000003</v>
      </c>
      <c r="G379" s="27">
        <v>15.679600000000001</v>
      </c>
      <c r="I379" s="29">
        <v>6.9291</v>
      </c>
      <c r="K379" s="29">
        <v>3.2739500000000001</v>
      </c>
      <c r="M379" s="41">
        <v>674.08100000000002</v>
      </c>
      <c r="O379" s="26">
        <v>2997.15</v>
      </c>
      <c r="Q379" s="26">
        <v>5772.55</v>
      </c>
      <c r="S379" s="26">
        <v>1763.2</v>
      </c>
      <c r="U379" s="29">
        <v>3.3846699999999998</v>
      </c>
      <c r="W379" s="27">
        <v>28.486000000000001</v>
      </c>
      <c r="Y379" s="29">
        <v>8.7008799999999997</v>
      </c>
      <c r="AA379" s="41">
        <v>550.92999999999995</v>
      </c>
      <c r="AC379" s="27">
        <v>46.514499999999998</v>
      </c>
      <c r="AE379" s="27">
        <v>1</v>
      </c>
      <c r="AG379" s="29">
        <v>7.4859999999999998</v>
      </c>
      <c r="AI379" s="29">
        <v>8.7487999999999992</v>
      </c>
      <c r="AK379" s="27">
        <v>23.407499999999999</v>
      </c>
      <c r="AM379" s="27">
        <v>29.456499999999998</v>
      </c>
      <c r="AO379" s="29">
        <v>6.71915</v>
      </c>
      <c r="AP379" s="28"/>
    </row>
    <row r="380" spans="2:42" hidden="1" outlineLevel="1" x14ac:dyDescent="0.25">
      <c r="B380" s="21">
        <v>42731</v>
      </c>
      <c r="C380" s="27">
        <v>20.650099999999998</v>
      </c>
      <c r="E380" s="30">
        <v>0.95701999999999998</v>
      </c>
      <c r="G380" s="27">
        <v>15.5929</v>
      </c>
      <c r="I380" s="29">
        <v>6.9326999999999996</v>
      </c>
      <c r="K380" s="29">
        <v>3.2746200000000001</v>
      </c>
      <c r="M380" s="41">
        <v>674.52300000000002</v>
      </c>
      <c r="O380" s="26">
        <v>2997.27</v>
      </c>
      <c r="Q380" s="26">
        <v>5765.56</v>
      </c>
      <c r="S380" s="26">
        <v>1760.7</v>
      </c>
      <c r="U380" s="29">
        <v>3.3878200000000001</v>
      </c>
      <c r="W380" s="27">
        <v>28.425599999999999</v>
      </c>
      <c r="Y380" s="29">
        <v>8.6806400000000004</v>
      </c>
      <c r="AA380" s="41">
        <v>552.66899999999998</v>
      </c>
      <c r="AC380" s="27">
        <v>46.509300000000003</v>
      </c>
      <c r="AE380" s="27">
        <v>1</v>
      </c>
      <c r="AG380" s="29">
        <v>7.4916299999999998</v>
      </c>
      <c r="AI380" s="29">
        <v>8.7536100000000001</v>
      </c>
      <c r="AK380" s="27">
        <v>23.414000000000001</v>
      </c>
      <c r="AM380" s="27">
        <v>29.4712</v>
      </c>
      <c r="AO380" s="29">
        <v>6.7332400000000003</v>
      </c>
      <c r="AP380" s="28"/>
    </row>
    <row r="381" spans="2:42" hidden="1" outlineLevel="1" x14ac:dyDescent="0.25">
      <c r="B381" s="21">
        <v>42732</v>
      </c>
      <c r="C381" s="27">
        <v>20.754899999999999</v>
      </c>
      <c r="E381" s="30">
        <v>0.95826299999999998</v>
      </c>
      <c r="G381" s="27">
        <v>15.575900000000001</v>
      </c>
      <c r="I381" s="29">
        <v>6.9261100000000004</v>
      </c>
      <c r="K381" s="29">
        <v>3.2749199999999998</v>
      </c>
      <c r="M381" s="41">
        <v>671.98199999999997</v>
      </c>
      <c r="O381" s="26">
        <v>3002.93</v>
      </c>
      <c r="Q381" s="26">
        <v>5744.73</v>
      </c>
      <c r="S381" s="26">
        <v>1754.17</v>
      </c>
      <c r="U381" s="29">
        <v>3.3746200000000002</v>
      </c>
      <c r="W381" s="27">
        <v>28.525200000000002</v>
      </c>
      <c r="Y381" s="29">
        <v>8.7102599999999999</v>
      </c>
      <c r="AA381" s="41">
        <v>552.726</v>
      </c>
      <c r="AC381" s="27">
        <v>46.483899999999998</v>
      </c>
      <c r="AE381" s="27">
        <v>1</v>
      </c>
      <c r="AG381" s="29">
        <v>7.49057</v>
      </c>
      <c r="AI381" s="29">
        <v>8.7455300000000005</v>
      </c>
      <c r="AK381" s="27">
        <v>23.365500000000001</v>
      </c>
      <c r="AM381" s="27">
        <v>29.4434</v>
      </c>
      <c r="AO381" s="29">
        <v>6.7267700000000001</v>
      </c>
      <c r="AP381" s="28"/>
    </row>
    <row r="382" spans="2:42" hidden="1" outlineLevel="1" x14ac:dyDescent="0.25">
      <c r="B382" s="21">
        <v>42733</v>
      </c>
      <c r="C382" s="27">
        <v>20.697099999999999</v>
      </c>
      <c r="E382" s="30">
        <v>0.95656699999999995</v>
      </c>
      <c r="G382" s="27">
        <v>15.7492</v>
      </c>
      <c r="I382" s="29">
        <v>6.9183500000000002</v>
      </c>
      <c r="K382" s="29">
        <v>3.2711299999999999</v>
      </c>
      <c r="M382" s="41">
        <v>670.30100000000004</v>
      </c>
      <c r="O382" s="26">
        <v>2998.14</v>
      </c>
      <c r="Q382" s="26">
        <v>5748.64</v>
      </c>
      <c r="S382" s="26">
        <v>1757.4</v>
      </c>
      <c r="U382" s="29">
        <v>3.36707</v>
      </c>
      <c r="W382" s="27">
        <v>28.690999999999999</v>
      </c>
      <c r="Y382" s="29">
        <v>8.7710500000000007</v>
      </c>
      <c r="AA382" s="41">
        <v>550.702</v>
      </c>
      <c r="AC382" s="27">
        <v>46.552</v>
      </c>
      <c r="AE382" s="27">
        <v>1</v>
      </c>
      <c r="AG382" s="29">
        <v>7.5055800000000001</v>
      </c>
      <c r="AI382" s="29">
        <v>8.7456999999999994</v>
      </c>
      <c r="AK382" s="27">
        <v>23.3553</v>
      </c>
      <c r="AM382" s="27">
        <v>29.332799999999999</v>
      </c>
      <c r="AO382" s="29">
        <v>6.7297399999999996</v>
      </c>
      <c r="AP382" s="28"/>
    </row>
    <row r="383" spans="2:42" hidden="1" outlineLevel="1" x14ac:dyDescent="0.25">
      <c r="B383" s="21">
        <v>42734</v>
      </c>
      <c r="C383" s="27">
        <v>20.6831</v>
      </c>
      <c r="E383" s="30">
        <v>0.94908599999999999</v>
      </c>
      <c r="G383" s="27">
        <v>15.8956</v>
      </c>
      <c r="I383" s="29">
        <v>6.8757000000000001</v>
      </c>
      <c r="K383" s="29">
        <v>3.2546900000000001</v>
      </c>
      <c r="M383" s="41">
        <v>667.14300000000003</v>
      </c>
      <c r="O383" s="26">
        <v>2998.97</v>
      </c>
      <c r="Q383" s="26">
        <v>5733.97</v>
      </c>
      <c r="S383" s="26">
        <v>1761.77</v>
      </c>
      <c r="U383" s="29">
        <v>3.34368</v>
      </c>
      <c r="W383" s="27">
        <v>28.9787</v>
      </c>
      <c r="Y383" s="29">
        <v>8.9037199999999999</v>
      </c>
      <c r="AA383" s="41">
        <v>548.26099999999997</v>
      </c>
      <c r="AC383" s="27">
        <v>46.258899999999997</v>
      </c>
      <c r="AE383" s="27">
        <v>1</v>
      </c>
      <c r="AG383" s="29">
        <v>7.48447</v>
      </c>
      <c r="AI383" s="29">
        <v>8.7064299999999992</v>
      </c>
      <c r="AK383" s="27">
        <v>23.181799999999999</v>
      </c>
      <c r="AM383" s="27">
        <v>29.311499999999999</v>
      </c>
      <c r="AO383" s="29">
        <v>6.7146400000000002</v>
      </c>
      <c r="AP383" s="28"/>
    </row>
    <row r="384" spans="2:42" hidden="1" outlineLevel="1" x14ac:dyDescent="0.25">
      <c r="B384" s="21">
        <v>42735</v>
      </c>
      <c r="C384" s="49">
        <v>20.664000000000001</v>
      </c>
      <c r="E384" s="30">
        <v>0.95053900000000002</v>
      </c>
      <c r="G384" s="27">
        <v>15.9681</v>
      </c>
      <c r="I384" s="29">
        <v>6.9333499999999999</v>
      </c>
      <c r="K384" s="29">
        <v>3.25542</v>
      </c>
      <c r="M384" s="41">
        <v>669.07399999999996</v>
      </c>
      <c r="O384" s="26">
        <v>3009.53</v>
      </c>
      <c r="Q384" s="26">
        <v>5786.5</v>
      </c>
      <c r="S384" s="26">
        <v>1777.53</v>
      </c>
      <c r="U384" s="29">
        <v>3.3698999999999999</v>
      </c>
      <c r="W384" s="27">
        <v>29.193000000000001</v>
      </c>
      <c r="Y384" s="29">
        <v>8.9677000000000007</v>
      </c>
      <c r="AA384" s="41">
        <v>552.87</v>
      </c>
      <c r="AC384" s="27">
        <v>46.698</v>
      </c>
      <c r="AE384" s="27">
        <v>1</v>
      </c>
      <c r="AG384" s="29">
        <v>7.5475500000000002</v>
      </c>
      <c r="AI384" s="29">
        <v>8.7799499999999995</v>
      </c>
      <c r="AK384" s="27">
        <v>23.359000000000002</v>
      </c>
      <c r="AM384" s="27">
        <v>29.56</v>
      </c>
      <c r="AO384" s="29">
        <v>6.74275</v>
      </c>
      <c r="AP384" s="28"/>
    </row>
    <row r="385" spans="2:42" ht="13" collapsed="1" x14ac:dyDescent="0.3">
      <c r="B385" s="25" t="s">
        <v>150</v>
      </c>
      <c r="C385" s="19">
        <v>20.5199</v>
      </c>
      <c r="E385" s="24">
        <v>0.94891499999999995</v>
      </c>
      <c r="G385" s="19">
        <v>15.8584</v>
      </c>
      <c r="I385" s="23">
        <v>6.9273100000000003</v>
      </c>
      <c r="J385" s="9"/>
      <c r="K385" s="23">
        <v>3.3588399999999998</v>
      </c>
      <c r="M385" s="42">
        <v>667.18299999999999</v>
      </c>
      <c r="O385" s="31">
        <v>3012.94</v>
      </c>
      <c r="Q385" s="31">
        <v>5803.31</v>
      </c>
      <c r="S385" s="31">
        <v>1728.4</v>
      </c>
      <c r="U385" s="23">
        <v>3.3983500000000002</v>
      </c>
      <c r="W385" s="19">
        <v>28.752749999999999</v>
      </c>
      <c r="Y385" s="23">
        <v>8.5636299999999999</v>
      </c>
      <c r="AA385" s="42">
        <v>551.33500000000004</v>
      </c>
      <c r="AC385" s="19">
        <v>46.518799999999999</v>
      </c>
      <c r="AE385" s="19">
        <v>1</v>
      </c>
      <c r="AG385" s="23">
        <v>7.5093399999999999</v>
      </c>
      <c r="AI385" s="23">
        <v>8.7508099999999995</v>
      </c>
      <c r="AK385" s="19">
        <v>23.274650000000001</v>
      </c>
      <c r="AM385" s="19">
        <v>29.283370000000001</v>
      </c>
      <c r="AO385" s="23">
        <v>6.7331899999999996</v>
      </c>
      <c r="AP385" s="10"/>
    </row>
    <row r="386" spans="2:42" hidden="1" outlineLevel="1" x14ac:dyDescent="0.25">
      <c r="B386" s="21">
        <v>42736</v>
      </c>
      <c r="C386" s="27">
        <v>20.731200000000001</v>
      </c>
      <c r="E386" s="30">
        <v>0.95053500000000002</v>
      </c>
      <c r="G386" s="27">
        <v>15.977</v>
      </c>
      <c r="I386" s="29">
        <v>6.9333499999999999</v>
      </c>
      <c r="K386" s="29">
        <v>3.25495</v>
      </c>
      <c r="M386" s="41">
        <v>669.1</v>
      </c>
      <c r="O386" s="26">
        <v>3002</v>
      </c>
      <c r="Q386" s="26">
        <v>5786.5</v>
      </c>
      <c r="S386" s="26">
        <v>1777.78</v>
      </c>
      <c r="U386" s="29">
        <v>3.3698999999999999</v>
      </c>
      <c r="W386" s="27">
        <v>29.193000000000001</v>
      </c>
      <c r="Y386" s="29">
        <v>8.9689399999999999</v>
      </c>
      <c r="AA386" s="41">
        <v>552.87</v>
      </c>
      <c r="AC386" s="27">
        <v>46.698</v>
      </c>
      <c r="AE386" s="27">
        <v>1</v>
      </c>
      <c r="AG386" s="29">
        <v>7.5475500000000002</v>
      </c>
      <c r="AI386" s="29">
        <v>8.7799499999999995</v>
      </c>
      <c r="AK386" s="27">
        <v>23.359000000000002</v>
      </c>
      <c r="AM386" s="27">
        <v>29.56</v>
      </c>
      <c r="AO386" s="29">
        <v>6.74275</v>
      </c>
      <c r="AP386" s="28"/>
    </row>
    <row r="387" spans="2:42" hidden="1" outlineLevel="1" x14ac:dyDescent="0.25">
      <c r="B387" s="21">
        <v>42737</v>
      </c>
      <c r="C387" s="27">
        <v>20.731200000000001</v>
      </c>
      <c r="E387" s="30">
        <v>0.95053500000000002</v>
      </c>
      <c r="G387" s="27">
        <v>15.8832</v>
      </c>
      <c r="I387" s="29">
        <v>6.9317000000000002</v>
      </c>
      <c r="K387" s="29">
        <v>3.2625999999999999</v>
      </c>
      <c r="M387" s="41">
        <v>669.47799999999995</v>
      </c>
      <c r="O387" s="26">
        <v>3007.61</v>
      </c>
      <c r="Q387" s="26">
        <v>5768.35</v>
      </c>
      <c r="S387" s="26">
        <v>1768.04</v>
      </c>
      <c r="U387" s="29">
        <v>3.3552900000000001</v>
      </c>
      <c r="W387" s="27">
        <v>29.328700000000001</v>
      </c>
      <c r="Y387" s="29">
        <v>8.9893900000000002</v>
      </c>
      <c r="AA387" s="41">
        <v>551.13</v>
      </c>
      <c r="AC387" s="27">
        <v>46.445500000000003</v>
      </c>
      <c r="AE387" s="27">
        <v>1</v>
      </c>
      <c r="AG387" s="29">
        <v>7.5237999999999996</v>
      </c>
      <c r="AI387" s="29">
        <v>8.7528000000000006</v>
      </c>
      <c r="AK387" s="27">
        <v>23.236000000000001</v>
      </c>
      <c r="AM387" s="27">
        <v>29.466999999999999</v>
      </c>
      <c r="AO387" s="29">
        <v>6.7432800000000004</v>
      </c>
      <c r="AP387" s="28"/>
    </row>
    <row r="388" spans="2:42" hidden="1" outlineLevel="1" x14ac:dyDescent="0.25">
      <c r="B388" s="21">
        <v>42738</v>
      </c>
      <c r="C388" s="27">
        <v>20.7775</v>
      </c>
      <c r="E388" s="30">
        <v>0.95779499999999995</v>
      </c>
      <c r="G388" s="27">
        <v>15.931699999999999</v>
      </c>
      <c r="I388" s="29">
        <v>6.9364800000000004</v>
      </c>
      <c r="K388" s="29">
        <v>3.2745500000000001</v>
      </c>
      <c r="M388" s="41">
        <v>671.71699999999998</v>
      </c>
      <c r="O388" s="26">
        <v>2996.12</v>
      </c>
      <c r="Q388" s="26">
        <v>5761.93</v>
      </c>
      <c r="S388" s="26">
        <v>1759.62</v>
      </c>
      <c r="U388" s="29">
        <v>3.36646</v>
      </c>
      <c r="W388" s="27">
        <v>29.187899999999999</v>
      </c>
      <c r="Y388" s="29">
        <v>8.9136199999999999</v>
      </c>
      <c r="AA388" s="41">
        <v>551.53099999999995</v>
      </c>
      <c r="AC388" s="27">
        <v>46.500799999999998</v>
      </c>
      <c r="AE388" s="27">
        <v>1</v>
      </c>
      <c r="AG388" s="29">
        <v>7.5392799999999998</v>
      </c>
      <c r="AI388" s="29">
        <v>8.7584199999999992</v>
      </c>
      <c r="AK388" s="27">
        <v>23.2393</v>
      </c>
      <c r="AM388" s="27">
        <v>29.486899999999999</v>
      </c>
      <c r="AO388" s="29">
        <v>6.7333600000000002</v>
      </c>
      <c r="AP388" s="28"/>
    </row>
    <row r="389" spans="2:42" hidden="1" outlineLevel="1" x14ac:dyDescent="0.25">
      <c r="B389" s="21">
        <v>42739</v>
      </c>
      <c r="C389" s="27">
        <v>21.183299999999999</v>
      </c>
      <c r="E389" s="30">
        <v>0.95863500000000001</v>
      </c>
      <c r="G389" s="27">
        <v>15.9811</v>
      </c>
      <c r="I389" s="29">
        <v>6.9272200000000002</v>
      </c>
      <c r="K389" s="29">
        <v>3.2467600000000001</v>
      </c>
      <c r="M389" s="41">
        <v>670.976</v>
      </c>
      <c r="O389" s="26">
        <v>2986.68</v>
      </c>
      <c r="Q389" s="26">
        <v>5746.09</v>
      </c>
      <c r="S389" s="26">
        <v>1769.8</v>
      </c>
      <c r="U389" s="29">
        <v>3.3755899999999999</v>
      </c>
      <c r="W389" s="27">
        <v>29.035799999999998</v>
      </c>
      <c r="Y389" s="29">
        <v>8.9430599999999991</v>
      </c>
      <c r="AA389" s="41">
        <v>550.78899999999999</v>
      </c>
      <c r="AC389" s="27">
        <v>46.513300000000001</v>
      </c>
      <c r="AE389" s="27">
        <v>1</v>
      </c>
      <c r="AG389" s="29">
        <v>7.5498000000000003</v>
      </c>
      <c r="AI389" s="29">
        <v>8.7460199999999997</v>
      </c>
      <c r="AK389" s="27">
        <v>23.170300000000001</v>
      </c>
      <c r="AM389" s="27">
        <v>29.449200000000001</v>
      </c>
      <c r="AO389" s="29">
        <v>6.7218299999999997</v>
      </c>
      <c r="AP389" s="28"/>
    </row>
    <row r="390" spans="2:42" hidden="1" outlineLevel="1" x14ac:dyDescent="0.25">
      <c r="B390" s="21">
        <v>42740</v>
      </c>
      <c r="C390" s="27">
        <v>21.437999999999999</v>
      </c>
      <c r="E390" s="30">
        <v>0.94905099999999998</v>
      </c>
      <c r="G390" s="27">
        <v>16.0365</v>
      </c>
      <c r="I390" s="29">
        <v>6.8890000000000002</v>
      </c>
      <c r="K390" s="29">
        <v>3.2112400000000001</v>
      </c>
      <c r="M390" s="41">
        <v>666.34</v>
      </c>
      <c r="O390" s="26">
        <v>2953.99</v>
      </c>
      <c r="Q390" s="26">
        <v>5731.23</v>
      </c>
      <c r="S390" s="26">
        <v>1784.76</v>
      </c>
      <c r="U390" s="29">
        <v>3.37141</v>
      </c>
      <c r="W390" s="27">
        <v>28.550999999999998</v>
      </c>
      <c r="Y390" s="29">
        <v>8.8909900000000004</v>
      </c>
      <c r="AA390" s="41">
        <v>549.50599999999997</v>
      </c>
      <c r="AC390" s="27">
        <v>46.295400000000001</v>
      </c>
      <c r="AE390" s="27">
        <v>1</v>
      </c>
      <c r="AG390" s="29">
        <v>7.5124599999999999</v>
      </c>
      <c r="AI390" s="29">
        <v>8.6975800000000003</v>
      </c>
      <c r="AK390" s="27">
        <v>22.998200000000001</v>
      </c>
      <c r="AM390" s="27">
        <v>29.286899999999999</v>
      </c>
      <c r="AO390" s="29">
        <v>6.6983600000000001</v>
      </c>
      <c r="AP390" s="28"/>
    </row>
    <row r="391" spans="2:42" hidden="1" outlineLevel="1" x14ac:dyDescent="0.25">
      <c r="B391" s="21">
        <v>42741</v>
      </c>
      <c r="C391" s="27">
        <v>21.353100000000001</v>
      </c>
      <c r="E391" s="30">
        <v>0.945407</v>
      </c>
      <c r="G391" s="27">
        <v>15.910399999999999</v>
      </c>
      <c r="I391" s="29">
        <v>6.8928799999999999</v>
      </c>
      <c r="K391" s="29">
        <v>3.2053099999999999</v>
      </c>
      <c r="M391" s="41">
        <v>664.875</v>
      </c>
      <c r="O391" s="26">
        <v>2935.16</v>
      </c>
      <c r="Q391" s="26">
        <v>5749.25</v>
      </c>
      <c r="S391" s="26">
        <v>1793.68</v>
      </c>
      <c r="U391" s="29">
        <v>3.3640599999999998</v>
      </c>
      <c r="W391" s="27">
        <v>28.487500000000001</v>
      </c>
      <c r="Y391" s="29">
        <v>8.88767</v>
      </c>
      <c r="AA391" s="41">
        <v>550.49699999999996</v>
      </c>
      <c r="AC391" s="27">
        <v>46.350900000000003</v>
      </c>
      <c r="AE391" s="27">
        <v>1</v>
      </c>
      <c r="AG391" s="29">
        <v>7.5082599999999999</v>
      </c>
      <c r="AI391" s="29">
        <v>8.7026900000000005</v>
      </c>
      <c r="AK391" s="27">
        <v>23.0624</v>
      </c>
      <c r="AM391" s="27">
        <v>29.151399999999999</v>
      </c>
      <c r="AO391" s="29">
        <v>6.7035200000000001</v>
      </c>
      <c r="AP391" s="28"/>
    </row>
    <row r="392" spans="2:42" hidden="1" outlineLevel="1" x14ac:dyDescent="0.25">
      <c r="B392" s="21">
        <v>42742</v>
      </c>
      <c r="C392" s="27">
        <v>21.2272</v>
      </c>
      <c r="E392" s="30">
        <v>0.949515</v>
      </c>
      <c r="G392" s="27">
        <v>15.810600000000001</v>
      </c>
      <c r="I392" s="29">
        <v>6.9652500000000002</v>
      </c>
      <c r="K392" s="29">
        <v>3.2237200000000001</v>
      </c>
      <c r="M392" s="41">
        <v>667.3</v>
      </c>
      <c r="O392" s="26">
        <v>2944.77</v>
      </c>
      <c r="Q392" s="26">
        <v>5813.8</v>
      </c>
      <c r="S392" s="26">
        <v>1803.51</v>
      </c>
      <c r="U392" s="29">
        <v>3.3774999999999999</v>
      </c>
      <c r="W392" s="27">
        <v>28.770499999999998</v>
      </c>
      <c r="Y392" s="29">
        <v>8.9249200000000002</v>
      </c>
      <c r="AA392" s="41">
        <v>553.80999999999995</v>
      </c>
      <c r="AC392" s="27">
        <v>46.72</v>
      </c>
      <c r="AE392" s="27">
        <v>1</v>
      </c>
      <c r="AG392" s="29">
        <v>7.5813499999999996</v>
      </c>
      <c r="AI392" s="29">
        <v>8.7945499999999992</v>
      </c>
      <c r="AK392" s="27">
        <v>23.217500000000001</v>
      </c>
      <c r="AM392" s="27">
        <v>29.14</v>
      </c>
      <c r="AO392" s="29">
        <v>6.7542</v>
      </c>
      <c r="AP392" s="28"/>
    </row>
    <row r="393" spans="2:42" hidden="1" outlineLevel="1" x14ac:dyDescent="0.25">
      <c r="B393" s="21">
        <v>42743</v>
      </c>
      <c r="C393" s="27">
        <v>21.226099999999999</v>
      </c>
      <c r="E393" s="30">
        <v>0.949515</v>
      </c>
      <c r="G393" s="27">
        <v>15.8126</v>
      </c>
      <c r="I393" s="29">
        <v>6.9652500000000002</v>
      </c>
      <c r="K393" s="29">
        <v>3.2240799999999998</v>
      </c>
      <c r="M393" s="41">
        <v>667.3</v>
      </c>
      <c r="O393" s="26">
        <v>2924.25</v>
      </c>
      <c r="Q393" s="26">
        <v>5813.8</v>
      </c>
      <c r="S393" s="26">
        <v>1803.26</v>
      </c>
      <c r="U393" s="29">
        <v>3.3774999999999999</v>
      </c>
      <c r="W393" s="27">
        <v>28.770499999999998</v>
      </c>
      <c r="Y393" s="29">
        <v>8.9237099999999998</v>
      </c>
      <c r="AA393" s="41">
        <v>553.80999999999995</v>
      </c>
      <c r="AC393" s="27">
        <v>46.72</v>
      </c>
      <c r="AE393" s="27">
        <v>1</v>
      </c>
      <c r="AG393" s="29">
        <v>7.5813499999999996</v>
      </c>
      <c r="AI393" s="29">
        <v>8.7945499999999992</v>
      </c>
      <c r="AK393" s="27">
        <v>23.217500000000001</v>
      </c>
      <c r="AM393" s="27">
        <v>29.14</v>
      </c>
      <c r="AO393" s="29">
        <v>6.7542</v>
      </c>
      <c r="AP393" s="28"/>
    </row>
    <row r="394" spans="2:42" hidden="1" outlineLevel="1" x14ac:dyDescent="0.25">
      <c r="B394" s="21">
        <v>42744</v>
      </c>
      <c r="C394" s="27">
        <v>21.285900000000002</v>
      </c>
      <c r="E394" s="30">
        <v>0.94880299999999995</v>
      </c>
      <c r="G394" s="27">
        <v>15.884</v>
      </c>
      <c r="I394" s="29">
        <v>6.9474600000000004</v>
      </c>
      <c r="K394" s="29">
        <v>3.21408</v>
      </c>
      <c r="M394" s="41">
        <v>667.65499999999997</v>
      </c>
      <c r="O394" s="26">
        <v>2937.22</v>
      </c>
      <c r="Q394" s="26">
        <v>5795.39</v>
      </c>
      <c r="S394" s="26">
        <v>1803.14</v>
      </c>
      <c r="U394" s="29">
        <v>3.3812500000000001</v>
      </c>
      <c r="W394" s="27">
        <v>28.6999</v>
      </c>
      <c r="Y394" s="29">
        <v>8.9294799999999999</v>
      </c>
      <c r="AA394" s="41">
        <v>552.37199999999996</v>
      </c>
      <c r="AC394" s="27">
        <v>46.604700000000001</v>
      </c>
      <c r="AE394" s="27">
        <v>1</v>
      </c>
      <c r="AG394" s="29">
        <v>7.5576600000000003</v>
      </c>
      <c r="AI394" s="29">
        <v>8.7719100000000001</v>
      </c>
      <c r="AK394" s="27">
        <v>23.1432</v>
      </c>
      <c r="AM394" s="27">
        <v>29.532800000000002</v>
      </c>
      <c r="AO394" s="29">
        <v>6.7372500000000004</v>
      </c>
      <c r="AP394" s="28"/>
    </row>
    <row r="395" spans="2:42" hidden="1" outlineLevel="1" x14ac:dyDescent="0.25">
      <c r="B395" s="21">
        <v>42745</v>
      </c>
      <c r="C395" s="27">
        <v>21.479399999999998</v>
      </c>
      <c r="E395" s="30">
        <v>0.94467999999999996</v>
      </c>
      <c r="G395" s="27">
        <v>15.875400000000001</v>
      </c>
      <c r="I395" s="29">
        <v>6.8970599999999997</v>
      </c>
      <c r="K395" s="29">
        <v>3.1953100000000001</v>
      </c>
      <c r="M395" s="41">
        <v>668.72</v>
      </c>
      <c r="O395" s="26">
        <v>2928.72</v>
      </c>
      <c r="Q395" s="26">
        <v>5753.88</v>
      </c>
      <c r="S395" s="26">
        <v>1800.74</v>
      </c>
      <c r="U395" s="29">
        <v>3.3731800000000001</v>
      </c>
      <c r="W395" s="27">
        <v>28.581399999999999</v>
      </c>
      <c r="Y395" s="29">
        <v>8.9448399999999992</v>
      </c>
      <c r="AA395" s="41">
        <v>549.01599999999996</v>
      </c>
      <c r="AC395" s="27">
        <v>46.380899999999997</v>
      </c>
      <c r="AE395" s="27">
        <v>1</v>
      </c>
      <c r="AG395" s="29">
        <v>7.5039100000000003</v>
      </c>
      <c r="AI395" s="29">
        <v>8.7191899999999993</v>
      </c>
      <c r="AK395" s="27">
        <v>22.967600000000001</v>
      </c>
      <c r="AM395" s="27">
        <v>29.3629</v>
      </c>
      <c r="AO395" s="29">
        <v>6.7118099999999998</v>
      </c>
      <c r="AP395" s="28"/>
    </row>
    <row r="396" spans="2:42" hidden="1" outlineLevel="1" x14ac:dyDescent="0.25">
      <c r="B396" s="21">
        <v>42746</v>
      </c>
      <c r="C396" s="27">
        <v>21.820699999999999</v>
      </c>
      <c r="E396" s="30">
        <v>0.94864999999999999</v>
      </c>
      <c r="G396" s="27">
        <v>15.844900000000001</v>
      </c>
      <c r="I396" s="29">
        <v>6.9288699999999999</v>
      </c>
      <c r="K396" s="29">
        <v>3.2000199999999999</v>
      </c>
      <c r="M396" s="41">
        <v>671.75900000000001</v>
      </c>
      <c r="O396" s="26">
        <v>2956.99</v>
      </c>
      <c r="Q396" s="26">
        <v>5765.63</v>
      </c>
      <c r="S396" s="26">
        <v>1801.77</v>
      </c>
      <c r="U396" s="29">
        <v>3.3919199999999998</v>
      </c>
      <c r="W396" s="27">
        <v>28.690799999999999</v>
      </c>
      <c r="Y396" s="29">
        <v>8.9658700000000007</v>
      </c>
      <c r="AA396" s="41">
        <v>553.76700000000005</v>
      </c>
      <c r="AC396" s="27">
        <v>46.544199999999996</v>
      </c>
      <c r="AE396" s="27">
        <v>1</v>
      </c>
      <c r="AG396" s="29">
        <v>7.5404200000000001</v>
      </c>
      <c r="AI396" s="29">
        <v>8.7633700000000001</v>
      </c>
      <c r="AK396" s="27">
        <v>23.038799999999998</v>
      </c>
      <c r="AM396" s="27">
        <v>29.526700000000002</v>
      </c>
      <c r="AO396" s="29">
        <v>6.7351900000000002</v>
      </c>
      <c r="AP396" s="28"/>
    </row>
    <row r="397" spans="2:42" hidden="1" outlineLevel="1" x14ac:dyDescent="0.25">
      <c r="B397" s="21">
        <v>42747</v>
      </c>
      <c r="C397" s="27">
        <v>21.796299999999999</v>
      </c>
      <c r="E397" s="30">
        <v>0.94126500000000002</v>
      </c>
      <c r="G397" s="27">
        <v>15.828799999999999</v>
      </c>
      <c r="I397" s="29">
        <v>6.90367</v>
      </c>
      <c r="K397" s="29">
        <v>3.18825</v>
      </c>
      <c r="M397" s="41">
        <v>665.351</v>
      </c>
      <c r="O397" s="26">
        <v>2941.63</v>
      </c>
      <c r="Q397" s="26">
        <v>5723.43</v>
      </c>
      <c r="S397" s="26">
        <v>1795.18</v>
      </c>
      <c r="U397" s="29">
        <v>3.3693200000000001</v>
      </c>
      <c r="W397" s="27">
        <v>28.656500000000001</v>
      </c>
      <c r="Y397" s="29">
        <v>8.9882200000000001</v>
      </c>
      <c r="AA397" s="41">
        <v>553.45699999999999</v>
      </c>
      <c r="AC397" s="27">
        <v>46.440300000000001</v>
      </c>
      <c r="AE397" s="27">
        <v>1</v>
      </c>
      <c r="AG397" s="29">
        <v>7.5038200000000002</v>
      </c>
      <c r="AI397" s="29">
        <v>8.7167899999999996</v>
      </c>
      <c r="AK397" s="27">
        <v>22.965699999999998</v>
      </c>
      <c r="AM397" s="27">
        <v>29.311499999999999</v>
      </c>
      <c r="AO397" s="29">
        <v>6.7155699999999996</v>
      </c>
      <c r="AP397" s="28"/>
    </row>
    <row r="398" spans="2:42" hidden="1" outlineLevel="1" x14ac:dyDescent="0.25">
      <c r="B398" s="21">
        <v>42748</v>
      </c>
      <c r="C398" s="27">
        <v>21.726600000000001</v>
      </c>
      <c r="E398" s="30">
        <v>0.94093700000000002</v>
      </c>
      <c r="G398" s="27">
        <v>15.8241</v>
      </c>
      <c r="I398" s="29">
        <v>6.9362399999999997</v>
      </c>
      <c r="K398" s="29">
        <v>3.1971799999999999</v>
      </c>
      <c r="M398" s="41">
        <v>663.39599999999996</v>
      </c>
      <c r="O398" s="26">
        <v>2934.45</v>
      </c>
      <c r="Q398" s="26">
        <v>5759.59</v>
      </c>
      <c r="S398" s="26">
        <v>1801.47</v>
      </c>
      <c r="U398" s="29">
        <v>3.3661099999999999</v>
      </c>
      <c r="W398" s="27">
        <v>28.783899999999999</v>
      </c>
      <c r="Y398" s="29">
        <v>9.0029599999999999</v>
      </c>
      <c r="AA398" s="41">
        <v>554.79100000000005</v>
      </c>
      <c r="AC398" s="27">
        <v>46.589599999999997</v>
      </c>
      <c r="AE398" s="27">
        <v>1</v>
      </c>
      <c r="AG398" s="29">
        <v>7.5482399999999998</v>
      </c>
      <c r="AI398" s="29">
        <v>8.7683499999999999</v>
      </c>
      <c r="AK398" s="27">
        <v>23.078800000000001</v>
      </c>
      <c r="AM398" s="27">
        <v>29.482099999999999</v>
      </c>
      <c r="AO398" s="29">
        <v>6.7455499999999997</v>
      </c>
      <c r="AP398" s="28"/>
    </row>
    <row r="399" spans="2:42" hidden="1" outlineLevel="1" x14ac:dyDescent="0.25">
      <c r="B399" s="21">
        <v>42749</v>
      </c>
      <c r="C399" s="27">
        <v>21.4802</v>
      </c>
      <c r="E399" s="30">
        <v>0.93956700000000004</v>
      </c>
      <c r="G399" s="27">
        <v>15.8188</v>
      </c>
      <c r="I399" s="29">
        <v>6.9123999999999999</v>
      </c>
      <c r="K399" s="29">
        <v>3.2215500000000001</v>
      </c>
      <c r="M399" s="41">
        <v>659.3</v>
      </c>
      <c r="O399" s="26">
        <v>2928.28</v>
      </c>
      <c r="Q399" s="26">
        <v>5738.85</v>
      </c>
      <c r="S399" s="26">
        <v>1781.42</v>
      </c>
      <c r="U399" s="29">
        <v>3.3624999999999998</v>
      </c>
      <c r="W399" s="27">
        <v>28.815000000000001</v>
      </c>
      <c r="Y399" s="29">
        <v>8.9445800000000002</v>
      </c>
      <c r="AA399" s="41">
        <v>551.18499999999995</v>
      </c>
      <c r="AC399" s="27">
        <v>46.704999999999998</v>
      </c>
      <c r="AE399" s="27">
        <v>1</v>
      </c>
      <c r="AG399" s="29">
        <v>7.5366</v>
      </c>
      <c r="AI399" s="29">
        <v>8.7528000000000006</v>
      </c>
      <c r="AK399" s="27">
        <v>23.535</v>
      </c>
      <c r="AM399" s="27">
        <v>29.1</v>
      </c>
      <c r="AO399" s="29">
        <v>6.7222499999999998</v>
      </c>
      <c r="AP399" s="28"/>
    </row>
    <row r="400" spans="2:42" hidden="1" outlineLevel="1" x14ac:dyDescent="0.25">
      <c r="B400" s="21">
        <v>42750</v>
      </c>
      <c r="C400" s="27">
        <v>21.479099999999999</v>
      </c>
      <c r="E400" s="30">
        <v>0.939558</v>
      </c>
      <c r="G400" s="27">
        <v>15.820399999999999</v>
      </c>
      <c r="I400" s="29">
        <v>6.9256200000000003</v>
      </c>
      <c r="K400" s="29">
        <v>3.2207400000000002</v>
      </c>
      <c r="M400" s="41">
        <v>659.29600000000005</v>
      </c>
      <c r="O400" s="26">
        <v>2945.42</v>
      </c>
      <c r="Q400" s="26">
        <v>5777.94</v>
      </c>
      <c r="S400" s="26">
        <v>1793.99</v>
      </c>
      <c r="U400" s="29">
        <v>3.36219</v>
      </c>
      <c r="W400" s="27">
        <v>28.71</v>
      </c>
      <c r="Y400" s="29">
        <v>8.9141300000000001</v>
      </c>
      <c r="AA400" s="41">
        <v>552.827</v>
      </c>
      <c r="AC400" s="27">
        <v>46.514099999999999</v>
      </c>
      <c r="AE400" s="27">
        <v>1</v>
      </c>
      <c r="AG400" s="29">
        <v>7.5350000000000001</v>
      </c>
      <c r="AI400" s="29">
        <v>8.7270000000000003</v>
      </c>
      <c r="AK400" s="27">
        <v>23.133400000000002</v>
      </c>
      <c r="AM400" s="27">
        <v>29.099499999999999</v>
      </c>
      <c r="AO400" s="29">
        <v>6.71739</v>
      </c>
      <c r="AP400" s="28"/>
    </row>
    <row r="401" spans="2:42" hidden="1" outlineLevel="1" x14ac:dyDescent="0.25">
      <c r="B401" s="21">
        <v>42751</v>
      </c>
      <c r="C401" s="27">
        <v>21.583100000000002</v>
      </c>
      <c r="E401" s="30">
        <v>0.94261899999999998</v>
      </c>
      <c r="G401" s="27">
        <v>15.854900000000001</v>
      </c>
      <c r="I401" s="29">
        <v>6.9153500000000001</v>
      </c>
      <c r="K401" s="29">
        <v>3.22614</v>
      </c>
      <c r="M401" s="41">
        <v>660.95600000000002</v>
      </c>
      <c r="O401" s="26">
        <v>2945.27</v>
      </c>
      <c r="Q401" s="26">
        <v>5744.94</v>
      </c>
      <c r="S401" s="26">
        <v>1780.76</v>
      </c>
      <c r="U401" s="29">
        <v>3.36646</v>
      </c>
      <c r="W401" s="27">
        <v>28.788499999999999</v>
      </c>
      <c r="Y401" s="29">
        <v>8.9235600000000002</v>
      </c>
      <c r="AA401" s="41">
        <v>551.42899999999997</v>
      </c>
      <c r="AC401" s="27">
        <v>46.5413</v>
      </c>
      <c r="AE401" s="27">
        <v>1</v>
      </c>
      <c r="AG401" s="29">
        <v>7.5454600000000003</v>
      </c>
      <c r="AI401" s="29">
        <v>8.7567400000000006</v>
      </c>
      <c r="AK401" s="27">
        <v>23.0562</v>
      </c>
      <c r="AM401" s="27">
        <v>29.4133</v>
      </c>
      <c r="AO401" s="29">
        <v>6.7271299999999998</v>
      </c>
      <c r="AP401" s="28"/>
    </row>
    <row r="402" spans="2:42" hidden="1" outlineLevel="1" x14ac:dyDescent="0.25">
      <c r="B402" s="21">
        <v>42752</v>
      </c>
      <c r="C402" s="27">
        <v>21.604199999999999</v>
      </c>
      <c r="E402" s="30">
        <v>0.93810400000000005</v>
      </c>
      <c r="G402" s="27">
        <v>15.8811</v>
      </c>
      <c r="I402" s="29">
        <v>6.9169700000000001</v>
      </c>
      <c r="K402" s="29">
        <v>3.2272400000000001</v>
      </c>
      <c r="M402" s="41">
        <v>658.80100000000004</v>
      </c>
      <c r="O402" s="26">
        <v>2935.14</v>
      </c>
      <c r="Q402" s="26">
        <v>5736.22</v>
      </c>
      <c r="S402" s="26">
        <v>1777.45</v>
      </c>
      <c r="U402" s="29">
        <v>3.3579400000000001</v>
      </c>
      <c r="W402" s="27">
        <v>28.722100000000001</v>
      </c>
      <c r="Y402" s="29">
        <v>8.8999400000000009</v>
      </c>
      <c r="AA402" s="41">
        <v>550.88900000000001</v>
      </c>
      <c r="AC402" s="27">
        <v>46.543399999999998</v>
      </c>
      <c r="AE402" s="27">
        <v>1</v>
      </c>
      <c r="AG402" s="29">
        <v>7.5453400000000004</v>
      </c>
      <c r="AI402" s="29">
        <v>8.7478099999999994</v>
      </c>
      <c r="AK402" s="27">
        <v>22.9206</v>
      </c>
      <c r="AM402" s="27">
        <v>29.431699999999999</v>
      </c>
      <c r="AO402" s="29">
        <v>6.7243000000000004</v>
      </c>
      <c r="AP402" s="28"/>
    </row>
    <row r="403" spans="2:42" hidden="1" outlineLevel="1" x14ac:dyDescent="0.25">
      <c r="B403" s="21">
        <v>42753</v>
      </c>
      <c r="C403" s="27">
        <v>21.648399999999999</v>
      </c>
      <c r="E403" s="30">
        <v>0.93570699999999996</v>
      </c>
      <c r="G403" s="27">
        <v>15.9221</v>
      </c>
      <c r="I403" s="29">
        <v>6.9313399999999996</v>
      </c>
      <c r="K403" s="29">
        <v>3.21671</v>
      </c>
      <c r="M403" s="41">
        <v>657.84</v>
      </c>
      <c r="O403" s="26">
        <v>2935.14</v>
      </c>
      <c r="Q403" s="26">
        <v>5731.48</v>
      </c>
      <c r="S403" s="26">
        <v>1781.8</v>
      </c>
      <c r="U403" s="29">
        <v>3.3563000000000001</v>
      </c>
      <c r="W403" s="27">
        <v>28.740100000000002</v>
      </c>
      <c r="Y403" s="29">
        <v>8.9346899999999998</v>
      </c>
      <c r="AA403" s="41">
        <v>552.49599999999998</v>
      </c>
      <c r="AC403" s="27">
        <v>46.582599999999999</v>
      </c>
      <c r="AE403" s="27">
        <v>1</v>
      </c>
      <c r="AG403" s="29">
        <v>7.5460099999999999</v>
      </c>
      <c r="AI403" s="29">
        <v>8.75014</v>
      </c>
      <c r="AK403" s="27">
        <v>23.149100000000001</v>
      </c>
      <c r="AM403" s="27">
        <v>29.349799999999998</v>
      </c>
      <c r="AO403" s="29">
        <v>6.7248700000000001</v>
      </c>
      <c r="AP403" s="28"/>
    </row>
    <row r="404" spans="2:42" hidden="1" outlineLevel="1" x14ac:dyDescent="0.25">
      <c r="B404" s="21">
        <v>42754</v>
      </c>
      <c r="C404" s="27">
        <v>21.929200000000002</v>
      </c>
      <c r="E404" s="30">
        <v>0.93998199999999998</v>
      </c>
      <c r="G404" s="27">
        <v>15.9564</v>
      </c>
      <c r="I404" s="29">
        <v>6.9531999999999998</v>
      </c>
      <c r="K404" s="29">
        <v>3.21997</v>
      </c>
      <c r="M404" s="41">
        <v>661.31799999999998</v>
      </c>
      <c r="O404" s="26">
        <v>2937.93</v>
      </c>
      <c r="Q404" s="26">
        <v>5749.22</v>
      </c>
      <c r="S404" s="26">
        <v>1785.51</v>
      </c>
      <c r="U404" s="29">
        <v>3.3445900000000002</v>
      </c>
      <c r="W404" s="27">
        <v>28.767199999999999</v>
      </c>
      <c r="Y404" s="29">
        <v>8.9340600000000006</v>
      </c>
      <c r="AA404" s="41">
        <v>554.79399999999998</v>
      </c>
      <c r="AC404" s="27">
        <v>46.7042</v>
      </c>
      <c r="AE404" s="27">
        <v>1</v>
      </c>
      <c r="AG404" s="29">
        <v>7.5623399999999998</v>
      </c>
      <c r="AI404" s="29">
        <v>8.7790199999999992</v>
      </c>
      <c r="AK404" s="27">
        <v>23.674499999999998</v>
      </c>
      <c r="AM404" s="27">
        <v>29.394100000000002</v>
      </c>
      <c r="AO404" s="29">
        <v>6.7377700000000003</v>
      </c>
      <c r="AP404" s="28"/>
    </row>
    <row r="405" spans="2:42" hidden="1" outlineLevel="1" x14ac:dyDescent="0.25">
      <c r="B405" s="21">
        <v>42755</v>
      </c>
      <c r="C405" s="27">
        <v>21.847899999999999</v>
      </c>
      <c r="E405" s="30">
        <v>0.93738699999999997</v>
      </c>
      <c r="G405" s="27">
        <v>15.893000000000001</v>
      </c>
      <c r="I405" s="29">
        <v>6.9317500000000001</v>
      </c>
      <c r="K405" s="29">
        <v>3.1913200000000002</v>
      </c>
      <c r="M405" s="41">
        <v>660.29499999999996</v>
      </c>
      <c r="O405" s="26">
        <v>2935.23</v>
      </c>
      <c r="Q405" s="26">
        <v>5726.31</v>
      </c>
      <c r="S405" s="26">
        <v>1794.36</v>
      </c>
      <c r="U405" s="29">
        <v>3.32003</v>
      </c>
      <c r="W405" s="27">
        <v>28.6615</v>
      </c>
      <c r="Y405" s="29">
        <v>8.9811599999999991</v>
      </c>
      <c r="AA405" s="41">
        <v>551.173</v>
      </c>
      <c r="AC405" s="27">
        <v>46.527700000000003</v>
      </c>
      <c r="AE405" s="27">
        <v>1</v>
      </c>
      <c r="AG405" s="29">
        <v>7.5315500000000002</v>
      </c>
      <c r="AI405" s="29">
        <v>8.7520100000000003</v>
      </c>
      <c r="AK405" s="27">
        <v>23.6035</v>
      </c>
      <c r="AM405" s="27">
        <v>29.497900000000001</v>
      </c>
      <c r="AO405" s="29">
        <v>6.7258800000000001</v>
      </c>
      <c r="AP405" s="28"/>
    </row>
    <row r="406" spans="2:42" hidden="1" outlineLevel="1" x14ac:dyDescent="0.25">
      <c r="B406" s="21">
        <v>42756</v>
      </c>
      <c r="C406" s="27">
        <v>21.5931</v>
      </c>
      <c r="E406" s="30">
        <v>0.93449700000000002</v>
      </c>
      <c r="G406" s="27">
        <v>15.8179</v>
      </c>
      <c r="I406" s="29">
        <v>6.8953499999999996</v>
      </c>
      <c r="K406" s="29">
        <v>3.17164</v>
      </c>
      <c r="M406" s="41">
        <v>656.35900000000004</v>
      </c>
      <c r="O406" s="26">
        <v>2921.5</v>
      </c>
      <c r="Q406" s="26">
        <v>5696.7</v>
      </c>
      <c r="S406" s="26">
        <v>1796.17</v>
      </c>
      <c r="U406" s="29">
        <v>3.2965</v>
      </c>
      <c r="W406" s="27">
        <v>28.501999999999999</v>
      </c>
      <c r="Y406" s="29">
        <v>8.9866799999999998</v>
      </c>
      <c r="AA406" s="41">
        <v>548.245</v>
      </c>
      <c r="AC406" s="27">
        <v>46.307000000000002</v>
      </c>
      <c r="AE406" s="27">
        <v>1</v>
      </c>
      <c r="AG406" s="29">
        <v>7.4873500000000002</v>
      </c>
      <c r="AI406" s="29">
        <v>8.7062500000000007</v>
      </c>
      <c r="AK406" s="27">
        <v>23.594999999999999</v>
      </c>
      <c r="AM406" s="27">
        <v>29.361999999999998</v>
      </c>
      <c r="AO406" s="29">
        <v>6.6863999999999999</v>
      </c>
      <c r="AP406" s="28"/>
    </row>
    <row r="407" spans="2:42" hidden="1" outlineLevel="1" x14ac:dyDescent="0.25">
      <c r="B407" s="21">
        <v>42757</v>
      </c>
      <c r="C407" s="27">
        <v>21.593499999999999</v>
      </c>
      <c r="E407" s="30">
        <v>0.93447899999999995</v>
      </c>
      <c r="G407" s="27">
        <v>15.8048</v>
      </c>
      <c r="I407" s="29">
        <v>6.8887499999999999</v>
      </c>
      <c r="K407" s="29">
        <v>3.17014</v>
      </c>
      <c r="M407" s="41">
        <v>657.26499999999999</v>
      </c>
      <c r="O407" s="26">
        <v>2930.5</v>
      </c>
      <c r="Q407" s="26">
        <v>5691.3</v>
      </c>
      <c r="S407" s="26">
        <v>1795.35</v>
      </c>
      <c r="U407" s="29">
        <v>3.2968000000000002</v>
      </c>
      <c r="W407" s="27">
        <v>28.474499999999999</v>
      </c>
      <c r="Y407" s="29">
        <v>8.9824000000000002</v>
      </c>
      <c r="AA407" s="41">
        <v>547.72</v>
      </c>
      <c r="AC407" s="27">
        <v>46.263500000000001</v>
      </c>
      <c r="AE407" s="27">
        <v>1</v>
      </c>
      <c r="AG407" s="29">
        <v>7.4802</v>
      </c>
      <c r="AI407" s="29">
        <v>8.6979500000000005</v>
      </c>
      <c r="AK407" s="27">
        <v>23.475000000000001</v>
      </c>
      <c r="AM407" s="27">
        <v>29.334</v>
      </c>
      <c r="AO407" s="29">
        <v>6.6800499999999996</v>
      </c>
      <c r="AP407" s="28"/>
    </row>
    <row r="408" spans="2:42" hidden="1" outlineLevel="1" x14ac:dyDescent="0.25">
      <c r="B408" s="21">
        <v>42758</v>
      </c>
      <c r="C408" s="27">
        <v>21.443999999999999</v>
      </c>
      <c r="E408" s="30">
        <v>0.93176300000000001</v>
      </c>
      <c r="G408" s="27">
        <v>15.8864</v>
      </c>
      <c r="I408" s="29">
        <v>6.8971999999999998</v>
      </c>
      <c r="K408" s="29">
        <v>3.1673900000000001</v>
      </c>
      <c r="M408" s="41">
        <v>654.87199999999996</v>
      </c>
      <c r="O408" s="26">
        <v>2917.64</v>
      </c>
      <c r="Q408" s="26">
        <v>5701.67</v>
      </c>
      <c r="S408" s="26">
        <v>1800.13</v>
      </c>
      <c r="U408" s="29">
        <v>3.2909199999999998</v>
      </c>
      <c r="W408" s="27">
        <v>28.4894</v>
      </c>
      <c r="Y408" s="29">
        <v>8.99465</v>
      </c>
      <c r="AA408" s="41">
        <v>548.40700000000004</v>
      </c>
      <c r="AC408" s="27">
        <v>46.344299999999997</v>
      </c>
      <c r="AE408" s="27">
        <v>1</v>
      </c>
      <c r="AG408" s="29">
        <v>7.48604</v>
      </c>
      <c r="AI408" s="29">
        <v>8.7086100000000002</v>
      </c>
      <c r="AK408" s="27">
        <v>23.511399999999998</v>
      </c>
      <c r="AM408" s="27">
        <v>29.350999999999999</v>
      </c>
      <c r="AO408" s="29">
        <v>6.6948400000000001</v>
      </c>
      <c r="AP408" s="28"/>
    </row>
    <row r="409" spans="2:42" hidden="1" outlineLevel="1" x14ac:dyDescent="0.25">
      <c r="B409" s="21">
        <v>42759</v>
      </c>
      <c r="C409" s="27">
        <v>21.356000000000002</v>
      </c>
      <c r="E409" s="30">
        <v>0.93027599999999999</v>
      </c>
      <c r="G409" s="27">
        <v>15.939</v>
      </c>
      <c r="I409" s="29">
        <v>6.9185499999999998</v>
      </c>
      <c r="K409" s="29">
        <v>3.1653500000000001</v>
      </c>
      <c r="M409" s="41">
        <v>653.20600000000002</v>
      </c>
      <c r="O409" s="26">
        <v>2923.86</v>
      </c>
      <c r="Q409" s="26">
        <v>5720.27</v>
      </c>
      <c r="S409" s="26">
        <v>1807.17</v>
      </c>
      <c r="U409" s="29">
        <v>3.28525</v>
      </c>
      <c r="W409" s="27">
        <v>28.487200000000001</v>
      </c>
      <c r="Y409" s="29">
        <v>8.9997500000000006</v>
      </c>
      <c r="AA409" s="41">
        <v>550.08500000000004</v>
      </c>
      <c r="AC409" s="27">
        <v>46.491700000000002</v>
      </c>
      <c r="AE409" s="27">
        <v>1</v>
      </c>
      <c r="AG409" s="29">
        <v>7.50143</v>
      </c>
      <c r="AI409" s="29">
        <v>8.7354099999999999</v>
      </c>
      <c r="AK409" s="27">
        <v>23.5824</v>
      </c>
      <c r="AM409" s="27">
        <v>29.440200000000001</v>
      </c>
      <c r="AO409" s="29">
        <v>6.7250399999999999</v>
      </c>
      <c r="AP409" s="28"/>
    </row>
    <row r="410" spans="2:42" hidden="1" outlineLevel="1" x14ac:dyDescent="0.25">
      <c r="B410" s="21">
        <v>42760</v>
      </c>
      <c r="C410" s="27">
        <v>21.4619</v>
      </c>
      <c r="E410" s="30">
        <v>0.931558</v>
      </c>
      <c r="G410" s="27">
        <v>15.9283</v>
      </c>
      <c r="I410" s="29">
        <v>6.9270100000000001</v>
      </c>
      <c r="K410" s="29">
        <v>3.1700200000000001</v>
      </c>
      <c r="M410" s="41">
        <v>651.101</v>
      </c>
      <c r="O410" s="26">
        <v>2927.14</v>
      </c>
      <c r="Q410" s="26">
        <v>5741.23</v>
      </c>
      <c r="S410" s="26">
        <v>1811.12</v>
      </c>
      <c r="U410" s="29">
        <v>3.2836400000000001</v>
      </c>
      <c r="W410" s="27">
        <v>28.4314</v>
      </c>
      <c r="Y410" s="29">
        <v>8.9689099999999993</v>
      </c>
      <c r="AA410" s="41">
        <v>551.41800000000001</v>
      </c>
      <c r="AC410" s="27">
        <v>46.641800000000003</v>
      </c>
      <c r="AE410" s="27">
        <v>1</v>
      </c>
      <c r="AG410" s="29">
        <v>7.50969</v>
      </c>
      <c r="AI410" s="29">
        <v>8.7562800000000003</v>
      </c>
      <c r="AK410" s="27">
        <v>23.593399999999999</v>
      </c>
      <c r="AM410" s="27">
        <v>29.503900000000002</v>
      </c>
      <c r="AO410" s="29">
        <v>6.7333999999999996</v>
      </c>
      <c r="AP410" s="28"/>
    </row>
    <row r="411" spans="2:42" hidden="1" outlineLevel="1" x14ac:dyDescent="0.25">
      <c r="B411" s="21">
        <v>42761</v>
      </c>
      <c r="C411" s="27">
        <v>21.0854</v>
      </c>
      <c r="E411" s="30">
        <v>0.93235699999999999</v>
      </c>
      <c r="G411" s="27">
        <v>15.9453</v>
      </c>
      <c r="I411" s="29">
        <v>6.9169</v>
      </c>
      <c r="K411" s="29">
        <v>3.1746699999999999</v>
      </c>
      <c r="M411" s="41">
        <v>650.13800000000003</v>
      </c>
      <c r="O411" s="26">
        <v>2927.37</v>
      </c>
      <c r="Q411" s="26">
        <v>5762.36</v>
      </c>
      <c r="S411" s="26">
        <v>1815.12</v>
      </c>
      <c r="U411" s="29">
        <v>3.2915199999999998</v>
      </c>
      <c r="W411" s="27">
        <v>28.247299999999999</v>
      </c>
      <c r="Y411" s="29">
        <v>8.8977699999999995</v>
      </c>
      <c r="AA411" s="41">
        <v>550.90800000000002</v>
      </c>
      <c r="AC411" s="27">
        <v>46.569600000000001</v>
      </c>
      <c r="AE411" s="27">
        <v>1</v>
      </c>
      <c r="AG411" s="29">
        <v>7.4904000000000002</v>
      </c>
      <c r="AI411" s="29">
        <v>8.7482699999999998</v>
      </c>
      <c r="AK411" s="27">
        <v>23.596900000000002</v>
      </c>
      <c r="AM411" s="27">
        <v>29.461400000000001</v>
      </c>
      <c r="AO411" s="29">
        <v>6.7331500000000002</v>
      </c>
      <c r="AP411" s="28"/>
    </row>
    <row r="412" spans="2:42" hidden="1" outlineLevel="1" x14ac:dyDescent="0.25">
      <c r="B412" s="21">
        <v>42762</v>
      </c>
      <c r="C412" s="27">
        <v>21.1831</v>
      </c>
      <c r="E412" s="30">
        <v>0.93593899999999997</v>
      </c>
      <c r="G412" s="27">
        <v>15.926399999999999</v>
      </c>
      <c r="I412" s="29">
        <v>6.9417900000000001</v>
      </c>
      <c r="K412" s="29">
        <v>3.1672099999999999</v>
      </c>
      <c r="M412" s="41">
        <v>650.755</v>
      </c>
      <c r="O412" s="26">
        <v>2937.03</v>
      </c>
      <c r="Q412" s="26">
        <v>5795.07</v>
      </c>
      <c r="S412" s="26">
        <v>1829.72</v>
      </c>
      <c r="U412" s="29">
        <v>3.3008099999999998</v>
      </c>
      <c r="W412" s="27">
        <v>28.308599999999998</v>
      </c>
      <c r="Y412" s="29">
        <v>8.9380900000000008</v>
      </c>
      <c r="AA412" s="41">
        <v>552.63300000000004</v>
      </c>
      <c r="AC412" s="27">
        <v>46.583300000000001</v>
      </c>
      <c r="AE412" s="27">
        <v>1</v>
      </c>
      <c r="AG412" s="29">
        <v>7.5024899999999999</v>
      </c>
      <c r="AI412" s="29">
        <v>8.7755600000000005</v>
      </c>
      <c r="AK412" s="27">
        <v>23.690999999999999</v>
      </c>
      <c r="AM412" s="27">
        <v>29.547599999999999</v>
      </c>
      <c r="AO412" s="29">
        <v>6.75061</v>
      </c>
      <c r="AP412" s="28"/>
    </row>
    <row r="413" spans="2:42" hidden="1" outlineLevel="1" x14ac:dyDescent="0.25">
      <c r="B413" s="21">
        <v>42763</v>
      </c>
      <c r="C413" s="27">
        <v>20.892499999999998</v>
      </c>
      <c r="E413" s="30">
        <v>0.93477600000000005</v>
      </c>
      <c r="G413" s="27">
        <v>15.912599999999999</v>
      </c>
      <c r="I413" s="29">
        <v>6.9074</v>
      </c>
      <c r="K413" s="29">
        <v>3.141</v>
      </c>
      <c r="M413" s="41">
        <v>649.96</v>
      </c>
      <c r="O413" s="26">
        <v>2940.15</v>
      </c>
      <c r="Q413" s="26">
        <v>5774.15</v>
      </c>
      <c r="S413" s="26">
        <v>1838.36</v>
      </c>
      <c r="U413" s="29">
        <v>3.2997999999999998</v>
      </c>
      <c r="W413" s="27">
        <v>28.204000000000001</v>
      </c>
      <c r="Y413" s="29">
        <v>8.9794999999999998</v>
      </c>
      <c r="AA413" s="41">
        <v>550.79499999999996</v>
      </c>
      <c r="AC413" s="27">
        <v>46.573</v>
      </c>
      <c r="AE413" s="27">
        <v>1</v>
      </c>
      <c r="AG413" s="29">
        <v>7.4742499999999996</v>
      </c>
      <c r="AI413" s="29">
        <v>8.7467500000000005</v>
      </c>
      <c r="AK413" s="27">
        <v>23.620999999999999</v>
      </c>
      <c r="AM413" s="27">
        <v>29.488499999999998</v>
      </c>
      <c r="AO413" s="29">
        <v>6.7175500000000001</v>
      </c>
      <c r="AP413" s="28"/>
    </row>
    <row r="414" spans="2:42" hidden="1" outlineLevel="1" x14ac:dyDescent="0.25">
      <c r="B414" s="21">
        <v>42764</v>
      </c>
      <c r="C414" s="27">
        <v>20.892099999999999</v>
      </c>
      <c r="E414" s="30">
        <v>0.93477200000000005</v>
      </c>
      <c r="G414" s="27">
        <v>15.9331</v>
      </c>
      <c r="I414" s="29">
        <v>6.9062000000000001</v>
      </c>
      <c r="K414" s="29">
        <v>3.14053</v>
      </c>
      <c r="M414" s="41">
        <v>649.86599999999999</v>
      </c>
      <c r="O414" s="26">
        <v>2936.55</v>
      </c>
      <c r="Q414" s="26">
        <v>5773.2</v>
      </c>
      <c r="S414" s="26">
        <v>1838.38</v>
      </c>
      <c r="U414" s="29">
        <v>3.2991999999999999</v>
      </c>
      <c r="W414" s="27">
        <v>28.1995</v>
      </c>
      <c r="Y414" s="29">
        <v>8.9796499999999995</v>
      </c>
      <c r="AA414" s="41">
        <v>550.69500000000005</v>
      </c>
      <c r="AC414" s="27">
        <v>46.564500000000002</v>
      </c>
      <c r="AE414" s="27">
        <v>1</v>
      </c>
      <c r="AG414" s="29">
        <v>7.47295</v>
      </c>
      <c r="AI414" s="29">
        <v>8.7453000000000003</v>
      </c>
      <c r="AK414" s="27">
        <v>23.617000000000001</v>
      </c>
      <c r="AM414" s="27">
        <v>29.483499999999999</v>
      </c>
      <c r="AO414" s="29">
        <v>6.7164000000000001</v>
      </c>
      <c r="AP414" s="28"/>
    </row>
    <row r="415" spans="2:42" hidden="1" outlineLevel="1" x14ac:dyDescent="0.25">
      <c r="B415" s="21">
        <v>42765</v>
      </c>
      <c r="C415" s="27">
        <v>20.8309</v>
      </c>
      <c r="E415" s="30">
        <v>0.934728</v>
      </c>
      <c r="G415" s="27">
        <v>15.907</v>
      </c>
      <c r="I415" s="29">
        <v>6.91744</v>
      </c>
      <c r="K415" s="29">
        <v>3.1341399999999999</v>
      </c>
      <c r="M415" s="41">
        <v>648.41499999999996</v>
      </c>
      <c r="O415" s="26">
        <v>2933.15</v>
      </c>
      <c r="Q415" s="26">
        <v>5776.46</v>
      </c>
      <c r="S415" s="26">
        <v>1843.1</v>
      </c>
      <c r="U415" s="29">
        <v>3.2909999999999999</v>
      </c>
      <c r="W415" s="27">
        <v>28.171099999999999</v>
      </c>
      <c r="Y415" s="29">
        <v>8.9885300000000008</v>
      </c>
      <c r="AA415" s="41">
        <v>550.81200000000001</v>
      </c>
      <c r="AC415" s="27">
        <v>46.578400000000002</v>
      </c>
      <c r="AE415" s="27">
        <v>1</v>
      </c>
      <c r="AG415" s="29">
        <v>7.4739599999999999</v>
      </c>
      <c r="AI415" s="29">
        <v>8.7470599999999994</v>
      </c>
      <c r="AK415" s="27">
        <v>23.594200000000001</v>
      </c>
      <c r="AM415" s="27">
        <v>29.384899999999998</v>
      </c>
      <c r="AO415" s="29">
        <v>6.7245600000000003</v>
      </c>
      <c r="AP415" s="28"/>
    </row>
    <row r="416" spans="2:42" hidden="1" outlineLevel="1" x14ac:dyDescent="0.25">
      <c r="B416" s="21">
        <v>42766</v>
      </c>
      <c r="C416" s="49">
        <v>20.758800000000001</v>
      </c>
      <c r="E416" s="30">
        <v>0.93184500000000003</v>
      </c>
      <c r="G416" s="27">
        <v>15.9099</v>
      </c>
      <c r="I416" s="29">
        <v>6.9158299999999997</v>
      </c>
      <c r="K416" s="29">
        <v>3.1316899999999999</v>
      </c>
      <c r="M416" s="41">
        <v>647.71600000000001</v>
      </c>
      <c r="O416" s="26">
        <v>2924.13</v>
      </c>
      <c r="Q416" s="26">
        <v>5769.2</v>
      </c>
      <c r="S416" s="26">
        <v>1842.22</v>
      </c>
      <c r="U416" s="29">
        <v>3.2819099999999999</v>
      </c>
      <c r="W416" s="27">
        <v>28.113600000000002</v>
      </c>
      <c r="Y416" s="29">
        <v>8.9771999999999998</v>
      </c>
      <c r="AA416" s="41">
        <v>549.87400000000002</v>
      </c>
      <c r="AC416" s="27">
        <v>46.572499999999998</v>
      </c>
      <c r="AE416" s="27">
        <v>1</v>
      </c>
      <c r="AG416" s="29">
        <v>7.4586600000000001</v>
      </c>
      <c r="AI416" s="29">
        <v>8.7315699999999996</v>
      </c>
      <c r="AK416" s="27">
        <v>23.5669</v>
      </c>
      <c r="AM416" s="27">
        <v>29.358000000000001</v>
      </c>
      <c r="AO416" s="29">
        <v>6.7178500000000003</v>
      </c>
      <c r="AP416" s="28"/>
    </row>
    <row r="417" spans="2:42" ht="13" collapsed="1" x14ac:dyDescent="0.3">
      <c r="B417" s="25" t="s">
        <v>151</v>
      </c>
      <c r="C417" s="19">
        <v>21.3368</v>
      </c>
      <c r="E417" s="24">
        <v>0.941137</v>
      </c>
      <c r="G417" s="19">
        <v>15.892200000000001</v>
      </c>
      <c r="I417" s="23">
        <v>6.9217300000000002</v>
      </c>
      <c r="J417" s="9"/>
      <c r="K417" s="23">
        <v>3.1985600000000001</v>
      </c>
      <c r="M417" s="42">
        <v>660.36900000000003</v>
      </c>
      <c r="O417" s="31">
        <v>2942.94</v>
      </c>
      <c r="Q417" s="31">
        <v>5754.05</v>
      </c>
      <c r="S417" s="31">
        <v>1799.19</v>
      </c>
      <c r="U417" s="23">
        <v>3.3395800000000002</v>
      </c>
      <c r="W417" s="19">
        <v>28.6313</v>
      </c>
      <c r="Y417" s="23">
        <v>8.9515799999999999</v>
      </c>
      <c r="AA417" s="42">
        <v>551.41099999999994</v>
      </c>
      <c r="AC417" s="19">
        <v>46.529400000000003</v>
      </c>
      <c r="AE417" s="19">
        <v>1</v>
      </c>
      <c r="AG417" s="23">
        <v>7.5205700000000002</v>
      </c>
      <c r="AI417" s="23">
        <v>8.7461500000000001</v>
      </c>
      <c r="AK417" s="19">
        <v>23.32938</v>
      </c>
      <c r="AM417" s="19">
        <v>29.38383</v>
      </c>
      <c r="AO417" s="23">
        <v>6.7244000000000002</v>
      </c>
      <c r="AP417" s="10"/>
    </row>
    <row r="418" spans="2:42" hidden="1" outlineLevel="1" x14ac:dyDescent="0.25">
      <c r="B418" s="21">
        <v>42767</v>
      </c>
      <c r="C418" s="27">
        <v>20.7882</v>
      </c>
      <c r="E418" s="30">
        <v>0.92752299999999999</v>
      </c>
      <c r="G418" s="27">
        <v>15.8687</v>
      </c>
      <c r="I418" s="29">
        <v>6.9130799999999999</v>
      </c>
      <c r="K418" s="29">
        <v>3.1483699999999999</v>
      </c>
      <c r="M418" s="41">
        <v>645.38199999999995</v>
      </c>
      <c r="O418" s="26">
        <v>2911.89</v>
      </c>
      <c r="Q418" s="26">
        <v>5765.27</v>
      </c>
      <c r="S418" s="26">
        <v>1831.21</v>
      </c>
      <c r="U418" s="29">
        <v>3.2713700000000001</v>
      </c>
      <c r="W418" s="14">
        <v>28.078700000000001</v>
      </c>
      <c r="Y418" s="29">
        <v>8.9185400000000001</v>
      </c>
      <c r="AA418" s="41">
        <v>549.64</v>
      </c>
      <c r="AC418" s="27">
        <v>46.577300000000001</v>
      </c>
      <c r="AE418" s="27">
        <v>1</v>
      </c>
      <c r="AG418" s="29">
        <v>7.4549300000000001</v>
      </c>
      <c r="AI418" s="29">
        <v>8.7280800000000003</v>
      </c>
      <c r="AK418" s="27">
        <v>23.552299999999999</v>
      </c>
      <c r="AM418" s="27">
        <v>29.3644</v>
      </c>
      <c r="AO418" s="29">
        <v>6.70892</v>
      </c>
      <c r="AP418" s="11"/>
    </row>
    <row r="419" spans="2:42" hidden="1" outlineLevel="1" x14ac:dyDescent="0.25">
      <c r="B419" s="21">
        <v>42768</v>
      </c>
      <c r="C419" s="27">
        <v>20.614699999999999</v>
      </c>
      <c r="E419" s="30">
        <v>0.92674100000000004</v>
      </c>
      <c r="G419" s="27">
        <v>15.7605</v>
      </c>
      <c r="I419" s="29">
        <v>6.9380800000000002</v>
      </c>
      <c r="K419" s="29">
        <v>3.1252300000000002</v>
      </c>
      <c r="M419" s="41">
        <v>644.82399999999996</v>
      </c>
      <c r="O419" s="26">
        <v>2900.07</v>
      </c>
      <c r="Q419" s="26">
        <v>5772.37</v>
      </c>
      <c r="S419" s="26">
        <v>1847.04</v>
      </c>
      <c r="U419" s="29">
        <v>3.2677399999999999</v>
      </c>
      <c r="W419" s="14">
        <v>28.142499999999998</v>
      </c>
      <c r="Y419" s="29">
        <v>9.0049899999999994</v>
      </c>
      <c r="AA419" s="41">
        <v>553.91700000000003</v>
      </c>
      <c r="AC419" s="27">
        <v>46.754199999999997</v>
      </c>
      <c r="AE419" s="27">
        <v>1</v>
      </c>
      <c r="AG419" s="29">
        <v>7.4764299999999997</v>
      </c>
      <c r="AI419" s="29">
        <v>8.76065</v>
      </c>
      <c r="AK419" s="27">
        <v>23.6585</v>
      </c>
      <c r="AM419" s="27">
        <v>29.4819</v>
      </c>
      <c r="AO419" s="29">
        <v>6.7340600000000004</v>
      </c>
      <c r="AP419" s="11"/>
    </row>
    <row r="420" spans="2:42" hidden="1" outlineLevel="1" x14ac:dyDescent="0.25">
      <c r="B420" s="21">
        <v>42769</v>
      </c>
      <c r="C420" s="27">
        <v>20.488800000000001</v>
      </c>
      <c r="E420" s="30">
        <v>0.92935999999999996</v>
      </c>
      <c r="G420" s="27">
        <v>15.6595</v>
      </c>
      <c r="I420" s="29">
        <v>6.9341799999999996</v>
      </c>
      <c r="K420" s="29">
        <v>3.1221800000000002</v>
      </c>
      <c r="M420" s="41">
        <v>641.58199999999999</v>
      </c>
      <c r="O420" s="26">
        <v>2868.53</v>
      </c>
      <c r="Q420" s="26">
        <v>5756.53</v>
      </c>
      <c r="S420" s="26">
        <v>1843.78</v>
      </c>
      <c r="U420" s="29">
        <v>3.2592300000000001</v>
      </c>
      <c r="W420" s="14">
        <v>28.148399999999999</v>
      </c>
      <c r="Y420" s="29">
        <v>9.0156899999999993</v>
      </c>
      <c r="AA420" s="41">
        <v>557.86400000000003</v>
      </c>
      <c r="AC420" s="27">
        <v>46.846299999999999</v>
      </c>
      <c r="AE420" s="27">
        <v>1</v>
      </c>
      <c r="AG420" s="29">
        <v>7.4745999999999997</v>
      </c>
      <c r="AI420" s="29">
        <v>8.7661899999999999</v>
      </c>
      <c r="AK420" s="27">
        <v>23.66</v>
      </c>
      <c r="AM420" s="27">
        <v>29.518999999999998</v>
      </c>
      <c r="AO420" s="29">
        <v>6.73576</v>
      </c>
      <c r="AP420" s="11"/>
    </row>
    <row r="421" spans="2:42" hidden="1" outlineLevel="1" x14ac:dyDescent="0.25">
      <c r="B421" s="21">
        <v>42770</v>
      </c>
      <c r="C421" s="27">
        <v>20.362300000000001</v>
      </c>
      <c r="E421" s="30">
        <v>0.92717499999999997</v>
      </c>
      <c r="G421" s="27">
        <v>15.6029</v>
      </c>
      <c r="I421" s="29">
        <v>6.8742000000000001</v>
      </c>
      <c r="K421" s="29">
        <v>3.11775</v>
      </c>
      <c r="M421" s="41">
        <v>641.19000000000005</v>
      </c>
      <c r="O421" s="26">
        <v>2861.65</v>
      </c>
      <c r="Q421" s="26">
        <v>5711.8</v>
      </c>
      <c r="S421" s="26">
        <v>1832.09</v>
      </c>
      <c r="U421" s="29">
        <v>3.2316500000000001</v>
      </c>
      <c r="W421" s="14">
        <v>27.959</v>
      </c>
      <c r="Y421" s="29">
        <v>8.9679699999999993</v>
      </c>
      <c r="AA421" s="41">
        <v>554.41999999999996</v>
      </c>
      <c r="AC421" s="27">
        <v>46.508499999999998</v>
      </c>
      <c r="AE421" s="27">
        <v>1</v>
      </c>
      <c r="AG421" s="29">
        <v>7.4213500000000003</v>
      </c>
      <c r="AI421" s="29">
        <v>8.7043999999999997</v>
      </c>
      <c r="AK421" s="27">
        <v>23.477499999999999</v>
      </c>
      <c r="AM421" s="27">
        <v>29.327500000000001</v>
      </c>
      <c r="AO421" s="29">
        <v>6.6852499999999999</v>
      </c>
      <c r="AP421" s="11"/>
    </row>
    <row r="422" spans="2:42" hidden="1" outlineLevel="1" x14ac:dyDescent="0.25">
      <c r="B422" s="21">
        <v>42771</v>
      </c>
      <c r="C422" s="27">
        <v>20.361599999999999</v>
      </c>
      <c r="E422" s="30">
        <v>0.92716299999999996</v>
      </c>
      <c r="G422" s="27">
        <v>15.5929</v>
      </c>
      <c r="I422" s="29">
        <v>6.8742000000000001</v>
      </c>
      <c r="K422" s="29">
        <v>3.11781</v>
      </c>
      <c r="M422" s="41">
        <v>641.19500000000005</v>
      </c>
      <c r="O422" s="26">
        <v>2856.47</v>
      </c>
      <c r="Q422" s="26">
        <v>5711.8</v>
      </c>
      <c r="S422" s="26">
        <v>1832.03</v>
      </c>
      <c r="U422" s="29">
        <v>3.2316500000000001</v>
      </c>
      <c r="W422" s="14">
        <v>27.959</v>
      </c>
      <c r="Y422" s="29">
        <v>8.9677299999999995</v>
      </c>
      <c r="AA422" s="41">
        <v>554.41999999999996</v>
      </c>
      <c r="AC422" s="27">
        <v>46.508499999999998</v>
      </c>
      <c r="AE422" s="27">
        <v>1</v>
      </c>
      <c r="AG422" s="29">
        <v>7.4213500000000003</v>
      </c>
      <c r="AI422" s="29">
        <v>8.7043999999999997</v>
      </c>
      <c r="AK422" s="27">
        <v>23.477499999999999</v>
      </c>
      <c r="AM422" s="27">
        <v>29.327500000000001</v>
      </c>
      <c r="AO422" s="29">
        <v>6.6852499999999999</v>
      </c>
      <c r="AP422" s="11"/>
    </row>
    <row r="423" spans="2:42" hidden="1" outlineLevel="1" x14ac:dyDescent="0.25">
      <c r="B423" s="21">
        <v>42772</v>
      </c>
      <c r="C423" s="27">
        <v>20.4344</v>
      </c>
      <c r="E423" s="30">
        <v>0.92967900000000003</v>
      </c>
      <c r="G423" s="27">
        <v>15.6402</v>
      </c>
      <c r="I423" s="29">
        <v>6.8980100000000002</v>
      </c>
      <c r="K423" s="29">
        <v>3.1179399999999999</v>
      </c>
      <c r="M423" s="41">
        <v>640.36900000000003</v>
      </c>
      <c r="O423" s="26">
        <v>2852.86</v>
      </c>
      <c r="Q423" s="26">
        <v>5723.76</v>
      </c>
      <c r="S423" s="26">
        <v>1835.77</v>
      </c>
      <c r="U423" s="29">
        <v>3.2555700000000001</v>
      </c>
      <c r="W423" s="14">
        <v>28.1297</v>
      </c>
      <c r="Y423" s="29">
        <v>9.0219500000000004</v>
      </c>
      <c r="AA423" s="41">
        <v>552.96400000000006</v>
      </c>
      <c r="AC423" s="27">
        <v>46.654000000000003</v>
      </c>
      <c r="AE423" s="27">
        <v>1</v>
      </c>
      <c r="AG423" s="29">
        <v>7.4322800000000004</v>
      </c>
      <c r="AI423" s="29">
        <v>8.7238699999999998</v>
      </c>
      <c r="AK423" s="27">
        <v>23.521100000000001</v>
      </c>
      <c r="AM423" s="27">
        <v>29.388000000000002</v>
      </c>
      <c r="AO423" s="29">
        <v>6.7231300000000003</v>
      </c>
      <c r="AP423" s="11"/>
    </row>
    <row r="424" spans="2:42" hidden="1" outlineLevel="1" x14ac:dyDescent="0.25">
      <c r="B424" s="21">
        <v>42773</v>
      </c>
      <c r="C424" s="27">
        <v>20.615100000000002</v>
      </c>
      <c r="E424" s="30">
        <v>0.93457100000000004</v>
      </c>
      <c r="G424" s="27">
        <v>15.7462</v>
      </c>
      <c r="I424" s="29">
        <v>6.9304100000000002</v>
      </c>
      <c r="K424" s="29">
        <v>3.1204700000000001</v>
      </c>
      <c r="M424" s="41">
        <v>643.15599999999995</v>
      </c>
      <c r="O424" s="26">
        <v>2855.68</v>
      </c>
      <c r="Q424" s="26">
        <v>5734.45</v>
      </c>
      <c r="S424" s="26">
        <v>1837.7</v>
      </c>
      <c r="U424" s="29">
        <v>3.2763300000000002</v>
      </c>
      <c r="W424" s="14">
        <v>28.272099999999998</v>
      </c>
      <c r="Y424" s="29">
        <v>9.0602499999999999</v>
      </c>
      <c r="AA424" s="41">
        <v>551.03800000000001</v>
      </c>
      <c r="AC424" s="27">
        <v>46.811</v>
      </c>
      <c r="AE424" s="27">
        <v>1</v>
      </c>
      <c r="AG424" s="29">
        <v>7.4444400000000002</v>
      </c>
      <c r="AI424" s="29">
        <v>8.7500599999999995</v>
      </c>
      <c r="AK424" s="27">
        <v>23.565799999999999</v>
      </c>
      <c r="AM424" s="27">
        <v>29.4727</v>
      </c>
      <c r="AO424" s="29">
        <v>6.7389299999999999</v>
      </c>
      <c r="AP424" s="11"/>
    </row>
    <row r="425" spans="2:42" hidden="1" outlineLevel="1" x14ac:dyDescent="0.25">
      <c r="B425" s="21">
        <v>42774</v>
      </c>
      <c r="C425" s="27">
        <v>20.592400000000001</v>
      </c>
      <c r="E425" s="30">
        <v>0.93665900000000002</v>
      </c>
      <c r="G425" s="27">
        <v>15.6776</v>
      </c>
      <c r="I425" s="29">
        <v>6.91831</v>
      </c>
      <c r="K425" s="29">
        <v>3.1204800000000001</v>
      </c>
      <c r="M425" s="41">
        <v>646.74400000000003</v>
      </c>
      <c r="O425" s="26">
        <v>2852.94</v>
      </c>
      <c r="Q425" s="26">
        <v>5731.66</v>
      </c>
      <c r="S425" s="26">
        <v>1836.81</v>
      </c>
      <c r="U425" s="29">
        <v>3.28681</v>
      </c>
      <c r="W425" s="14">
        <v>28.437000000000001</v>
      </c>
      <c r="Y425" s="29">
        <v>9.1130399999999998</v>
      </c>
      <c r="AA425" s="41">
        <v>550.745</v>
      </c>
      <c r="AC425" s="27">
        <v>46.784799999999997</v>
      </c>
      <c r="AE425" s="27">
        <v>1</v>
      </c>
      <c r="AG425" s="29">
        <v>7.4349499999999997</v>
      </c>
      <c r="AI425" s="29">
        <v>8.7454099999999997</v>
      </c>
      <c r="AK425" s="27">
        <v>23.521899999999999</v>
      </c>
      <c r="AM425" s="27">
        <v>29.453800000000001</v>
      </c>
      <c r="AO425" s="29">
        <v>6.74857</v>
      </c>
      <c r="AP425" s="11"/>
    </row>
    <row r="426" spans="2:42" hidden="1" outlineLevel="1" x14ac:dyDescent="0.25">
      <c r="B426" s="21">
        <v>42775</v>
      </c>
      <c r="C426" s="27">
        <v>20.4666</v>
      </c>
      <c r="E426" s="30">
        <v>0.93622499999999997</v>
      </c>
      <c r="G426" s="27">
        <v>15.6465</v>
      </c>
      <c r="I426" s="29">
        <v>6.9023500000000002</v>
      </c>
      <c r="K426" s="29">
        <v>3.1205799999999999</v>
      </c>
      <c r="M426" s="41">
        <v>647.41800000000001</v>
      </c>
      <c r="O426" s="26">
        <v>2874.43</v>
      </c>
      <c r="Q426" s="26">
        <v>5734.85</v>
      </c>
      <c r="S426" s="26">
        <v>1837.76</v>
      </c>
      <c r="U426" s="29">
        <v>3.28003</v>
      </c>
      <c r="W426" s="14">
        <v>28.394200000000001</v>
      </c>
      <c r="Y426" s="29">
        <v>9.0990900000000003</v>
      </c>
      <c r="AA426" s="41">
        <v>549.68899999999996</v>
      </c>
      <c r="AC426" s="27">
        <v>46.703000000000003</v>
      </c>
      <c r="AE426" s="27">
        <v>1</v>
      </c>
      <c r="AG426" s="29">
        <v>7.4203299999999999</v>
      </c>
      <c r="AI426" s="29">
        <v>8.7293699999999994</v>
      </c>
      <c r="AK426" s="27">
        <v>23.478999999999999</v>
      </c>
      <c r="AM426" s="27">
        <v>29.410699999999999</v>
      </c>
      <c r="AO426" s="29">
        <v>6.7281000000000004</v>
      </c>
      <c r="AP426" s="11"/>
    </row>
    <row r="427" spans="2:42" hidden="1" outlineLevel="1" x14ac:dyDescent="0.25">
      <c r="B427" s="21">
        <v>42776</v>
      </c>
      <c r="C427" s="27">
        <v>20.3354</v>
      </c>
      <c r="E427" s="30">
        <v>0.93932000000000004</v>
      </c>
      <c r="G427" s="27">
        <v>15.609</v>
      </c>
      <c r="I427" s="29">
        <v>6.9329299999999998</v>
      </c>
      <c r="K427" s="29">
        <v>3.12296</v>
      </c>
      <c r="M427" s="41">
        <v>645.61500000000001</v>
      </c>
      <c r="O427" s="26">
        <v>2858.23</v>
      </c>
      <c r="Q427" s="26">
        <v>5782.25</v>
      </c>
      <c r="S427" s="26">
        <v>1851.55</v>
      </c>
      <c r="U427" s="29">
        <v>3.2749100000000002</v>
      </c>
      <c r="W427" s="14">
        <v>28.532900000000001</v>
      </c>
      <c r="Y427" s="29">
        <v>9.1365599999999993</v>
      </c>
      <c r="AA427" s="41">
        <v>555.577</v>
      </c>
      <c r="AC427" s="27">
        <v>46.880299999999998</v>
      </c>
      <c r="AE427" s="27">
        <v>1</v>
      </c>
      <c r="AG427" s="29">
        <v>7.4483899999999998</v>
      </c>
      <c r="AI427" s="29">
        <v>8.7635199999999998</v>
      </c>
      <c r="AK427" s="27">
        <v>23.575900000000001</v>
      </c>
      <c r="AM427" s="27">
        <v>29.529699999999998</v>
      </c>
      <c r="AO427" s="29">
        <v>6.7533000000000003</v>
      </c>
      <c r="AP427" s="11"/>
    </row>
    <row r="428" spans="2:42" hidden="1" outlineLevel="1" x14ac:dyDescent="0.25">
      <c r="B428" s="21">
        <v>42777</v>
      </c>
      <c r="C428" s="27">
        <v>20.342400000000001</v>
      </c>
      <c r="E428" s="30">
        <v>0.93979299999999999</v>
      </c>
      <c r="G428" s="27">
        <v>15.6066</v>
      </c>
      <c r="I428" s="29">
        <v>6.9089499999999999</v>
      </c>
      <c r="K428" s="29">
        <v>3.1149900000000001</v>
      </c>
      <c r="M428" s="41">
        <v>643.78800000000001</v>
      </c>
      <c r="O428" s="26">
        <v>2857.59</v>
      </c>
      <c r="Q428" s="26">
        <v>5804.15</v>
      </c>
      <c r="S428" s="26">
        <v>1863.36</v>
      </c>
      <c r="U428" s="29">
        <v>3.2675000000000001</v>
      </c>
      <c r="W428" s="14">
        <v>28.521000000000001</v>
      </c>
      <c r="Y428" s="29">
        <v>9.1562999999999999</v>
      </c>
      <c r="AA428" s="41">
        <v>559.93499999999995</v>
      </c>
      <c r="AC428" s="27">
        <v>46.773000000000003</v>
      </c>
      <c r="AE428" s="27">
        <v>1</v>
      </c>
      <c r="AG428" s="29">
        <v>7.4349499999999997</v>
      </c>
      <c r="AI428" s="29">
        <v>8.7488499999999991</v>
      </c>
      <c r="AK428" s="27">
        <v>23.606999999999999</v>
      </c>
      <c r="AM428" s="27">
        <v>29.505500000000001</v>
      </c>
      <c r="AO428" s="29">
        <v>6.7290000000000001</v>
      </c>
      <c r="AP428" s="11"/>
    </row>
    <row r="429" spans="2:42" hidden="1" outlineLevel="1" x14ac:dyDescent="0.25">
      <c r="B429" s="21">
        <v>42778</v>
      </c>
      <c r="C429" s="27">
        <v>20.3428</v>
      </c>
      <c r="E429" s="30">
        <v>0.939774</v>
      </c>
      <c r="G429" s="27">
        <v>15.526199999999999</v>
      </c>
      <c r="I429" s="29">
        <v>6.9089499999999999</v>
      </c>
      <c r="K429" s="29">
        <v>3.1156600000000001</v>
      </c>
      <c r="M429" s="41">
        <v>639.70000000000005</v>
      </c>
      <c r="O429" s="26">
        <v>2853.17</v>
      </c>
      <c r="Q429" s="26">
        <v>5804.15</v>
      </c>
      <c r="S429" s="26">
        <v>1862.93</v>
      </c>
      <c r="U429" s="29">
        <v>3.2675000000000001</v>
      </c>
      <c r="W429" s="14">
        <v>28.521000000000001</v>
      </c>
      <c r="Y429" s="29">
        <v>9.1542600000000007</v>
      </c>
      <c r="AA429" s="41">
        <v>559.93499999999995</v>
      </c>
      <c r="AC429" s="27">
        <v>46.773000000000003</v>
      </c>
      <c r="AE429" s="27">
        <v>1</v>
      </c>
      <c r="AG429" s="29">
        <v>7.4349499999999997</v>
      </c>
      <c r="AI429" s="29">
        <v>8.7488499999999991</v>
      </c>
      <c r="AK429" s="27">
        <v>23.606999999999999</v>
      </c>
      <c r="AM429" s="27">
        <v>29.505500000000001</v>
      </c>
      <c r="AO429" s="29">
        <v>6.7290000000000001</v>
      </c>
      <c r="AP429" s="11"/>
    </row>
    <row r="430" spans="2:42" hidden="1" outlineLevel="1" x14ac:dyDescent="0.25">
      <c r="B430" s="21">
        <v>42779</v>
      </c>
      <c r="C430" s="27">
        <v>20.336400000000001</v>
      </c>
      <c r="E430" s="30">
        <v>0.94138900000000003</v>
      </c>
      <c r="G430" s="27">
        <v>15.5587</v>
      </c>
      <c r="I430" s="29">
        <v>6.9238299999999997</v>
      </c>
      <c r="K430" s="29">
        <v>3.1152199999999999</v>
      </c>
      <c r="M430" s="41">
        <v>643.47299999999996</v>
      </c>
      <c r="O430" s="26">
        <v>2860.74</v>
      </c>
      <c r="Q430" s="26">
        <v>5774.78</v>
      </c>
      <c r="S430" s="26">
        <v>1853.76</v>
      </c>
      <c r="U430" s="29">
        <v>3.2643800000000001</v>
      </c>
      <c r="W430" s="14">
        <v>28.553899999999999</v>
      </c>
      <c r="Y430" s="29">
        <v>9.1659699999999997</v>
      </c>
      <c r="AA430" s="41">
        <v>556.17100000000005</v>
      </c>
      <c r="AC430" s="27">
        <v>46.868200000000002</v>
      </c>
      <c r="AE430" s="27">
        <v>1</v>
      </c>
      <c r="AG430" s="29">
        <v>7.4376699999999998</v>
      </c>
      <c r="AI430" s="29">
        <v>8.7558500000000006</v>
      </c>
      <c r="AK430" s="27">
        <v>23.612100000000002</v>
      </c>
      <c r="AM430" s="27">
        <v>29.512699999999999</v>
      </c>
      <c r="AO430" s="29">
        <v>6.7267299999999999</v>
      </c>
      <c r="AP430" s="11"/>
    </row>
    <row r="431" spans="2:42" hidden="1" outlineLevel="1" x14ac:dyDescent="0.25">
      <c r="B431" s="21">
        <v>42780</v>
      </c>
      <c r="C431" s="27">
        <v>20.270800000000001</v>
      </c>
      <c r="E431" s="30">
        <v>0.94332899999999997</v>
      </c>
      <c r="G431" s="27">
        <v>15.4733</v>
      </c>
      <c r="I431" s="29">
        <v>6.94726</v>
      </c>
      <c r="K431" s="29">
        <v>3.1061899999999998</v>
      </c>
      <c r="M431" s="41">
        <v>641.755</v>
      </c>
      <c r="O431" s="26">
        <v>2870.45</v>
      </c>
      <c r="Q431" s="26">
        <v>5750.85</v>
      </c>
      <c r="S431" s="26">
        <v>1851.43</v>
      </c>
      <c r="U431" s="29">
        <v>3.2647499999999998</v>
      </c>
      <c r="W431" s="14">
        <v>28.582100000000001</v>
      </c>
      <c r="Y431" s="29">
        <v>9.2017199999999999</v>
      </c>
      <c r="AA431" s="41">
        <v>556.96199999999999</v>
      </c>
      <c r="AC431" s="27">
        <v>46.926600000000001</v>
      </c>
      <c r="AE431" s="27">
        <v>1</v>
      </c>
      <c r="AG431" s="29">
        <v>7.4531599999999996</v>
      </c>
      <c r="AI431" s="29">
        <v>8.7825199999999999</v>
      </c>
      <c r="AK431" s="27">
        <v>23.641100000000002</v>
      </c>
      <c r="AM431" s="27">
        <v>29.588899999999999</v>
      </c>
      <c r="AO431" s="29">
        <v>6.7338100000000001</v>
      </c>
      <c r="AP431" s="11"/>
    </row>
    <row r="432" spans="2:42" hidden="1" outlineLevel="1" x14ac:dyDescent="0.25">
      <c r="B432" s="21">
        <v>42781</v>
      </c>
      <c r="C432" s="27">
        <v>20.291599999999999</v>
      </c>
      <c r="E432" s="30">
        <v>0.94587699999999997</v>
      </c>
      <c r="G432" s="27">
        <v>15.455</v>
      </c>
      <c r="I432" s="29">
        <v>6.9419899999999997</v>
      </c>
      <c r="K432" s="29">
        <v>3.0776699999999999</v>
      </c>
      <c r="M432" s="41">
        <v>640.49599999999998</v>
      </c>
      <c r="O432" s="26">
        <v>2874.35</v>
      </c>
      <c r="Q432" s="26">
        <v>5749.45</v>
      </c>
      <c r="S432" s="26">
        <v>1868.13</v>
      </c>
      <c r="U432" s="29">
        <v>3.2652800000000002</v>
      </c>
      <c r="W432" s="14">
        <v>28.587499999999999</v>
      </c>
      <c r="Y432" s="29">
        <v>9.2887199999999996</v>
      </c>
      <c r="AA432" s="41">
        <v>562.375</v>
      </c>
      <c r="AC432" s="27">
        <v>46.921900000000001</v>
      </c>
      <c r="AE432" s="27">
        <v>1</v>
      </c>
      <c r="AG432" s="29">
        <v>7.4442899999999996</v>
      </c>
      <c r="AI432" s="29">
        <v>8.7796500000000002</v>
      </c>
      <c r="AK432" s="27">
        <v>23.613299999999999</v>
      </c>
      <c r="AM432" s="27">
        <v>29.432300000000001</v>
      </c>
      <c r="AO432" s="29">
        <v>6.7444800000000003</v>
      </c>
      <c r="AP432" s="11"/>
    </row>
    <row r="433" spans="2:42" hidden="1" outlineLevel="1" x14ac:dyDescent="0.25">
      <c r="B433" s="21">
        <v>42782</v>
      </c>
      <c r="C433" s="27">
        <v>20.306100000000001</v>
      </c>
      <c r="E433" s="30">
        <v>0.94057800000000003</v>
      </c>
      <c r="G433" s="27">
        <v>15.3797</v>
      </c>
      <c r="I433" s="29">
        <v>6.90679</v>
      </c>
      <c r="K433" s="29">
        <v>3.0621200000000002</v>
      </c>
      <c r="M433" s="41">
        <v>637.63300000000004</v>
      </c>
      <c r="O433" s="26">
        <v>2871.04</v>
      </c>
      <c r="Q433" s="26">
        <v>5710.01</v>
      </c>
      <c r="S433" s="26">
        <v>1864.75</v>
      </c>
      <c r="U433" s="29">
        <v>3.2439800000000001</v>
      </c>
      <c r="W433" s="14">
        <v>28.3171</v>
      </c>
      <c r="Y433" s="29">
        <v>9.2476099999999999</v>
      </c>
      <c r="AA433" s="41">
        <v>557.11599999999999</v>
      </c>
      <c r="AC433" s="27">
        <v>46.752099999999999</v>
      </c>
      <c r="AE433" s="27">
        <v>1</v>
      </c>
      <c r="AG433" s="29">
        <v>7.3878899999999996</v>
      </c>
      <c r="AI433" s="29">
        <v>8.7204800000000002</v>
      </c>
      <c r="AK433" s="27">
        <v>23.430199999999999</v>
      </c>
      <c r="AM433" s="27">
        <v>29.466699999999999</v>
      </c>
      <c r="AO433" s="29">
        <v>6.7126599999999996</v>
      </c>
      <c r="AP433" s="11"/>
    </row>
    <row r="434" spans="2:42" hidden="1" outlineLevel="1" x14ac:dyDescent="0.25">
      <c r="B434" s="21">
        <v>42783</v>
      </c>
      <c r="C434" s="27">
        <v>20.4255</v>
      </c>
      <c r="E434" s="30">
        <v>0.93884800000000002</v>
      </c>
      <c r="G434" s="27">
        <v>15.490600000000001</v>
      </c>
      <c r="I434" s="29">
        <v>6.9146000000000001</v>
      </c>
      <c r="K434" s="29">
        <v>3.0928900000000001</v>
      </c>
      <c r="M434" s="41">
        <v>641.31700000000001</v>
      </c>
      <c r="O434" s="26">
        <v>2874.05</v>
      </c>
      <c r="Q434" s="26">
        <v>5700.89</v>
      </c>
      <c r="S434" s="26">
        <v>1843.24</v>
      </c>
      <c r="U434" s="29">
        <v>3.24668</v>
      </c>
      <c r="W434" s="14">
        <v>28.243500000000001</v>
      </c>
      <c r="Y434" s="29">
        <v>9.1318000000000001</v>
      </c>
      <c r="AA434" s="41">
        <v>555.96799999999996</v>
      </c>
      <c r="AC434" s="27">
        <v>46.821800000000003</v>
      </c>
      <c r="AE434" s="27">
        <v>1</v>
      </c>
      <c r="AG434" s="29">
        <v>7.3848900000000004</v>
      </c>
      <c r="AI434" s="29">
        <v>8.7303300000000004</v>
      </c>
      <c r="AK434" s="27">
        <v>23.446100000000001</v>
      </c>
      <c r="AM434" s="27">
        <v>29.5062</v>
      </c>
      <c r="AO434" s="29">
        <v>6.7198500000000001</v>
      </c>
      <c r="AP434" s="11"/>
    </row>
    <row r="435" spans="2:42" hidden="1" outlineLevel="1" x14ac:dyDescent="0.25">
      <c r="B435" s="21">
        <v>42784</v>
      </c>
      <c r="C435" s="27">
        <v>20.432200000000002</v>
      </c>
      <c r="E435" s="30">
        <v>0.94196999999999997</v>
      </c>
      <c r="G435" s="27">
        <v>15.5787</v>
      </c>
      <c r="I435" s="29">
        <v>6.9497</v>
      </c>
      <c r="K435" s="29">
        <v>3.1045699999999998</v>
      </c>
      <c r="M435" s="41">
        <v>642.17499999999995</v>
      </c>
      <c r="O435" s="26">
        <v>2881.3</v>
      </c>
      <c r="Q435" s="26">
        <v>5719.25</v>
      </c>
      <c r="S435" s="26">
        <v>1842.25</v>
      </c>
      <c r="U435" s="29">
        <v>3.2582499999999999</v>
      </c>
      <c r="W435" s="14">
        <v>28.306000000000001</v>
      </c>
      <c r="Y435" s="29">
        <v>9.1177399999999995</v>
      </c>
      <c r="AA435" s="41">
        <v>559.09</v>
      </c>
      <c r="AC435" s="27">
        <v>46.913499999999999</v>
      </c>
      <c r="AE435" s="27">
        <v>1</v>
      </c>
      <c r="AG435" s="29">
        <v>7.4130500000000001</v>
      </c>
      <c r="AI435" s="29">
        <v>8.7740500000000008</v>
      </c>
      <c r="AK435" s="27">
        <v>23.516999999999999</v>
      </c>
      <c r="AM435" s="27">
        <v>29.614000000000001</v>
      </c>
      <c r="AO435" s="29">
        <v>6.7392000000000003</v>
      </c>
      <c r="AP435" s="11"/>
    </row>
    <row r="436" spans="2:42" hidden="1" outlineLevel="1" x14ac:dyDescent="0.25">
      <c r="B436" s="21">
        <v>42785</v>
      </c>
      <c r="C436" s="27">
        <v>20.431799999999999</v>
      </c>
      <c r="E436" s="30">
        <v>0.94195700000000004</v>
      </c>
      <c r="G436" s="27">
        <v>15.4702</v>
      </c>
      <c r="I436" s="29">
        <v>6.9497</v>
      </c>
      <c r="K436" s="29">
        <v>3.1049899999999999</v>
      </c>
      <c r="M436" s="41">
        <v>644.1</v>
      </c>
      <c r="O436" s="26">
        <v>2886.5</v>
      </c>
      <c r="Q436" s="26">
        <v>5719.25</v>
      </c>
      <c r="S436" s="26">
        <v>1841.99</v>
      </c>
      <c r="U436" s="29">
        <v>3.2582499999999999</v>
      </c>
      <c r="W436" s="14">
        <v>28.306000000000001</v>
      </c>
      <c r="Y436" s="29">
        <v>9.1164799999999993</v>
      </c>
      <c r="AA436" s="41">
        <v>559.09</v>
      </c>
      <c r="AC436" s="27">
        <v>46.913499999999999</v>
      </c>
      <c r="AE436" s="27">
        <v>1</v>
      </c>
      <c r="AG436" s="29">
        <v>7.4130500000000001</v>
      </c>
      <c r="AI436" s="29">
        <v>8.7740500000000008</v>
      </c>
      <c r="AK436" s="27">
        <v>23.516999999999999</v>
      </c>
      <c r="AM436" s="27">
        <v>29.614000000000001</v>
      </c>
      <c r="AO436" s="29">
        <v>6.7392000000000003</v>
      </c>
      <c r="AP436" s="11"/>
    </row>
    <row r="437" spans="2:42" hidden="1" outlineLevel="1" x14ac:dyDescent="0.25">
      <c r="B437" s="21">
        <v>42786</v>
      </c>
      <c r="C437" s="27">
        <v>20.4498</v>
      </c>
      <c r="E437" s="30">
        <v>0.94187699999999996</v>
      </c>
      <c r="G437" s="27">
        <v>15.643800000000001</v>
      </c>
      <c r="I437" s="29">
        <v>6.9288699999999999</v>
      </c>
      <c r="K437" s="29">
        <v>3.09809</v>
      </c>
      <c r="M437" s="41">
        <v>642.476</v>
      </c>
      <c r="O437" s="26">
        <v>2883.1</v>
      </c>
      <c r="Q437" s="26">
        <v>5696.44</v>
      </c>
      <c r="S437" s="26">
        <v>1838.72</v>
      </c>
      <c r="U437" s="29">
        <v>3.2589399999999999</v>
      </c>
      <c r="W437" s="14">
        <v>28.311699999999998</v>
      </c>
      <c r="Y437" s="29">
        <v>9.1384799999999995</v>
      </c>
      <c r="AA437" s="41">
        <v>558.16099999999994</v>
      </c>
      <c r="AC437" s="27">
        <v>46.876399999999997</v>
      </c>
      <c r="AE437" s="27">
        <v>1</v>
      </c>
      <c r="AG437" s="29">
        <v>7.3956600000000003</v>
      </c>
      <c r="AI437" s="29">
        <v>8.7595299999999998</v>
      </c>
      <c r="AK437" s="27">
        <v>23.531600000000001</v>
      </c>
      <c r="AM437" s="27">
        <v>29.564800000000002</v>
      </c>
      <c r="AO437" s="29">
        <v>6.7385000000000002</v>
      </c>
      <c r="AP437" s="11"/>
    </row>
    <row r="438" spans="2:42" hidden="1" outlineLevel="1" x14ac:dyDescent="0.25">
      <c r="B438" s="21">
        <v>42787</v>
      </c>
      <c r="C438" s="27">
        <v>20.383099999999999</v>
      </c>
      <c r="E438" s="30">
        <v>0.94641900000000001</v>
      </c>
      <c r="G438" s="27">
        <v>15.6707</v>
      </c>
      <c r="I438" s="29">
        <v>6.9323399999999999</v>
      </c>
      <c r="K438" s="29">
        <v>3.0905399999999998</v>
      </c>
      <c r="M438" s="41">
        <v>642.04399999999998</v>
      </c>
      <c r="O438" s="26">
        <v>2891.44</v>
      </c>
      <c r="Q438" s="26">
        <v>5661.6</v>
      </c>
      <c r="S438" s="26">
        <v>1831.93</v>
      </c>
      <c r="U438" s="29">
        <v>3.2591600000000001</v>
      </c>
      <c r="W438" s="14">
        <v>28.3827</v>
      </c>
      <c r="Y438" s="29">
        <v>9.1837900000000001</v>
      </c>
      <c r="AA438" s="41">
        <v>560.73299999999995</v>
      </c>
      <c r="AC438" s="27">
        <v>46.924500000000002</v>
      </c>
      <c r="AE438" s="27">
        <v>1</v>
      </c>
      <c r="AG438" s="29">
        <v>7.3948600000000004</v>
      </c>
      <c r="AI438" s="29">
        <v>8.7670200000000005</v>
      </c>
      <c r="AK438" s="27">
        <v>23.599499999999999</v>
      </c>
      <c r="AM438" s="27">
        <v>29.6081</v>
      </c>
      <c r="AO438" s="29">
        <v>6.74125</v>
      </c>
      <c r="AP438" s="11"/>
    </row>
    <row r="439" spans="2:42" hidden="1" outlineLevel="1" x14ac:dyDescent="0.25">
      <c r="B439" s="21">
        <v>42788</v>
      </c>
      <c r="C439" s="27">
        <v>20.000499999999999</v>
      </c>
      <c r="E439" s="30">
        <v>0.94938800000000001</v>
      </c>
      <c r="G439" s="27">
        <v>15.574</v>
      </c>
      <c r="I439" s="29">
        <v>6.9298700000000002</v>
      </c>
      <c r="K439" s="29">
        <v>3.08833</v>
      </c>
      <c r="M439" s="41">
        <v>642.52</v>
      </c>
      <c r="O439" s="26">
        <v>2897.71</v>
      </c>
      <c r="Q439" s="26">
        <v>5595.55</v>
      </c>
      <c r="S439" s="26">
        <v>1811.86</v>
      </c>
      <c r="U439" s="29">
        <v>3.24593</v>
      </c>
      <c r="W439" s="14">
        <v>28.3188</v>
      </c>
      <c r="Y439" s="29">
        <v>9.1697199999999999</v>
      </c>
      <c r="AA439" s="41">
        <v>560.36699999999996</v>
      </c>
      <c r="AC439" s="27">
        <v>46.854199999999999</v>
      </c>
      <c r="AE439" s="27">
        <v>1</v>
      </c>
      <c r="AG439" s="29">
        <v>7.3755699999999997</v>
      </c>
      <c r="AI439" s="29">
        <v>8.7488499999999991</v>
      </c>
      <c r="AK439" s="27">
        <v>23.554099999999998</v>
      </c>
      <c r="AM439" s="27">
        <v>29.587700000000002</v>
      </c>
      <c r="AO439" s="29">
        <v>6.7343799999999998</v>
      </c>
      <c r="AP439" s="11"/>
    </row>
    <row r="440" spans="2:42" hidden="1" outlineLevel="1" x14ac:dyDescent="0.25">
      <c r="B440" s="21">
        <v>42789</v>
      </c>
      <c r="C440" s="27">
        <v>19.8367</v>
      </c>
      <c r="E440" s="30">
        <v>0.94671899999999998</v>
      </c>
      <c r="G440" s="27">
        <v>15.555199999999999</v>
      </c>
      <c r="I440" s="29">
        <v>6.8993900000000004</v>
      </c>
      <c r="K440" s="29">
        <v>3.06332</v>
      </c>
      <c r="M440" s="41">
        <v>640.70399999999995</v>
      </c>
      <c r="O440" s="26">
        <v>2882.51</v>
      </c>
      <c r="Q440" s="26">
        <v>5564.81</v>
      </c>
      <c r="S440" s="26">
        <v>1816.62</v>
      </c>
      <c r="U440" s="29">
        <v>3.2395499999999999</v>
      </c>
      <c r="W440" s="14">
        <v>28.245000000000001</v>
      </c>
      <c r="Y440" s="29">
        <v>9.2204200000000007</v>
      </c>
      <c r="AA440" s="41">
        <v>557.78</v>
      </c>
      <c r="AC440" s="27">
        <v>46.841700000000003</v>
      </c>
      <c r="AE440" s="27">
        <v>1</v>
      </c>
      <c r="AG440" s="29">
        <v>7.3445099999999996</v>
      </c>
      <c r="AI440" s="29">
        <v>8.7221100000000007</v>
      </c>
      <c r="AK440" s="27">
        <v>23.476400000000002</v>
      </c>
      <c r="AM440" s="27">
        <v>29.501000000000001</v>
      </c>
      <c r="AO440" s="29">
        <v>6.7266899999999996</v>
      </c>
      <c r="AP440" s="11"/>
    </row>
    <row r="441" spans="2:42" hidden="1" outlineLevel="1" x14ac:dyDescent="0.25">
      <c r="B441" s="21">
        <v>42790</v>
      </c>
      <c r="C441" s="27">
        <v>19.734000000000002</v>
      </c>
      <c r="E441" s="30">
        <v>0.94490200000000002</v>
      </c>
      <c r="G441" s="27">
        <v>15.4909</v>
      </c>
      <c r="I441" s="29">
        <v>6.9035099999999998</v>
      </c>
      <c r="K441" s="29">
        <v>3.0781700000000001</v>
      </c>
      <c r="M441" s="41">
        <v>644.93299999999999</v>
      </c>
      <c r="O441" s="26">
        <v>2874.99</v>
      </c>
      <c r="Q441" s="26">
        <v>5584.34</v>
      </c>
      <c r="S441" s="26">
        <v>1814.19</v>
      </c>
      <c r="U441" s="29">
        <v>3.2445200000000001</v>
      </c>
      <c r="W441" s="14">
        <v>28.297499999999999</v>
      </c>
      <c r="Y441" s="29">
        <v>9.19299</v>
      </c>
      <c r="AA441" s="41">
        <v>559.56600000000003</v>
      </c>
      <c r="AC441" s="27">
        <v>47.060699999999997</v>
      </c>
      <c r="AE441" s="27">
        <v>1</v>
      </c>
      <c r="AG441" s="29">
        <v>7.3517799999999998</v>
      </c>
      <c r="AI441" s="29">
        <v>8.7418399999999998</v>
      </c>
      <c r="AK441" s="27">
        <v>23.508199999999999</v>
      </c>
      <c r="AM441" s="27">
        <v>29.556799999999999</v>
      </c>
      <c r="AO441" s="29">
        <v>6.7329999999999997</v>
      </c>
      <c r="AP441" s="11"/>
    </row>
    <row r="442" spans="2:42" hidden="1" outlineLevel="1" x14ac:dyDescent="0.25">
      <c r="B442" s="21">
        <v>42791</v>
      </c>
      <c r="C442" s="27">
        <v>19.909199999999998</v>
      </c>
      <c r="E442" s="30">
        <v>0.94689000000000001</v>
      </c>
      <c r="G442" s="27">
        <v>15.5405</v>
      </c>
      <c r="I442" s="29">
        <v>6.9409999999999998</v>
      </c>
      <c r="K442" s="29">
        <v>3.11097</v>
      </c>
      <c r="M442" s="41">
        <v>645.74400000000003</v>
      </c>
      <c r="O442" s="26">
        <v>2884.4</v>
      </c>
      <c r="Q442" s="26">
        <v>5598.2</v>
      </c>
      <c r="S442" s="26">
        <v>1799.53</v>
      </c>
      <c r="U442" s="29">
        <v>3.2595499999999999</v>
      </c>
      <c r="W442" s="14">
        <v>28.442</v>
      </c>
      <c r="Y442" s="29">
        <v>9.1425800000000006</v>
      </c>
      <c r="AA442" s="41">
        <v>560</v>
      </c>
      <c r="AC442" s="27">
        <v>47.261499999999998</v>
      </c>
      <c r="AE442" s="27">
        <v>1</v>
      </c>
      <c r="AG442" s="29">
        <v>7.3849</v>
      </c>
      <c r="AI442" s="29">
        <v>8.7890499999999996</v>
      </c>
      <c r="AK442" s="27">
        <v>23.6355</v>
      </c>
      <c r="AM442" s="27">
        <v>29.692499999999999</v>
      </c>
      <c r="AO442" s="29">
        <v>6.7500999999999998</v>
      </c>
      <c r="AP442" s="11"/>
    </row>
    <row r="443" spans="2:42" hidden="1" outlineLevel="1" x14ac:dyDescent="0.25">
      <c r="B443" s="21">
        <v>42792</v>
      </c>
      <c r="C443" s="27">
        <v>19.91</v>
      </c>
      <c r="E443" s="30">
        <v>0.94688499999999998</v>
      </c>
      <c r="G443" s="27">
        <v>15.5715</v>
      </c>
      <c r="I443" s="29">
        <v>6.9409999999999998</v>
      </c>
      <c r="K443" s="29">
        <v>3.1106400000000001</v>
      </c>
      <c r="M443" s="41">
        <v>646.79999999999995</v>
      </c>
      <c r="O443" s="26">
        <v>2889.5</v>
      </c>
      <c r="Q443" s="26">
        <v>5598.2</v>
      </c>
      <c r="S443" s="26">
        <v>1799.72</v>
      </c>
      <c r="U443" s="29">
        <v>3.2595499999999999</v>
      </c>
      <c r="W443" s="14">
        <v>28.442</v>
      </c>
      <c r="Y443" s="29">
        <v>9.1436200000000003</v>
      </c>
      <c r="AA443" s="41">
        <v>560</v>
      </c>
      <c r="AC443" s="27">
        <v>47.261499999999998</v>
      </c>
      <c r="AE443" s="27">
        <v>1</v>
      </c>
      <c r="AG443" s="29">
        <v>7.3849</v>
      </c>
      <c r="AI443" s="29">
        <v>8.7890499999999996</v>
      </c>
      <c r="AK443" s="27">
        <v>23.6355</v>
      </c>
      <c r="AM443" s="27">
        <v>29.692499999999999</v>
      </c>
      <c r="AO443" s="29">
        <v>6.7500999999999998</v>
      </c>
      <c r="AP443" s="11"/>
    </row>
    <row r="444" spans="2:42" hidden="1" outlineLevel="1" x14ac:dyDescent="0.25">
      <c r="B444" s="21">
        <v>42793</v>
      </c>
      <c r="C444" s="27">
        <v>19.857099999999999</v>
      </c>
      <c r="E444" s="30">
        <v>0.94513899999999995</v>
      </c>
      <c r="G444" s="27">
        <v>15.477499999999999</v>
      </c>
      <c r="I444" s="29">
        <v>6.9343500000000002</v>
      </c>
      <c r="K444" s="29">
        <v>3.10995</v>
      </c>
      <c r="M444" s="41">
        <v>646.15</v>
      </c>
      <c r="O444" s="26">
        <v>2887.98</v>
      </c>
      <c r="Q444" s="26">
        <v>5567.98</v>
      </c>
      <c r="S444" s="26">
        <v>1790.39</v>
      </c>
      <c r="U444" s="29">
        <v>3.2554799999999999</v>
      </c>
      <c r="W444" s="14">
        <v>28.339500000000001</v>
      </c>
      <c r="Y444" s="29">
        <v>9.1125799999999995</v>
      </c>
      <c r="AA444" s="41">
        <v>558.70100000000002</v>
      </c>
      <c r="AC444" s="27">
        <v>47.054699999999997</v>
      </c>
      <c r="AE444" s="27">
        <v>1</v>
      </c>
      <c r="AG444" s="29">
        <v>7.3688599999999997</v>
      </c>
      <c r="AI444" s="29">
        <v>8.7686200000000003</v>
      </c>
      <c r="AK444" s="27">
        <v>23.578700000000001</v>
      </c>
      <c r="AM444" s="27">
        <v>29.633099999999999</v>
      </c>
      <c r="AO444" s="29">
        <v>6.7327000000000004</v>
      </c>
      <c r="AP444" s="11"/>
    </row>
    <row r="445" spans="2:42" hidden="1" outlineLevel="1" x14ac:dyDescent="0.25">
      <c r="B445" s="21">
        <v>42794</v>
      </c>
      <c r="C445" s="49">
        <v>19.8322</v>
      </c>
      <c r="E445" s="30">
        <v>0.943882</v>
      </c>
      <c r="G445" s="27">
        <v>15.4749</v>
      </c>
      <c r="I445" s="29">
        <v>6.9316000000000004</v>
      </c>
      <c r="K445" s="29">
        <v>3.1090800000000001</v>
      </c>
      <c r="M445" s="41">
        <v>647.96100000000001</v>
      </c>
      <c r="O445" s="26">
        <v>2910.97</v>
      </c>
      <c r="Q445" s="26">
        <v>5537.49</v>
      </c>
      <c r="S445" s="26">
        <v>1781.09</v>
      </c>
      <c r="U445" s="29">
        <v>3.25746</v>
      </c>
      <c r="W445" s="14">
        <v>28.2561</v>
      </c>
      <c r="Y445" s="29">
        <v>9.0883099999999999</v>
      </c>
      <c r="AA445" s="41">
        <v>557.62699999999995</v>
      </c>
      <c r="AC445" s="27">
        <v>47.103299999999997</v>
      </c>
      <c r="AE445" s="27">
        <v>1</v>
      </c>
      <c r="AG445" s="29">
        <v>7.3623500000000002</v>
      </c>
      <c r="AI445" s="29">
        <v>8.7521100000000001</v>
      </c>
      <c r="AK445" s="27">
        <v>23.522500000000001</v>
      </c>
      <c r="AM445" s="27">
        <v>29.598600000000001</v>
      </c>
      <c r="AO445" s="29">
        <v>6.7228199999999996</v>
      </c>
      <c r="AP445" s="12"/>
    </row>
    <row r="446" spans="2:42" ht="13" collapsed="1" x14ac:dyDescent="0.3">
      <c r="B446" s="25" t="s">
        <v>152</v>
      </c>
      <c r="C446" s="19">
        <v>20.2911</v>
      </c>
      <c r="E446" s="24">
        <v>0.93928699999999998</v>
      </c>
      <c r="G446" s="19">
        <v>15.583600000000001</v>
      </c>
      <c r="I446" s="23">
        <v>6.9217700000000004</v>
      </c>
      <c r="J446" s="9"/>
      <c r="K446" s="23">
        <v>3.1066799999999999</v>
      </c>
      <c r="M446" s="42">
        <v>643.25900000000001</v>
      </c>
      <c r="O446" s="31">
        <v>2875.88</v>
      </c>
      <c r="Q446" s="31">
        <v>5698.65</v>
      </c>
      <c r="S446" s="31">
        <v>1834.34</v>
      </c>
      <c r="U446" s="23">
        <v>3.2589999999999999</v>
      </c>
      <c r="W446" s="23">
        <v>28.322399999999998</v>
      </c>
      <c r="Y446" s="23">
        <v>9.1171000000000006</v>
      </c>
      <c r="AA446" s="42">
        <v>556.78</v>
      </c>
      <c r="AC446" s="19">
        <v>46.854599999999998</v>
      </c>
      <c r="AE446" s="19">
        <v>1</v>
      </c>
      <c r="AG446" s="23">
        <v>7.4141599999999999</v>
      </c>
      <c r="AI446" s="23">
        <v>8.7510300000000001</v>
      </c>
      <c r="AK446" s="19">
        <v>23.554400000000001</v>
      </c>
      <c r="AM446" s="19">
        <v>29.516300000000001</v>
      </c>
      <c r="AO446" s="23">
        <v>6.7301700000000002</v>
      </c>
      <c r="AP446" s="10"/>
    </row>
    <row r="447" spans="2:42" hidden="1" outlineLevel="1" x14ac:dyDescent="0.25">
      <c r="B447" s="21">
        <v>42795</v>
      </c>
      <c r="C447" s="27">
        <v>20.021529999999998</v>
      </c>
      <c r="E447" s="30">
        <v>0.94757599999999997</v>
      </c>
      <c r="G447" s="27">
        <v>15.468532</v>
      </c>
      <c r="I447" s="29">
        <v>6.9465500000000002</v>
      </c>
      <c r="K447" s="29">
        <v>3.1068750000000001</v>
      </c>
      <c r="M447" s="41">
        <v>650.21602499999995</v>
      </c>
      <c r="O447" s="26">
        <v>2924.2547549999999</v>
      </c>
      <c r="Q447" s="26">
        <v>5559.0800099999997</v>
      </c>
      <c r="S447" s="26">
        <v>1789.303623</v>
      </c>
      <c r="U447" s="29">
        <v>3.2629600000000001</v>
      </c>
      <c r="W447" s="14">
        <v>28.290459999999999</v>
      </c>
      <c r="Y447" s="29">
        <v>9.1058219999999999</v>
      </c>
      <c r="AA447" s="41">
        <v>558.80111499999998</v>
      </c>
      <c r="AC447" s="27">
        <v>47.072735999999999</v>
      </c>
      <c r="AE447" s="27">
        <v>1</v>
      </c>
      <c r="AG447" s="29">
        <v>7.3888800000000003</v>
      </c>
      <c r="AI447" s="29">
        <v>8.7707800000000002</v>
      </c>
      <c r="AK447" s="27">
        <v>23.594049999999999</v>
      </c>
      <c r="AM447" s="27">
        <v>29.617415999999999</v>
      </c>
      <c r="AO447" s="29">
        <v>6.7321949999999999</v>
      </c>
      <c r="AP447" s="11"/>
    </row>
    <row r="448" spans="2:42" hidden="1" outlineLevel="1" x14ac:dyDescent="0.25">
      <c r="B448" s="21">
        <v>42796</v>
      </c>
      <c r="C448" s="27">
        <v>19.875855000000001</v>
      </c>
      <c r="E448" s="30">
        <v>0.95005099999999998</v>
      </c>
      <c r="G448" s="27">
        <v>15.39058</v>
      </c>
      <c r="I448" s="29">
        <v>6.927975</v>
      </c>
      <c r="K448" s="29">
        <v>3.1070799999999998</v>
      </c>
      <c r="M448" s="41">
        <v>652.62968999999998</v>
      </c>
      <c r="O448" s="26">
        <v>2942.9067749999999</v>
      </c>
      <c r="Q448" s="26">
        <v>5526.2026299999998</v>
      </c>
      <c r="S448" s="26">
        <v>1778.603008</v>
      </c>
      <c r="U448" s="29">
        <v>3.2655449999999999</v>
      </c>
      <c r="W448" s="14">
        <v>28.236854999999998</v>
      </c>
      <c r="Y448" s="29">
        <v>9.087968</v>
      </c>
      <c r="AA448" s="41">
        <v>558.83658500000001</v>
      </c>
      <c r="AC448" s="27">
        <v>47.069650000000003</v>
      </c>
      <c r="AE448" s="27">
        <v>1</v>
      </c>
      <c r="AG448" s="29">
        <v>7.3745000000000003</v>
      </c>
      <c r="AI448" s="29">
        <v>8.7483249999999995</v>
      </c>
      <c r="AK448" s="27">
        <v>23.522645000000001</v>
      </c>
      <c r="AM448" s="27">
        <v>29.63279</v>
      </c>
      <c r="AO448" s="29">
        <v>6.719875</v>
      </c>
      <c r="AP448" s="11"/>
    </row>
    <row r="449" spans="2:42" hidden="1" outlineLevel="1" x14ac:dyDescent="0.25">
      <c r="B449" s="21">
        <v>42797</v>
      </c>
      <c r="C449" s="27">
        <v>19.85089</v>
      </c>
      <c r="E449" s="30">
        <v>0.94907799999999998</v>
      </c>
      <c r="G449" s="27">
        <v>15.419145</v>
      </c>
      <c r="I449" s="29">
        <v>6.9321250000000001</v>
      </c>
      <c r="K449" s="29">
        <v>3.1458249999999999</v>
      </c>
      <c r="M449" s="41">
        <v>655.85298</v>
      </c>
      <c r="O449" s="26">
        <v>2971.5388050000001</v>
      </c>
      <c r="Q449" s="26">
        <v>5480.5029100000002</v>
      </c>
      <c r="S449" s="26">
        <v>1742.169504</v>
      </c>
      <c r="U449" s="29">
        <v>3.2750249999999999</v>
      </c>
      <c r="W449" s="14">
        <v>28.228764999999999</v>
      </c>
      <c r="Y449" s="29">
        <v>8.9734750000000005</v>
      </c>
      <c r="AA449" s="41">
        <v>559.690515</v>
      </c>
      <c r="AC449" s="27">
        <v>47.097214999999998</v>
      </c>
      <c r="AE449" s="27">
        <v>1</v>
      </c>
      <c r="AG449" s="29">
        <v>7.3791250000000002</v>
      </c>
      <c r="AI449" s="29">
        <v>8.7526550000000007</v>
      </c>
      <c r="AK449" s="27">
        <v>23.525829999999999</v>
      </c>
      <c r="AM449" s="27">
        <v>29.609870000000001</v>
      </c>
      <c r="AO449" s="29">
        <v>6.7267349999999997</v>
      </c>
      <c r="AP449" s="11"/>
    </row>
    <row r="450" spans="2:42" hidden="1" outlineLevel="1" x14ac:dyDescent="0.25">
      <c r="B450" s="21">
        <v>42798</v>
      </c>
      <c r="C450" s="27">
        <v>19.513425000000002</v>
      </c>
      <c r="E450" s="30">
        <v>0.94145199999999996</v>
      </c>
      <c r="G450" s="27">
        <v>15.4335</v>
      </c>
      <c r="I450" s="29">
        <v>6.8752000000000004</v>
      </c>
      <c r="K450" s="29">
        <v>3.1161850000000002</v>
      </c>
      <c r="M450" s="41">
        <v>651.12</v>
      </c>
      <c r="O450" s="26">
        <v>2950.05</v>
      </c>
      <c r="Q450" s="26">
        <v>5423.3</v>
      </c>
      <c r="S450" s="26">
        <v>1740.395497</v>
      </c>
      <c r="U450" s="29">
        <v>3.2576999999999998</v>
      </c>
      <c r="W450" s="14">
        <v>27.952000000000002</v>
      </c>
      <c r="Y450" s="29">
        <v>8.9700830000000007</v>
      </c>
      <c r="AA450" s="41">
        <v>553.1</v>
      </c>
      <c r="AC450" s="27">
        <v>46.677500000000002</v>
      </c>
      <c r="AE450" s="27">
        <v>1</v>
      </c>
      <c r="AG450" s="29">
        <v>7.3156499999999998</v>
      </c>
      <c r="AI450" s="29">
        <v>8.6811000000000007</v>
      </c>
      <c r="AK450" s="27">
        <v>23.378499999999999</v>
      </c>
      <c r="AM450" s="27">
        <v>29.326499999999999</v>
      </c>
      <c r="AO450" s="29">
        <v>6.6669</v>
      </c>
      <c r="AP450" s="11"/>
    </row>
    <row r="451" spans="2:42" hidden="1" outlineLevel="1" x14ac:dyDescent="0.25">
      <c r="B451" s="21">
        <v>42799</v>
      </c>
      <c r="C451" s="27">
        <v>19.51323</v>
      </c>
      <c r="E451" s="30">
        <v>0.941438</v>
      </c>
      <c r="G451" s="27">
        <v>15.332635</v>
      </c>
      <c r="I451" s="29">
        <v>6.8750249999999999</v>
      </c>
      <c r="K451" s="29">
        <v>3.1178050000000002</v>
      </c>
      <c r="M451" s="41">
        <v>654.77469499999995</v>
      </c>
      <c r="O451" s="26">
        <v>2965.64806</v>
      </c>
      <c r="Q451" s="26">
        <v>5423.125035</v>
      </c>
      <c r="S451" s="26">
        <v>1739.449754</v>
      </c>
      <c r="U451" s="29">
        <v>3.2576299999999998</v>
      </c>
      <c r="W451" s="14">
        <v>27.9513</v>
      </c>
      <c r="Y451" s="29">
        <v>8.9652659999999997</v>
      </c>
      <c r="AA451" s="41">
        <v>553.08246999999994</v>
      </c>
      <c r="AC451" s="27">
        <v>46.676465</v>
      </c>
      <c r="AE451" s="27">
        <v>1</v>
      </c>
      <c r="AG451" s="29">
        <v>7.3154399999999997</v>
      </c>
      <c r="AI451" s="29">
        <v>8.6808549999999993</v>
      </c>
      <c r="AK451" s="27">
        <v>23.37781</v>
      </c>
      <c r="AM451" s="27">
        <v>29.325810000000001</v>
      </c>
      <c r="AO451" s="29">
        <v>6.66669</v>
      </c>
      <c r="AP451" s="11"/>
    </row>
    <row r="452" spans="2:42" hidden="1" outlineLevel="1" x14ac:dyDescent="0.25">
      <c r="B452" s="21">
        <v>42800</v>
      </c>
      <c r="C452" s="27">
        <v>19.541625</v>
      </c>
      <c r="E452" s="30">
        <v>0.94333800000000001</v>
      </c>
      <c r="G452" s="27">
        <v>15.432214999999999</v>
      </c>
      <c r="I452" s="29">
        <v>6.9038250000000003</v>
      </c>
      <c r="K452" s="29">
        <v>3.117715</v>
      </c>
      <c r="M452" s="41">
        <v>656.43667000000005</v>
      </c>
      <c r="O452" s="26">
        <v>2973.1757550000002</v>
      </c>
      <c r="Q452" s="26">
        <v>5444.8459949999997</v>
      </c>
      <c r="S452" s="26">
        <v>1746.4405879999999</v>
      </c>
      <c r="U452" s="29">
        <v>3.2752500000000002</v>
      </c>
      <c r="W452" s="14">
        <v>28.111640000000001</v>
      </c>
      <c r="Y452" s="29">
        <v>9.0168130000000009</v>
      </c>
      <c r="AA452" s="41">
        <v>557.01714500000003</v>
      </c>
      <c r="AC452" s="27">
        <v>46.978070000000002</v>
      </c>
      <c r="AE452" s="27">
        <v>1</v>
      </c>
      <c r="AG452" s="29">
        <v>7.3467750000000001</v>
      </c>
      <c r="AI452" s="29">
        <v>8.7177050000000005</v>
      </c>
      <c r="AK452" s="27">
        <v>23.464134999999999</v>
      </c>
      <c r="AM452" s="27">
        <v>29.473115</v>
      </c>
      <c r="AO452" s="29">
        <v>6.7109300000000003</v>
      </c>
      <c r="AP452" s="11"/>
    </row>
    <row r="453" spans="2:42" hidden="1" outlineLevel="1" x14ac:dyDescent="0.25">
      <c r="B453" s="21">
        <v>42801</v>
      </c>
      <c r="C453" s="27">
        <v>19.552990000000001</v>
      </c>
      <c r="E453" s="30">
        <v>0.94532700000000003</v>
      </c>
      <c r="G453" s="27">
        <v>15.496079999999999</v>
      </c>
      <c r="I453" s="29">
        <v>6.9330249999999998</v>
      </c>
      <c r="K453" s="29">
        <v>3.1304699999999999</v>
      </c>
      <c r="M453" s="41">
        <v>660.74226999999996</v>
      </c>
      <c r="O453" s="26">
        <v>2971.5770000000002</v>
      </c>
      <c r="Q453" s="26">
        <v>5440.1301000000003</v>
      </c>
      <c r="S453" s="26">
        <v>1737.8179640000001</v>
      </c>
      <c r="U453" s="29">
        <v>3.2886350000000002</v>
      </c>
      <c r="W453" s="14">
        <v>28.182075000000001</v>
      </c>
      <c r="Y453" s="29">
        <v>9.0025600000000008</v>
      </c>
      <c r="AA453" s="41">
        <v>561.27203999999995</v>
      </c>
      <c r="AC453" s="27">
        <v>47.114289999999997</v>
      </c>
      <c r="AE453" s="27">
        <v>1</v>
      </c>
      <c r="AG453" s="29">
        <v>7.3780349999999997</v>
      </c>
      <c r="AI453" s="29">
        <v>8.7535349999999994</v>
      </c>
      <c r="AK453" s="27">
        <v>23.540489999999998</v>
      </c>
      <c r="AM453" s="27">
        <v>29.586745000000001</v>
      </c>
      <c r="AO453" s="29">
        <v>6.7304899999999996</v>
      </c>
      <c r="AP453" s="11"/>
    </row>
    <row r="454" spans="2:42" hidden="1" outlineLevel="1" x14ac:dyDescent="0.25">
      <c r="B454" s="21">
        <v>42802</v>
      </c>
      <c r="C454" s="27">
        <v>19.543125</v>
      </c>
      <c r="E454" s="30">
        <v>0.94710000000000005</v>
      </c>
      <c r="G454" s="27">
        <v>15.583815</v>
      </c>
      <c r="I454" s="29">
        <v>6.9318400000000002</v>
      </c>
      <c r="K454" s="29">
        <v>3.1339700000000001</v>
      </c>
      <c r="M454" s="41">
        <v>661.78219000000001</v>
      </c>
      <c r="O454" s="26">
        <v>2966.3185699999999</v>
      </c>
      <c r="Q454" s="26">
        <v>5418.7523899999997</v>
      </c>
      <c r="S454" s="26">
        <v>1729.0562669999999</v>
      </c>
      <c r="U454" s="29">
        <v>3.2914349999999999</v>
      </c>
      <c r="W454" s="14">
        <v>28.2364</v>
      </c>
      <c r="Y454" s="29">
        <v>9.0098459999999996</v>
      </c>
      <c r="AA454" s="41">
        <v>561.26053999999999</v>
      </c>
      <c r="AC454" s="27">
        <v>47.119174999999998</v>
      </c>
      <c r="AE454" s="27">
        <v>1</v>
      </c>
      <c r="AG454" s="29">
        <v>7.3782750000000004</v>
      </c>
      <c r="AI454" s="29">
        <v>8.7514500000000002</v>
      </c>
      <c r="AK454" s="27">
        <v>23.519385</v>
      </c>
      <c r="AM454" s="27">
        <v>29.58633</v>
      </c>
      <c r="AO454" s="29">
        <v>6.7348249999999998</v>
      </c>
      <c r="AP454" s="11"/>
    </row>
    <row r="455" spans="2:42" hidden="1" outlineLevel="1" x14ac:dyDescent="0.25">
      <c r="B455" s="21">
        <v>42803</v>
      </c>
      <c r="C455" s="27">
        <v>19.730445</v>
      </c>
      <c r="E455" s="30">
        <v>0.94728000000000001</v>
      </c>
      <c r="G455" s="27">
        <v>15.613020000000001</v>
      </c>
      <c r="I455" s="29">
        <v>6.93811</v>
      </c>
      <c r="K455" s="29">
        <v>3.1704650000000001</v>
      </c>
      <c r="M455" s="41">
        <v>663.63116000000002</v>
      </c>
      <c r="O455" s="26">
        <v>2993.60133</v>
      </c>
      <c r="Q455" s="26">
        <v>5434.1000400000003</v>
      </c>
      <c r="S455" s="26">
        <v>1713.9940549999999</v>
      </c>
      <c r="U455" s="29">
        <v>3.2923849999999999</v>
      </c>
      <c r="W455" s="14">
        <v>28.354555000000001</v>
      </c>
      <c r="Y455" s="29">
        <v>8.9434020000000007</v>
      </c>
      <c r="AA455" s="41">
        <v>560.13733999999999</v>
      </c>
      <c r="AC455" s="27">
        <v>47.142915000000002</v>
      </c>
      <c r="AE455" s="27">
        <v>1</v>
      </c>
      <c r="AG455" s="29">
        <v>7.3837549999999998</v>
      </c>
      <c r="AI455" s="29">
        <v>8.7599750000000007</v>
      </c>
      <c r="AK455" s="27">
        <v>23.557880000000001</v>
      </c>
      <c r="AM455" s="27">
        <v>29.621169999999999</v>
      </c>
      <c r="AO455" s="29">
        <v>6.744275</v>
      </c>
      <c r="AP455" s="11"/>
    </row>
    <row r="456" spans="2:42" hidden="1" outlineLevel="1" x14ac:dyDescent="0.25">
      <c r="B456" s="21">
        <v>42804</v>
      </c>
      <c r="C456" s="27">
        <v>19.768255</v>
      </c>
      <c r="E456" s="30">
        <v>0.94187200000000004</v>
      </c>
      <c r="G456" s="27">
        <v>15.513685000000001</v>
      </c>
      <c r="I456" s="29">
        <v>6.9193600000000002</v>
      </c>
      <c r="K456" s="29">
        <v>3.1771349999999998</v>
      </c>
      <c r="M456" s="41">
        <v>663.84481000000005</v>
      </c>
      <c r="O456" s="26">
        <v>2987.7923249999999</v>
      </c>
      <c r="Q456" s="26">
        <v>5423.9140649999999</v>
      </c>
      <c r="S456" s="26">
        <v>1707.1890780000001</v>
      </c>
      <c r="U456" s="29">
        <v>3.2872949999999999</v>
      </c>
      <c r="W456" s="14">
        <v>28.335740000000001</v>
      </c>
      <c r="Y456" s="29">
        <v>8.9186979999999991</v>
      </c>
      <c r="AA456" s="41">
        <v>558.29111</v>
      </c>
      <c r="AC456" s="27">
        <v>47.083255000000001</v>
      </c>
      <c r="AE456" s="27">
        <v>1</v>
      </c>
      <c r="AG456" s="29">
        <v>7.3629449999999999</v>
      </c>
      <c r="AI456" s="29">
        <v>8.7363599999999995</v>
      </c>
      <c r="AK456" s="27">
        <v>23.505624999999998</v>
      </c>
      <c r="AM456" s="27">
        <v>29.552914999999999</v>
      </c>
      <c r="AO456" s="29">
        <v>6.7323599999999999</v>
      </c>
      <c r="AP456" s="11"/>
    </row>
    <row r="457" spans="2:42" hidden="1" outlineLevel="1" x14ac:dyDescent="0.25">
      <c r="B457" s="21">
        <v>42805</v>
      </c>
      <c r="C457" s="27">
        <v>19.608215000000001</v>
      </c>
      <c r="E457" s="30">
        <v>0.93686499999999995</v>
      </c>
      <c r="G457" s="27">
        <v>15.465870000000001</v>
      </c>
      <c r="I457" s="29">
        <v>6.8862500000000004</v>
      </c>
      <c r="K457" s="29">
        <v>3.1393800000000001</v>
      </c>
      <c r="M457" s="41">
        <v>663.9</v>
      </c>
      <c r="O457" s="26">
        <v>2981.5</v>
      </c>
      <c r="Q457" s="26">
        <v>5408.7</v>
      </c>
      <c r="S457" s="26">
        <v>1722.8878299999999</v>
      </c>
      <c r="U457" s="29">
        <v>3.2825000000000002</v>
      </c>
      <c r="W457" s="14">
        <v>28.106000000000002</v>
      </c>
      <c r="Y457" s="29">
        <v>8.9528700000000008</v>
      </c>
      <c r="AA457" s="41">
        <v>558.20500000000004</v>
      </c>
      <c r="AC457" s="27">
        <v>46.782499999999999</v>
      </c>
      <c r="AE457" s="27">
        <v>1</v>
      </c>
      <c r="AG457" s="29">
        <v>7.3294499999999996</v>
      </c>
      <c r="AI457" s="29">
        <v>8.6942500000000003</v>
      </c>
      <c r="AK457" s="27">
        <v>23.391500000000001</v>
      </c>
      <c r="AM457" s="27">
        <v>29.3735</v>
      </c>
      <c r="AO457" s="29">
        <v>6.6874500000000001</v>
      </c>
      <c r="AP457" s="11"/>
    </row>
    <row r="458" spans="2:42" hidden="1" outlineLevel="1" x14ac:dyDescent="0.25">
      <c r="B458" s="21">
        <v>42806</v>
      </c>
      <c r="C458" s="27">
        <v>19.608519999999999</v>
      </c>
      <c r="E458" s="30">
        <v>0.93683000000000005</v>
      </c>
      <c r="G458" s="27">
        <v>15.468489999999999</v>
      </c>
      <c r="I458" s="29">
        <v>6.8862500000000004</v>
      </c>
      <c r="K458" s="29">
        <v>3.1400899999999998</v>
      </c>
      <c r="M458" s="41">
        <v>663.9</v>
      </c>
      <c r="O458" s="26">
        <v>2981.5</v>
      </c>
      <c r="Q458" s="26">
        <v>5408.7</v>
      </c>
      <c r="S458" s="26">
        <v>1722.4903939999999</v>
      </c>
      <c r="U458" s="29">
        <v>3.2825000000000002</v>
      </c>
      <c r="W458" s="14">
        <v>28.106000000000002</v>
      </c>
      <c r="Y458" s="29">
        <v>8.9508100000000006</v>
      </c>
      <c r="AA458" s="41">
        <v>558.20500000000004</v>
      </c>
      <c r="AC458" s="27">
        <v>46.782499999999999</v>
      </c>
      <c r="AE458" s="27">
        <v>1</v>
      </c>
      <c r="AG458" s="29">
        <v>7.3294499999999996</v>
      </c>
      <c r="AI458" s="29">
        <v>8.6942500000000003</v>
      </c>
      <c r="AK458" s="27">
        <v>23.391500000000001</v>
      </c>
      <c r="AM458" s="27">
        <v>29.3735</v>
      </c>
      <c r="AO458" s="29">
        <v>6.6874500000000001</v>
      </c>
      <c r="AP458" s="11"/>
    </row>
    <row r="459" spans="2:42" hidden="1" outlineLevel="1" x14ac:dyDescent="0.25">
      <c r="B459" s="21">
        <v>42807</v>
      </c>
      <c r="C459" s="27">
        <v>19.59299</v>
      </c>
      <c r="E459" s="30">
        <v>0.93646600000000002</v>
      </c>
      <c r="G459" s="27">
        <v>15.466620000000001</v>
      </c>
      <c r="I459" s="29">
        <v>6.8964949999999998</v>
      </c>
      <c r="K459" s="29">
        <v>3.1443150000000002</v>
      </c>
      <c r="M459" s="41">
        <v>664.38264500000002</v>
      </c>
      <c r="O459" s="26">
        <v>2981.3634699999998</v>
      </c>
      <c r="Q459" s="26">
        <v>5412.0376500000002</v>
      </c>
      <c r="S459" s="26">
        <v>1721.230949</v>
      </c>
      <c r="U459" s="29">
        <v>3.2766950000000001</v>
      </c>
      <c r="W459" s="14">
        <v>28.187014999999999</v>
      </c>
      <c r="Y459" s="29">
        <v>8.9644960000000005</v>
      </c>
      <c r="AA459" s="41">
        <v>558.91935000000001</v>
      </c>
      <c r="AC459" s="27">
        <v>46.952199999999998</v>
      </c>
      <c r="AE459" s="27">
        <v>1</v>
      </c>
      <c r="AG459" s="29">
        <v>7.3373249999999999</v>
      </c>
      <c r="AI459" s="29">
        <v>8.7074999999999996</v>
      </c>
      <c r="AK459" s="27">
        <v>23.435224999999999</v>
      </c>
      <c r="AM459" s="27">
        <v>29.444355000000002</v>
      </c>
      <c r="AO459" s="29">
        <v>6.7004099999999998</v>
      </c>
      <c r="AP459" s="11"/>
    </row>
    <row r="460" spans="2:42" hidden="1" outlineLevel="1" x14ac:dyDescent="0.25">
      <c r="B460" s="21">
        <v>42808</v>
      </c>
      <c r="C460" s="27">
        <v>19.637965000000001</v>
      </c>
      <c r="E460" s="30">
        <v>0.939805</v>
      </c>
      <c r="G460" s="27">
        <v>15.522575</v>
      </c>
      <c r="I460" s="29">
        <v>6.9345800000000004</v>
      </c>
      <c r="K460" s="29">
        <v>3.1583800000000002</v>
      </c>
      <c r="M460" s="41">
        <v>667.68744500000003</v>
      </c>
      <c r="O460" s="26">
        <v>2987.7398250000001</v>
      </c>
      <c r="Q460" s="26">
        <v>5437.4426450000001</v>
      </c>
      <c r="S460" s="26">
        <v>1721.6105239999999</v>
      </c>
      <c r="U460" s="29">
        <v>3.2862650000000002</v>
      </c>
      <c r="W460" s="14">
        <v>28.390499999999999</v>
      </c>
      <c r="Y460" s="29">
        <v>8.9890039999999996</v>
      </c>
      <c r="AA460" s="41">
        <v>560.14013</v>
      </c>
      <c r="AC460" s="27">
        <v>47.199575000000003</v>
      </c>
      <c r="AE460" s="27">
        <v>1</v>
      </c>
      <c r="AG460" s="29">
        <v>7.3741300000000001</v>
      </c>
      <c r="AI460" s="29">
        <v>8.7549700000000001</v>
      </c>
      <c r="AK460" s="27">
        <v>23.545755</v>
      </c>
      <c r="AM460" s="27">
        <v>29.632375</v>
      </c>
      <c r="AO460" s="29">
        <v>6.7360350000000002</v>
      </c>
      <c r="AP460" s="11"/>
    </row>
    <row r="461" spans="2:42" hidden="1" outlineLevel="1" x14ac:dyDescent="0.25">
      <c r="B461" s="21">
        <v>42809</v>
      </c>
      <c r="C461" s="27">
        <v>19.563569999999999</v>
      </c>
      <c r="E461" s="30">
        <v>0.94058799999999998</v>
      </c>
      <c r="G461" s="27">
        <v>15.548125000000001</v>
      </c>
      <c r="I461" s="29">
        <v>6.9367999999999999</v>
      </c>
      <c r="K461" s="29">
        <v>3.158315</v>
      </c>
      <c r="M461" s="41">
        <v>669.09205499999996</v>
      </c>
      <c r="O461" s="26">
        <v>2986.3515849999999</v>
      </c>
      <c r="Q461" s="26">
        <v>5458.3203149999999</v>
      </c>
      <c r="S461" s="26">
        <v>1728.2564520000001</v>
      </c>
      <c r="U461" s="29">
        <v>3.2791049999999999</v>
      </c>
      <c r="W461" s="14">
        <v>28.376225000000002</v>
      </c>
      <c r="Y461" s="29">
        <v>8.9846800000000009</v>
      </c>
      <c r="AA461" s="41">
        <v>557.78877</v>
      </c>
      <c r="AC461" s="27">
        <v>47.170580000000001</v>
      </c>
      <c r="AE461" s="27">
        <v>1</v>
      </c>
      <c r="AG461" s="29">
        <v>7.3793800000000003</v>
      </c>
      <c r="AI461" s="29">
        <v>8.7582350000000009</v>
      </c>
      <c r="AK461" s="27">
        <v>23.539909999999999</v>
      </c>
      <c r="AM461" s="27">
        <v>29.622755000000002</v>
      </c>
      <c r="AO461" s="29">
        <v>6.7374299999999998</v>
      </c>
      <c r="AP461" s="11"/>
    </row>
    <row r="462" spans="2:42" hidden="1" outlineLevel="1" x14ac:dyDescent="0.25">
      <c r="B462" s="21">
        <v>42810</v>
      </c>
      <c r="C462" s="27">
        <v>19.193764999999999</v>
      </c>
      <c r="E462" s="30">
        <v>0.93188400000000005</v>
      </c>
      <c r="G462" s="27">
        <v>15.547905</v>
      </c>
      <c r="I462" s="29">
        <v>6.886825</v>
      </c>
      <c r="K462" s="29">
        <v>3.1068850000000001</v>
      </c>
      <c r="M462" s="41">
        <v>664.39014499999996</v>
      </c>
      <c r="O462" s="26">
        <v>2957.9683100000002</v>
      </c>
      <c r="Q462" s="26">
        <v>5458.8219099999997</v>
      </c>
      <c r="S462" s="26">
        <v>1757.0269450000001</v>
      </c>
      <c r="U462" s="29">
        <v>3.251795</v>
      </c>
      <c r="W462" s="14">
        <v>28.122129999999999</v>
      </c>
      <c r="Y462" s="29">
        <v>9.0516120000000004</v>
      </c>
      <c r="AA462" s="41">
        <v>553.58572500000002</v>
      </c>
      <c r="AC462" s="27">
        <v>46.926270000000002</v>
      </c>
      <c r="AE462" s="27">
        <v>1</v>
      </c>
      <c r="AG462" s="29">
        <v>7.3269799999999998</v>
      </c>
      <c r="AI462" s="29">
        <v>8.6952800000000003</v>
      </c>
      <c r="AK462" s="27">
        <v>23.349039999999999</v>
      </c>
      <c r="AM462" s="27">
        <v>29.421765000000001</v>
      </c>
      <c r="AO462" s="29">
        <v>6.7005100000000004</v>
      </c>
      <c r="AP462" s="11"/>
    </row>
    <row r="463" spans="2:42" hidden="1" outlineLevel="1" x14ac:dyDescent="0.25">
      <c r="B463" s="21">
        <v>42811</v>
      </c>
      <c r="C463" s="27">
        <v>19.196664999999999</v>
      </c>
      <c r="E463" s="30">
        <v>0.92945900000000004</v>
      </c>
      <c r="G463" s="27">
        <v>15.546334999999999</v>
      </c>
      <c r="I463" s="29">
        <v>6.9135549999999997</v>
      </c>
      <c r="K463" s="29">
        <v>3.113845</v>
      </c>
      <c r="M463" s="41">
        <v>661.31153500000005</v>
      </c>
      <c r="O463" s="26">
        <v>2933.2189050000002</v>
      </c>
      <c r="Q463" s="26">
        <v>5504.8685050000004</v>
      </c>
      <c r="S463" s="26">
        <v>1767.8879420000001</v>
      </c>
      <c r="U463" s="29">
        <v>3.2474850000000002</v>
      </c>
      <c r="W463" s="14">
        <v>28.206900000000001</v>
      </c>
      <c r="Y463" s="29">
        <v>9.0586059999999993</v>
      </c>
      <c r="AA463" s="41">
        <v>556.377565</v>
      </c>
      <c r="AC463" s="27">
        <v>47.034525000000002</v>
      </c>
      <c r="AE463" s="27">
        <v>1</v>
      </c>
      <c r="AG463" s="29">
        <v>7.3485300000000002</v>
      </c>
      <c r="AI463" s="29">
        <v>8.7291249999999998</v>
      </c>
      <c r="AK463" s="27">
        <v>23.490390000000001</v>
      </c>
      <c r="AM463" s="27">
        <v>29.527069999999998</v>
      </c>
      <c r="AO463" s="29">
        <v>6.7171149999999997</v>
      </c>
      <c r="AP463" s="11"/>
    </row>
    <row r="464" spans="2:42" hidden="1" outlineLevel="1" x14ac:dyDescent="0.25">
      <c r="B464" s="21">
        <v>42812</v>
      </c>
      <c r="C464" s="27">
        <v>19.077964999999999</v>
      </c>
      <c r="E464" s="30">
        <v>0.93125899999999995</v>
      </c>
      <c r="G464" s="27">
        <v>15.558325</v>
      </c>
      <c r="I464" s="29">
        <v>6.9278500000000003</v>
      </c>
      <c r="K464" s="29">
        <v>3.0914549999999998</v>
      </c>
      <c r="M464" s="41">
        <v>661.14499999999998</v>
      </c>
      <c r="O464" s="26">
        <v>2922.05</v>
      </c>
      <c r="Q464" s="26">
        <v>5515.35</v>
      </c>
      <c r="S464" s="26">
        <v>1784.10744</v>
      </c>
      <c r="U464" s="29">
        <v>3.2524000000000002</v>
      </c>
      <c r="W464" s="14">
        <v>28.236000000000001</v>
      </c>
      <c r="Y464" s="29">
        <v>9.1337700000000002</v>
      </c>
      <c r="AA464" s="41">
        <v>559.04</v>
      </c>
      <c r="AC464" s="27">
        <v>47.064999999999998</v>
      </c>
      <c r="AE464" s="27">
        <v>1</v>
      </c>
      <c r="AG464" s="29">
        <v>7.3576499999999996</v>
      </c>
      <c r="AI464" s="29">
        <v>8.7470999999999997</v>
      </c>
      <c r="AK464" s="27">
        <v>23.532499999999999</v>
      </c>
      <c r="AM464" s="27">
        <v>29.570499999999999</v>
      </c>
      <c r="AO464" s="29">
        <v>6.7279</v>
      </c>
      <c r="AP464" s="11"/>
    </row>
    <row r="465" spans="2:42" hidden="1" outlineLevel="1" x14ac:dyDescent="0.25">
      <c r="B465" s="21">
        <v>42813</v>
      </c>
      <c r="C465" s="27">
        <v>19.077964999999999</v>
      </c>
      <c r="E465" s="30">
        <v>0.93125899999999995</v>
      </c>
      <c r="G465" s="27">
        <v>15.537269999999999</v>
      </c>
      <c r="I465" s="29">
        <v>6.9278500000000003</v>
      </c>
      <c r="K465" s="29">
        <v>3.0919300000000001</v>
      </c>
      <c r="M465" s="41">
        <v>662.1</v>
      </c>
      <c r="O465" s="26">
        <v>2914.25</v>
      </c>
      <c r="Q465" s="26">
        <v>5515.35</v>
      </c>
      <c r="S465" s="26">
        <v>1783.814568</v>
      </c>
      <c r="U465" s="29">
        <v>3.2524000000000002</v>
      </c>
      <c r="W465" s="14">
        <v>28.236000000000001</v>
      </c>
      <c r="Y465" s="29">
        <v>9.1322799999999997</v>
      </c>
      <c r="AA465" s="41">
        <v>559.04</v>
      </c>
      <c r="AC465" s="27">
        <v>47.064999999999998</v>
      </c>
      <c r="AE465" s="27">
        <v>1</v>
      </c>
      <c r="AG465" s="29">
        <v>7.3576499999999996</v>
      </c>
      <c r="AI465" s="29">
        <v>8.7470999999999997</v>
      </c>
      <c r="AK465" s="27">
        <v>23.532499999999999</v>
      </c>
      <c r="AM465" s="27">
        <v>29.570499999999999</v>
      </c>
      <c r="AO465" s="29">
        <v>6.7279</v>
      </c>
      <c r="AP465" s="11"/>
    </row>
    <row r="466" spans="2:42" hidden="1" outlineLevel="1" x14ac:dyDescent="0.25">
      <c r="B466" s="21">
        <v>42814</v>
      </c>
      <c r="C466" s="27">
        <v>19.082184999999999</v>
      </c>
      <c r="E466" s="30">
        <v>0.93003400000000003</v>
      </c>
      <c r="G466" s="27">
        <v>15.569865</v>
      </c>
      <c r="I466" s="29">
        <v>6.9218099999999998</v>
      </c>
      <c r="K466" s="29">
        <v>3.0881449999999999</v>
      </c>
      <c r="M466" s="41">
        <v>661.34236999999996</v>
      </c>
      <c r="O466" s="26">
        <v>2914.0486999999998</v>
      </c>
      <c r="Q466" s="26">
        <v>5510.8937050000004</v>
      </c>
      <c r="S466" s="26">
        <v>1784.5498250000001</v>
      </c>
      <c r="U466" s="29">
        <v>3.2487349999999999</v>
      </c>
      <c r="W466" s="14">
        <v>28.195025000000001</v>
      </c>
      <c r="Y466" s="29">
        <v>9.1301480000000002</v>
      </c>
      <c r="AA466" s="41">
        <v>556.83073999999999</v>
      </c>
      <c r="AC466" s="27">
        <v>47.10454</v>
      </c>
      <c r="AE466" s="27">
        <v>1</v>
      </c>
      <c r="AG466" s="29">
        <v>7.3449549999999997</v>
      </c>
      <c r="AI466" s="29">
        <v>8.7384500000000003</v>
      </c>
      <c r="AK466" s="27">
        <v>23.509464999999999</v>
      </c>
      <c r="AM466" s="27">
        <v>29.543765</v>
      </c>
      <c r="AO466" s="29">
        <v>6.7254050000000003</v>
      </c>
      <c r="AP466" s="11"/>
    </row>
    <row r="467" spans="2:42" hidden="1" outlineLevel="1" x14ac:dyDescent="0.25">
      <c r="B467" s="21">
        <v>42815</v>
      </c>
      <c r="C467" s="27">
        <v>19.02929</v>
      </c>
      <c r="E467" s="30">
        <v>0.927454</v>
      </c>
      <c r="G467" s="27">
        <v>15.626725</v>
      </c>
      <c r="I467" s="29">
        <v>6.9286300000000001</v>
      </c>
      <c r="K467" s="29">
        <v>3.075135</v>
      </c>
      <c r="M467" s="41">
        <v>659.35705499999995</v>
      </c>
      <c r="O467" s="26">
        <v>2910.9917399999999</v>
      </c>
      <c r="Q467" s="26">
        <v>5520.2684099999997</v>
      </c>
      <c r="S467" s="26">
        <v>1795.149527</v>
      </c>
      <c r="U467" s="29">
        <v>3.2468249999999999</v>
      </c>
      <c r="W467" s="14">
        <v>28.210419999999999</v>
      </c>
      <c r="Y467" s="29">
        <v>9.1737780000000004</v>
      </c>
      <c r="AA467" s="41">
        <v>556.23685</v>
      </c>
      <c r="AC467" s="27">
        <v>47.243099999999998</v>
      </c>
      <c r="AE467" s="27">
        <v>1</v>
      </c>
      <c r="AG467" s="29">
        <v>7.3404249999999998</v>
      </c>
      <c r="AI467" s="29">
        <v>8.7478049999999996</v>
      </c>
      <c r="AK467" s="27">
        <v>23.531205</v>
      </c>
      <c r="AM467" s="27">
        <v>29.631844999999998</v>
      </c>
      <c r="AO467" s="29">
        <v>6.7384599999999999</v>
      </c>
      <c r="AP467" s="11"/>
    </row>
    <row r="468" spans="2:42" hidden="1" outlineLevel="1" x14ac:dyDescent="0.25">
      <c r="B468" s="21">
        <v>42816</v>
      </c>
      <c r="C468" s="27">
        <v>19.122350000000001</v>
      </c>
      <c r="E468" s="30">
        <v>0.92586999999999997</v>
      </c>
      <c r="G468" s="27">
        <v>15.616960000000001</v>
      </c>
      <c r="I468" s="29">
        <v>6.9390799999999997</v>
      </c>
      <c r="K468" s="29">
        <v>3.09002</v>
      </c>
      <c r="M468" s="41">
        <v>660.44898000000001</v>
      </c>
      <c r="O468" s="26">
        <v>2918.0107750000002</v>
      </c>
      <c r="Q468" s="26">
        <v>5537.8759</v>
      </c>
      <c r="S468" s="26">
        <v>1792.19967</v>
      </c>
      <c r="U468" s="29">
        <v>3.2499750000000001</v>
      </c>
      <c r="W468" s="14">
        <v>28.244344999999999</v>
      </c>
      <c r="Y468" s="29">
        <v>9.1405619999999992</v>
      </c>
      <c r="AA468" s="41">
        <v>558.74728500000003</v>
      </c>
      <c r="AC468" s="27">
        <v>47.286949999999997</v>
      </c>
      <c r="AE468" s="27">
        <v>1</v>
      </c>
      <c r="AG468" s="29">
        <v>7.3464850000000004</v>
      </c>
      <c r="AI468" s="29">
        <v>8.7538549999999997</v>
      </c>
      <c r="AK468" s="27">
        <v>23.55734</v>
      </c>
      <c r="AM468" s="27">
        <v>29.573505000000001</v>
      </c>
      <c r="AO468" s="29">
        <v>6.7454400000000003</v>
      </c>
      <c r="AP468" s="11"/>
    </row>
    <row r="469" spans="2:42" hidden="1" outlineLevel="1" x14ac:dyDescent="0.25">
      <c r="B469" s="21">
        <v>42817</v>
      </c>
      <c r="C469" s="27">
        <v>19.000715</v>
      </c>
      <c r="E469" s="30">
        <v>0.92702899999999999</v>
      </c>
      <c r="G469" s="27">
        <v>15.62196</v>
      </c>
      <c r="I469" s="29">
        <v>6.9403449999999998</v>
      </c>
      <c r="K469" s="29">
        <v>3.1018249999999998</v>
      </c>
      <c r="M469" s="41">
        <v>661.92043999999999</v>
      </c>
      <c r="O469" s="26">
        <v>2917.7435999999998</v>
      </c>
      <c r="Q469" s="26">
        <v>5568.1740049999999</v>
      </c>
      <c r="S469" s="26">
        <v>1795.1476339999999</v>
      </c>
      <c r="U469" s="29">
        <v>3.2481450000000001</v>
      </c>
      <c r="W469" s="14">
        <v>28.214790000000001</v>
      </c>
      <c r="Y469" s="29">
        <v>9.0962549999999993</v>
      </c>
      <c r="AA469" s="41">
        <v>558.15704000000005</v>
      </c>
      <c r="AC469" s="27">
        <v>47.201805</v>
      </c>
      <c r="AE469" s="27">
        <v>1</v>
      </c>
      <c r="AG469" s="29">
        <v>7.3500100000000002</v>
      </c>
      <c r="AI469" s="29">
        <v>8.7510549999999991</v>
      </c>
      <c r="AK469" s="27">
        <v>23.542770000000001</v>
      </c>
      <c r="AM469" s="27">
        <v>29.545214999999999</v>
      </c>
      <c r="AO469" s="29">
        <v>6.7357699999999996</v>
      </c>
      <c r="AP469" s="11"/>
    </row>
    <row r="470" spans="2:42" hidden="1" outlineLevel="1" x14ac:dyDescent="0.25">
      <c r="B470" s="21">
        <v>42818</v>
      </c>
      <c r="C470" s="27">
        <v>18.899159999999998</v>
      </c>
      <c r="E470" s="30">
        <v>0.92693400000000004</v>
      </c>
      <c r="G470" s="27">
        <v>15.6036</v>
      </c>
      <c r="I470" s="29">
        <v>6.9368049999999997</v>
      </c>
      <c r="K470" s="29">
        <v>3.1323050000000001</v>
      </c>
      <c r="M470" s="41">
        <v>661.12642000000005</v>
      </c>
      <c r="O470" s="26">
        <v>2911.6727799999999</v>
      </c>
      <c r="Q470" s="26">
        <v>5603.0353699999996</v>
      </c>
      <c r="S470" s="26">
        <v>1788.807726</v>
      </c>
      <c r="U470" s="29">
        <v>3.2466149999999998</v>
      </c>
      <c r="W470" s="14">
        <v>28.20975</v>
      </c>
      <c r="Y470" s="29">
        <v>9.0061359999999997</v>
      </c>
      <c r="AA470" s="41">
        <v>556.29745000000003</v>
      </c>
      <c r="AC470" s="27">
        <v>47.18242</v>
      </c>
      <c r="AE470" s="27">
        <v>1</v>
      </c>
      <c r="AG470" s="29">
        <v>7.3488199999999999</v>
      </c>
      <c r="AI470" s="29">
        <v>8.7580249999999999</v>
      </c>
      <c r="AK470" s="27">
        <v>23.548715000000001</v>
      </c>
      <c r="AM470" s="27">
        <v>29.623419999999999</v>
      </c>
      <c r="AO470" s="29">
        <v>6.7499900000000004</v>
      </c>
      <c r="AP470" s="11"/>
    </row>
    <row r="471" spans="2:42" hidden="1" outlineLevel="1" x14ac:dyDescent="0.25">
      <c r="B471" s="21">
        <v>42819</v>
      </c>
      <c r="C471" s="27">
        <v>18.758220000000001</v>
      </c>
      <c r="E471" s="30">
        <v>0.92612799999999995</v>
      </c>
      <c r="G471" s="27">
        <v>15.614165</v>
      </c>
      <c r="I471" s="29">
        <v>6.9344000000000001</v>
      </c>
      <c r="K471" s="29">
        <v>3.1080950000000001</v>
      </c>
      <c r="M471" s="41">
        <v>663.18196</v>
      </c>
      <c r="O471" s="26">
        <v>2919.1754299999998</v>
      </c>
      <c r="Q471" s="26">
        <v>5604.15</v>
      </c>
      <c r="S471" s="26">
        <v>1803.1232520000001</v>
      </c>
      <c r="U471" s="29">
        <v>3.2488000000000001</v>
      </c>
      <c r="W471" s="14">
        <v>28.142499999999998</v>
      </c>
      <c r="Y471" s="29">
        <v>9.0547730000000008</v>
      </c>
      <c r="AA471" s="41">
        <v>556.1</v>
      </c>
      <c r="AC471" s="27">
        <v>47.49</v>
      </c>
      <c r="AE471" s="27">
        <v>1</v>
      </c>
      <c r="AG471" s="29">
        <v>7.3487</v>
      </c>
      <c r="AI471" s="29">
        <v>8.7552000000000003</v>
      </c>
      <c r="AK471" s="27">
        <v>23.535</v>
      </c>
      <c r="AM471" s="27">
        <v>29.599</v>
      </c>
      <c r="AO471" s="29">
        <v>6.7343000000000002</v>
      </c>
      <c r="AP471" s="11"/>
    </row>
    <row r="472" spans="2:42" hidden="1" outlineLevel="1" x14ac:dyDescent="0.25">
      <c r="B472" s="21">
        <v>42820</v>
      </c>
      <c r="C472" s="27">
        <v>18.758220000000001</v>
      </c>
      <c r="E472" s="30">
        <v>0.92612799999999995</v>
      </c>
      <c r="G472" s="27">
        <v>15.603695</v>
      </c>
      <c r="I472" s="29">
        <v>6.9344000000000001</v>
      </c>
      <c r="K472" s="29">
        <v>3.1080549999999998</v>
      </c>
      <c r="M472" s="41">
        <v>659.7</v>
      </c>
      <c r="O472" s="26">
        <v>2897.94</v>
      </c>
      <c r="Q472" s="26">
        <v>5604.15</v>
      </c>
      <c r="S472" s="26">
        <v>1803.124722</v>
      </c>
      <c r="U472" s="29">
        <v>3.2488000000000001</v>
      </c>
      <c r="W472" s="14">
        <v>28.142499999999998</v>
      </c>
      <c r="Y472" s="29">
        <v>9.0547889999999995</v>
      </c>
      <c r="AA472" s="41">
        <v>556.1</v>
      </c>
      <c r="AC472" s="27">
        <v>47.49</v>
      </c>
      <c r="AE472" s="27">
        <v>1</v>
      </c>
      <c r="AG472" s="29">
        <v>7.3487</v>
      </c>
      <c r="AI472" s="29">
        <v>8.7552000000000003</v>
      </c>
      <c r="AK472" s="27">
        <v>23.535</v>
      </c>
      <c r="AM472" s="27">
        <v>29.599</v>
      </c>
      <c r="AO472" s="29">
        <v>6.7343000000000002</v>
      </c>
      <c r="AP472" s="11"/>
    </row>
    <row r="473" spans="2:42" hidden="1" outlineLevel="1" x14ac:dyDescent="0.25">
      <c r="B473" s="21">
        <v>42821</v>
      </c>
      <c r="C473" s="27">
        <v>18.821300000000001</v>
      </c>
      <c r="E473" s="30">
        <v>0.92072600000000004</v>
      </c>
      <c r="G473" s="27">
        <v>15.575945000000001</v>
      </c>
      <c r="I473" s="29">
        <v>6.9133750000000003</v>
      </c>
      <c r="K473" s="29">
        <v>3.116425</v>
      </c>
      <c r="M473" s="41">
        <v>661.85795499999995</v>
      </c>
      <c r="O473" s="26">
        <v>2903.7844599999999</v>
      </c>
      <c r="Q473" s="26">
        <v>5573.9813549999999</v>
      </c>
      <c r="S473" s="26">
        <v>1788.6028080000001</v>
      </c>
      <c r="U473" s="29">
        <v>3.2396500000000001</v>
      </c>
      <c r="W473" s="14">
        <v>28.048185</v>
      </c>
      <c r="Y473" s="29">
        <v>9.0002119999999994</v>
      </c>
      <c r="AA473" s="41">
        <v>554.43041000000005</v>
      </c>
      <c r="AC473" s="27">
        <v>47.282249999999998</v>
      </c>
      <c r="AE473" s="27">
        <v>1</v>
      </c>
      <c r="AG473" s="29">
        <v>7.3266499999999999</v>
      </c>
      <c r="AI473" s="29">
        <v>8.7287750000000006</v>
      </c>
      <c r="AK473" s="27">
        <v>23.454499999999999</v>
      </c>
      <c r="AM473" s="27">
        <v>29.538360000000001</v>
      </c>
      <c r="AO473" s="29">
        <v>6.7138749999999998</v>
      </c>
      <c r="AP473" s="11"/>
    </row>
    <row r="474" spans="2:42" hidden="1" outlineLevel="1" x14ac:dyDescent="0.25">
      <c r="B474" s="21">
        <v>42822</v>
      </c>
      <c r="C474" s="27">
        <v>18.890125000000001</v>
      </c>
      <c r="E474" s="30">
        <v>0.92145100000000002</v>
      </c>
      <c r="G474" s="27">
        <v>15.58046</v>
      </c>
      <c r="I474" s="29">
        <v>6.9236500000000003</v>
      </c>
      <c r="K474" s="29">
        <v>3.1297899999999998</v>
      </c>
      <c r="M474" s="41">
        <v>665.09636</v>
      </c>
      <c r="O474" s="26">
        <v>2916.0053950000001</v>
      </c>
      <c r="Q474" s="26">
        <v>5604.7460549999996</v>
      </c>
      <c r="S474" s="26">
        <v>1790.7918199999999</v>
      </c>
      <c r="U474" s="29">
        <v>3.2450649999999999</v>
      </c>
      <c r="W474" s="14">
        <v>28.250665000000001</v>
      </c>
      <c r="Y474" s="29">
        <v>9.0264439999999997</v>
      </c>
      <c r="AA474" s="41">
        <v>555.91322000000002</v>
      </c>
      <c r="AC474" s="27">
        <v>47.153885000000002</v>
      </c>
      <c r="AE474" s="27">
        <v>1</v>
      </c>
      <c r="AG474" s="29">
        <v>7.345745</v>
      </c>
      <c r="AI474" s="29">
        <v>8.7524200000000008</v>
      </c>
      <c r="AK474" s="27">
        <v>23.48113</v>
      </c>
      <c r="AM474" s="27">
        <v>29.600100000000001</v>
      </c>
      <c r="AO474" s="29">
        <v>6.7356499999999997</v>
      </c>
      <c r="AP474" s="11"/>
    </row>
    <row r="475" spans="2:42" hidden="1" outlineLevel="1" x14ac:dyDescent="0.25">
      <c r="B475" s="21">
        <v>42823</v>
      </c>
      <c r="C475" s="27">
        <v>18.93092</v>
      </c>
      <c r="E475" s="30">
        <v>0.92701999999999996</v>
      </c>
      <c r="G475" s="27">
        <v>15.541445</v>
      </c>
      <c r="I475" s="29">
        <v>6.932385</v>
      </c>
      <c r="K475" s="29">
        <v>3.13307</v>
      </c>
      <c r="M475" s="41">
        <v>665.21142499999996</v>
      </c>
      <c r="O475" s="26">
        <v>2909.7065299999999</v>
      </c>
      <c r="Q475" s="26">
        <v>5666.0627299999996</v>
      </c>
      <c r="S475" s="26">
        <v>1808.4881700000001</v>
      </c>
      <c r="U475" s="29">
        <v>3.2500849999999999</v>
      </c>
      <c r="W475" s="14">
        <v>28.50271</v>
      </c>
      <c r="Y475" s="29">
        <v>9.0974419999999991</v>
      </c>
      <c r="AA475" s="41">
        <v>556.86415499999998</v>
      </c>
      <c r="AC475" s="27">
        <v>47.239244999999997</v>
      </c>
      <c r="AE475" s="27">
        <v>1</v>
      </c>
      <c r="AG475" s="29">
        <v>7.3533400000000002</v>
      </c>
      <c r="AI475" s="29">
        <v>8.7677899999999998</v>
      </c>
      <c r="AK475" s="27">
        <v>23.476915000000002</v>
      </c>
      <c r="AM475" s="27">
        <v>29.649125000000002</v>
      </c>
      <c r="AO475" s="29">
        <v>6.7390800000000004</v>
      </c>
      <c r="AP475" s="11"/>
    </row>
    <row r="476" spans="2:42" hidden="1" outlineLevel="1" x14ac:dyDescent="0.25">
      <c r="B476" s="21">
        <v>42824</v>
      </c>
      <c r="C476" s="27">
        <v>18.713439999999999</v>
      </c>
      <c r="E476" s="30">
        <v>0.93141600000000002</v>
      </c>
      <c r="G476" s="27">
        <v>15.410285</v>
      </c>
      <c r="I476" s="29">
        <v>6.9395049999999996</v>
      </c>
      <c r="K476" s="29">
        <v>3.1262850000000002</v>
      </c>
      <c r="M476" s="41">
        <v>664.58117000000004</v>
      </c>
      <c r="O476" s="26">
        <v>2891.5184300000001</v>
      </c>
      <c r="Q476" s="26">
        <v>5709.405925</v>
      </c>
      <c r="S476" s="26">
        <v>1826.277458</v>
      </c>
      <c r="U476" s="29">
        <v>3.24621</v>
      </c>
      <c r="W476" s="14">
        <v>28.529675000000001</v>
      </c>
      <c r="Y476" s="29">
        <v>9.1258099999999995</v>
      </c>
      <c r="AA476" s="41">
        <v>556.79849000000002</v>
      </c>
      <c r="AC476" s="27">
        <v>47.226585</v>
      </c>
      <c r="AE476" s="27">
        <v>1</v>
      </c>
      <c r="AG476" s="29">
        <v>7.3430650000000002</v>
      </c>
      <c r="AI476" s="29">
        <v>8.7625250000000001</v>
      </c>
      <c r="AK476" s="27">
        <v>23.423684999999999</v>
      </c>
      <c r="AM476" s="27">
        <v>29.637060000000002</v>
      </c>
      <c r="AO476" s="29">
        <v>6.7407599999999999</v>
      </c>
      <c r="AP476" s="12"/>
    </row>
    <row r="477" spans="2:42" hidden="1" outlineLevel="1" x14ac:dyDescent="0.25">
      <c r="B477" s="21">
        <v>42825</v>
      </c>
      <c r="C477" s="49">
        <v>18.707899999999999</v>
      </c>
      <c r="E477" s="30">
        <v>0.93612799999999996</v>
      </c>
      <c r="G477" s="27">
        <v>15.40964</v>
      </c>
      <c r="I477" s="29">
        <v>6.9498699999999998</v>
      </c>
      <c r="K477" s="29">
        <v>3.1482800000000002</v>
      </c>
      <c r="M477" s="41">
        <v>662.70723499999997</v>
      </c>
      <c r="O477" s="26">
        <v>2885.0737450000001</v>
      </c>
      <c r="Q477" s="26">
        <v>5765.76847</v>
      </c>
      <c r="S477" s="26">
        <v>1831.4220359999999</v>
      </c>
      <c r="U477" s="29">
        <v>3.2544149999999998</v>
      </c>
      <c r="W477" s="14">
        <v>28.630210000000002</v>
      </c>
      <c r="Y477" s="29">
        <v>9.0939940000000004</v>
      </c>
      <c r="AA477" s="41">
        <v>558.12978999999996</v>
      </c>
      <c r="AC477" s="27">
        <v>47.267679999999999</v>
      </c>
      <c r="AE477" s="27">
        <v>1</v>
      </c>
      <c r="AG477" s="29">
        <v>7.3560650000000001</v>
      </c>
      <c r="AI477" s="29">
        <v>8.7756699999999999</v>
      </c>
      <c r="AK477" s="27">
        <v>23.420850000000002</v>
      </c>
      <c r="AM477" s="27">
        <v>29.677289999999999</v>
      </c>
      <c r="AO477" s="29">
        <v>6.7507799999999998</v>
      </c>
      <c r="AP477" s="12"/>
    </row>
    <row r="478" spans="2:42" ht="13" collapsed="1" x14ac:dyDescent="0.3">
      <c r="B478" s="25" t="s">
        <v>153</v>
      </c>
      <c r="C478" s="19">
        <v>19.296199999999999</v>
      </c>
      <c r="E478" s="24">
        <v>0.93532999999999999</v>
      </c>
      <c r="G478" s="19">
        <v>15.52</v>
      </c>
      <c r="I478" s="23">
        <v>6.9217300000000002</v>
      </c>
      <c r="J478" s="9"/>
      <c r="K478" s="23">
        <v>3.1234000000000002</v>
      </c>
      <c r="M478" s="42">
        <v>661.14400000000001</v>
      </c>
      <c r="O478" s="31">
        <v>2941.56</v>
      </c>
      <c r="Q478" s="31">
        <v>5514.91</v>
      </c>
      <c r="S478" s="31">
        <v>1765.85</v>
      </c>
      <c r="U478" s="23">
        <v>3.2625299999999999</v>
      </c>
      <c r="W478" s="23">
        <v>28.231200000000001</v>
      </c>
      <c r="Y478" s="23">
        <v>9.0391100000000009</v>
      </c>
      <c r="AA478" s="42">
        <v>557.529</v>
      </c>
      <c r="AC478" s="19">
        <v>47.102499999999999</v>
      </c>
      <c r="AE478" s="19">
        <v>1</v>
      </c>
      <c r="AG478" s="23">
        <v>7.3521599999999996</v>
      </c>
      <c r="AI478" s="23">
        <v>8.7395899999999997</v>
      </c>
      <c r="AK478" s="23">
        <v>23.490690000000001</v>
      </c>
      <c r="AM478" s="23">
        <v>29.551179999999999</v>
      </c>
      <c r="AO478" s="23">
        <v>6.7235899999999997</v>
      </c>
      <c r="AP478" s="10"/>
    </row>
    <row r="479" spans="2:42" hidden="1" outlineLevel="1" x14ac:dyDescent="0.25">
      <c r="B479" s="21">
        <v>42826</v>
      </c>
      <c r="C479" s="27">
        <v>18.721599999999999</v>
      </c>
      <c r="E479" s="30">
        <v>0.93854400000000004</v>
      </c>
      <c r="G479" s="27">
        <v>15.378</v>
      </c>
      <c r="I479" s="29">
        <v>6.9470000000000001</v>
      </c>
      <c r="K479" s="29">
        <v>3.1221999999999999</v>
      </c>
      <c r="M479" s="41">
        <v>659.875</v>
      </c>
      <c r="O479" s="26">
        <v>2893.85</v>
      </c>
      <c r="Q479" s="26">
        <v>5761.6</v>
      </c>
      <c r="S479" s="26">
        <v>1845.398997</v>
      </c>
      <c r="U479" s="29">
        <v>3.2544149999999998</v>
      </c>
      <c r="W479" s="14">
        <v>28.745000000000001</v>
      </c>
      <c r="Y479" s="29">
        <v>9.206804</v>
      </c>
      <c r="AA479" s="41">
        <v>557.86500000000001</v>
      </c>
      <c r="AC479" s="27">
        <v>47.267679999999999</v>
      </c>
      <c r="AE479" s="27">
        <v>1</v>
      </c>
      <c r="AG479" s="29">
        <v>7.3554000000000004</v>
      </c>
      <c r="AI479" s="29">
        <v>8.77135</v>
      </c>
      <c r="AK479" s="27">
        <v>23.377500000000001</v>
      </c>
      <c r="AM479" s="27">
        <v>29.6525</v>
      </c>
      <c r="AO479" s="29">
        <v>6.7464500000000003</v>
      </c>
      <c r="AP479" s="11"/>
    </row>
    <row r="480" spans="2:42" hidden="1" outlineLevel="1" x14ac:dyDescent="0.25">
      <c r="B480" s="21">
        <v>42827</v>
      </c>
      <c r="C480" s="27">
        <v>18.721599999999999</v>
      </c>
      <c r="E480" s="30">
        <v>0.93854400000000004</v>
      </c>
      <c r="G480" s="27">
        <v>15.36482</v>
      </c>
      <c r="I480" s="29">
        <v>6.9470000000000001</v>
      </c>
      <c r="K480" s="29">
        <v>3.12229</v>
      </c>
      <c r="M480" s="41">
        <v>659.9</v>
      </c>
      <c r="O480" s="26">
        <v>2874.98</v>
      </c>
      <c r="Q480" s="26">
        <v>5761.6</v>
      </c>
      <c r="S480" s="26">
        <v>1845.3331559999999</v>
      </c>
      <c r="U480" s="29">
        <v>3.2484999999999999</v>
      </c>
      <c r="W480" s="14">
        <v>28.745000000000001</v>
      </c>
      <c r="Y480" s="29">
        <v>9.2064800000000009</v>
      </c>
      <c r="AA480" s="41">
        <v>557.86500000000001</v>
      </c>
      <c r="AC480" s="27">
        <v>47.314999999999998</v>
      </c>
      <c r="AE480" s="27">
        <v>1</v>
      </c>
      <c r="AG480" s="29">
        <v>7.3554000000000004</v>
      </c>
      <c r="AI480" s="29">
        <v>8.77135</v>
      </c>
      <c r="AK480" s="27">
        <v>23.377500000000001</v>
      </c>
      <c r="AM480" s="27">
        <v>29.6525</v>
      </c>
      <c r="AO480" s="29">
        <v>6.7464500000000003</v>
      </c>
      <c r="AP480" s="11"/>
    </row>
    <row r="481" spans="2:42" hidden="1" outlineLevel="1" x14ac:dyDescent="0.25">
      <c r="B481" s="21">
        <v>42828</v>
      </c>
      <c r="C481" s="27">
        <v>18.711395</v>
      </c>
      <c r="E481" s="30">
        <v>0.93738699999999997</v>
      </c>
      <c r="G481" s="27">
        <v>15.379244999999999</v>
      </c>
      <c r="I481" s="29">
        <v>6.9338600000000001</v>
      </c>
      <c r="K481" s="29">
        <v>3.1201949999999998</v>
      </c>
      <c r="M481" s="41">
        <v>661.05285500000002</v>
      </c>
      <c r="O481" s="26">
        <v>2871.761845</v>
      </c>
      <c r="Q481" s="26">
        <v>5749.5654450000002</v>
      </c>
      <c r="S481" s="26">
        <v>1842.7124980000001</v>
      </c>
      <c r="U481" s="29">
        <v>3.2492800000000002</v>
      </c>
      <c r="W481" s="14">
        <v>28.646735</v>
      </c>
      <c r="Y481" s="29">
        <v>9.1811380000000007</v>
      </c>
      <c r="AA481" s="41">
        <v>556.81897000000004</v>
      </c>
      <c r="AC481" s="27">
        <v>47.208134999999999</v>
      </c>
      <c r="AE481" s="27">
        <v>1</v>
      </c>
      <c r="AG481" s="29">
        <v>7.3430949999999999</v>
      </c>
      <c r="AI481" s="29">
        <v>8.7548150000000007</v>
      </c>
      <c r="AK481" s="27">
        <v>23.409904999999998</v>
      </c>
      <c r="AM481" s="27">
        <v>29.611180000000001</v>
      </c>
      <c r="AO481" s="29">
        <v>6.7374900000000002</v>
      </c>
      <c r="AP481" s="11"/>
    </row>
    <row r="482" spans="2:42" hidden="1" outlineLevel="1" x14ac:dyDescent="0.25">
      <c r="B482" s="21">
        <v>42829</v>
      </c>
      <c r="C482" s="27">
        <v>18.790205</v>
      </c>
      <c r="E482" s="30">
        <v>0.93790600000000002</v>
      </c>
      <c r="G482" s="27">
        <v>15.38388</v>
      </c>
      <c r="I482" s="29">
        <v>6.9230999999999998</v>
      </c>
      <c r="K482" s="29">
        <v>3.1148799999999999</v>
      </c>
      <c r="M482" s="41">
        <v>659.81123000000002</v>
      </c>
      <c r="O482" s="26">
        <v>2869.118035</v>
      </c>
      <c r="Q482" s="26">
        <v>5738.3442400000004</v>
      </c>
      <c r="S482" s="26">
        <v>1842.2550719999999</v>
      </c>
      <c r="U482" s="29">
        <v>3.2477450000000001</v>
      </c>
      <c r="W482" s="14">
        <v>28.571255000000001</v>
      </c>
      <c r="Y482" s="29">
        <v>9.1725779999999997</v>
      </c>
      <c r="AA482" s="41">
        <v>555.97958000000006</v>
      </c>
      <c r="AC482" s="27">
        <v>47.174394999999997</v>
      </c>
      <c r="AE482" s="27">
        <v>1</v>
      </c>
      <c r="AG482" s="29">
        <v>7.3323700000000001</v>
      </c>
      <c r="AI482" s="29">
        <v>8.7414799999999993</v>
      </c>
      <c r="AK482" s="27">
        <v>23.490635000000001</v>
      </c>
      <c r="AM482" s="27">
        <v>29.569485</v>
      </c>
      <c r="AO482" s="29">
        <v>6.7271549999999998</v>
      </c>
      <c r="AP482" s="11"/>
    </row>
    <row r="483" spans="2:42" hidden="1" outlineLevel="1" x14ac:dyDescent="0.25">
      <c r="B483" s="21">
        <v>42830</v>
      </c>
      <c r="C483" s="27">
        <v>18.774000000000001</v>
      </c>
      <c r="E483" s="30">
        <v>0.93713199999999997</v>
      </c>
      <c r="G483" s="27">
        <v>15.370115</v>
      </c>
      <c r="I483" s="29">
        <v>6.9177299999999997</v>
      </c>
      <c r="K483" s="29">
        <v>3.0966900000000002</v>
      </c>
      <c r="M483" s="41">
        <v>656.91225499999996</v>
      </c>
      <c r="O483" s="26">
        <v>2861.397395</v>
      </c>
      <c r="Q483" s="26">
        <v>5731.2222650000003</v>
      </c>
      <c r="S483" s="26">
        <v>1850.776462</v>
      </c>
      <c r="U483" s="29">
        <v>3.245085</v>
      </c>
      <c r="W483" s="14">
        <v>28.481470000000002</v>
      </c>
      <c r="Y483" s="29">
        <v>9.1974590000000003</v>
      </c>
      <c r="AA483" s="41">
        <v>555.51125000000002</v>
      </c>
      <c r="AC483" s="27">
        <v>47.096040000000002</v>
      </c>
      <c r="AE483" s="27">
        <v>1</v>
      </c>
      <c r="AG483" s="29">
        <v>7.3260300000000003</v>
      </c>
      <c r="AI483" s="29">
        <v>8.7342700000000004</v>
      </c>
      <c r="AK483" s="27">
        <v>23.447745000000001</v>
      </c>
      <c r="AM483" s="27">
        <v>29.544</v>
      </c>
      <c r="AO483" s="29">
        <v>6.7222999999999997</v>
      </c>
      <c r="AP483" s="11"/>
    </row>
    <row r="484" spans="2:42" hidden="1" outlineLevel="1" x14ac:dyDescent="0.25">
      <c r="B484" s="21">
        <v>42831</v>
      </c>
      <c r="C484" s="27">
        <v>18.816735000000001</v>
      </c>
      <c r="E484" s="30">
        <v>0.93790600000000002</v>
      </c>
      <c r="G484" s="27">
        <v>15.398860000000001</v>
      </c>
      <c r="I484" s="29">
        <v>6.9287749999999999</v>
      </c>
      <c r="K484" s="29">
        <v>3.1227999999999998</v>
      </c>
      <c r="M484" s="41">
        <v>658.23883000000001</v>
      </c>
      <c r="O484" s="26">
        <v>2858.6304249999998</v>
      </c>
      <c r="Q484" s="26">
        <v>5738.9503800000002</v>
      </c>
      <c r="S484" s="26">
        <v>1837.7772010000001</v>
      </c>
      <c r="U484" s="29">
        <v>3.2500800000000001</v>
      </c>
      <c r="W484" s="14">
        <v>28.512049999999999</v>
      </c>
      <c r="Y484" s="29">
        <v>9.1303540000000005</v>
      </c>
      <c r="AA484" s="41">
        <v>557.02834499999994</v>
      </c>
      <c r="AC484" s="27">
        <v>47.198059999999998</v>
      </c>
      <c r="AE484" s="27">
        <v>1</v>
      </c>
      <c r="AG484" s="29">
        <v>7.3390149999999998</v>
      </c>
      <c r="AI484" s="29">
        <v>8.7479949999999995</v>
      </c>
      <c r="AK484" s="27">
        <v>23.463135000000001</v>
      </c>
      <c r="AM484" s="27">
        <v>29.583770000000001</v>
      </c>
      <c r="AO484" s="29">
        <v>6.7363350000000004</v>
      </c>
      <c r="AP484" s="11"/>
    </row>
    <row r="485" spans="2:42" hidden="1" outlineLevel="1" x14ac:dyDescent="0.25">
      <c r="B485" s="21">
        <v>42832</v>
      </c>
      <c r="C485" s="27">
        <v>18.741689999999998</v>
      </c>
      <c r="E485" s="30">
        <v>0.94079199999999996</v>
      </c>
      <c r="G485" s="27">
        <v>15.395215</v>
      </c>
      <c r="I485" s="29">
        <v>6.9385050000000001</v>
      </c>
      <c r="K485" s="29">
        <v>3.140895</v>
      </c>
      <c r="M485" s="41">
        <v>657.71406999999999</v>
      </c>
      <c r="O485" s="26">
        <v>2860.0849250000001</v>
      </c>
      <c r="Q485" s="26">
        <v>5743.2356749999999</v>
      </c>
      <c r="S485" s="26">
        <v>1828.553306</v>
      </c>
      <c r="U485" s="29">
        <v>3.2505950000000001</v>
      </c>
      <c r="W485" s="14">
        <v>28.567350000000001</v>
      </c>
      <c r="Y485" s="29">
        <v>9.0953579999999992</v>
      </c>
      <c r="AA485" s="41">
        <v>558.70873500000005</v>
      </c>
      <c r="AC485" s="27">
        <v>47.249299999999998</v>
      </c>
      <c r="AE485" s="27">
        <v>1</v>
      </c>
      <c r="AG485" s="29">
        <v>7.3485899999999997</v>
      </c>
      <c r="AI485" s="29">
        <v>8.7596349999999994</v>
      </c>
      <c r="AK485" s="27">
        <v>23.479099999999999</v>
      </c>
      <c r="AM485" s="27">
        <v>29.625525</v>
      </c>
      <c r="AO485" s="29">
        <v>6.7442399999999996</v>
      </c>
      <c r="AP485" s="11"/>
    </row>
    <row r="486" spans="2:42" hidden="1" outlineLevel="1" x14ac:dyDescent="0.25">
      <c r="B486" s="21">
        <v>42833</v>
      </c>
      <c r="C486" s="27">
        <v>18.664680000000001</v>
      </c>
      <c r="E486" s="30">
        <v>0.94427000000000005</v>
      </c>
      <c r="G486" s="27">
        <v>15.412265</v>
      </c>
      <c r="I486" s="29">
        <v>6.9558499999999999</v>
      </c>
      <c r="K486" s="29">
        <v>3.14594</v>
      </c>
      <c r="M486" s="41">
        <v>658.36500000000001</v>
      </c>
      <c r="O486" s="26">
        <v>2866.2</v>
      </c>
      <c r="Q486" s="26">
        <v>5753.85</v>
      </c>
      <c r="S486" s="26">
        <v>1829.0016780000001</v>
      </c>
      <c r="U486" s="29">
        <v>3.2605499999999998</v>
      </c>
      <c r="W486" s="14">
        <v>28.6815</v>
      </c>
      <c r="Y486" s="29">
        <v>9.1171059999999997</v>
      </c>
      <c r="AA486" s="41">
        <v>560.07500000000005</v>
      </c>
      <c r="AC486" s="27">
        <v>47.325499999999998</v>
      </c>
      <c r="AE486" s="27">
        <v>1</v>
      </c>
      <c r="AG486" s="29">
        <v>7.3653500000000003</v>
      </c>
      <c r="AI486" s="29">
        <v>8.7823499999999992</v>
      </c>
      <c r="AK486" s="27">
        <v>23.507000000000001</v>
      </c>
      <c r="AM486" s="27">
        <v>29.69</v>
      </c>
      <c r="AO486" s="29">
        <v>6.7550499999999998</v>
      </c>
      <c r="AP486" s="11"/>
    </row>
    <row r="487" spans="2:42" hidden="1" outlineLevel="1" x14ac:dyDescent="0.25">
      <c r="B487" s="21">
        <v>42834</v>
      </c>
      <c r="C487" s="27">
        <v>18.664680000000001</v>
      </c>
      <c r="E487" s="30">
        <v>0.94427000000000005</v>
      </c>
      <c r="G487" s="27">
        <v>15.47269</v>
      </c>
      <c r="I487" s="29">
        <v>6.9485989999999997</v>
      </c>
      <c r="K487" s="29">
        <v>3.1476500000000001</v>
      </c>
      <c r="M487" s="41">
        <v>656.40623800000003</v>
      </c>
      <c r="O487" s="26">
        <v>2863.4338499999999</v>
      </c>
      <c r="Q487" s="26">
        <v>5739.7247219999999</v>
      </c>
      <c r="S487" s="26">
        <v>1823.5046580000001</v>
      </c>
      <c r="U487" s="29">
        <v>3.2451340000000002</v>
      </c>
      <c r="W487" s="14">
        <v>28.591666</v>
      </c>
      <c r="Y487" s="29">
        <v>9.0835360000000005</v>
      </c>
      <c r="AA487" s="41">
        <v>557.84061399999996</v>
      </c>
      <c r="AC487" s="27">
        <v>47.235694000000002</v>
      </c>
      <c r="AE487" s="27">
        <v>1</v>
      </c>
      <c r="AG487" s="29">
        <v>7.3390000000000004</v>
      </c>
      <c r="AI487" s="29">
        <v>8.7270000000000003</v>
      </c>
      <c r="AK487" s="27">
        <v>23.445646</v>
      </c>
      <c r="AM487" s="27">
        <v>29.689499999999999</v>
      </c>
      <c r="AO487" s="29">
        <v>6.7400760000000002</v>
      </c>
      <c r="AP487" s="11"/>
    </row>
    <row r="488" spans="2:42" hidden="1" outlineLevel="1" x14ac:dyDescent="0.25">
      <c r="B488" s="21">
        <v>42835</v>
      </c>
      <c r="C488" s="27">
        <v>18.68139</v>
      </c>
      <c r="E488" s="30">
        <v>0.944577</v>
      </c>
      <c r="G488" s="27">
        <v>15.341670000000001</v>
      </c>
      <c r="I488" s="29">
        <v>6.9478150000000003</v>
      </c>
      <c r="K488" s="29">
        <v>3.1436999999999999</v>
      </c>
      <c r="M488" s="41">
        <v>655.11806000000001</v>
      </c>
      <c r="O488" s="26">
        <v>2865.16437</v>
      </c>
      <c r="Q488" s="26">
        <v>5737.7956350000004</v>
      </c>
      <c r="S488" s="26">
        <v>1825.1910559999999</v>
      </c>
      <c r="U488" s="29">
        <v>3.2541449999999998</v>
      </c>
      <c r="W488" s="14">
        <v>28.600185</v>
      </c>
      <c r="Y488" s="29">
        <v>9.0976859999999995</v>
      </c>
      <c r="AA488" s="41">
        <v>559.43266000000006</v>
      </c>
      <c r="AC488" s="27">
        <v>47.299284999999998</v>
      </c>
      <c r="AE488" s="27">
        <v>1</v>
      </c>
      <c r="AG488" s="29">
        <v>7.3568449999999999</v>
      </c>
      <c r="AI488" s="29">
        <v>8.7725899999999992</v>
      </c>
      <c r="AK488" s="27">
        <v>23.48583</v>
      </c>
      <c r="AM488" s="27">
        <v>29.682559999999999</v>
      </c>
      <c r="AO488" s="29">
        <v>6.7573850000000002</v>
      </c>
      <c r="AP488" s="11"/>
    </row>
    <row r="489" spans="2:42" hidden="1" outlineLevel="1" x14ac:dyDescent="0.25">
      <c r="B489" s="21">
        <v>42836</v>
      </c>
      <c r="C489" s="27">
        <v>18.724785000000001</v>
      </c>
      <c r="E489" s="30">
        <v>0.94331200000000004</v>
      </c>
      <c r="G489" s="27">
        <v>15.227040000000001</v>
      </c>
      <c r="I489" s="29">
        <v>6.9188700000000001</v>
      </c>
      <c r="K489" s="29">
        <v>3.1356299999999999</v>
      </c>
      <c r="M489" s="41">
        <v>652.79512999999997</v>
      </c>
      <c r="O489" s="26">
        <v>2864.9714749999998</v>
      </c>
      <c r="Q489" s="26">
        <v>5592.0375199999999</v>
      </c>
      <c r="S489" s="26">
        <v>1783.404104</v>
      </c>
      <c r="U489" s="29">
        <v>3.24702</v>
      </c>
      <c r="W489" s="14">
        <v>28.438179999999999</v>
      </c>
      <c r="Y489" s="29">
        <v>9.069426</v>
      </c>
      <c r="AA489" s="41">
        <v>557.46167500000001</v>
      </c>
      <c r="AC489" s="27">
        <v>47.301065000000001</v>
      </c>
      <c r="AE489" s="27">
        <v>1</v>
      </c>
      <c r="AG489" s="29">
        <v>7.3312949999999999</v>
      </c>
      <c r="AI489" s="29">
        <v>8.7426399999999997</v>
      </c>
      <c r="AK489" s="27">
        <v>23.453330000000001</v>
      </c>
      <c r="AM489" s="27">
        <v>29.642375000000001</v>
      </c>
      <c r="AO489" s="29">
        <v>6.7337499999999997</v>
      </c>
      <c r="AP489" s="11"/>
    </row>
    <row r="490" spans="2:42" hidden="1" outlineLevel="1" x14ac:dyDescent="0.25">
      <c r="B490" s="21">
        <v>42837</v>
      </c>
      <c r="C490" s="27">
        <v>18.756184999999999</v>
      </c>
      <c r="E490" s="30">
        <v>0.94241399999999997</v>
      </c>
      <c r="G490" s="27">
        <v>15.229805000000001</v>
      </c>
      <c r="I490" s="29">
        <v>6.9257299999999997</v>
      </c>
      <c r="K490" s="29">
        <v>3.1412499999999999</v>
      </c>
      <c r="M490" s="41">
        <v>654.16052500000001</v>
      </c>
      <c r="O490" s="26">
        <v>2868.5363400000001</v>
      </c>
      <c r="Q490" s="26">
        <v>5490.1454549999999</v>
      </c>
      <c r="S490" s="26">
        <v>1747.776842</v>
      </c>
      <c r="U490" s="29">
        <v>3.2510500000000002</v>
      </c>
      <c r="W490" s="14">
        <v>28.460619999999999</v>
      </c>
      <c r="Y490" s="29">
        <v>9.060352</v>
      </c>
      <c r="AA490" s="41">
        <v>557.98248999999998</v>
      </c>
      <c r="AC490" s="27">
        <v>47.05256</v>
      </c>
      <c r="AE490" s="27">
        <v>1</v>
      </c>
      <c r="AG490" s="29">
        <v>7.3387700000000002</v>
      </c>
      <c r="AI490" s="29">
        <v>8.7504950000000008</v>
      </c>
      <c r="AK490" s="27">
        <v>23.326067999999999</v>
      </c>
      <c r="AM490" s="27">
        <v>29.613420000000001</v>
      </c>
      <c r="AO490" s="29">
        <v>6.7356949999999998</v>
      </c>
      <c r="AP490" s="11"/>
    </row>
    <row r="491" spans="2:42" hidden="1" outlineLevel="1" x14ac:dyDescent="0.25">
      <c r="B491" s="21">
        <v>42838</v>
      </c>
      <c r="C491" s="27">
        <v>18.567354999999999</v>
      </c>
      <c r="E491" s="30">
        <v>0.93936799999999998</v>
      </c>
      <c r="G491" s="27">
        <v>15.185165</v>
      </c>
      <c r="I491" s="29">
        <v>6.9016149999999996</v>
      </c>
      <c r="K491" s="29">
        <v>3.1290049999999998</v>
      </c>
      <c r="M491" s="41">
        <v>651.55478000000005</v>
      </c>
      <c r="O491" s="26">
        <v>2870.3103299999998</v>
      </c>
      <c r="Q491" s="26">
        <v>5507.7749949999998</v>
      </c>
      <c r="S491" s="26">
        <v>1760.250468</v>
      </c>
      <c r="U491" s="29">
        <v>3.2447949999999999</v>
      </c>
      <c r="W491" s="14">
        <v>28.381015000000001</v>
      </c>
      <c r="Y491" s="29">
        <v>9.0703680000000002</v>
      </c>
      <c r="AA491" s="41">
        <v>556.09560999999997</v>
      </c>
      <c r="AC491" s="27">
        <v>47.038294999999998</v>
      </c>
      <c r="AE491" s="27">
        <v>1</v>
      </c>
      <c r="AG491" s="29">
        <v>7.3129400000000002</v>
      </c>
      <c r="AI491" s="29">
        <v>8.7201149999999998</v>
      </c>
      <c r="AK491" s="27">
        <v>23.312214999999998</v>
      </c>
      <c r="AM491" s="27">
        <v>29.508970000000001</v>
      </c>
      <c r="AO491" s="29">
        <v>6.7114000000000003</v>
      </c>
      <c r="AP491" s="11"/>
    </row>
    <row r="492" spans="2:42" hidden="1" outlineLevel="1" x14ac:dyDescent="0.25">
      <c r="B492" s="21">
        <v>42839</v>
      </c>
      <c r="C492" s="27">
        <v>18.558885</v>
      </c>
      <c r="E492" s="30">
        <v>0.94177</v>
      </c>
      <c r="G492" s="27">
        <v>15.154965000000001</v>
      </c>
      <c r="I492" s="29">
        <v>6.9448999999999996</v>
      </c>
      <c r="K492" s="29">
        <v>3.1447949999999998</v>
      </c>
      <c r="M492" s="41">
        <v>650.205645</v>
      </c>
      <c r="O492" s="26">
        <v>2867.5942100000002</v>
      </c>
      <c r="Q492" s="26">
        <v>5545</v>
      </c>
      <c r="S492" s="26">
        <v>1763.2497760000001</v>
      </c>
      <c r="U492" s="29">
        <v>3.257965</v>
      </c>
      <c r="W492" s="14">
        <v>28.565999999999999</v>
      </c>
      <c r="Y492" s="29">
        <v>9.0836679999999994</v>
      </c>
      <c r="AA492" s="41">
        <v>559.20500000000004</v>
      </c>
      <c r="AC492" s="27">
        <v>47.280254999999997</v>
      </c>
      <c r="AE492" s="27">
        <v>1</v>
      </c>
      <c r="AG492" s="29">
        <v>7.3539000000000003</v>
      </c>
      <c r="AI492" s="29">
        <v>8.7683999999999997</v>
      </c>
      <c r="AK492" s="27">
        <v>23.410450000000001</v>
      </c>
      <c r="AM492" s="27">
        <v>29.647964999999999</v>
      </c>
      <c r="AO492" s="29">
        <v>6.7446000000000002</v>
      </c>
      <c r="AP492" s="11"/>
    </row>
    <row r="493" spans="2:42" hidden="1" outlineLevel="1" x14ac:dyDescent="0.25">
      <c r="B493" s="21">
        <v>42840</v>
      </c>
      <c r="C493" s="27">
        <v>18.520350000000001</v>
      </c>
      <c r="E493" s="30">
        <v>0.942276</v>
      </c>
      <c r="G493" s="27">
        <v>15.163475</v>
      </c>
      <c r="I493" s="29">
        <v>6.9469500000000002</v>
      </c>
      <c r="K493" s="29">
        <v>3.1445949999999998</v>
      </c>
      <c r="M493" s="41">
        <v>653.03183000000001</v>
      </c>
      <c r="O493" s="26">
        <v>2877.4008749999998</v>
      </c>
      <c r="Q493" s="26">
        <v>5546.6</v>
      </c>
      <c r="S493" s="26">
        <v>1763.877236</v>
      </c>
      <c r="U493" s="29">
        <v>3.2629999999999999</v>
      </c>
      <c r="W493" s="14">
        <v>28.5745</v>
      </c>
      <c r="Y493" s="29">
        <v>9.0869780000000002</v>
      </c>
      <c r="AA493" s="41">
        <v>559.37</v>
      </c>
      <c r="AC493" s="27">
        <v>47.265999999999998</v>
      </c>
      <c r="AE493" s="27">
        <v>1</v>
      </c>
      <c r="AG493" s="29">
        <v>7.3560499999999998</v>
      </c>
      <c r="AI493" s="29">
        <v>8.7710000000000008</v>
      </c>
      <c r="AK493" s="27">
        <v>23.378</v>
      </c>
      <c r="AM493" s="27">
        <v>29.6525</v>
      </c>
      <c r="AO493" s="29">
        <v>6.74655</v>
      </c>
      <c r="AP493" s="11"/>
    </row>
    <row r="494" spans="2:42" hidden="1" outlineLevel="1" x14ac:dyDescent="0.25">
      <c r="B494" s="21">
        <v>42841</v>
      </c>
      <c r="C494" s="27">
        <v>18.520350000000001</v>
      </c>
      <c r="E494" s="30">
        <v>0.942276</v>
      </c>
      <c r="G494" s="27">
        <v>15.16165</v>
      </c>
      <c r="I494" s="29">
        <v>6.9469500000000002</v>
      </c>
      <c r="K494" s="29">
        <v>3.1447150000000001</v>
      </c>
      <c r="M494" s="41">
        <v>649.29999999999995</v>
      </c>
      <c r="O494" s="26">
        <v>2866.5</v>
      </c>
      <c r="Q494" s="26">
        <v>5546.6</v>
      </c>
      <c r="S494" s="26">
        <v>1763.804588</v>
      </c>
      <c r="U494" s="29">
        <v>3.2629999999999999</v>
      </c>
      <c r="W494" s="14">
        <v>28.5745</v>
      </c>
      <c r="Y494" s="29">
        <v>9.086608</v>
      </c>
      <c r="AA494" s="41">
        <v>559.37</v>
      </c>
      <c r="AC494" s="27">
        <v>47.265999999999998</v>
      </c>
      <c r="AE494" s="27">
        <v>1</v>
      </c>
      <c r="AG494" s="29">
        <v>7.3560499999999998</v>
      </c>
      <c r="AI494" s="29">
        <v>8.7710000000000008</v>
      </c>
      <c r="AK494" s="27">
        <v>23.378</v>
      </c>
      <c r="AM494" s="27">
        <v>29.6525</v>
      </c>
      <c r="AO494" s="29">
        <v>6.74655</v>
      </c>
      <c r="AP494" s="11"/>
    </row>
    <row r="495" spans="2:42" hidden="1" outlineLevel="1" x14ac:dyDescent="0.25">
      <c r="B495" s="21">
        <v>42842</v>
      </c>
      <c r="C495" s="27">
        <v>18.51972</v>
      </c>
      <c r="E495" s="30">
        <v>0.94050800000000001</v>
      </c>
      <c r="G495" s="27">
        <v>15.16385</v>
      </c>
      <c r="I495" s="29">
        <v>6.9417900000000001</v>
      </c>
      <c r="K495" s="29">
        <v>3.1292749999999998</v>
      </c>
      <c r="M495" s="41">
        <v>648.89210500000002</v>
      </c>
      <c r="O495" s="26">
        <v>2867.5224549999998</v>
      </c>
      <c r="Q495" s="26">
        <v>5542.4745199999998</v>
      </c>
      <c r="S495" s="26">
        <v>1771.1879779999999</v>
      </c>
      <c r="U495" s="29">
        <v>3.2566899999999999</v>
      </c>
      <c r="W495" s="14">
        <v>28.553149999999999</v>
      </c>
      <c r="Y495" s="29">
        <v>9.1246139999999993</v>
      </c>
      <c r="AA495" s="41">
        <v>558.96287500000005</v>
      </c>
      <c r="AC495" s="27">
        <v>47.284370000000003</v>
      </c>
      <c r="AE495" s="27">
        <v>1</v>
      </c>
      <c r="AG495" s="29">
        <v>7.3505399999999996</v>
      </c>
      <c r="AI495" s="29">
        <v>8.7640150000000006</v>
      </c>
      <c r="AK495" s="27">
        <v>23.411629999999999</v>
      </c>
      <c r="AM495" s="27">
        <v>29.658435000000001</v>
      </c>
      <c r="AO495" s="29">
        <v>6.7411849999999998</v>
      </c>
      <c r="AP495" s="11"/>
    </row>
    <row r="496" spans="2:42" hidden="1" outlineLevel="1" x14ac:dyDescent="0.25">
      <c r="B496" s="21">
        <v>42843</v>
      </c>
      <c r="C496" s="27">
        <v>18.517305</v>
      </c>
      <c r="E496" s="30">
        <v>0.93708800000000003</v>
      </c>
      <c r="G496" s="27">
        <v>15.202135</v>
      </c>
      <c r="I496" s="29">
        <v>6.922015</v>
      </c>
      <c r="K496" s="29">
        <v>3.1009899999999999</v>
      </c>
      <c r="M496" s="41">
        <v>649.34739000000002</v>
      </c>
      <c r="O496" s="26">
        <v>2855.69569</v>
      </c>
      <c r="Q496" s="26">
        <v>5527.0567199999996</v>
      </c>
      <c r="S496" s="26">
        <v>1782.3712379999999</v>
      </c>
      <c r="U496" s="29">
        <v>3.2523599999999999</v>
      </c>
      <c r="W496" s="14">
        <v>28.46875</v>
      </c>
      <c r="Y496" s="29">
        <v>9.1806029999999996</v>
      </c>
      <c r="AA496" s="41">
        <v>557.24296000000004</v>
      </c>
      <c r="AC496" s="27">
        <v>47.190600000000003</v>
      </c>
      <c r="AE496" s="27">
        <v>1</v>
      </c>
      <c r="AG496" s="29">
        <v>7.3320999999999996</v>
      </c>
      <c r="AI496" s="29">
        <v>8.7442349999999998</v>
      </c>
      <c r="AK496" s="27">
        <v>23.362065000000001</v>
      </c>
      <c r="AM496" s="27">
        <v>29.57686</v>
      </c>
      <c r="AO496" s="29">
        <v>6.7298600000000004</v>
      </c>
      <c r="AP496" s="11"/>
    </row>
    <row r="497" spans="2:42" hidden="1" outlineLevel="1" x14ac:dyDescent="0.25">
      <c r="B497" s="21">
        <v>42844</v>
      </c>
      <c r="C497" s="27">
        <v>18.683744999999998</v>
      </c>
      <c r="E497" s="30">
        <v>0.93277500000000002</v>
      </c>
      <c r="G497" s="27">
        <v>15.322744999999999</v>
      </c>
      <c r="I497" s="29">
        <v>6.9011699999999996</v>
      </c>
      <c r="K497" s="29">
        <v>3.1176900000000001</v>
      </c>
      <c r="M497" s="41">
        <v>648.66841999999997</v>
      </c>
      <c r="O497" s="26">
        <v>2846.1622600000001</v>
      </c>
      <c r="Q497" s="26">
        <v>5507.44596</v>
      </c>
      <c r="S497" s="26">
        <v>1766.5335279999999</v>
      </c>
      <c r="U497" s="29">
        <v>3.24065</v>
      </c>
      <c r="W497" s="14">
        <v>28.392690000000002</v>
      </c>
      <c r="Y497" s="29">
        <v>9.1070320000000002</v>
      </c>
      <c r="AA497" s="41">
        <v>555.00356999999997</v>
      </c>
      <c r="AC497" s="27">
        <v>46.784439999999996</v>
      </c>
      <c r="AE497" s="27">
        <v>1</v>
      </c>
      <c r="AG497" s="29">
        <v>7.3084699999999998</v>
      </c>
      <c r="AI497" s="29">
        <v>8.7181049999999995</v>
      </c>
      <c r="AK497" s="27">
        <v>23.378125000000001</v>
      </c>
      <c r="AM497" s="27">
        <v>29.530919999999998</v>
      </c>
      <c r="AO497" s="29">
        <v>6.7079950000000004</v>
      </c>
      <c r="AP497" s="11"/>
    </row>
    <row r="498" spans="2:42" hidden="1" outlineLevel="1" x14ac:dyDescent="0.25">
      <c r="B498" s="21">
        <v>42845</v>
      </c>
      <c r="C498" s="27">
        <v>18.834894999999999</v>
      </c>
      <c r="E498" s="30">
        <v>0.931593</v>
      </c>
      <c r="G498" s="27">
        <v>15.38879</v>
      </c>
      <c r="I498" s="29">
        <v>6.9308350000000001</v>
      </c>
      <c r="K498" s="29">
        <v>3.1503299999999999</v>
      </c>
      <c r="M498" s="41">
        <v>648.75700500000005</v>
      </c>
      <c r="O498" s="26">
        <v>2867.3167349999999</v>
      </c>
      <c r="Q498" s="26">
        <v>5535.2720499999996</v>
      </c>
      <c r="S498" s="26">
        <v>1757.0634829999999</v>
      </c>
      <c r="U498" s="29">
        <v>3.2492749999999999</v>
      </c>
      <c r="W498" s="14">
        <v>28.509965000000001</v>
      </c>
      <c r="Y498" s="29">
        <v>9.0499019999999994</v>
      </c>
      <c r="AA498" s="41">
        <v>557.45304999999996</v>
      </c>
      <c r="AC498" s="27">
        <v>47.272179999999999</v>
      </c>
      <c r="AE498" s="27">
        <v>1</v>
      </c>
      <c r="AG498" s="29">
        <v>7.3409649999999997</v>
      </c>
      <c r="AI498" s="29">
        <v>8.7570099999999993</v>
      </c>
      <c r="AK498" s="27">
        <v>23.467065000000002</v>
      </c>
      <c r="AM498" s="27">
        <v>29.671605</v>
      </c>
      <c r="AO498" s="29">
        <v>6.7349050000000004</v>
      </c>
      <c r="AP498" s="11"/>
    </row>
    <row r="499" spans="2:42" hidden="1" outlineLevel="1" x14ac:dyDescent="0.25">
      <c r="B499" s="21">
        <v>42846</v>
      </c>
      <c r="C499" s="27">
        <v>18.81813</v>
      </c>
      <c r="E499" s="30">
        <v>0.93384199999999995</v>
      </c>
      <c r="G499" s="27">
        <v>15.400980000000001</v>
      </c>
      <c r="I499" s="29">
        <v>6.9411849999999999</v>
      </c>
      <c r="K499" s="29">
        <v>3.1485050000000001</v>
      </c>
      <c r="M499" s="41">
        <v>650.63214000000005</v>
      </c>
      <c r="O499" s="26">
        <v>2866.28242</v>
      </c>
      <c r="Q499" s="26">
        <v>5555.1438850000004</v>
      </c>
      <c r="S499" s="26">
        <v>1764.394718</v>
      </c>
      <c r="U499" s="29">
        <v>3.2503500000000001</v>
      </c>
      <c r="W499" s="14">
        <v>28.511315</v>
      </c>
      <c r="Y499" s="29">
        <v>9.0555819999999994</v>
      </c>
      <c r="AA499" s="41">
        <v>558.21543499999996</v>
      </c>
      <c r="AC499" s="27">
        <v>47.354095000000001</v>
      </c>
      <c r="AE499" s="27">
        <v>1</v>
      </c>
      <c r="AG499" s="29">
        <v>7.350155</v>
      </c>
      <c r="AI499" s="29">
        <v>8.7687100000000004</v>
      </c>
      <c r="AK499" s="27">
        <v>23.515149999999998</v>
      </c>
      <c r="AM499" s="27">
        <v>29.70027</v>
      </c>
      <c r="AO499" s="29">
        <v>6.7495450000000003</v>
      </c>
      <c r="AP499" s="11"/>
    </row>
    <row r="500" spans="2:42" hidden="1" outlineLevel="1" x14ac:dyDescent="0.25">
      <c r="B500" s="21">
        <v>42847</v>
      </c>
      <c r="C500" s="27">
        <v>18.808199999999999</v>
      </c>
      <c r="E500" s="30">
        <v>0.93226200000000004</v>
      </c>
      <c r="G500" s="27">
        <v>15.477499999999999</v>
      </c>
      <c r="I500" s="29">
        <v>6.9138000000000002</v>
      </c>
      <c r="K500" s="29">
        <v>3.1480999999999999</v>
      </c>
      <c r="M500" s="41">
        <v>647.93499999999995</v>
      </c>
      <c r="O500" s="26">
        <v>2843.3</v>
      </c>
      <c r="Q500" s="26">
        <v>5542.1</v>
      </c>
      <c r="S500" s="26">
        <v>1760.528495</v>
      </c>
      <c r="U500" s="29">
        <v>3.2362000000000002</v>
      </c>
      <c r="W500" s="14">
        <v>28.388500000000001</v>
      </c>
      <c r="Y500" s="29">
        <v>9.0179860000000005</v>
      </c>
      <c r="AA500" s="41">
        <v>555.69500000000005</v>
      </c>
      <c r="AC500" s="27">
        <v>47.11</v>
      </c>
      <c r="AE500" s="27">
        <v>1</v>
      </c>
      <c r="AG500" s="29">
        <v>7.3159000000000001</v>
      </c>
      <c r="AI500" s="29">
        <v>8.7294499999999999</v>
      </c>
      <c r="AK500" s="27">
        <v>23.425000000000001</v>
      </c>
      <c r="AM500" s="27">
        <v>29.510999999999999</v>
      </c>
      <c r="AO500" s="29">
        <v>6.7142499999999998</v>
      </c>
      <c r="AP500" s="11"/>
    </row>
    <row r="501" spans="2:42" hidden="1" outlineLevel="1" x14ac:dyDescent="0.25">
      <c r="B501" s="21">
        <v>42848</v>
      </c>
      <c r="C501" s="27">
        <v>18.808199999999999</v>
      </c>
      <c r="E501" s="30">
        <v>0.93226200000000004</v>
      </c>
      <c r="G501" s="27">
        <v>15.447835</v>
      </c>
      <c r="I501" s="29">
        <v>6.9138000000000002</v>
      </c>
      <c r="K501" s="29">
        <v>3.148555</v>
      </c>
      <c r="M501" s="41">
        <v>653.29999999999995</v>
      </c>
      <c r="O501" s="26">
        <v>2875.5</v>
      </c>
      <c r="Q501" s="26">
        <v>5542.1</v>
      </c>
      <c r="S501" s="26">
        <v>1760.226416</v>
      </c>
      <c r="U501" s="29">
        <v>3.2362000000000002</v>
      </c>
      <c r="W501" s="14">
        <v>28.388500000000001</v>
      </c>
      <c r="Y501" s="29">
        <v>9.0164609999999996</v>
      </c>
      <c r="AA501" s="41">
        <v>555.69500000000005</v>
      </c>
      <c r="AC501" s="27">
        <v>47.11</v>
      </c>
      <c r="AE501" s="27">
        <v>1</v>
      </c>
      <c r="AG501" s="29">
        <v>7.3159000000000001</v>
      </c>
      <c r="AI501" s="29">
        <v>8.7294499999999999</v>
      </c>
      <c r="AK501" s="27">
        <v>23.425000000000001</v>
      </c>
      <c r="AM501" s="27">
        <v>29.510999999999999</v>
      </c>
      <c r="AO501" s="29">
        <v>6.7142499999999998</v>
      </c>
      <c r="AP501" s="11"/>
    </row>
    <row r="502" spans="2:42" hidden="1" outlineLevel="1" x14ac:dyDescent="0.25">
      <c r="B502" s="21">
        <v>42849</v>
      </c>
      <c r="C502" s="27">
        <v>18.628415</v>
      </c>
      <c r="E502" s="30">
        <v>0.92099200000000003</v>
      </c>
      <c r="G502" s="27">
        <v>15.379415</v>
      </c>
      <c r="I502" s="29">
        <v>6.8669450000000003</v>
      </c>
      <c r="K502" s="29">
        <v>3.1400299999999999</v>
      </c>
      <c r="M502" s="41">
        <v>650.04940499999998</v>
      </c>
      <c r="O502" s="26">
        <v>2836.1331100000002</v>
      </c>
      <c r="Q502" s="26">
        <v>5502.6954949999999</v>
      </c>
      <c r="S502" s="26">
        <v>1752.4536720000001</v>
      </c>
      <c r="U502" s="29">
        <v>3.2209449999999999</v>
      </c>
      <c r="W502" s="14">
        <v>28.21632</v>
      </c>
      <c r="Y502" s="29">
        <v>8.9860749999999996</v>
      </c>
      <c r="AA502" s="41">
        <v>552.34947499999998</v>
      </c>
      <c r="AC502" s="27">
        <v>46.837164999999999</v>
      </c>
      <c r="AE502" s="27">
        <v>1</v>
      </c>
      <c r="AG502" s="29">
        <v>7.2725150000000003</v>
      </c>
      <c r="AI502" s="29">
        <v>8.6770800000000001</v>
      </c>
      <c r="AK502" s="27">
        <v>23.262889999999999</v>
      </c>
      <c r="AM502" s="27">
        <v>29.34309</v>
      </c>
      <c r="AO502" s="29">
        <v>6.6830800000000004</v>
      </c>
      <c r="AP502" s="11"/>
    </row>
    <row r="503" spans="2:42" hidden="1" outlineLevel="1" x14ac:dyDescent="0.25">
      <c r="B503" s="21">
        <v>42850</v>
      </c>
      <c r="C503" s="27">
        <v>18.826025000000001</v>
      </c>
      <c r="E503" s="30">
        <v>0.91815999999999998</v>
      </c>
      <c r="G503" s="27">
        <v>15.39828</v>
      </c>
      <c r="I503" s="29">
        <v>6.9208249999999998</v>
      </c>
      <c r="K503" s="29">
        <v>3.138395</v>
      </c>
      <c r="M503" s="41">
        <v>656.96212000000003</v>
      </c>
      <c r="O503" s="26">
        <v>2880.4264400000002</v>
      </c>
      <c r="Q503" s="26">
        <v>5531.48452</v>
      </c>
      <c r="S503" s="26">
        <v>1762.5386000000001</v>
      </c>
      <c r="U503" s="29">
        <v>3.2425199999999998</v>
      </c>
      <c r="W503" s="14">
        <v>28.414770000000001</v>
      </c>
      <c r="Y503" s="29">
        <v>9.0539860000000001</v>
      </c>
      <c r="AA503" s="41">
        <v>556.58317</v>
      </c>
      <c r="AC503" s="27">
        <v>47.232619999999997</v>
      </c>
      <c r="AE503" s="27">
        <v>1</v>
      </c>
      <c r="AG503" s="29">
        <v>7.3293400000000002</v>
      </c>
      <c r="AI503" s="29">
        <v>8.7439250000000008</v>
      </c>
      <c r="AK503" s="27">
        <v>23.346271999999999</v>
      </c>
      <c r="AM503" s="27">
        <v>29.599920000000001</v>
      </c>
      <c r="AO503" s="29">
        <v>6.7322649999999999</v>
      </c>
      <c r="AP503" s="11"/>
    </row>
    <row r="504" spans="2:42" hidden="1" outlineLevel="1" x14ac:dyDescent="0.25">
      <c r="B504" s="21">
        <v>42851</v>
      </c>
      <c r="C504" s="27">
        <v>18.977810000000002</v>
      </c>
      <c r="E504" s="30">
        <v>0.91652299999999998</v>
      </c>
      <c r="G504" s="27">
        <v>15.434085</v>
      </c>
      <c r="I504" s="29">
        <v>6.9074549999999997</v>
      </c>
      <c r="K504" s="29">
        <v>3.1612200000000001</v>
      </c>
      <c r="M504" s="41">
        <v>662.07417999999996</v>
      </c>
      <c r="O504" s="26">
        <v>2884.8634699999998</v>
      </c>
      <c r="Q504" s="26">
        <v>5535.5562600000003</v>
      </c>
      <c r="S504" s="26">
        <v>1751.1006560000001</v>
      </c>
      <c r="U504" s="29">
        <v>3.2408000000000001</v>
      </c>
      <c r="W504" s="14">
        <v>28.312854999999999</v>
      </c>
      <c r="Y504" s="29">
        <v>8.9563740000000003</v>
      </c>
      <c r="AA504" s="41">
        <v>555.49095499999999</v>
      </c>
      <c r="AC504" s="27">
        <v>47.136380000000003</v>
      </c>
      <c r="AE504" s="27">
        <v>1</v>
      </c>
      <c r="AG504" s="29">
        <v>7.3176649999999999</v>
      </c>
      <c r="AI504" s="29">
        <v>8.7263000000000002</v>
      </c>
      <c r="AK504" s="27">
        <v>23.354095000000001</v>
      </c>
      <c r="AM504" s="27">
        <v>29.55462</v>
      </c>
      <c r="AO504" s="29">
        <v>6.7152500000000002</v>
      </c>
      <c r="AP504" s="11"/>
    </row>
    <row r="505" spans="2:42" hidden="1" outlineLevel="1" x14ac:dyDescent="0.25">
      <c r="B505" s="21">
        <v>42852</v>
      </c>
      <c r="C505" s="27">
        <v>19.059754999999999</v>
      </c>
      <c r="E505" s="30">
        <v>0.91787799999999997</v>
      </c>
      <c r="G505" s="27">
        <v>15.467460000000001</v>
      </c>
      <c r="I505" s="29">
        <v>6.9198649999999997</v>
      </c>
      <c r="K505" s="29">
        <v>3.1733799999999999</v>
      </c>
      <c r="M505" s="41">
        <v>663.11239499999999</v>
      </c>
      <c r="O505" s="26">
        <v>2924.3650849999999</v>
      </c>
      <c r="Q505" s="26">
        <v>5580.0765849999998</v>
      </c>
      <c r="S505" s="26">
        <v>1758.4188019999999</v>
      </c>
      <c r="U505" s="29">
        <v>3.2450749999999999</v>
      </c>
      <c r="W505" s="14">
        <v>28.268235000000001</v>
      </c>
      <c r="Y505" s="29">
        <v>8.9079890000000006</v>
      </c>
      <c r="AA505" s="41">
        <v>556.72247500000003</v>
      </c>
      <c r="AC505" s="27">
        <v>47.213895000000001</v>
      </c>
      <c r="AE505" s="27">
        <v>1</v>
      </c>
      <c r="AG505" s="29">
        <v>7.3351300000000004</v>
      </c>
      <c r="AI505" s="29">
        <v>8.7421699999999998</v>
      </c>
      <c r="AK505" s="27">
        <v>23.393709999999999</v>
      </c>
      <c r="AM505" s="27">
        <v>29.589034999999999</v>
      </c>
      <c r="AO505" s="29">
        <v>6.72689</v>
      </c>
      <c r="AP505" s="11"/>
    </row>
    <row r="506" spans="2:42" hidden="1" outlineLevel="1" x14ac:dyDescent="0.25">
      <c r="B506" s="21">
        <v>42853</v>
      </c>
      <c r="C506" s="27">
        <v>19.003585000000001</v>
      </c>
      <c r="E506" s="30">
        <v>0.91816799999999998</v>
      </c>
      <c r="G506" s="27">
        <v>15.408004999999999</v>
      </c>
      <c r="I506" s="29">
        <v>6.94259</v>
      </c>
      <c r="K506" s="29">
        <v>3.18451</v>
      </c>
      <c r="M506" s="41">
        <v>664.70113000000003</v>
      </c>
      <c r="O506" s="26">
        <v>2941.592885</v>
      </c>
      <c r="Q506" s="26">
        <v>5595.2574649999997</v>
      </c>
      <c r="S506" s="26">
        <v>1757.040968</v>
      </c>
      <c r="U506" s="29">
        <v>3.2517</v>
      </c>
      <c r="W506" s="14">
        <v>28.246390000000002</v>
      </c>
      <c r="Y506" s="29">
        <v>8.8699980000000007</v>
      </c>
      <c r="AA506" s="41">
        <v>559.02287999999999</v>
      </c>
      <c r="AC506" s="27">
        <v>47.356834999999997</v>
      </c>
      <c r="AE506" s="27">
        <v>1</v>
      </c>
      <c r="AG506" s="29">
        <v>7.3582150000000004</v>
      </c>
      <c r="AI506" s="29">
        <v>8.7674749999999992</v>
      </c>
      <c r="AK506" s="27">
        <v>23.49926</v>
      </c>
      <c r="AM506" s="27">
        <v>29.69839</v>
      </c>
      <c r="AO506" s="29">
        <v>6.7430050000000001</v>
      </c>
      <c r="AP506" s="11"/>
    </row>
    <row r="507" spans="2:42" hidden="1" outlineLevel="1" x14ac:dyDescent="0.25">
      <c r="B507" s="21">
        <v>42854</v>
      </c>
      <c r="C507" s="27">
        <v>18.821314999999998</v>
      </c>
      <c r="E507" s="30">
        <v>0.91775099999999998</v>
      </c>
      <c r="G507" s="27">
        <v>15.430720000000001</v>
      </c>
      <c r="I507" s="29">
        <v>6.9770500000000002</v>
      </c>
      <c r="K507" s="29">
        <v>3.1767850000000002</v>
      </c>
      <c r="M507" s="41">
        <v>665.98</v>
      </c>
      <c r="O507" s="26">
        <v>2952.2</v>
      </c>
      <c r="Q507" s="26">
        <v>5601.8</v>
      </c>
      <c r="S507" s="26">
        <v>1763.3891120000001</v>
      </c>
      <c r="U507" s="29">
        <v>3.2581500000000001</v>
      </c>
      <c r="W507" s="14">
        <v>28.224</v>
      </c>
      <c r="Y507" s="29">
        <v>8.8846120000000006</v>
      </c>
      <c r="AA507" s="41">
        <v>560.66999999999996</v>
      </c>
      <c r="AC507" s="27">
        <v>47.444000000000003</v>
      </c>
      <c r="AE507" s="27">
        <v>1</v>
      </c>
      <c r="AG507" s="29">
        <v>7.3720499999999998</v>
      </c>
      <c r="AI507" s="29">
        <v>8.7839500000000008</v>
      </c>
      <c r="AK507" s="27">
        <v>23.531500000000001</v>
      </c>
      <c r="AM507" s="27">
        <v>29.695</v>
      </c>
      <c r="AO507" s="29">
        <v>6.7561499999999999</v>
      </c>
      <c r="AP507" s="12"/>
    </row>
    <row r="508" spans="2:42" hidden="1" outlineLevel="1" x14ac:dyDescent="0.25">
      <c r="B508" s="21">
        <v>42855</v>
      </c>
      <c r="C508" s="49">
        <v>19.067</v>
      </c>
      <c r="E508" s="30">
        <v>0.91775099999999998</v>
      </c>
      <c r="G508" s="27">
        <v>15.388389999999999</v>
      </c>
      <c r="I508" s="29">
        <v>6.9770500000000002</v>
      </c>
      <c r="K508" s="29">
        <v>3.1767349999999999</v>
      </c>
      <c r="M508" s="41">
        <v>667.1</v>
      </c>
      <c r="O508" s="26">
        <v>2941.89</v>
      </c>
      <c r="Q508" s="26">
        <v>5601.8</v>
      </c>
      <c r="S508" s="26">
        <v>1763.413681</v>
      </c>
      <c r="U508" s="29">
        <v>3.2581500000000001</v>
      </c>
      <c r="W508" s="14">
        <v>28.224</v>
      </c>
      <c r="Y508" s="29">
        <v>8.8847360000000002</v>
      </c>
      <c r="AA508" s="41">
        <v>560.66999999999996</v>
      </c>
      <c r="AC508" s="27">
        <v>47.444000000000003</v>
      </c>
      <c r="AE508" s="27">
        <v>1</v>
      </c>
      <c r="AG508" s="29">
        <v>7.3720499999999998</v>
      </c>
      <c r="AI508" s="29">
        <v>8.7839500000000008</v>
      </c>
      <c r="AK508" s="27">
        <v>23.531500000000001</v>
      </c>
      <c r="AM508" s="27">
        <v>29.695</v>
      </c>
      <c r="AO508" s="29">
        <v>6.7561499999999999</v>
      </c>
      <c r="AP508" s="12"/>
    </row>
    <row r="509" spans="2:42" ht="13" collapsed="1" x14ac:dyDescent="0.3">
      <c r="B509" s="25" t="s">
        <v>154</v>
      </c>
      <c r="C509" s="19">
        <v>18.7437</v>
      </c>
      <c r="E509" s="24">
        <v>0.93401000000000001</v>
      </c>
      <c r="G509" s="19">
        <v>15.3443</v>
      </c>
      <c r="I509" s="23">
        <v>6.9316500000000003</v>
      </c>
      <c r="J509" s="9"/>
      <c r="K509" s="23">
        <v>3.14039</v>
      </c>
      <c r="M509" s="42">
        <v>655.73199999999997</v>
      </c>
      <c r="O509" s="31">
        <v>2876.11</v>
      </c>
      <c r="Q509" s="31">
        <v>5612.81</v>
      </c>
      <c r="S509" s="31">
        <v>1787.45</v>
      </c>
      <c r="U509" s="23">
        <v>3.24905</v>
      </c>
      <c r="W509" s="23">
        <v>28.475200000000001</v>
      </c>
      <c r="Y509" s="23">
        <v>9.0680599999999991</v>
      </c>
      <c r="AA509" s="42">
        <v>557.54600000000005</v>
      </c>
      <c r="AC509" s="19">
        <v>47.211500000000001</v>
      </c>
      <c r="AE509" s="19">
        <v>1</v>
      </c>
      <c r="AG509" s="23">
        <v>7.3393699999999997</v>
      </c>
      <c r="AI509" s="23">
        <v>8.7507400000000004</v>
      </c>
      <c r="AK509" s="23">
        <v>23.421510000000001</v>
      </c>
      <c r="AM509" s="23">
        <v>29.611799999999999</v>
      </c>
      <c r="AO509" s="23">
        <v>6.73454</v>
      </c>
      <c r="AP509" s="10"/>
    </row>
    <row r="510" spans="2:42" hidden="1" outlineLevel="1" x14ac:dyDescent="0.25">
      <c r="B510" s="21">
        <v>42856</v>
      </c>
      <c r="C510" s="27">
        <v>18.809885000000001</v>
      </c>
      <c r="E510" s="30">
        <v>0.91737599999999997</v>
      </c>
      <c r="G510" s="27">
        <v>15.407954999999999</v>
      </c>
      <c r="I510" s="29">
        <v>6.9706999999999999</v>
      </c>
      <c r="K510" s="29">
        <v>3.17476</v>
      </c>
      <c r="M510" s="41">
        <v>666.48213499999997</v>
      </c>
      <c r="O510" s="26">
        <v>2943.0003200000001</v>
      </c>
      <c r="Q510" s="26">
        <v>5596.7</v>
      </c>
      <c r="S510" s="26">
        <v>1762.8922889999999</v>
      </c>
      <c r="U510" s="29">
        <v>3.2486100000000002</v>
      </c>
      <c r="W510" s="14">
        <v>28.198499999999999</v>
      </c>
      <c r="Y510" s="29">
        <v>8.8821759999999994</v>
      </c>
      <c r="AA510" s="41">
        <v>560.16499999999996</v>
      </c>
      <c r="AC510" s="27">
        <v>47.370154999999997</v>
      </c>
      <c r="AE510" s="27">
        <v>1</v>
      </c>
      <c r="AG510" s="29">
        <v>7.3654000000000002</v>
      </c>
      <c r="AI510" s="29">
        <v>8.7759499999999999</v>
      </c>
      <c r="AK510" s="27">
        <v>23.504314999999998</v>
      </c>
      <c r="AM510" s="27">
        <v>29.696899999999999</v>
      </c>
      <c r="AO510" s="29">
        <v>6.7499500000000001</v>
      </c>
      <c r="AP510" s="11"/>
    </row>
    <row r="511" spans="2:42" hidden="1" outlineLevel="1" x14ac:dyDescent="0.25">
      <c r="B511" s="21">
        <v>42857</v>
      </c>
      <c r="C511" s="27">
        <v>18.742425000000001</v>
      </c>
      <c r="E511" s="30">
        <v>0.91640999999999995</v>
      </c>
      <c r="G511" s="27">
        <v>15.361395</v>
      </c>
      <c r="I511" s="29">
        <v>6.9526399999999997</v>
      </c>
      <c r="K511" s="29">
        <v>3.1714250000000002</v>
      </c>
      <c r="M511" s="41">
        <v>666.17231500000003</v>
      </c>
      <c r="O511" s="26">
        <v>2946.660065</v>
      </c>
      <c r="Q511" s="26">
        <v>5586.0517200000004</v>
      </c>
      <c r="S511" s="26">
        <v>1761.3873719999999</v>
      </c>
      <c r="U511" s="29">
        <v>3.2497950000000002</v>
      </c>
      <c r="W511" s="14">
        <v>28.160225000000001</v>
      </c>
      <c r="Y511" s="29">
        <v>8.8794260000000005</v>
      </c>
      <c r="AA511" s="41">
        <v>559.40038000000004</v>
      </c>
      <c r="AC511" s="27">
        <v>47.361224999999997</v>
      </c>
      <c r="AE511" s="27">
        <v>1</v>
      </c>
      <c r="AG511" s="29">
        <v>7.3540799999999997</v>
      </c>
      <c r="AI511" s="29">
        <v>8.7640499999999992</v>
      </c>
      <c r="AK511" s="27">
        <v>23.493645000000001</v>
      </c>
      <c r="AM511" s="27">
        <v>29.664365</v>
      </c>
      <c r="AO511" s="29">
        <v>6.7417749999999996</v>
      </c>
      <c r="AP511" s="11"/>
    </row>
    <row r="512" spans="2:42" hidden="1" outlineLevel="1" x14ac:dyDescent="0.25">
      <c r="B512" s="21">
        <v>42858</v>
      </c>
      <c r="C512" s="27">
        <v>18.795459999999999</v>
      </c>
      <c r="E512" s="30">
        <v>0.91586400000000001</v>
      </c>
      <c r="G512" s="27">
        <v>15.281375000000001</v>
      </c>
      <c r="I512" s="29">
        <v>6.9353800000000003</v>
      </c>
      <c r="K512" s="29">
        <v>3.1519499999999998</v>
      </c>
      <c r="M512" s="41">
        <v>667.03713000000005</v>
      </c>
      <c r="O512" s="26">
        <v>2937.4099799999999</v>
      </c>
      <c r="Q512" s="26">
        <v>5569.5865999999996</v>
      </c>
      <c r="S512" s="26">
        <v>1767.046474</v>
      </c>
      <c r="U512" s="29">
        <v>3.2444449999999998</v>
      </c>
      <c r="W512" s="14">
        <v>28.066649999999999</v>
      </c>
      <c r="Y512" s="29">
        <v>8.9046000000000003</v>
      </c>
      <c r="AA512" s="41">
        <v>558.02580499999999</v>
      </c>
      <c r="AC512" s="27">
        <v>47.223795000000003</v>
      </c>
      <c r="AE512" s="27">
        <v>1</v>
      </c>
      <c r="AG512" s="29">
        <v>7.3343299999999996</v>
      </c>
      <c r="AI512" s="29">
        <v>8.742445</v>
      </c>
      <c r="AK512" s="27">
        <v>23.458390000000001</v>
      </c>
      <c r="AM512" s="27">
        <v>29.634765000000002</v>
      </c>
      <c r="AO512" s="29">
        <v>6.7309700000000001</v>
      </c>
      <c r="AP512" s="11"/>
    </row>
    <row r="513" spans="2:42" hidden="1" outlineLevel="1" x14ac:dyDescent="0.25">
      <c r="B513" s="21">
        <v>42859</v>
      </c>
      <c r="C513" s="27">
        <v>18.925395000000002</v>
      </c>
      <c r="E513" s="30">
        <v>0.91555799999999998</v>
      </c>
      <c r="G513" s="27">
        <v>15.303644999999999</v>
      </c>
      <c r="I513" s="29">
        <v>6.95092</v>
      </c>
      <c r="K513" s="29">
        <v>3.1710400000000001</v>
      </c>
      <c r="M513" s="41">
        <v>671.43071999999995</v>
      </c>
      <c r="O513" s="26">
        <v>2930.0847899999999</v>
      </c>
      <c r="Q513" s="26">
        <v>5585.3107849999997</v>
      </c>
      <c r="S513" s="26">
        <v>1761.367763</v>
      </c>
      <c r="U513" s="29">
        <v>3.25848</v>
      </c>
      <c r="W513" s="14">
        <v>28.138345000000001</v>
      </c>
      <c r="Y513" s="29">
        <v>8.8736080000000008</v>
      </c>
      <c r="AA513" s="41">
        <v>559.17529999999999</v>
      </c>
      <c r="AC513" s="27">
        <v>47.320765000000002</v>
      </c>
      <c r="AE513" s="27">
        <v>1</v>
      </c>
      <c r="AG513" s="29">
        <v>7.3498749999999999</v>
      </c>
      <c r="AI513" s="29">
        <v>8.7602700000000002</v>
      </c>
      <c r="AK513" s="27">
        <v>23.510335000000001</v>
      </c>
      <c r="AM513" s="27">
        <v>29.676525000000002</v>
      </c>
      <c r="AO513" s="29">
        <v>6.7428549999999996</v>
      </c>
      <c r="AP513" s="11"/>
    </row>
    <row r="514" spans="2:42" hidden="1" outlineLevel="1" x14ac:dyDescent="0.25">
      <c r="B514" s="21">
        <v>42860</v>
      </c>
      <c r="C514" s="27">
        <v>19.048729999999999</v>
      </c>
      <c r="E514" s="30">
        <v>0.91079200000000005</v>
      </c>
      <c r="G514" s="27">
        <v>15.34647</v>
      </c>
      <c r="I514" s="29">
        <v>6.9230650000000002</v>
      </c>
      <c r="K514" s="29">
        <v>3.1847349999999999</v>
      </c>
      <c r="M514" s="41">
        <v>673.71973500000001</v>
      </c>
      <c r="O514" s="26">
        <v>2953.9133099999999</v>
      </c>
      <c r="Q514" s="26">
        <v>5579.235745</v>
      </c>
      <c r="S514" s="26">
        <v>1751.8858600000001</v>
      </c>
      <c r="U514" s="29">
        <v>3.2570049999999999</v>
      </c>
      <c r="W514" s="14">
        <v>27.982835000000001</v>
      </c>
      <c r="Y514" s="29">
        <v>8.7866160000000004</v>
      </c>
      <c r="AA514" s="41">
        <v>557.65668000000005</v>
      </c>
      <c r="AC514" s="27">
        <v>47.151325</v>
      </c>
      <c r="AE514" s="27">
        <v>1</v>
      </c>
      <c r="AG514" s="29">
        <v>7.3225699999999998</v>
      </c>
      <c r="AI514" s="29">
        <v>8.7266999999999992</v>
      </c>
      <c r="AK514" s="27">
        <v>23.422899999999998</v>
      </c>
      <c r="AM514" s="27">
        <v>29.57583</v>
      </c>
      <c r="AO514" s="29">
        <v>6.7187299999999999</v>
      </c>
      <c r="AP514" s="11"/>
    </row>
    <row r="515" spans="2:42" hidden="1" outlineLevel="1" x14ac:dyDescent="0.25">
      <c r="B515" s="21">
        <v>42861</v>
      </c>
      <c r="C515" s="27">
        <v>18.998049999999999</v>
      </c>
      <c r="E515" s="30">
        <v>0.90918200000000005</v>
      </c>
      <c r="G515" s="27">
        <v>15.351000000000001</v>
      </c>
      <c r="I515" s="29">
        <v>6.9244000000000003</v>
      </c>
      <c r="K515" s="29">
        <v>3.1786650000000001</v>
      </c>
      <c r="M515" s="41">
        <v>671.4</v>
      </c>
      <c r="O515" s="26">
        <v>2971.65</v>
      </c>
      <c r="Q515" s="26">
        <v>5589.8</v>
      </c>
      <c r="S515" s="26">
        <v>1758.588344</v>
      </c>
      <c r="U515" s="29">
        <v>3.2654999999999998</v>
      </c>
      <c r="W515" s="14">
        <v>27.9025</v>
      </c>
      <c r="Y515" s="29">
        <v>8.7782940000000007</v>
      </c>
      <c r="AA515" s="41">
        <v>557.93499999999995</v>
      </c>
      <c r="AC515" s="27">
        <v>47.085500000000003</v>
      </c>
      <c r="AE515" s="27">
        <v>1</v>
      </c>
      <c r="AG515" s="29">
        <v>7.3154000000000003</v>
      </c>
      <c r="AI515" s="29">
        <v>8.7177000000000007</v>
      </c>
      <c r="AK515" s="27">
        <v>23.46</v>
      </c>
      <c r="AM515" s="27">
        <v>29.471499999999999</v>
      </c>
      <c r="AO515" s="29">
        <v>6.7051999999999996</v>
      </c>
      <c r="AP515" s="11"/>
    </row>
    <row r="516" spans="2:42" hidden="1" outlineLevel="1" x14ac:dyDescent="0.25">
      <c r="B516" s="21">
        <v>42862</v>
      </c>
      <c r="C516" s="27">
        <v>18.998049999999999</v>
      </c>
      <c r="E516" s="30">
        <v>0.90918200000000005</v>
      </c>
      <c r="G516" s="27">
        <v>15.32403</v>
      </c>
      <c r="I516" s="29">
        <v>6.945392</v>
      </c>
      <c r="K516" s="29">
        <v>3.1807500000000002</v>
      </c>
      <c r="M516" s="41">
        <v>671.39361399999996</v>
      </c>
      <c r="O516" s="26">
        <v>2944.1197940000002</v>
      </c>
      <c r="Q516" s="26">
        <v>5590.3565980000003</v>
      </c>
      <c r="S516" s="26">
        <v>1757.5714889999999</v>
      </c>
      <c r="U516" s="29">
        <v>3.2669769999999998</v>
      </c>
      <c r="W516" s="14">
        <v>27.989771999999999</v>
      </c>
      <c r="Y516" s="29">
        <v>8.7997599999999991</v>
      </c>
      <c r="AA516" s="41">
        <v>560.43800699999997</v>
      </c>
      <c r="AC516" s="27">
        <v>47.271971999999998</v>
      </c>
      <c r="AE516" s="27">
        <v>1</v>
      </c>
      <c r="AG516" s="29">
        <v>7.34</v>
      </c>
      <c r="AI516" s="29">
        <v>8.7271999999999998</v>
      </c>
      <c r="AK516" s="27">
        <v>23.451476</v>
      </c>
      <c r="AM516" s="27">
        <v>29.799499999999998</v>
      </c>
      <c r="AO516" s="29">
        <v>6.7354159999999998</v>
      </c>
      <c r="AP516" s="11"/>
    </row>
    <row r="517" spans="2:42" hidden="1" outlineLevel="1" x14ac:dyDescent="0.25">
      <c r="B517" s="21">
        <v>42863</v>
      </c>
      <c r="C517" s="27">
        <v>19.019404999999999</v>
      </c>
      <c r="E517" s="30">
        <v>0.91262600000000005</v>
      </c>
      <c r="G517" s="27">
        <v>15.374364999999999</v>
      </c>
      <c r="I517" s="29">
        <v>6.9392649999999998</v>
      </c>
      <c r="K517" s="29">
        <v>3.1842600000000001</v>
      </c>
      <c r="M517" s="41">
        <v>674.41963999999996</v>
      </c>
      <c r="O517" s="26">
        <v>2949.1930750000001</v>
      </c>
      <c r="Q517" s="26">
        <v>5623.0131799999999</v>
      </c>
      <c r="S517" s="26">
        <v>1765.8951059999999</v>
      </c>
      <c r="U517" s="29">
        <v>3.2803450000000001</v>
      </c>
      <c r="W517" s="14">
        <v>27.954989999999999</v>
      </c>
      <c r="Y517" s="29">
        <v>8.7791800000000002</v>
      </c>
      <c r="AA517" s="41">
        <v>559.93592999999998</v>
      </c>
      <c r="AC517" s="27">
        <v>47.279645000000002</v>
      </c>
      <c r="AE517" s="27">
        <v>1</v>
      </c>
      <c r="AG517" s="29">
        <v>7.3407799999999996</v>
      </c>
      <c r="AI517" s="29">
        <v>8.7494250000000005</v>
      </c>
      <c r="AK517" s="27">
        <v>23.469235000000001</v>
      </c>
      <c r="AM517" s="27">
        <v>29.661740000000002</v>
      </c>
      <c r="AO517" s="29">
        <v>6.7383499999999996</v>
      </c>
      <c r="AP517" s="11"/>
    </row>
    <row r="518" spans="2:42" hidden="1" outlineLevel="1" x14ac:dyDescent="0.25">
      <c r="B518" s="21">
        <v>42864</v>
      </c>
      <c r="C518" s="27">
        <v>19.194445000000002</v>
      </c>
      <c r="E518" s="30">
        <v>0.91701900000000003</v>
      </c>
      <c r="G518" s="27">
        <v>15.493124999999999</v>
      </c>
      <c r="I518" s="29">
        <v>6.9495199999999997</v>
      </c>
      <c r="K518" s="29">
        <v>3.1937199999999999</v>
      </c>
      <c r="M518" s="41">
        <v>676.89399500000002</v>
      </c>
      <c r="O518" s="26">
        <v>2957.47057</v>
      </c>
      <c r="Q518" s="26">
        <v>5634.6366799999996</v>
      </c>
      <c r="S518" s="26">
        <v>1764.303666</v>
      </c>
      <c r="U518" s="29">
        <v>3.2816450000000001</v>
      </c>
      <c r="W518" s="14">
        <v>28.004055000000001</v>
      </c>
      <c r="Y518" s="29">
        <v>8.7685390000000005</v>
      </c>
      <c r="AA518" s="41">
        <v>561.43202499999995</v>
      </c>
      <c r="AC518" s="27">
        <v>47.32188</v>
      </c>
      <c r="AE518" s="27">
        <v>1</v>
      </c>
      <c r="AG518" s="29">
        <v>7.3463700000000003</v>
      </c>
      <c r="AI518" s="29">
        <v>8.7593350000000001</v>
      </c>
      <c r="AK518" s="27">
        <v>23.487469999999998</v>
      </c>
      <c r="AM518" s="27">
        <v>29.67015</v>
      </c>
      <c r="AO518" s="29">
        <v>6.7480900000000004</v>
      </c>
      <c r="AP518" s="11"/>
    </row>
    <row r="519" spans="2:42" hidden="1" outlineLevel="1" x14ac:dyDescent="0.25">
      <c r="B519" s="21">
        <v>42865</v>
      </c>
      <c r="C519" s="27">
        <v>19.089559999999999</v>
      </c>
      <c r="E519" s="30">
        <v>0.91922300000000001</v>
      </c>
      <c r="G519" s="27">
        <v>15.519335</v>
      </c>
      <c r="I519" s="29">
        <v>6.9464600000000001</v>
      </c>
      <c r="K519" s="29">
        <v>3.1798500000000001</v>
      </c>
      <c r="M519" s="41">
        <v>676.56493499999999</v>
      </c>
      <c r="O519" s="26">
        <v>2963.3833500000001</v>
      </c>
      <c r="Q519" s="26">
        <v>5604.4067349999996</v>
      </c>
      <c r="S519" s="26">
        <v>1762.492943</v>
      </c>
      <c r="U519" s="29">
        <v>3.2898749999999999</v>
      </c>
      <c r="W519" s="14">
        <v>27.929200000000002</v>
      </c>
      <c r="Y519" s="29">
        <v>8.7832480000000004</v>
      </c>
      <c r="AA519" s="41">
        <v>562.82682499999999</v>
      </c>
      <c r="AC519" s="27">
        <v>47.322254999999998</v>
      </c>
      <c r="AE519" s="27">
        <v>1</v>
      </c>
      <c r="AG519" s="29">
        <v>7.3418749999999999</v>
      </c>
      <c r="AI519" s="29">
        <v>8.7567799999999991</v>
      </c>
      <c r="AK519" s="27">
        <v>23.466149999999999</v>
      </c>
      <c r="AM519" s="27">
        <v>29.675619999999999</v>
      </c>
      <c r="AO519" s="29">
        <v>6.7372500000000004</v>
      </c>
      <c r="AP519" s="11"/>
    </row>
    <row r="520" spans="2:42" hidden="1" outlineLevel="1" x14ac:dyDescent="0.25">
      <c r="B520" s="21">
        <v>42866</v>
      </c>
      <c r="C520" s="27">
        <v>18.958279999999998</v>
      </c>
      <c r="E520" s="30">
        <v>0.91999299999999995</v>
      </c>
      <c r="G520" s="27">
        <v>15.487625</v>
      </c>
      <c r="I520" s="29">
        <v>6.9421099999999996</v>
      </c>
      <c r="K520" s="29">
        <v>3.1617350000000002</v>
      </c>
      <c r="M520" s="41">
        <v>675.11201000000005</v>
      </c>
      <c r="O520" s="26">
        <v>2948.8531950000001</v>
      </c>
      <c r="Q520" s="26">
        <v>5592.5081250000003</v>
      </c>
      <c r="S520" s="26">
        <v>1768.8282939999999</v>
      </c>
      <c r="U520" s="29">
        <v>3.2905549999999999</v>
      </c>
      <c r="W520" s="14">
        <v>28.047229999999999</v>
      </c>
      <c r="Y520" s="29">
        <v>8.8709039999999995</v>
      </c>
      <c r="AA520" s="41">
        <v>563.03629999999998</v>
      </c>
      <c r="AC520" s="27">
        <v>47.296430000000001</v>
      </c>
      <c r="AE520" s="27">
        <v>1</v>
      </c>
      <c r="AG520" s="29">
        <v>7.3383700000000003</v>
      </c>
      <c r="AI520" s="29">
        <v>8.7504200000000001</v>
      </c>
      <c r="AK520" s="27">
        <v>23.470804999999999</v>
      </c>
      <c r="AM520" s="27">
        <v>29.694254999999998</v>
      </c>
      <c r="AO520" s="29">
        <v>6.7348499999999998</v>
      </c>
      <c r="AP520" s="11"/>
    </row>
    <row r="521" spans="2:42" hidden="1" outlineLevel="1" x14ac:dyDescent="0.25">
      <c r="B521" s="21">
        <v>42867</v>
      </c>
      <c r="C521" s="27">
        <v>18.816230000000001</v>
      </c>
      <c r="E521" s="30">
        <v>0.91852199999999995</v>
      </c>
      <c r="G521" s="27">
        <v>15.438385</v>
      </c>
      <c r="I521" s="29">
        <v>6.9439299999999999</v>
      </c>
      <c r="K521" s="29">
        <v>3.135745</v>
      </c>
      <c r="M521" s="41">
        <v>672.00873000000001</v>
      </c>
      <c r="O521" s="26">
        <v>2931.8196899999998</v>
      </c>
      <c r="Q521" s="26">
        <v>5603.3388249999998</v>
      </c>
      <c r="S521" s="26">
        <v>1786.942348</v>
      </c>
      <c r="U521" s="29">
        <v>3.2885849999999999</v>
      </c>
      <c r="W521" s="14">
        <v>28.072610000000001</v>
      </c>
      <c r="Y521" s="29">
        <v>8.9525129999999997</v>
      </c>
      <c r="AA521" s="41">
        <v>563.23020499999996</v>
      </c>
      <c r="AC521" s="27">
        <v>47.292619999999999</v>
      </c>
      <c r="AE521" s="27">
        <v>1</v>
      </c>
      <c r="AG521" s="29">
        <v>7.3397949999999996</v>
      </c>
      <c r="AI521" s="29">
        <v>8.7534550000000007</v>
      </c>
      <c r="AK521" s="27">
        <v>23.469905000000001</v>
      </c>
      <c r="AM521" s="27">
        <v>29.785430000000002</v>
      </c>
      <c r="AO521" s="29">
        <v>6.7368800000000002</v>
      </c>
      <c r="AP521" s="11"/>
    </row>
    <row r="522" spans="2:42" hidden="1" outlineLevel="1" x14ac:dyDescent="0.25">
      <c r="B522" s="21">
        <v>42868</v>
      </c>
      <c r="C522" s="27">
        <v>18.808309999999999</v>
      </c>
      <c r="E522" s="30">
        <v>0.91479999999999995</v>
      </c>
      <c r="G522" s="27">
        <v>15.36866</v>
      </c>
      <c r="I522" s="29">
        <v>6.9148500000000004</v>
      </c>
      <c r="K522" s="29">
        <v>3.12208</v>
      </c>
      <c r="M522" s="41">
        <v>672.05</v>
      </c>
      <c r="O522" s="26">
        <v>2920.0781480000001</v>
      </c>
      <c r="Q522" s="26">
        <v>5561.7</v>
      </c>
      <c r="S522" s="26">
        <v>1781.4556419999999</v>
      </c>
      <c r="U522" s="29">
        <v>3.2710080000000001</v>
      </c>
      <c r="W522" s="14">
        <v>27.922999999999998</v>
      </c>
      <c r="Y522" s="29">
        <v>8.9439360000000008</v>
      </c>
      <c r="AA522" s="41">
        <v>560.14499999999998</v>
      </c>
      <c r="AC522" s="27">
        <v>47.020499999999998</v>
      </c>
      <c r="AE522" s="27">
        <v>1</v>
      </c>
      <c r="AG522" s="29">
        <v>7.29725</v>
      </c>
      <c r="AI522" s="29">
        <v>8.7059499999999996</v>
      </c>
      <c r="AK522" s="27">
        <v>23.44</v>
      </c>
      <c r="AM522" s="27">
        <v>29.628499999999999</v>
      </c>
      <c r="AO522" s="29">
        <v>6.6959</v>
      </c>
      <c r="AP522" s="11"/>
    </row>
    <row r="523" spans="2:42" hidden="1" outlineLevel="1" x14ac:dyDescent="0.25">
      <c r="B523" s="21">
        <v>42869</v>
      </c>
      <c r="C523" s="27">
        <v>18.808309999999999</v>
      </c>
      <c r="E523" s="30">
        <v>0.91479999999999995</v>
      </c>
      <c r="G523" s="27">
        <v>15.36473</v>
      </c>
      <c r="I523" s="29">
        <v>6.9148500000000004</v>
      </c>
      <c r="K523" s="29">
        <v>3.12886</v>
      </c>
      <c r="M523" s="41">
        <v>672.1</v>
      </c>
      <c r="O523" s="26">
        <v>2920.67</v>
      </c>
      <c r="Q523" s="26">
        <v>5561.7</v>
      </c>
      <c r="S523" s="26">
        <v>1777.577008</v>
      </c>
      <c r="U523" s="29">
        <v>3.2734999999999999</v>
      </c>
      <c r="W523" s="14">
        <v>27.922999999999998</v>
      </c>
      <c r="Y523" s="29">
        <v>8.9244699999999995</v>
      </c>
      <c r="AA523" s="41">
        <v>560.14499999999998</v>
      </c>
      <c r="AC523" s="27">
        <v>47.020499999999998</v>
      </c>
      <c r="AE523" s="27">
        <v>1</v>
      </c>
      <c r="AG523" s="29">
        <v>7.29725</v>
      </c>
      <c r="AI523" s="29">
        <v>8.7059499999999996</v>
      </c>
      <c r="AK523" s="27">
        <v>23.46</v>
      </c>
      <c r="AM523" s="27">
        <v>29.628499999999999</v>
      </c>
      <c r="AO523" s="29">
        <v>6.6959</v>
      </c>
      <c r="AP523" s="11"/>
    </row>
    <row r="524" spans="2:42" hidden="1" outlineLevel="1" x14ac:dyDescent="0.25">
      <c r="B524" s="21">
        <v>42870</v>
      </c>
      <c r="C524" s="27">
        <v>18.718225</v>
      </c>
      <c r="E524" s="30">
        <v>0.91307099999999997</v>
      </c>
      <c r="G524" s="27">
        <v>15.43539</v>
      </c>
      <c r="I524" s="29">
        <v>6.9231249999999998</v>
      </c>
      <c r="K524" s="29">
        <v>3.1155249999999999</v>
      </c>
      <c r="M524" s="41">
        <v>668.42779499999995</v>
      </c>
      <c r="O524" s="26">
        <v>2918.451125</v>
      </c>
      <c r="Q524" s="26">
        <v>5594.2169750000003</v>
      </c>
      <c r="S524" s="26">
        <v>1795.6116119999999</v>
      </c>
      <c r="U524" s="29">
        <v>3.2688449999999998</v>
      </c>
      <c r="W524" s="14">
        <v>27.983889999999999</v>
      </c>
      <c r="Y524" s="29">
        <v>8.9821439999999999</v>
      </c>
      <c r="AA524" s="41">
        <v>561.62349500000005</v>
      </c>
      <c r="AC524" s="27">
        <v>47.157910000000001</v>
      </c>
      <c r="AE524" s="27">
        <v>1</v>
      </c>
      <c r="AG524" s="29">
        <v>7.3164199999999999</v>
      </c>
      <c r="AI524" s="29">
        <v>8.7288200000000007</v>
      </c>
      <c r="AK524" s="27">
        <v>23.393915</v>
      </c>
      <c r="AM524" s="27">
        <v>29.728664999999999</v>
      </c>
      <c r="AO524" s="29">
        <v>6.7152050000000001</v>
      </c>
      <c r="AP524" s="11"/>
    </row>
    <row r="525" spans="2:42" hidden="1" outlineLevel="1" x14ac:dyDescent="0.25">
      <c r="B525" s="21">
        <v>42871</v>
      </c>
      <c r="C525" s="27">
        <v>18.65541</v>
      </c>
      <c r="E525" s="30">
        <v>0.90636000000000005</v>
      </c>
      <c r="G525" s="27">
        <v>15.545745</v>
      </c>
      <c r="I525" s="29">
        <v>6.9366849999999998</v>
      </c>
      <c r="K525" s="29">
        <v>3.1041050000000001</v>
      </c>
      <c r="M525" s="41">
        <v>667.59798499999999</v>
      </c>
      <c r="O525" s="26">
        <v>2893.1856950000001</v>
      </c>
      <c r="Q525" s="26">
        <v>5623.1162549999999</v>
      </c>
      <c r="S525" s="26">
        <v>1811.5302139999999</v>
      </c>
      <c r="U525" s="29">
        <v>3.2626300000000001</v>
      </c>
      <c r="W525" s="14">
        <v>28.023305000000001</v>
      </c>
      <c r="Y525" s="29">
        <v>9.0278969999999994</v>
      </c>
      <c r="AA525" s="41">
        <v>563.33655499999998</v>
      </c>
      <c r="AC525" s="27">
        <v>47.280144999999997</v>
      </c>
      <c r="AE525" s="27">
        <v>1</v>
      </c>
      <c r="AG525" s="29">
        <v>7.3278150000000002</v>
      </c>
      <c r="AI525" s="29">
        <v>8.7425300000000004</v>
      </c>
      <c r="AK525" s="27">
        <v>23.444489999999998</v>
      </c>
      <c r="AM525" s="27">
        <v>29.779070000000001</v>
      </c>
      <c r="AO525" s="29">
        <v>6.7259000000000002</v>
      </c>
      <c r="AP525" s="11"/>
    </row>
    <row r="526" spans="2:42" hidden="1" outlineLevel="1" x14ac:dyDescent="0.25">
      <c r="B526" s="21">
        <v>42872</v>
      </c>
      <c r="C526" s="27">
        <v>18.684265</v>
      </c>
      <c r="E526" s="30">
        <v>0.89976199999999995</v>
      </c>
      <c r="G526" s="27">
        <v>15.586765</v>
      </c>
      <c r="I526" s="29">
        <v>6.927365</v>
      </c>
      <c r="K526" s="29">
        <v>3.10317</v>
      </c>
      <c r="M526" s="41">
        <v>667.31649000000004</v>
      </c>
      <c r="O526" s="26">
        <v>2880.1790350000001</v>
      </c>
      <c r="Q526" s="26">
        <v>5607.3119550000001</v>
      </c>
      <c r="S526" s="26">
        <v>1806.9808310000001</v>
      </c>
      <c r="U526" s="29">
        <v>3.2605300000000002</v>
      </c>
      <c r="W526" s="14">
        <v>27.972490000000001</v>
      </c>
      <c r="Y526" s="29">
        <v>9.0142340000000001</v>
      </c>
      <c r="AA526" s="41">
        <v>564.70265500000005</v>
      </c>
      <c r="AC526" s="27">
        <v>47.166240000000002</v>
      </c>
      <c r="AE526" s="27">
        <v>1</v>
      </c>
      <c r="AG526" s="29">
        <v>7.3193149999999996</v>
      </c>
      <c r="AI526" s="29">
        <v>8.7320250000000001</v>
      </c>
      <c r="AK526" s="27">
        <v>23.397565</v>
      </c>
      <c r="AM526" s="27">
        <v>29.71763</v>
      </c>
      <c r="AO526" s="29">
        <v>6.7220300000000002</v>
      </c>
      <c r="AP526" s="11"/>
    </row>
    <row r="527" spans="2:42" hidden="1" outlineLevel="1" x14ac:dyDescent="0.25">
      <c r="B527" s="21">
        <v>42873</v>
      </c>
      <c r="C527" s="27">
        <v>18.959800000000001</v>
      </c>
      <c r="E527" s="30">
        <v>0.89810599999999996</v>
      </c>
      <c r="G527" s="27">
        <v>15.71677</v>
      </c>
      <c r="I527" s="29">
        <v>6.9296100000000003</v>
      </c>
      <c r="K527" s="29">
        <v>3.209775</v>
      </c>
      <c r="M527" s="41">
        <v>671.84889999999996</v>
      </c>
      <c r="O527" s="26">
        <v>2903.0549350000001</v>
      </c>
      <c r="Q527" s="26">
        <v>5589.5379800000001</v>
      </c>
      <c r="S527" s="26">
        <v>1741.430108</v>
      </c>
      <c r="U527" s="29">
        <v>3.2669950000000001</v>
      </c>
      <c r="W527" s="14">
        <v>27.990584999999999</v>
      </c>
      <c r="Y527" s="29">
        <v>8.7204899999999999</v>
      </c>
      <c r="AA527" s="41">
        <v>567.40229999999997</v>
      </c>
      <c r="AC527" s="27">
        <v>47.165464999999998</v>
      </c>
      <c r="AE527" s="27">
        <v>1</v>
      </c>
      <c r="AG527" s="29">
        <v>7.3176800000000002</v>
      </c>
      <c r="AI527" s="29">
        <v>8.7279800000000005</v>
      </c>
      <c r="AK527" s="27">
        <v>23.374375000000001</v>
      </c>
      <c r="AM527" s="27">
        <v>29.710930000000001</v>
      </c>
      <c r="AO527" s="29">
        <v>6.7166750000000004</v>
      </c>
      <c r="AP527" s="11"/>
    </row>
    <row r="528" spans="2:42" hidden="1" outlineLevel="1" x14ac:dyDescent="0.25">
      <c r="B528" s="21">
        <v>42874</v>
      </c>
      <c r="C528" s="27">
        <v>18.760649999999998</v>
      </c>
      <c r="E528" s="30">
        <v>0.89679200000000003</v>
      </c>
      <c r="G528" s="27">
        <v>15.994445000000001</v>
      </c>
      <c r="I528" s="29">
        <v>6.9658749999999996</v>
      </c>
      <c r="K528" s="29">
        <v>3.3367849999999999</v>
      </c>
      <c r="M528" s="41">
        <v>671.29786999999999</v>
      </c>
      <c r="O528" s="26">
        <v>2911.3420900000001</v>
      </c>
      <c r="Q528" s="26">
        <v>5600.4264700000003</v>
      </c>
      <c r="S528" s="26">
        <v>1678.406422</v>
      </c>
      <c r="U528" s="29">
        <v>3.2776399999999999</v>
      </c>
      <c r="W528" s="14">
        <v>28.11947</v>
      </c>
      <c r="Y528" s="29">
        <v>8.4271759999999993</v>
      </c>
      <c r="AA528" s="41">
        <v>571.93201999999997</v>
      </c>
      <c r="AC528" s="27">
        <v>47.338414999999998</v>
      </c>
      <c r="AE528" s="27">
        <v>1</v>
      </c>
      <c r="AG528" s="29">
        <v>7.3455199999999996</v>
      </c>
      <c r="AI528" s="29">
        <v>8.7619749999999996</v>
      </c>
      <c r="AK528" s="27">
        <v>23.447534999999998</v>
      </c>
      <c r="AM528" s="27">
        <v>29.849295000000001</v>
      </c>
      <c r="AO528" s="29">
        <v>6.73848</v>
      </c>
      <c r="AP528" s="11"/>
    </row>
    <row r="529" spans="2:42" hidden="1" outlineLevel="1" x14ac:dyDescent="0.25">
      <c r="B529" s="21">
        <v>42875</v>
      </c>
      <c r="C529" s="27">
        <v>18.722245000000001</v>
      </c>
      <c r="E529" s="30">
        <v>0.892316</v>
      </c>
      <c r="G529" s="27">
        <v>15.986065</v>
      </c>
      <c r="I529" s="29">
        <v>6.92265</v>
      </c>
      <c r="K529" s="29">
        <v>3.2551000000000001</v>
      </c>
      <c r="M529" s="41">
        <v>669.77</v>
      </c>
      <c r="O529" s="26">
        <v>2913.6</v>
      </c>
      <c r="Q529" s="26">
        <v>5562</v>
      </c>
      <c r="S529" s="26">
        <v>1708.7329380000001</v>
      </c>
      <c r="U529" s="29">
        <v>3.2700999999999998</v>
      </c>
      <c r="W529" s="14">
        <v>27.995000000000001</v>
      </c>
      <c r="Y529" s="29">
        <v>8.6004880000000004</v>
      </c>
      <c r="AA529" s="41">
        <v>568.76</v>
      </c>
      <c r="AC529" s="27">
        <v>47.073999999999998</v>
      </c>
      <c r="AE529" s="27">
        <v>1</v>
      </c>
      <c r="AG529" s="29">
        <v>7.3046499999999996</v>
      </c>
      <c r="AI529" s="29">
        <v>8.7165499999999998</v>
      </c>
      <c r="AK529" s="27">
        <v>23.288</v>
      </c>
      <c r="AM529" s="27">
        <v>29.662500000000001</v>
      </c>
      <c r="AO529" s="29">
        <v>6.7035499999999999</v>
      </c>
      <c r="AP529" s="11"/>
    </row>
    <row r="530" spans="2:42" hidden="1" outlineLevel="1" x14ac:dyDescent="0.25">
      <c r="B530" s="21">
        <v>42876</v>
      </c>
      <c r="C530" s="27">
        <v>18.722245000000001</v>
      </c>
      <c r="E530" s="30">
        <v>0.892316</v>
      </c>
      <c r="G530" s="27">
        <v>15.950710000000001</v>
      </c>
      <c r="I530" s="29">
        <v>6.92265</v>
      </c>
      <c r="K530" s="29">
        <v>3.25474</v>
      </c>
      <c r="M530" s="41">
        <v>668.5</v>
      </c>
      <c r="O530" s="26">
        <v>2884.21</v>
      </c>
      <c r="Q530" s="26">
        <v>5562</v>
      </c>
      <c r="S530" s="26">
        <v>1708.912495</v>
      </c>
      <c r="U530" s="29">
        <v>3.2700999999999998</v>
      </c>
      <c r="W530" s="14">
        <v>27.995000000000001</v>
      </c>
      <c r="Y530" s="29">
        <v>8.6013950000000001</v>
      </c>
      <c r="AA530" s="41">
        <v>568.76</v>
      </c>
      <c r="AC530" s="27">
        <v>47.073999999999998</v>
      </c>
      <c r="AE530" s="27">
        <v>1</v>
      </c>
      <c r="AG530" s="29">
        <v>7.3046499999999996</v>
      </c>
      <c r="AI530" s="29">
        <v>8.7165499999999998</v>
      </c>
      <c r="AK530" s="27">
        <v>23.288</v>
      </c>
      <c r="AM530" s="27">
        <v>29.662500000000001</v>
      </c>
      <c r="AO530" s="29">
        <v>6.7035499999999999</v>
      </c>
      <c r="AP530" s="11"/>
    </row>
    <row r="531" spans="2:42" hidden="1" outlineLevel="1" x14ac:dyDescent="0.25">
      <c r="B531" s="21">
        <v>42877</v>
      </c>
      <c r="C531" s="27">
        <v>18.672145</v>
      </c>
      <c r="E531" s="30">
        <v>0.89186600000000005</v>
      </c>
      <c r="G531" s="27">
        <v>16.027135000000001</v>
      </c>
      <c r="I531" s="29">
        <v>6.9286199999999996</v>
      </c>
      <c r="K531" s="29">
        <v>3.26661</v>
      </c>
      <c r="M531" s="41">
        <v>669.01949999999999</v>
      </c>
      <c r="O531" s="26">
        <v>2904.7162600000001</v>
      </c>
      <c r="Q531" s="26">
        <v>5597.7635099999998</v>
      </c>
      <c r="S531" s="26">
        <v>1713.649842</v>
      </c>
      <c r="U531" s="29">
        <v>3.2709800000000002</v>
      </c>
      <c r="W531" s="14">
        <v>28.132255000000001</v>
      </c>
      <c r="Y531" s="29">
        <v>8.6121320000000008</v>
      </c>
      <c r="AA531" s="41">
        <v>571.84936500000003</v>
      </c>
      <c r="AC531" s="27">
        <v>47.201644999999999</v>
      </c>
      <c r="AE531" s="27">
        <v>1</v>
      </c>
      <c r="AG531" s="29">
        <v>7.3223349999999998</v>
      </c>
      <c r="AI531" s="29">
        <v>8.7351399999999995</v>
      </c>
      <c r="AK531" s="27">
        <v>23.371804999999998</v>
      </c>
      <c r="AM531" s="27">
        <v>29.789755</v>
      </c>
      <c r="AO531" s="29">
        <v>6.7290049999999999</v>
      </c>
      <c r="AP531" s="11"/>
    </row>
    <row r="532" spans="2:42" hidden="1" outlineLevel="1" x14ac:dyDescent="0.25">
      <c r="B532" s="21">
        <v>42878</v>
      </c>
      <c r="C532" s="27">
        <v>18.653590000000001</v>
      </c>
      <c r="E532" s="30">
        <v>0.89048799999999995</v>
      </c>
      <c r="G532" s="27">
        <v>16.151814999999999</v>
      </c>
      <c r="I532" s="29">
        <v>6.9384249999999996</v>
      </c>
      <c r="K532" s="29">
        <v>3.2674650000000001</v>
      </c>
      <c r="M532" s="41">
        <v>670.1155</v>
      </c>
      <c r="O532" s="26">
        <v>2898.0617149999998</v>
      </c>
      <c r="Q532" s="26">
        <v>5615.0994899999996</v>
      </c>
      <c r="S532" s="26">
        <v>1718.5049300000001</v>
      </c>
      <c r="U532" s="29">
        <v>3.2721200000000001</v>
      </c>
      <c r="W532" s="14">
        <v>28.285299999999999</v>
      </c>
      <c r="Y532" s="29">
        <v>8.6567120000000006</v>
      </c>
      <c r="AA532" s="41">
        <v>574.773325</v>
      </c>
      <c r="AC532" s="27">
        <v>47.275964999999999</v>
      </c>
      <c r="AE532" s="27">
        <v>1</v>
      </c>
      <c r="AG532" s="29">
        <v>7.3336100000000002</v>
      </c>
      <c r="AI532" s="29">
        <v>8.7468950000000003</v>
      </c>
      <c r="AK532" s="27">
        <v>23.453645000000002</v>
      </c>
      <c r="AM532" s="27">
        <v>29.818020000000001</v>
      </c>
      <c r="AO532" s="29">
        <v>6.7369399999999997</v>
      </c>
      <c r="AP532" s="11"/>
    </row>
    <row r="533" spans="2:42" hidden="1" outlineLevel="1" x14ac:dyDescent="0.25">
      <c r="B533" s="21">
        <v>42879</v>
      </c>
      <c r="C533" s="27">
        <v>18.603010000000001</v>
      </c>
      <c r="E533" s="30">
        <v>0.89387499999999998</v>
      </c>
      <c r="G533" s="27">
        <v>16.091835</v>
      </c>
      <c r="I533" s="29">
        <v>6.9637549999999999</v>
      </c>
      <c r="K533" s="29">
        <v>3.2692100000000002</v>
      </c>
      <c r="M533" s="41">
        <v>673.93823499999996</v>
      </c>
      <c r="O533" s="26">
        <v>2914.663055</v>
      </c>
      <c r="Q533" s="26">
        <v>5628.8869500000001</v>
      </c>
      <c r="S533" s="26">
        <v>1721.8046879999999</v>
      </c>
      <c r="U533" s="29">
        <v>3.285485</v>
      </c>
      <c r="W533" s="14">
        <v>28.334565000000001</v>
      </c>
      <c r="Y533" s="29">
        <v>8.6671560000000003</v>
      </c>
      <c r="AA533" s="41">
        <v>580.26391999999998</v>
      </c>
      <c r="AC533" s="27">
        <v>47.415664999999997</v>
      </c>
      <c r="AE533" s="27">
        <v>1</v>
      </c>
      <c r="AG533" s="29">
        <v>7.3596399999999997</v>
      </c>
      <c r="AI533" s="29">
        <v>8.7788599999999999</v>
      </c>
      <c r="AK533" s="27">
        <v>23.558675000000001</v>
      </c>
      <c r="AM533" s="27">
        <v>29.930824999999999</v>
      </c>
      <c r="AO533" s="29">
        <v>6.7559250000000004</v>
      </c>
      <c r="AP533" s="11"/>
    </row>
    <row r="534" spans="2:42" hidden="1" outlineLevel="1" x14ac:dyDescent="0.25">
      <c r="B534" s="21">
        <v>42880</v>
      </c>
      <c r="C534" s="27">
        <v>18.426584999999999</v>
      </c>
      <c r="E534" s="30">
        <v>0.89110999999999996</v>
      </c>
      <c r="G534" s="27">
        <v>16.086929999999999</v>
      </c>
      <c r="I534" s="29">
        <v>6.9372049999999996</v>
      </c>
      <c r="K534" s="29">
        <v>3.2789250000000001</v>
      </c>
      <c r="M534" s="41">
        <v>671.296695</v>
      </c>
      <c r="O534" s="26">
        <v>2908.8912449999998</v>
      </c>
      <c r="Q534" s="26">
        <v>5627.5429350000004</v>
      </c>
      <c r="S534" s="26">
        <v>1716.2931599999999</v>
      </c>
      <c r="U534" s="29">
        <v>3.2682549999999999</v>
      </c>
      <c r="W534" s="14">
        <v>28.211600000000001</v>
      </c>
      <c r="Y534" s="29">
        <v>8.6039929999999991</v>
      </c>
      <c r="AA534" s="41">
        <v>581.92014500000005</v>
      </c>
      <c r="AC534" s="27">
        <v>47.175510000000003</v>
      </c>
      <c r="AE534" s="27">
        <v>1</v>
      </c>
      <c r="AG534" s="29">
        <v>7.3229749999999996</v>
      </c>
      <c r="AI534" s="29">
        <v>8.7339000000000002</v>
      </c>
      <c r="AK534" s="27">
        <v>23.443874999999998</v>
      </c>
      <c r="AM534" s="27">
        <v>29.762460000000001</v>
      </c>
      <c r="AO534" s="29">
        <v>6.7175500000000001</v>
      </c>
      <c r="AP534" s="11"/>
    </row>
    <row r="535" spans="2:42" hidden="1" outlineLevel="1" x14ac:dyDescent="0.25">
      <c r="B535" s="21">
        <v>42881</v>
      </c>
      <c r="C535" s="27">
        <v>18.488679999999999</v>
      </c>
      <c r="E535" s="30">
        <v>0.89313600000000004</v>
      </c>
      <c r="G535" s="27">
        <v>16.062919999999998</v>
      </c>
      <c r="I535" s="29">
        <v>6.9442599999999999</v>
      </c>
      <c r="K535" s="29">
        <v>3.27061</v>
      </c>
      <c r="M535" s="41">
        <v>671.19722000000002</v>
      </c>
      <c r="O535" s="26">
        <v>2917.1473299999998</v>
      </c>
      <c r="Q535" s="26">
        <v>5644.5819899999997</v>
      </c>
      <c r="S535" s="26">
        <v>1725.8664180000001</v>
      </c>
      <c r="U535" s="29">
        <v>3.270375</v>
      </c>
      <c r="W535" s="14">
        <v>28.264095000000001</v>
      </c>
      <c r="Y535" s="29">
        <v>8.6419040000000003</v>
      </c>
      <c r="AA535" s="41">
        <v>586.42325000000005</v>
      </c>
      <c r="AC535" s="27">
        <v>47.275919999999999</v>
      </c>
      <c r="AE535" s="27">
        <v>1</v>
      </c>
      <c r="AG535" s="29">
        <v>7.3423999999999996</v>
      </c>
      <c r="AI535" s="29">
        <v>8.7536050000000003</v>
      </c>
      <c r="AK535" s="27">
        <v>23.495650000000001</v>
      </c>
      <c r="AM535" s="27">
        <v>29.839359999999999</v>
      </c>
      <c r="AO535" s="29">
        <v>6.7363600000000003</v>
      </c>
      <c r="AP535" s="11"/>
    </row>
    <row r="536" spans="2:42" hidden="1" outlineLevel="1" x14ac:dyDescent="0.25">
      <c r="B536" s="21">
        <v>42882</v>
      </c>
      <c r="C536" s="27">
        <v>18.50835</v>
      </c>
      <c r="E536" s="30">
        <v>0.89434999999999998</v>
      </c>
      <c r="G536" s="27">
        <v>16.008320000000001</v>
      </c>
      <c r="I536" s="29">
        <v>6.97485</v>
      </c>
      <c r="K536" s="29">
        <v>3.2604000000000002</v>
      </c>
      <c r="M536" s="41">
        <v>672.4</v>
      </c>
      <c r="O536" s="26">
        <v>2925.2460799999999</v>
      </c>
      <c r="Q536" s="26">
        <v>5662.7</v>
      </c>
      <c r="S536" s="26">
        <v>1736.8380460000001</v>
      </c>
      <c r="U536" s="29">
        <v>3.2749999999999999</v>
      </c>
      <c r="W536" s="14">
        <v>28.346499999999999</v>
      </c>
      <c r="Y536" s="29">
        <v>8.6943020000000004</v>
      </c>
      <c r="AA536" s="41">
        <v>592.67999999999995</v>
      </c>
      <c r="AC536" s="27">
        <v>47.43</v>
      </c>
      <c r="AE536" s="27">
        <v>1</v>
      </c>
      <c r="AG536" s="29">
        <v>7.3697999999999997</v>
      </c>
      <c r="AI536" s="29">
        <v>8.7813999999999997</v>
      </c>
      <c r="AK536" s="27">
        <v>23.48</v>
      </c>
      <c r="AM536" s="27">
        <v>29.886500000000002</v>
      </c>
      <c r="AO536" s="29">
        <v>6.7541500000000001</v>
      </c>
      <c r="AP536" s="11"/>
    </row>
    <row r="537" spans="2:42" hidden="1" outlineLevel="1" x14ac:dyDescent="0.25">
      <c r="B537" s="21">
        <v>42883</v>
      </c>
      <c r="C537" s="27">
        <v>18.50835</v>
      </c>
      <c r="E537" s="30">
        <v>0.89434999999999998</v>
      </c>
      <c r="G537" s="27">
        <v>16.00742</v>
      </c>
      <c r="I537" s="29">
        <v>6.9690599999999998</v>
      </c>
      <c r="K537" s="29">
        <v>3.25305</v>
      </c>
      <c r="M537" s="41">
        <v>672.39516800000001</v>
      </c>
      <c r="O537" s="26">
        <v>2910.5046480000001</v>
      </c>
      <c r="Q537" s="26">
        <v>5630.5</v>
      </c>
      <c r="S537" s="26">
        <v>1730.8415580000001</v>
      </c>
      <c r="U537" s="29">
        <v>3.274492</v>
      </c>
      <c r="W537" s="14">
        <v>28.257534</v>
      </c>
      <c r="Y537" s="29">
        <v>8.6864840000000001</v>
      </c>
      <c r="AA537" s="41">
        <v>585.70000000000005</v>
      </c>
      <c r="AC537" s="27">
        <v>46.997169999999997</v>
      </c>
      <c r="AE537" s="27">
        <v>1</v>
      </c>
      <c r="AG537" s="29">
        <v>7.3494999999999999</v>
      </c>
      <c r="AI537" s="29">
        <v>8.7270000000000003</v>
      </c>
      <c r="AK537" s="27">
        <v>23.452694000000001</v>
      </c>
      <c r="AM537" s="27">
        <v>29.974499999999999</v>
      </c>
      <c r="AO537" s="29">
        <v>6.7442440000000001</v>
      </c>
      <c r="AP537" s="11"/>
    </row>
    <row r="538" spans="2:42" hidden="1" outlineLevel="1" x14ac:dyDescent="0.25">
      <c r="B538" s="21">
        <v>42884</v>
      </c>
      <c r="C538" s="27">
        <v>18.506589999999999</v>
      </c>
      <c r="E538" s="30">
        <v>0.89487499999999998</v>
      </c>
      <c r="G538" s="27">
        <v>16.00798</v>
      </c>
      <c r="I538" s="29">
        <v>6.9559449999999998</v>
      </c>
      <c r="K538" s="29">
        <v>3.264205</v>
      </c>
      <c r="M538" s="41">
        <v>672.84807499999999</v>
      </c>
      <c r="O538" s="26">
        <v>2911.072165</v>
      </c>
      <c r="Q538" s="26">
        <v>5653.5437149999998</v>
      </c>
      <c r="S538" s="26">
        <v>1731.997697</v>
      </c>
      <c r="U538" s="29">
        <v>3.2801200000000001</v>
      </c>
      <c r="W538" s="14">
        <v>28.303000000000001</v>
      </c>
      <c r="Y538" s="29">
        <v>8.6707719999999995</v>
      </c>
      <c r="AA538" s="41">
        <v>586.60716500000001</v>
      </c>
      <c r="AC538" s="27">
        <v>47.367635</v>
      </c>
      <c r="AE538" s="27">
        <v>1</v>
      </c>
      <c r="AG538" s="29">
        <v>7.3623099999999999</v>
      </c>
      <c r="AI538" s="29">
        <v>8.7689749999999993</v>
      </c>
      <c r="AK538" s="27">
        <v>23.532720000000001</v>
      </c>
      <c r="AM538" s="27">
        <v>29.846080000000001</v>
      </c>
      <c r="AO538" s="29">
        <v>6.7492299999999998</v>
      </c>
      <c r="AP538" s="11"/>
    </row>
    <row r="539" spans="2:42" hidden="1" outlineLevel="1" x14ac:dyDescent="0.25">
      <c r="B539" s="21">
        <v>42885</v>
      </c>
      <c r="C539" s="27">
        <v>18.566299999999998</v>
      </c>
      <c r="E539" s="30">
        <v>0.89649100000000004</v>
      </c>
      <c r="G539" s="27">
        <v>16.02215</v>
      </c>
      <c r="I539" s="29">
        <v>6.9596999999999998</v>
      </c>
      <c r="K539" s="29">
        <v>3.2593299999999998</v>
      </c>
      <c r="M539" s="41">
        <v>675.23336500000005</v>
      </c>
      <c r="O539" s="26">
        <v>2914.3224799999998</v>
      </c>
      <c r="Q539" s="26">
        <v>5637.3571350000002</v>
      </c>
      <c r="S539" s="26">
        <v>1729.623427</v>
      </c>
      <c r="U539" s="29">
        <v>3.2867199999999999</v>
      </c>
      <c r="W539" s="14">
        <v>28.339625000000002</v>
      </c>
      <c r="Y539" s="29">
        <v>8.6949880000000004</v>
      </c>
      <c r="AA539" s="41">
        <v>579.75715000000002</v>
      </c>
      <c r="AC539" s="27">
        <v>47.383384999999997</v>
      </c>
      <c r="AE539" s="27">
        <v>1</v>
      </c>
      <c r="AG539" s="29">
        <v>7.3693049999999998</v>
      </c>
      <c r="AI539" s="29">
        <v>8.77407</v>
      </c>
      <c r="AK539" s="27">
        <v>23.548760000000001</v>
      </c>
      <c r="AM539" s="27">
        <v>29.889395</v>
      </c>
      <c r="AO539" s="29">
        <v>6.7518200000000004</v>
      </c>
      <c r="AP539" s="11"/>
    </row>
    <row r="540" spans="2:42" hidden="1" outlineLevel="1" x14ac:dyDescent="0.25">
      <c r="B540" s="21">
        <v>42886</v>
      </c>
      <c r="C540" s="49">
        <v>18.664300000000001</v>
      </c>
      <c r="E540" s="30">
        <v>0.89276599999999995</v>
      </c>
      <c r="G540" s="27">
        <v>16.139005000000001</v>
      </c>
      <c r="I540" s="29">
        <v>6.9411649999999998</v>
      </c>
      <c r="K540" s="29">
        <v>3.2520950000000002</v>
      </c>
      <c r="M540" s="41">
        <v>673.61734999999999</v>
      </c>
      <c r="O540" s="26">
        <v>2913.3811649999998</v>
      </c>
      <c r="Q540" s="26">
        <v>5585.6962999999996</v>
      </c>
      <c r="S540" s="26">
        <v>1717.5859720000001</v>
      </c>
      <c r="U540" s="29">
        <v>3.2730000000000001</v>
      </c>
      <c r="W540" s="14">
        <v>28.270924999999998</v>
      </c>
      <c r="Y540" s="29">
        <v>8.6932229999999997</v>
      </c>
      <c r="AA540" s="41">
        <v>574.38474499999995</v>
      </c>
      <c r="AC540" s="27">
        <v>47.179805000000002</v>
      </c>
      <c r="AE540" s="27">
        <v>1</v>
      </c>
      <c r="AG540" s="29">
        <v>7.3401500000000004</v>
      </c>
      <c r="AI540" s="29">
        <v>8.7387149999999991</v>
      </c>
      <c r="AK540" s="27">
        <v>23.496310000000001</v>
      </c>
      <c r="AM540" s="27">
        <v>29.795905000000001</v>
      </c>
      <c r="AO540" s="29">
        <v>6.7214150000000004</v>
      </c>
      <c r="AP540" s="11"/>
    </row>
    <row r="541" spans="2:42" ht="13" collapsed="1" x14ac:dyDescent="0.3">
      <c r="B541" s="25" t="s">
        <v>155</v>
      </c>
      <c r="C541" s="19">
        <v>18.768799999999999</v>
      </c>
      <c r="E541" s="24">
        <v>0.90462500000000001</v>
      </c>
      <c r="G541" s="19">
        <v>15.6853</v>
      </c>
      <c r="I541" s="23">
        <v>6.9417600000000004</v>
      </c>
      <c r="J541" s="9"/>
      <c r="K541" s="23">
        <v>3.2045400000000002</v>
      </c>
      <c r="M541" s="42">
        <v>671.40700000000004</v>
      </c>
      <c r="O541" s="31">
        <v>2923.88</v>
      </c>
      <c r="Q541" s="31">
        <v>5603.25</v>
      </c>
      <c r="S541" s="31">
        <v>1749.12</v>
      </c>
      <c r="U541" s="23">
        <v>3.2709600000000001</v>
      </c>
      <c r="W541" s="23">
        <v>28.100580000000001</v>
      </c>
      <c r="Y541" s="23">
        <v>8.7716999999999992</v>
      </c>
      <c r="AA541" s="42">
        <v>568.53</v>
      </c>
      <c r="AC541" s="19">
        <v>47.235399999999998</v>
      </c>
      <c r="AE541" s="19">
        <v>1</v>
      </c>
      <c r="AG541" s="23">
        <v>7.33521</v>
      </c>
      <c r="AI541" s="23">
        <v>8.7438900000000004</v>
      </c>
      <c r="AK541" s="23">
        <v>23.452670000000001</v>
      </c>
      <c r="AM541" s="23">
        <v>29.73893</v>
      </c>
      <c r="AO541" s="23">
        <v>6.7301299999999999</v>
      </c>
      <c r="AP541" s="10"/>
    </row>
    <row r="542" spans="2:42" hidden="1" outlineLevel="1" x14ac:dyDescent="0.25">
      <c r="B542" s="21">
        <v>42887</v>
      </c>
      <c r="C542" s="27">
        <v>18.616745000000002</v>
      </c>
      <c r="E542" s="30">
        <v>0.89053199999999999</v>
      </c>
      <c r="G542" s="27">
        <v>16.08304</v>
      </c>
      <c r="I542" s="29">
        <v>6.9319050000000004</v>
      </c>
      <c r="K542" s="29">
        <v>3.2309950000000001</v>
      </c>
      <c r="M542" s="41">
        <v>672.94821000000002</v>
      </c>
      <c r="O542" s="26">
        <v>2913.234195</v>
      </c>
      <c r="Q542" s="26">
        <v>5580.2110000000002</v>
      </c>
      <c r="S542" s="26">
        <v>1727.1044199999999</v>
      </c>
      <c r="U542" s="29">
        <v>3.2717649999999998</v>
      </c>
      <c r="W542" s="14">
        <v>28.231324999999998</v>
      </c>
      <c r="Y542" s="29">
        <v>8.7377179999999992</v>
      </c>
      <c r="AA542" s="41">
        <v>571.09160499999996</v>
      </c>
      <c r="AC542" s="27">
        <v>47.231164999999997</v>
      </c>
      <c r="AE542" s="27">
        <v>1</v>
      </c>
      <c r="AG542" s="29">
        <v>7.3409449999999996</v>
      </c>
      <c r="AI542" s="29">
        <v>8.7382849999999994</v>
      </c>
      <c r="AK542" s="27">
        <v>23.478200000000001</v>
      </c>
      <c r="AM542" s="27">
        <v>29.739545</v>
      </c>
      <c r="AO542" s="29">
        <v>6.7190250000000002</v>
      </c>
      <c r="AP542" s="11"/>
    </row>
    <row r="543" spans="2:42" hidden="1" outlineLevel="1" x14ac:dyDescent="0.25">
      <c r="B543" s="21">
        <v>42888</v>
      </c>
      <c r="C543" s="27">
        <v>18.647880000000001</v>
      </c>
      <c r="E543" s="30">
        <v>0.88988199999999995</v>
      </c>
      <c r="G543" s="27">
        <v>16.044519999999999</v>
      </c>
      <c r="I543" s="29">
        <v>6.9462450000000002</v>
      </c>
      <c r="K543" s="29">
        <v>3.2484999999999999</v>
      </c>
      <c r="M543" s="41">
        <v>671.69080499999995</v>
      </c>
      <c r="O543" s="26">
        <v>2902.3348599999999</v>
      </c>
      <c r="Q543" s="26">
        <v>5594.2410600000003</v>
      </c>
      <c r="S543" s="26">
        <v>1722.116254</v>
      </c>
      <c r="U543" s="29">
        <v>3.2733300000000001</v>
      </c>
      <c r="W543" s="14">
        <v>28.296714999999999</v>
      </c>
      <c r="Y543" s="29">
        <v>8.7107620000000008</v>
      </c>
      <c r="AA543" s="41">
        <v>570.52040499999998</v>
      </c>
      <c r="AC543" s="27">
        <v>47.326355</v>
      </c>
      <c r="AE543" s="27">
        <v>1</v>
      </c>
      <c r="AG543" s="29">
        <v>7.3605499999999999</v>
      </c>
      <c r="AI543" s="29">
        <v>8.7560500000000001</v>
      </c>
      <c r="AK543" s="27">
        <v>23.512049999999999</v>
      </c>
      <c r="AM543" s="27">
        <v>29.8461</v>
      </c>
      <c r="AO543" s="29">
        <v>6.73794</v>
      </c>
      <c r="AP543" s="11"/>
    </row>
    <row r="544" spans="2:42" hidden="1" outlineLevel="1" x14ac:dyDescent="0.25">
      <c r="B544" s="21">
        <v>42889</v>
      </c>
      <c r="C544" s="27">
        <v>18.68234</v>
      </c>
      <c r="E544" s="30">
        <v>0.88631700000000002</v>
      </c>
      <c r="G544" s="27">
        <v>16.000309999999999</v>
      </c>
      <c r="I544" s="29">
        <v>6.9105499999999997</v>
      </c>
      <c r="K544" s="29">
        <v>3.2485200000000001</v>
      </c>
      <c r="M544" s="41">
        <v>669.73791000000006</v>
      </c>
      <c r="O544" s="26">
        <v>2882.5669849999999</v>
      </c>
      <c r="Q544" s="26">
        <v>5563.25</v>
      </c>
      <c r="S544" s="26">
        <v>1712.5760110000001</v>
      </c>
      <c r="U544" s="29">
        <v>3.2554500000000002</v>
      </c>
      <c r="W544" s="14">
        <v>28.134499999999999</v>
      </c>
      <c r="Y544" s="29">
        <v>8.660838</v>
      </c>
      <c r="AA544" s="41">
        <v>565.77</v>
      </c>
      <c r="AC544" s="27">
        <v>46.991999999999997</v>
      </c>
      <c r="AE544" s="27">
        <v>1</v>
      </c>
      <c r="AG544" s="29">
        <v>7.3167499999999999</v>
      </c>
      <c r="AI544" s="29">
        <v>8.7003500000000003</v>
      </c>
      <c r="AK544" s="27">
        <v>23.356999999999999</v>
      </c>
      <c r="AM544" s="27">
        <v>29.611000000000001</v>
      </c>
      <c r="AO544" s="29">
        <v>6.6918499999999996</v>
      </c>
      <c r="AP544" s="11"/>
    </row>
    <row r="545" spans="2:42" hidden="1" outlineLevel="1" x14ac:dyDescent="0.25">
      <c r="B545" s="21">
        <v>42890</v>
      </c>
      <c r="C545" s="27">
        <v>18.68234</v>
      </c>
      <c r="E545" s="30">
        <v>0.88631700000000002</v>
      </c>
      <c r="G545" s="27">
        <v>16.036940000000001</v>
      </c>
      <c r="I545" s="29">
        <v>6.9105499999999997</v>
      </c>
      <c r="K545" s="29">
        <v>3.24193</v>
      </c>
      <c r="M545" s="41">
        <v>670.3</v>
      </c>
      <c r="O545" s="26">
        <v>2894.47</v>
      </c>
      <c r="Q545" s="26">
        <v>5563.25</v>
      </c>
      <c r="S545" s="26">
        <v>1716.048804</v>
      </c>
      <c r="U545" s="29">
        <v>3.2554500000000002</v>
      </c>
      <c r="W545" s="14">
        <v>28.134499999999999</v>
      </c>
      <c r="Y545" s="29">
        <v>8.6784040000000005</v>
      </c>
      <c r="AA545" s="41">
        <v>565.77</v>
      </c>
      <c r="AC545" s="27">
        <v>46.991999999999997</v>
      </c>
      <c r="AE545" s="27">
        <v>1</v>
      </c>
      <c r="AG545" s="29">
        <v>7.3167499999999999</v>
      </c>
      <c r="AI545" s="29">
        <v>8.7003500000000003</v>
      </c>
      <c r="AK545" s="27">
        <v>23.356999999999999</v>
      </c>
      <c r="AM545" s="27">
        <v>29.611000000000001</v>
      </c>
      <c r="AO545" s="29">
        <v>6.6918499999999996</v>
      </c>
      <c r="AP545" s="11"/>
    </row>
    <row r="546" spans="2:42" hidden="1" outlineLevel="1" x14ac:dyDescent="0.25">
      <c r="B546" s="21">
        <v>42891</v>
      </c>
      <c r="C546" s="27">
        <v>18.501919999999998</v>
      </c>
      <c r="E546" s="30">
        <v>0.88794600000000001</v>
      </c>
      <c r="G546" s="27">
        <v>16.025024999999999</v>
      </c>
      <c r="I546" s="29">
        <v>6.9574769999999999</v>
      </c>
      <c r="K546" s="29">
        <v>3.2666400000000002</v>
      </c>
      <c r="M546" s="41">
        <v>669.41216799999995</v>
      </c>
      <c r="O546" s="26">
        <v>2895.385448</v>
      </c>
      <c r="Q546" s="26">
        <v>5590.4626900000003</v>
      </c>
      <c r="S546" s="26">
        <v>1711.382871</v>
      </c>
      <c r="U546" s="29">
        <v>3.2696800000000001</v>
      </c>
      <c r="W546" s="14">
        <v>28.314829</v>
      </c>
      <c r="Y546" s="29">
        <v>8.6678809999999995</v>
      </c>
      <c r="AA546" s="41">
        <v>567.72328000000005</v>
      </c>
      <c r="AC546" s="27">
        <v>47.190047999999997</v>
      </c>
      <c r="AE546" s="27">
        <v>1</v>
      </c>
      <c r="AG546" s="29">
        <v>7.3575039999999996</v>
      </c>
      <c r="AI546" s="29">
        <v>8.7234180000000006</v>
      </c>
      <c r="AK546" s="27">
        <v>23.461328999999999</v>
      </c>
      <c r="AM546" s="27">
        <v>29.904412000000001</v>
      </c>
      <c r="AO546" s="29">
        <v>6.7238319999999998</v>
      </c>
      <c r="AP546" s="11"/>
    </row>
    <row r="547" spans="2:42" hidden="1" outlineLevel="1" x14ac:dyDescent="0.25">
      <c r="B547" s="21">
        <v>42892</v>
      </c>
      <c r="C547" s="27">
        <v>18.33577</v>
      </c>
      <c r="E547" s="30">
        <v>0.88779600000000003</v>
      </c>
      <c r="G547" s="27">
        <v>16.021194999999999</v>
      </c>
      <c r="I547" s="29">
        <v>6.9469599999999998</v>
      </c>
      <c r="K547" s="29">
        <v>3.2917299999999998</v>
      </c>
      <c r="M547" s="41">
        <v>669.13747999999998</v>
      </c>
      <c r="O547" s="26">
        <v>2898.2685649999999</v>
      </c>
      <c r="Q547" s="26">
        <v>5588.5480749999997</v>
      </c>
      <c r="S547" s="26">
        <v>1697.7711079999999</v>
      </c>
      <c r="U547" s="29">
        <v>3.26817</v>
      </c>
      <c r="W547" s="14">
        <v>28.294840000000001</v>
      </c>
      <c r="Y547" s="29">
        <v>8.5958140000000007</v>
      </c>
      <c r="AA547" s="41">
        <v>568.51917000000003</v>
      </c>
      <c r="AC547" s="27">
        <v>47.287264999999998</v>
      </c>
      <c r="AE547" s="27">
        <v>1</v>
      </c>
      <c r="AG547" s="29">
        <v>7.3549249999999997</v>
      </c>
      <c r="AI547" s="29">
        <v>8.7461000000000002</v>
      </c>
      <c r="AK547" s="27">
        <v>23.466989999999999</v>
      </c>
      <c r="AM547" s="27">
        <v>29.771455</v>
      </c>
      <c r="AO547" s="29">
        <v>6.7269249999999996</v>
      </c>
      <c r="AP547" s="11"/>
    </row>
    <row r="548" spans="2:42" hidden="1" outlineLevel="1" x14ac:dyDescent="0.25">
      <c r="B548" s="21">
        <v>42893</v>
      </c>
      <c r="C548" s="27">
        <v>18.245165</v>
      </c>
      <c r="E548" s="30">
        <v>0.88822199999999996</v>
      </c>
      <c r="G548" s="27">
        <v>16.010539999999999</v>
      </c>
      <c r="I548" s="29">
        <v>6.9424349999999997</v>
      </c>
      <c r="K548" s="29">
        <v>3.277145</v>
      </c>
      <c r="M548" s="41">
        <v>668.24269500000003</v>
      </c>
      <c r="O548" s="26">
        <v>2898.6564100000001</v>
      </c>
      <c r="Q548" s="26">
        <v>5574.34447</v>
      </c>
      <c r="S548" s="26">
        <v>1700.9942000000001</v>
      </c>
      <c r="U548" s="29">
        <v>3.2645300000000002</v>
      </c>
      <c r="W548" s="14">
        <v>28.305174999999998</v>
      </c>
      <c r="Y548" s="29">
        <v>8.6372300000000006</v>
      </c>
      <c r="AA548" s="41">
        <v>567.91284499999995</v>
      </c>
      <c r="AC548" s="27">
        <v>47.274234999999997</v>
      </c>
      <c r="AE548" s="27">
        <v>1</v>
      </c>
      <c r="AG548" s="29">
        <v>7.3470500000000003</v>
      </c>
      <c r="AI548" s="29">
        <v>8.7412949999999991</v>
      </c>
      <c r="AK548" s="27">
        <v>23.439184999999998</v>
      </c>
      <c r="AM548" s="27">
        <v>29.762915</v>
      </c>
      <c r="AO548" s="29">
        <v>6.7230449999999999</v>
      </c>
      <c r="AP548" s="11"/>
    </row>
    <row r="549" spans="2:42" hidden="1" outlineLevel="1" x14ac:dyDescent="0.25">
      <c r="B549" s="21">
        <v>42894</v>
      </c>
      <c r="C549" s="27">
        <v>18.223849999999999</v>
      </c>
      <c r="E549" s="30">
        <v>0.88976599999999995</v>
      </c>
      <c r="G549" s="27">
        <v>15.976276</v>
      </c>
      <c r="I549" s="29">
        <v>6.9730400000000001</v>
      </c>
      <c r="K549" s="29">
        <v>3.271296</v>
      </c>
      <c r="M549" s="41">
        <v>666.96144000000004</v>
      </c>
      <c r="O549" s="26">
        <v>2915.7970719999998</v>
      </c>
      <c r="Q549" s="26">
        <v>5604.1860290000004</v>
      </c>
      <c r="S549" s="26">
        <v>1713.142756</v>
      </c>
      <c r="U549" s="29">
        <v>3.2693460000000001</v>
      </c>
      <c r="W549" s="14">
        <v>28.462962000000001</v>
      </c>
      <c r="Y549" s="29">
        <v>8.7008279999999996</v>
      </c>
      <c r="AA549" s="41">
        <v>566.78655300000003</v>
      </c>
      <c r="AC549" s="27">
        <v>47.262554000000002</v>
      </c>
      <c r="AE549" s="27">
        <v>1</v>
      </c>
      <c r="AG549" s="29">
        <v>7.3520000000000003</v>
      </c>
      <c r="AI549" s="29">
        <v>8.7250789999999991</v>
      </c>
      <c r="AK549" s="27">
        <v>23.422817999999999</v>
      </c>
      <c r="AM549" s="27">
        <v>29.929300000000001</v>
      </c>
      <c r="AO549" s="29">
        <v>6.7410920000000001</v>
      </c>
      <c r="AP549" s="11"/>
    </row>
    <row r="550" spans="2:42" hidden="1" outlineLevel="1" x14ac:dyDescent="0.25">
      <c r="B550" s="21">
        <v>42895</v>
      </c>
      <c r="C550" s="27">
        <v>18.194814999999998</v>
      </c>
      <c r="E550" s="30">
        <v>0.89350700000000005</v>
      </c>
      <c r="G550" s="27">
        <v>15.923515999999999</v>
      </c>
      <c r="I550" s="29">
        <v>6.9616439999999997</v>
      </c>
      <c r="K550" s="29">
        <v>3.271703</v>
      </c>
      <c r="M550" s="41">
        <v>664.69269799999995</v>
      </c>
      <c r="O550" s="26">
        <v>2918.4817680000001</v>
      </c>
      <c r="Q550" s="26">
        <v>5601.4531059999999</v>
      </c>
      <c r="S550" s="26">
        <v>1712.109224</v>
      </c>
      <c r="U550" s="29">
        <v>3.2751420000000002</v>
      </c>
      <c r="W550" s="14">
        <v>28.505824</v>
      </c>
      <c r="Y550" s="29">
        <v>8.7129239999999992</v>
      </c>
      <c r="AA550" s="41">
        <v>569.43743800000004</v>
      </c>
      <c r="AC550" s="27">
        <v>47.405113999999998</v>
      </c>
      <c r="AE550" s="27">
        <v>1</v>
      </c>
      <c r="AG550" s="29">
        <v>7.3610049999999996</v>
      </c>
      <c r="AI550" s="29">
        <v>8.7661280000000001</v>
      </c>
      <c r="AK550" s="27">
        <v>23.49184</v>
      </c>
      <c r="AM550" s="27">
        <v>29.852688000000001</v>
      </c>
      <c r="AO550" s="29">
        <v>6.7426360000000001</v>
      </c>
      <c r="AP550" s="11"/>
    </row>
    <row r="551" spans="2:42" hidden="1" outlineLevel="1" x14ac:dyDescent="0.25">
      <c r="B551" s="21">
        <v>42896</v>
      </c>
      <c r="C551" s="27">
        <v>18.169060000000002</v>
      </c>
      <c r="E551" s="30">
        <v>0.89318399999999998</v>
      </c>
      <c r="G551" s="27">
        <v>15.914338000000001</v>
      </c>
      <c r="I551" s="29">
        <v>6.94055</v>
      </c>
      <c r="K551" s="29">
        <v>3.29576</v>
      </c>
      <c r="M551" s="41">
        <v>663.5</v>
      </c>
      <c r="O551" s="26">
        <v>2915.5</v>
      </c>
      <c r="Q551" s="26">
        <v>5582.4</v>
      </c>
      <c r="S551" s="26">
        <v>1693.833625</v>
      </c>
      <c r="U551" s="29">
        <v>3.26505</v>
      </c>
      <c r="W551" s="14">
        <v>28.456</v>
      </c>
      <c r="Y551" s="29">
        <v>8.6342199999999991</v>
      </c>
      <c r="AA551" s="41">
        <v>567.72500000000002</v>
      </c>
      <c r="AC551" s="27">
        <v>47.195500000000003</v>
      </c>
      <c r="AE551" s="27">
        <v>1</v>
      </c>
      <c r="AG551" s="29">
        <v>7.3384499999999999</v>
      </c>
      <c r="AI551" s="29">
        <v>8.7378499999999999</v>
      </c>
      <c r="AK551" s="27">
        <v>23.398499999999999</v>
      </c>
      <c r="AM551" s="27">
        <v>29.694500000000001</v>
      </c>
      <c r="AO551" s="29">
        <v>6.7207999999999997</v>
      </c>
      <c r="AP551" s="11"/>
    </row>
    <row r="552" spans="2:42" hidden="1" outlineLevel="1" x14ac:dyDescent="0.25">
      <c r="B552" s="21">
        <v>42897</v>
      </c>
      <c r="C552" s="27">
        <v>18.169060000000002</v>
      </c>
      <c r="E552" s="30">
        <v>0.89318399999999998</v>
      </c>
      <c r="G552" s="27">
        <v>15.914152</v>
      </c>
      <c r="I552" s="29">
        <v>6.94055</v>
      </c>
      <c r="K552" s="29">
        <v>3.2722899999999999</v>
      </c>
      <c r="M552" s="41">
        <v>663.5</v>
      </c>
      <c r="O552" s="26">
        <v>2915.5</v>
      </c>
      <c r="Q552" s="26">
        <v>5582.4</v>
      </c>
      <c r="S552" s="26">
        <v>1705.98209</v>
      </c>
      <c r="U552" s="29">
        <v>3.26505</v>
      </c>
      <c r="W552" s="14">
        <v>28.456</v>
      </c>
      <c r="Y552" s="29">
        <v>8.6961469999999998</v>
      </c>
      <c r="AA552" s="41">
        <v>567.72500000000002</v>
      </c>
      <c r="AC552" s="27">
        <v>47.195500000000003</v>
      </c>
      <c r="AE552" s="27">
        <v>1</v>
      </c>
      <c r="AG552" s="29">
        <v>7.3384499999999999</v>
      </c>
      <c r="AI552" s="29">
        <v>8.7378499999999999</v>
      </c>
      <c r="AK552" s="27">
        <v>23.398499999999999</v>
      </c>
      <c r="AM552" s="27">
        <v>29.694500000000001</v>
      </c>
      <c r="AO552" s="29">
        <v>6.7207999999999997</v>
      </c>
      <c r="AP552" s="11"/>
    </row>
    <row r="553" spans="2:42" hidden="1" outlineLevel="1" x14ac:dyDescent="0.25">
      <c r="B553" s="21">
        <v>42898</v>
      </c>
      <c r="C553" s="27">
        <v>18.171154999999999</v>
      </c>
      <c r="E553" s="30">
        <v>0.89217599999999997</v>
      </c>
      <c r="G553" s="27">
        <v>15.915132</v>
      </c>
      <c r="I553" s="29">
        <v>6.9414619999999996</v>
      </c>
      <c r="K553" s="29">
        <v>3.302937</v>
      </c>
      <c r="M553" s="41">
        <v>662.70269399999995</v>
      </c>
      <c r="O553" s="26">
        <v>2919.8901580000002</v>
      </c>
      <c r="Q553" s="26">
        <v>5581.9121349999996</v>
      </c>
      <c r="S553" s="26">
        <v>1690.0016370000001</v>
      </c>
      <c r="U553" s="29">
        <v>3.2690299999999999</v>
      </c>
      <c r="W553" s="14">
        <v>28.465450000000001</v>
      </c>
      <c r="Y553" s="29">
        <v>8.6183029999999992</v>
      </c>
      <c r="AA553" s="41">
        <v>567.80035199999998</v>
      </c>
      <c r="AC553" s="27">
        <v>47.299674000000003</v>
      </c>
      <c r="AE553" s="27">
        <v>1</v>
      </c>
      <c r="AG553" s="29">
        <v>7.3394659999999998</v>
      </c>
      <c r="AI553" s="29">
        <v>8.7390000000000008</v>
      </c>
      <c r="AK553" s="27">
        <v>23.419778000000001</v>
      </c>
      <c r="AM553" s="27">
        <v>29.806214000000001</v>
      </c>
      <c r="AO553" s="29">
        <v>6.7218059999999999</v>
      </c>
      <c r="AP553" s="11"/>
    </row>
    <row r="554" spans="2:42" hidden="1" outlineLevel="1" x14ac:dyDescent="0.25">
      <c r="B554" s="21">
        <v>42899</v>
      </c>
      <c r="C554" s="27">
        <v>18.110824999999998</v>
      </c>
      <c r="E554" s="30">
        <v>0.89261400000000002</v>
      </c>
      <c r="G554" s="27">
        <v>15.90347</v>
      </c>
      <c r="I554" s="29">
        <v>6.9559389999999999</v>
      </c>
      <c r="K554" s="29">
        <v>3.3159740000000002</v>
      </c>
      <c r="M554" s="41">
        <v>662.93214999999998</v>
      </c>
      <c r="O554" s="26">
        <v>2926.4317139999998</v>
      </c>
      <c r="Q554" s="26">
        <v>5590.94002</v>
      </c>
      <c r="S554" s="26">
        <v>1686.079348</v>
      </c>
      <c r="U554" s="29">
        <v>3.276958</v>
      </c>
      <c r="W554" s="14">
        <v>28.523966000000001</v>
      </c>
      <c r="Y554" s="29">
        <v>8.6020640000000004</v>
      </c>
      <c r="AA554" s="41">
        <v>569.52978099999996</v>
      </c>
      <c r="AC554" s="27">
        <v>47.369923</v>
      </c>
      <c r="AE554" s="27">
        <v>1</v>
      </c>
      <c r="AG554" s="29">
        <v>7.3532729999999997</v>
      </c>
      <c r="AI554" s="29">
        <v>8.7568950000000001</v>
      </c>
      <c r="AK554" s="27">
        <v>23.456327999999999</v>
      </c>
      <c r="AM554" s="27">
        <v>29.901873999999999</v>
      </c>
      <c r="AO554" s="29">
        <v>6.735798</v>
      </c>
      <c r="AP554" s="11"/>
    </row>
    <row r="555" spans="2:42" hidden="1" outlineLevel="1" x14ac:dyDescent="0.25">
      <c r="B555" s="21">
        <v>42900</v>
      </c>
      <c r="C555" s="27">
        <v>18.007429999999999</v>
      </c>
      <c r="E555" s="30">
        <v>0.89069799999999999</v>
      </c>
      <c r="G555" s="27">
        <v>15.870153999999999</v>
      </c>
      <c r="I555" s="29">
        <v>6.9497939999999998</v>
      </c>
      <c r="K555" s="29">
        <v>3.2984149999999999</v>
      </c>
      <c r="M555" s="41">
        <v>660.94605999999999</v>
      </c>
      <c r="O555" s="26">
        <v>2928.7025100000001</v>
      </c>
      <c r="Q555" s="26">
        <v>5588.5918979999997</v>
      </c>
      <c r="S555" s="26">
        <v>1694.343584</v>
      </c>
      <c r="U555" s="29">
        <v>3.2771520000000001</v>
      </c>
      <c r="W555" s="14">
        <v>28.387694</v>
      </c>
      <c r="Y555" s="29">
        <v>8.6065439999999995</v>
      </c>
      <c r="AA555" s="41">
        <v>569.48008800000002</v>
      </c>
      <c r="AC555" s="27">
        <v>47.362229999999997</v>
      </c>
      <c r="AE555" s="27">
        <v>1</v>
      </c>
      <c r="AG555" s="29">
        <v>7.3441799999999997</v>
      </c>
      <c r="AI555" s="29">
        <v>8.7492610000000006</v>
      </c>
      <c r="AK555" s="27">
        <v>23.442412000000001</v>
      </c>
      <c r="AM555" s="27">
        <v>29.774172</v>
      </c>
      <c r="AO555" s="29">
        <v>6.7296940000000003</v>
      </c>
      <c r="AP555" s="11"/>
    </row>
    <row r="556" spans="2:42" hidden="1" outlineLevel="1" x14ac:dyDescent="0.25">
      <c r="B556" s="21">
        <v>42901</v>
      </c>
      <c r="C556" s="27">
        <v>18.018609999999999</v>
      </c>
      <c r="E556" s="30">
        <v>0.89420200000000005</v>
      </c>
      <c r="G556" s="27">
        <v>15.92609</v>
      </c>
      <c r="I556" s="29">
        <v>6.9483639999999998</v>
      </c>
      <c r="K556" s="29">
        <v>3.2744439999999999</v>
      </c>
      <c r="M556" s="41">
        <v>663.12331800000004</v>
      </c>
      <c r="O556" s="26">
        <v>2936.1561190000002</v>
      </c>
      <c r="Q556" s="26">
        <v>5584.0424849999999</v>
      </c>
      <c r="S556" s="26">
        <v>1705.358052</v>
      </c>
      <c r="U556" s="29">
        <v>3.2744300000000002</v>
      </c>
      <c r="W556" s="14">
        <v>28.325144000000002</v>
      </c>
      <c r="Y556" s="29">
        <v>8.6504480000000008</v>
      </c>
      <c r="AA556" s="41">
        <v>569.40504499999997</v>
      </c>
      <c r="AC556" s="27">
        <v>47.366962999999998</v>
      </c>
      <c r="AE556" s="27">
        <v>1</v>
      </c>
      <c r="AG556" s="29">
        <v>7.3424690000000004</v>
      </c>
      <c r="AI556" s="29">
        <v>8.7481709999999993</v>
      </c>
      <c r="AK556" s="27">
        <v>23.457343999999999</v>
      </c>
      <c r="AM556" s="27">
        <v>29.862490000000001</v>
      </c>
      <c r="AO556" s="29">
        <v>6.7288860000000001</v>
      </c>
      <c r="AP556" s="11"/>
    </row>
    <row r="557" spans="2:42" hidden="1" outlineLevel="1" x14ac:dyDescent="0.25">
      <c r="B557" s="21">
        <v>42902</v>
      </c>
      <c r="C557" s="27">
        <v>17.997434999999999</v>
      </c>
      <c r="E557" s="30">
        <v>0.89540799999999998</v>
      </c>
      <c r="G557" s="27">
        <v>15.992067</v>
      </c>
      <c r="I557" s="29">
        <v>6.9564579999999996</v>
      </c>
      <c r="K557" s="29">
        <v>3.2819319999999998</v>
      </c>
      <c r="M557" s="41">
        <v>665.33546000000001</v>
      </c>
      <c r="O557" s="26">
        <v>2956.7027389999998</v>
      </c>
      <c r="Q557" s="26">
        <v>5573.845206</v>
      </c>
      <c r="S557" s="26">
        <v>1698.3592599999999</v>
      </c>
      <c r="U557" s="29">
        <v>3.2755239999999999</v>
      </c>
      <c r="W557" s="14">
        <v>28.359614000000001</v>
      </c>
      <c r="Y557" s="29">
        <v>8.6412110000000002</v>
      </c>
      <c r="AA557" s="41">
        <v>570.03276000000005</v>
      </c>
      <c r="AC557" s="27">
        <v>47.379978000000001</v>
      </c>
      <c r="AE557" s="27">
        <v>1</v>
      </c>
      <c r="AG557" s="29">
        <v>7.3486609999999999</v>
      </c>
      <c r="AI557" s="29">
        <v>8.7579220000000007</v>
      </c>
      <c r="AK557" s="27">
        <v>23.431677000000001</v>
      </c>
      <c r="AM557" s="27">
        <v>29.728776</v>
      </c>
      <c r="AO557" s="29">
        <v>6.7362679999999999</v>
      </c>
      <c r="AP557" s="11"/>
    </row>
    <row r="558" spans="2:42" hidden="1" outlineLevel="1" x14ac:dyDescent="0.25">
      <c r="B558" s="21">
        <v>42903</v>
      </c>
      <c r="C558" s="27">
        <v>17.910315000000001</v>
      </c>
      <c r="E558" s="30">
        <v>0.89314800000000005</v>
      </c>
      <c r="G558" s="27">
        <v>16.033571999999999</v>
      </c>
      <c r="I558" s="29">
        <v>6.9523999999999999</v>
      </c>
      <c r="K558" s="29">
        <v>3.291633</v>
      </c>
      <c r="M558" s="41">
        <v>665.52758600000004</v>
      </c>
      <c r="O558" s="26">
        <v>2974.5</v>
      </c>
      <c r="Q558" s="26">
        <v>5560.45</v>
      </c>
      <c r="S558" s="26">
        <v>1689.2805579999999</v>
      </c>
      <c r="U558" s="29">
        <v>3.2715000000000001</v>
      </c>
      <c r="W558" s="14">
        <v>28.314499999999999</v>
      </c>
      <c r="Y558" s="29">
        <v>8.6020199999999996</v>
      </c>
      <c r="AA558" s="41">
        <v>569.70000000000005</v>
      </c>
      <c r="AC558" s="27">
        <v>47.51</v>
      </c>
      <c r="AE558" s="27">
        <v>1</v>
      </c>
      <c r="AG558" s="29">
        <v>7.3429000000000002</v>
      </c>
      <c r="AI558" s="29">
        <v>8.7532499999999995</v>
      </c>
      <c r="AK558" s="27">
        <v>23.475000000000001</v>
      </c>
      <c r="AM558" s="27">
        <v>29.855</v>
      </c>
      <c r="AO558" s="29">
        <v>6.7323500000000003</v>
      </c>
      <c r="AP558" s="11"/>
    </row>
    <row r="559" spans="2:42" hidden="1" outlineLevel="1" x14ac:dyDescent="0.25">
      <c r="B559" s="21">
        <v>42904</v>
      </c>
      <c r="C559" s="27">
        <v>17.910315000000001</v>
      </c>
      <c r="E559" s="30">
        <v>0.89314800000000005</v>
      </c>
      <c r="G559" s="27">
        <v>16.036296</v>
      </c>
      <c r="I559" s="29">
        <v>6.9523999999999999</v>
      </c>
      <c r="K559" s="29">
        <v>3.2747269999999999</v>
      </c>
      <c r="M559" s="41">
        <v>665.5</v>
      </c>
      <c r="O559" s="26">
        <v>2974.5998009999998</v>
      </c>
      <c r="Q559" s="26">
        <v>5560.45</v>
      </c>
      <c r="S559" s="26">
        <v>1698.005668</v>
      </c>
      <c r="U559" s="29">
        <v>3.2715000000000001</v>
      </c>
      <c r="W559" s="14">
        <v>28.314499999999999</v>
      </c>
      <c r="Y559" s="29">
        <v>8.6464470000000002</v>
      </c>
      <c r="AA559" s="41">
        <v>569.70000000000005</v>
      </c>
      <c r="AC559" s="27">
        <v>47.51</v>
      </c>
      <c r="AE559" s="27">
        <v>1</v>
      </c>
      <c r="AG559" s="29">
        <v>7.3429000000000002</v>
      </c>
      <c r="AI559" s="29">
        <v>8.7532499999999995</v>
      </c>
      <c r="AK559" s="27">
        <v>23.475000000000001</v>
      </c>
      <c r="AM559" s="27">
        <v>29.855</v>
      </c>
      <c r="AO559" s="29">
        <v>6.7323500000000003</v>
      </c>
      <c r="AP559" s="11"/>
    </row>
    <row r="560" spans="2:42" hidden="1" outlineLevel="1" x14ac:dyDescent="0.25">
      <c r="B560" s="21">
        <v>42905</v>
      </c>
      <c r="C560" s="27">
        <v>17.942499999999999</v>
      </c>
      <c r="E560" s="30">
        <v>0.89408200000000004</v>
      </c>
      <c r="G560" s="27">
        <v>16.061525</v>
      </c>
      <c r="I560" s="29">
        <v>6.9445040000000002</v>
      </c>
      <c r="K560" s="29">
        <v>3.2910780000000002</v>
      </c>
      <c r="M560" s="41">
        <v>664.56834600000002</v>
      </c>
      <c r="O560" s="26">
        <v>2975.901014</v>
      </c>
      <c r="Q560" s="26">
        <v>5566.8411379999998</v>
      </c>
      <c r="S560" s="26">
        <v>1691.511915</v>
      </c>
      <c r="U560" s="29">
        <v>3.272246</v>
      </c>
      <c r="W560" s="14">
        <v>28.293303999999999</v>
      </c>
      <c r="Y560" s="29">
        <v>8.5970510000000004</v>
      </c>
      <c r="AA560" s="41">
        <v>569.05152199999998</v>
      </c>
      <c r="AC560" s="27">
        <v>47.325246999999997</v>
      </c>
      <c r="AE560" s="27">
        <v>1</v>
      </c>
      <c r="AG560" s="29">
        <v>7.3362860000000003</v>
      </c>
      <c r="AI560" s="29">
        <v>8.7428849999999994</v>
      </c>
      <c r="AK560" s="27">
        <v>23.404264000000001</v>
      </c>
      <c r="AM560" s="27">
        <v>29.705024000000002</v>
      </c>
      <c r="AO560" s="29">
        <v>6.7245720000000002</v>
      </c>
      <c r="AP560" s="11"/>
    </row>
    <row r="561" spans="2:42" hidden="1" outlineLevel="1" x14ac:dyDescent="0.25">
      <c r="B561" s="21">
        <v>42906</v>
      </c>
      <c r="C561" s="27">
        <v>18.038430000000002</v>
      </c>
      <c r="E561" s="30">
        <v>0.89721499999999998</v>
      </c>
      <c r="G561" s="27">
        <v>16.137526000000001</v>
      </c>
      <c r="I561" s="29">
        <v>6.9601100000000002</v>
      </c>
      <c r="K561" s="29">
        <v>3.3018019999999999</v>
      </c>
      <c r="M561" s="41">
        <v>662.93660399999999</v>
      </c>
      <c r="O561" s="26">
        <v>3000.211151</v>
      </c>
      <c r="Q561" s="26">
        <v>5602.2953079999997</v>
      </c>
      <c r="S561" s="26">
        <v>1696.7543780000001</v>
      </c>
      <c r="U561" s="29">
        <v>3.2817720000000001</v>
      </c>
      <c r="W561" s="14">
        <v>28.396025999999999</v>
      </c>
      <c r="Y561" s="29">
        <v>8.6002170000000007</v>
      </c>
      <c r="AA561" s="41">
        <v>569.77454799999998</v>
      </c>
      <c r="AC561" s="27">
        <v>47.462808000000003</v>
      </c>
      <c r="AE561" s="27">
        <v>1</v>
      </c>
      <c r="AG561" s="29">
        <v>7.3644319999999999</v>
      </c>
      <c r="AI561" s="29">
        <v>8.7744859999999996</v>
      </c>
      <c r="AK561" s="27">
        <v>23.516553999999999</v>
      </c>
      <c r="AM561" s="27">
        <v>29.791409999999999</v>
      </c>
      <c r="AO561" s="29">
        <v>6.7567700000000004</v>
      </c>
      <c r="AP561" s="11"/>
    </row>
    <row r="562" spans="2:42" hidden="1" outlineLevel="1" x14ac:dyDescent="0.25">
      <c r="B562" s="21">
        <v>42907</v>
      </c>
      <c r="C562" s="27">
        <v>18.213069999999998</v>
      </c>
      <c r="E562" s="30">
        <v>0.89754199999999995</v>
      </c>
      <c r="G562" s="27">
        <v>16.204993999999999</v>
      </c>
      <c r="I562" s="29">
        <v>6.9447320000000001</v>
      </c>
      <c r="K562" s="29">
        <v>3.3282769999999999</v>
      </c>
      <c r="M562" s="41">
        <v>663.97110399999997</v>
      </c>
      <c r="O562" s="26">
        <v>3037.7031459999998</v>
      </c>
      <c r="Q562" s="26">
        <v>5592.2232960000001</v>
      </c>
      <c r="S562" s="26">
        <v>1680.231589</v>
      </c>
      <c r="U562" s="29">
        <v>3.271566</v>
      </c>
      <c r="W562" s="14">
        <v>28.325154000000001</v>
      </c>
      <c r="Y562" s="29">
        <v>8.5105140000000006</v>
      </c>
      <c r="AA562" s="41">
        <v>567.36674000000005</v>
      </c>
      <c r="AC562" s="27">
        <v>47.313685999999997</v>
      </c>
      <c r="AE562" s="27">
        <v>1</v>
      </c>
      <c r="AG562" s="29">
        <v>7.3460859999999997</v>
      </c>
      <c r="AI562" s="29">
        <v>8.7550500000000007</v>
      </c>
      <c r="AK562" s="27">
        <v>23.478943999999998</v>
      </c>
      <c r="AM562" s="27">
        <v>29.726917</v>
      </c>
      <c r="AO562" s="29">
        <v>6.7419380000000002</v>
      </c>
      <c r="AP562" s="11"/>
    </row>
    <row r="563" spans="2:42" hidden="1" outlineLevel="1" x14ac:dyDescent="0.25">
      <c r="B563" s="21">
        <v>42908</v>
      </c>
      <c r="C563" s="27">
        <v>18.17005</v>
      </c>
      <c r="E563" s="30">
        <v>0.89589300000000005</v>
      </c>
      <c r="G563" s="27">
        <v>16.194814999999998</v>
      </c>
      <c r="I563" s="29">
        <v>6.9384639999999997</v>
      </c>
      <c r="K563" s="29">
        <v>3.3355269999999999</v>
      </c>
      <c r="M563" s="41">
        <v>664.60056399999996</v>
      </c>
      <c r="O563" s="26">
        <v>3040.0077569999999</v>
      </c>
      <c r="Q563" s="26">
        <v>5581.7351230000004</v>
      </c>
      <c r="S563" s="26">
        <v>1673.4347929999999</v>
      </c>
      <c r="U563" s="29">
        <v>3.2685879999999998</v>
      </c>
      <c r="W563" s="14">
        <v>28.294021000000001</v>
      </c>
      <c r="Y563" s="29">
        <v>8.4826840000000008</v>
      </c>
      <c r="AA563" s="41">
        <v>567.47419500000001</v>
      </c>
      <c r="AC563" s="27">
        <v>47.312218999999999</v>
      </c>
      <c r="AE563" s="27">
        <v>1</v>
      </c>
      <c r="AG563" s="29">
        <v>7.3353479999999998</v>
      </c>
      <c r="AI563" s="29">
        <v>8.7443179999999998</v>
      </c>
      <c r="AK563" s="27">
        <v>23.447399999999998</v>
      </c>
      <c r="AM563" s="27">
        <v>29.676212</v>
      </c>
      <c r="AO563" s="29">
        <v>6.7346440000000003</v>
      </c>
      <c r="AP563" s="11"/>
    </row>
    <row r="564" spans="2:42" hidden="1" outlineLevel="1" x14ac:dyDescent="0.25">
      <c r="B564" s="21">
        <v>42909</v>
      </c>
      <c r="C564" s="27">
        <v>18.065529999999999</v>
      </c>
      <c r="E564" s="30">
        <v>0.89497499999999997</v>
      </c>
      <c r="G564" s="27">
        <v>16.145924000000001</v>
      </c>
      <c r="I564" s="29">
        <v>6.9525740000000003</v>
      </c>
      <c r="K564" s="29">
        <v>3.3395739999999998</v>
      </c>
      <c r="M564" s="41">
        <v>663.62588000000005</v>
      </c>
      <c r="O564" s="26">
        <v>3035.5584180000001</v>
      </c>
      <c r="Q564" s="26">
        <v>5581.6708060000001</v>
      </c>
      <c r="S564" s="26">
        <v>1671.390304</v>
      </c>
      <c r="U564" s="29">
        <v>3.264764</v>
      </c>
      <c r="W564" s="14">
        <v>28.344904</v>
      </c>
      <c r="Y564" s="29">
        <v>8.4876480000000001</v>
      </c>
      <c r="AA564" s="41">
        <v>568.70608500000003</v>
      </c>
      <c r="AC564" s="27">
        <v>47.341954000000001</v>
      </c>
      <c r="AE564" s="27">
        <v>1</v>
      </c>
      <c r="AG564" s="29">
        <v>7.3416160000000001</v>
      </c>
      <c r="AI564" s="29">
        <v>8.7527640000000009</v>
      </c>
      <c r="AK564" s="27">
        <v>23.475434</v>
      </c>
      <c r="AM564" s="27">
        <v>29.752777999999999</v>
      </c>
      <c r="AO564" s="29">
        <v>6.7403849999999998</v>
      </c>
      <c r="AP564" s="11"/>
    </row>
    <row r="565" spans="2:42" hidden="1" outlineLevel="1" x14ac:dyDescent="0.25">
      <c r="B565" s="21">
        <v>42910</v>
      </c>
      <c r="C565" s="27">
        <v>18.003299999999999</v>
      </c>
      <c r="E565" s="30">
        <v>0.89335600000000004</v>
      </c>
      <c r="G565" s="27">
        <v>16.116031</v>
      </c>
      <c r="I565" s="29">
        <v>6.9328000000000003</v>
      </c>
      <c r="K565" s="29">
        <v>3.3416359999999998</v>
      </c>
      <c r="M565" s="41">
        <v>661.91168600000003</v>
      </c>
      <c r="O565" s="26">
        <v>3020.4189419999998</v>
      </c>
      <c r="Q565" s="26">
        <v>5563.2</v>
      </c>
      <c r="S565" s="26">
        <v>1664.8858540000001</v>
      </c>
      <c r="U565" s="29">
        <v>3.2526999999999999</v>
      </c>
      <c r="W565" s="14">
        <v>28.285</v>
      </c>
      <c r="Y565" s="29">
        <v>8.4647539999999992</v>
      </c>
      <c r="AA565" s="41">
        <v>567.09500000000003</v>
      </c>
      <c r="AC565" s="27">
        <v>47.162999999999997</v>
      </c>
      <c r="AE565" s="27">
        <v>1</v>
      </c>
      <c r="AG565" s="29">
        <v>7.3203500000000004</v>
      </c>
      <c r="AI565" s="29">
        <v>8.7280999999999995</v>
      </c>
      <c r="AK565" s="27">
        <v>23.392499999999998</v>
      </c>
      <c r="AM565" s="27">
        <v>29.706499999999998</v>
      </c>
      <c r="AO565" s="29">
        <v>6.7134</v>
      </c>
      <c r="AP565" s="11"/>
    </row>
    <row r="566" spans="2:42" hidden="1" outlineLevel="1" x14ac:dyDescent="0.25">
      <c r="B566" s="21">
        <v>42911</v>
      </c>
      <c r="C566" s="27">
        <v>18.003299999999999</v>
      </c>
      <c r="E566" s="30">
        <v>0.89335600000000004</v>
      </c>
      <c r="G566" s="27">
        <v>16.122700999999999</v>
      </c>
      <c r="I566" s="29">
        <v>6.9325799999999997</v>
      </c>
      <c r="K566" s="29">
        <v>3.3405239999999998</v>
      </c>
      <c r="M566" s="41">
        <v>662.16412100000002</v>
      </c>
      <c r="O566" s="26">
        <v>3019.9719479999999</v>
      </c>
      <c r="Q566" s="26">
        <v>5563.0320760000004</v>
      </c>
      <c r="S566" s="26">
        <v>1665.4213099999999</v>
      </c>
      <c r="U566" s="29">
        <v>3.2526079999999999</v>
      </c>
      <c r="W566" s="14">
        <v>28.28378</v>
      </c>
      <c r="Y566" s="29">
        <v>8.4673560000000005</v>
      </c>
      <c r="AA566" s="41">
        <v>567.07548599999996</v>
      </c>
      <c r="AC566" s="27">
        <v>47.161425999999999</v>
      </c>
      <c r="AE566" s="27">
        <v>1</v>
      </c>
      <c r="AG566" s="29">
        <v>7.3201109999999998</v>
      </c>
      <c r="AI566" s="29">
        <v>8.727824</v>
      </c>
      <c r="AK566" s="27">
        <v>23.391753999999999</v>
      </c>
      <c r="AM566" s="27">
        <v>29.705729999999999</v>
      </c>
      <c r="AO566" s="29">
        <v>6.7131699999999999</v>
      </c>
      <c r="AP566" s="11"/>
    </row>
    <row r="567" spans="2:42" hidden="1" outlineLevel="1" x14ac:dyDescent="0.25">
      <c r="B567" s="21">
        <v>42912</v>
      </c>
      <c r="C567" s="27">
        <v>17.937275</v>
      </c>
      <c r="E567" s="30">
        <v>0.89345600000000003</v>
      </c>
      <c r="G567" s="27">
        <v>16.204736</v>
      </c>
      <c r="I567" s="29">
        <v>6.9331370000000003</v>
      </c>
      <c r="K567" s="29">
        <v>3.3247439999999999</v>
      </c>
      <c r="M567" s="41">
        <v>661.46811200000002</v>
      </c>
      <c r="O567" s="26">
        <v>3021.6437820000001</v>
      </c>
      <c r="Q567" s="26">
        <v>5560.0672080000004</v>
      </c>
      <c r="S567" s="26">
        <v>1672.3450399999999</v>
      </c>
      <c r="U567" s="29">
        <v>3.2534179999999999</v>
      </c>
      <c r="W567" s="14">
        <v>28.295622000000002</v>
      </c>
      <c r="Y567" s="29">
        <v>8.5106680000000008</v>
      </c>
      <c r="AA567" s="41">
        <v>567.97382600000003</v>
      </c>
      <c r="AC567" s="27">
        <v>47.300854999999999</v>
      </c>
      <c r="AE567" s="27">
        <v>1</v>
      </c>
      <c r="AG567" s="29">
        <v>7.331448</v>
      </c>
      <c r="AI567" s="29">
        <v>8.7416579999999993</v>
      </c>
      <c r="AK567" s="27">
        <v>23.424968</v>
      </c>
      <c r="AM567" s="27">
        <v>29.823240999999999</v>
      </c>
      <c r="AO567" s="29">
        <v>6.7288959999999998</v>
      </c>
      <c r="AP567" s="11"/>
    </row>
    <row r="568" spans="2:42" hidden="1" outlineLevel="1" x14ac:dyDescent="0.25">
      <c r="B568" s="21">
        <v>42913</v>
      </c>
      <c r="C568" s="27">
        <v>17.917394999999999</v>
      </c>
      <c r="E568" s="30">
        <v>0.88929599999999998</v>
      </c>
      <c r="G568" s="27">
        <v>16.346769999999999</v>
      </c>
      <c r="I568" s="29">
        <v>6.9347060000000003</v>
      </c>
      <c r="K568" s="29">
        <v>3.3072620000000001</v>
      </c>
      <c r="M568" s="41">
        <v>661.09807999999998</v>
      </c>
      <c r="O568" s="26">
        <v>3023.8314099999998</v>
      </c>
      <c r="Q568" s="26">
        <v>5549.9621479999996</v>
      </c>
      <c r="S568" s="26">
        <v>1678.1292679999999</v>
      </c>
      <c r="U568" s="29">
        <v>3.252434</v>
      </c>
      <c r="W568" s="14">
        <v>28.293593999999999</v>
      </c>
      <c r="Y568" s="29">
        <v>8.5550449999999998</v>
      </c>
      <c r="AA568" s="41">
        <v>567.69209599999999</v>
      </c>
      <c r="AC568" s="27">
        <v>47.270432</v>
      </c>
      <c r="AE568" s="27">
        <v>1</v>
      </c>
      <c r="AG568" s="29">
        <v>7.3298800000000002</v>
      </c>
      <c r="AI568" s="29">
        <v>8.7416470000000004</v>
      </c>
      <c r="AK568" s="27">
        <v>23.412286000000002</v>
      </c>
      <c r="AM568" s="27">
        <v>29.743677999999999</v>
      </c>
      <c r="AO568" s="29">
        <v>6.7277610000000001</v>
      </c>
      <c r="AP568" s="11"/>
    </row>
    <row r="569" spans="2:42" hidden="1" outlineLevel="1" x14ac:dyDescent="0.25">
      <c r="B569" s="21">
        <v>42914</v>
      </c>
      <c r="C569" s="27">
        <v>17.949335000000001</v>
      </c>
      <c r="E569" s="30">
        <v>0.88036999999999999</v>
      </c>
      <c r="G569" s="27">
        <v>16.392351999999999</v>
      </c>
      <c r="I569" s="29">
        <v>6.9173539999999996</v>
      </c>
      <c r="K569" s="29">
        <v>3.30348</v>
      </c>
      <c r="M569" s="41">
        <v>663.02174600000001</v>
      </c>
      <c r="O569" s="26">
        <v>3016.1059340000002</v>
      </c>
      <c r="Q569" s="26">
        <v>5538.3905260000001</v>
      </c>
      <c r="S569" s="26">
        <v>1676.5484530000001</v>
      </c>
      <c r="U569" s="29">
        <v>3.2449699999999999</v>
      </c>
      <c r="W569" s="14">
        <v>28.268454999999999</v>
      </c>
      <c r="Y569" s="29">
        <v>8.5572309999999998</v>
      </c>
      <c r="AA569" s="41">
        <v>566.03265199999998</v>
      </c>
      <c r="AC569" s="27">
        <v>47.181128000000001</v>
      </c>
      <c r="AE569" s="27">
        <v>1</v>
      </c>
      <c r="AG569" s="29">
        <v>7.3100350000000001</v>
      </c>
      <c r="AI569" s="29">
        <v>8.7191519999999993</v>
      </c>
      <c r="AK569" s="27">
        <v>23.344738</v>
      </c>
      <c r="AM569" s="27">
        <v>29.833629999999999</v>
      </c>
      <c r="AO569" s="29">
        <v>6.7118690000000001</v>
      </c>
      <c r="AP569" s="11"/>
    </row>
    <row r="570" spans="2:42" hidden="1" outlineLevel="1" x14ac:dyDescent="0.25">
      <c r="B570" s="21">
        <v>42915</v>
      </c>
      <c r="C570" s="27">
        <v>17.913634999999999</v>
      </c>
      <c r="E570" s="30">
        <v>0.87642799999999998</v>
      </c>
      <c r="G570" s="27">
        <v>16.443725000000001</v>
      </c>
      <c r="I570" s="29">
        <v>6.9339779999999998</v>
      </c>
      <c r="K570" s="29">
        <v>3.290492</v>
      </c>
      <c r="M570" s="41">
        <v>663.22085400000003</v>
      </c>
      <c r="O570" s="26">
        <v>3029.1391520000002</v>
      </c>
      <c r="Q570" s="26">
        <v>5556.779732</v>
      </c>
      <c r="S570" s="26">
        <v>1688.7536700000001</v>
      </c>
      <c r="U570" s="29">
        <v>3.248405</v>
      </c>
      <c r="W570" s="14">
        <v>28.327845</v>
      </c>
      <c r="Y570" s="29">
        <v>8.6090540000000004</v>
      </c>
      <c r="AA570" s="41">
        <v>567.51463000000001</v>
      </c>
      <c r="AC570" s="27">
        <v>47.283347999999997</v>
      </c>
      <c r="AE570" s="27">
        <v>1</v>
      </c>
      <c r="AG570" s="29">
        <v>7.3304429999999998</v>
      </c>
      <c r="AI570" s="29">
        <v>8.7420500000000008</v>
      </c>
      <c r="AK570" s="27">
        <v>23.369959999999999</v>
      </c>
      <c r="AM570" s="27">
        <v>29.890637000000002</v>
      </c>
      <c r="AO570" s="29">
        <v>6.726515</v>
      </c>
      <c r="AP570" s="11"/>
    </row>
    <row r="571" spans="2:42" hidden="1" outlineLevel="1" x14ac:dyDescent="0.25">
      <c r="B571" s="21">
        <v>42916</v>
      </c>
      <c r="C571" s="49">
        <v>18.027899999999999</v>
      </c>
      <c r="E571" s="30">
        <v>0.87540399999999996</v>
      </c>
      <c r="G571" s="27">
        <v>16.527204999999999</v>
      </c>
      <c r="I571" s="29">
        <v>6.929659</v>
      </c>
      <c r="K571" s="29">
        <v>3.3058879999999999</v>
      </c>
      <c r="M571" s="41">
        <v>664.56174999999996</v>
      </c>
      <c r="O571" s="26">
        <v>3034.7429809999999</v>
      </c>
      <c r="Q571" s="26">
        <v>5562.9142339999999</v>
      </c>
      <c r="S571" s="26">
        <v>1682.7475240000001</v>
      </c>
      <c r="U571" s="29">
        <v>3.2440790000000002</v>
      </c>
      <c r="W571" s="14">
        <v>28.325198</v>
      </c>
      <c r="Y571" s="29">
        <v>8.5681720000000006</v>
      </c>
      <c r="AA571" s="41">
        <v>567.06483800000001</v>
      </c>
      <c r="AC571" s="27">
        <v>47.257420000000003</v>
      </c>
      <c r="AE571" s="27">
        <v>1</v>
      </c>
      <c r="AG571" s="29">
        <v>7.3249779999999998</v>
      </c>
      <c r="AI571" s="29">
        <v>8.7357709999999997</v>
      </c>
      <c r="AK571" s="27">
        <v>23.32902</v>
      </c>
      <c r="AM571" s="27">
        <v>29.869326999999998</v>
      </c>
      <c r="AO571" s="29">
        <v>6.7254839999999998</v>
      </c>
      <c r="AP571" s="11"/>
    </row>
    <row r="572" spans="2:42" ht="13" collapsed="1" x14ac:dyDescent="0.3">
      <c r="B572" s="25" t="s">
        <v>156</v>
      </c>
      <c r="C572" s="19">
        <v>18.159199999999998</v>
      </c>
      <c r="E572" s="24">
        <v>0.89064699999999997</v>
      </c>
      <c r="G572" s="19">
        <v>16.084199999999999</v>
      </c>
      <c r="I572" s="23">
        <v>6.9424400000000004</v>
      </c>
      <c r="J572" s="9"/>
      <c r="K572" s="23">
        <v>3.29223</v>
      </c>
      <c r="M572" s="42">
        <v>665.11099999999999</v>
      </c>
      <c r="O572" s="31">
        <v>2960.75</v>
      </c>
      <c r="Q572" s="31">
        <v>5576.14</v>
      </c>
      <c r="S572" s="31">
        <v>1693.89</v>
      </c>
      <c r="U572" s="23">
        <v>3.2652199999999998</v>
      </c>
      <c r="W572" s="23">
        <v>28.333880000000001</v>
      </c>
      <c r="Y572" s="23">
        <v>8.6070100000000007</v>
      </c>
      <c r="AA572" s="42">
        <v>568.24800000000005</v>
      </c>
      <c r="AC572" s="19">
        <v>47.284100000000002</v>
      </c>
      <c r="AE572" s="19">
        <v>1</v>
      </c>
      <c r="AG572" s="23">
        <v>7.3396400000000002</v>
      </c>
      <c r="AI572" s="23">
        <v>8.7412100000000006</v>
      </c>
      <c r="AK572" s="23">
        <v>23.430959999999999</v>
      </c>
      <c r="AM572" s="23">
        <v>29.78087</v>
      </c>
      <c r="AO572" s="23">
        <v>6.72675</v>
      </c>
      <c r="AP572" s="10"/>
    </row>
    <row r="573" spans="2:42" ht="11.5" hidden="1" customHeight="1" outlineLevel="1" x14ac:dyDescent="0.25">
      <c r="B573" s="21">
        <v>42917</v>
      </c>
      <c r="C573" s="27">
        <v>18.12668</v>
      </c>
      <c r="E573" s="30">
        <v>0.87525799999999998</v>
      </c>
      <c r="G573" s="27">
        <v>16.456942999999999</v>
      </c>
      <c r="I573" s="29">
        <v>6.9367000000000001</v>
      </c>
      <c r="K573" s="29">
        <v>3.3075000000000001</v>
      </c>
      <c r="M573" s="41">
        <v>663.89020900000003</v>
      </c>
      <c r="O573" s="26">
        <v>3044.03</v>
      </c>
      <c r="Q573" s="26">
        <v>5569.4</v>
      </c>
      <c r="S573" s="26">
        <v>1683.9066809999999</v>
      </c>
      <c r="U573" s="29">
        <v>3.2446000000000002</v>
      </c>
      <c r="W573" s="14">
        <v>28.311</v>
      </c>
      <c r="Y573" s="29">
        <v>8.5598069999999993</v>
      </c>
      <c r="AA573" s="41">
        <v>566.91499999999996</v>
      </c>
      <c r="AC573" s="27">
        <v>47.189500000000002</v>
      </c>
      <c r="AE573" s="27">
        <v>1</v>
      </c>
      <c r="AG573" s="29">
        <v>7.3225499999999997</v>
      </c>
      <c r="AI573" s="29">
        <v>8.7338000000000005</v>
      </c>
      <c r="AK573" s="27">
        <v>23.306000000000001</v>
      </c>
      <c r="AM573" s="27">
        <v>29.8385</v>
      </c>
      <c r="AO573" s="29">
        <v>6.7172000000000001</v>
      </c>
      <c r="AP573" s="11"/>
    </row>
    <row r="574" spans="2:42" ht="11.5" hidden="1" customHeight="1" outlineLevel="1" x14ac:dyDescent="0.25">
      <c r="B574" s="21">
        <v>42918</v>
      </c>
      <c r="C574" s="27">
        <v>18.12668</v>
      </c>
      <c r="E574" s="30">
        <v>0.87525799999999998</v>
      </c>
      <c r="G574" s="27">
        <v>16.455897</v>
      </c>
      <c r="I574" s="29">
        <v>6.9367000000000001</v>
      </c>
      <c r="K574" s="29">
        <v>3.2810260000000002</v>
      </c>
      <c r="M574" s="41">
        <v>663.9</v>
      </c>
      <c r="O574" s="26">
        <v>3044.03</v>
      </c>
      <c r="Q574" s="26">
        <v>5569.4</v>
      </c>
      <c r="S574" s="26">
        <v>1697.4821609999999</v>
      </c>
      <c r="U574" s="29">
        <v>3.2446000000000002</v>
      </c>
      <c r="W574" s="14">
        <v>28.311</v>
      </c>
      <c r="Y574" s="29">
        <v>8.6288210000000003</v>
      </c>
      <c r="AA574" s="41">
        <v>566.91499999999996</v>
      </c>
      <c r="AC574" s="27">
        <v>47.189500000000002</v>
      </c>
      <c r="AE574" s="27">
        <v>1</v>
      </c>
      <c r="AG574" s="29">
        <v>7.3225499999999997</v>
      </c>
      <c r="AI574" s="29">
        <v>8.7338000000000005</v>
      </c>
      <c r="AK574" s="27">
        <v>23.306000000000001</v>
      </c>
      <c r="AM574" s="27">
        <v>29.8385</v>
      </c>
      <c r="AO574" s="29">
        <v>6.7172000000000001</v>
      </c>
      <c r="AP574" s="11"/>
    </row>
    <row r="575" spans="2:42" ht="11.5" hidden="1" customHeight="1" outlineLevel="1" x14ac:dyDescent="0.25">
      <c r="B575" s="21">
        <v>42919</v>
      </c>
      <c r="C575" s="27">
        <v>18.164935</v>
      </c>
      <c r="E575" s="30">
        <v>0.87802100000000005</v>
      </c>
      <c r="G575" s="27">
        <v>16.678291999999999</v>
      </c>
      <c r="I575" s="29">
        <v>6.9380740000000003</v>
      </c>
      <c r="K575" s="29">
        <v>3.3021060000000002</v>
      </c>
      <c r="M575" s="41">
        <v>663.59156800000005</v>
      </c>
      <c r="O575" s="26">
        <v>3044.9216809999998</v>
      </c>
      <c r="Q575" s="26">
        <v>5577.2316680000004</v>
      </c>
      <c r="S575" s="26">
        <v>1689.021675</v>
      </c>
      <c r="U575" s="29">
        <v>3.2499009999999999</v>
      </c>
      <c r="W575" s="14">
        <v>28.408550999999999</v>
      </c>
      <c r="Y575" s="29">
        <v>8.6032700000000002</v>
      </c>
      <c r="AA575" s="41">
        <v>567.78697199999999</v>
      </c>
      <c r="AC575" s="27">
        <v>47.318255000000001</v>
      </c>
      <c r="AE575" s="27">
        <v>1</v>
      </c>
      <c r="AG575" s="29">
        <v>7.333888</v>
      </c>
      <c r="AI575" s="29">
        <v>8.7467939999999995</v>
      </c>
      <c r="AK575" s="27">
        <v>23.349862000000002</v>
      </c>
      <c r="AM575" s="27">
        <v>29.894596</v>
      </c>
      <c r="AO575" s="29">
        <v>6.7355419999999997</v>
      </c>
      <c r="AP575" s="11"/>
    </row>
    <row r="576" spans="2:42" ht="11.5" hidden="1" customHeight="1" outlineLevel="1" x14ac:dyDescent="0.25">
      <c r="B576" s="21">
        <v>42920</v>
      </c>
      <c r="C576" s="27">
        <v>18.200279999999999</v>
      </c>
      <c r="E576" s="30">
        <v>0.88055300000000003</v>
      </c>
      <c r="G576" s="27">
        <v>16.863554000000001</v>
      </c>
      <c r="I576" s="29">
        <v>6.9475020000000001</v>
      </c>
      <c r="K576" s="29">
        <v>3.304433</v>
      </c>
      <c r="M576" s="41">
        <v>663.04576999999995</v>
      </c>
      <c r="O576" s="26">
        <v>3046.4795789999998</v>
      </c>
      <c r="Q576" s="26">
        <v>5568.6919889999999</v>
      </c>
      <c r="S576" s="26">
        <v>1685.2349220000001</v>
      </c>
      <c r="U576" s="29">
        <v>3.2550599999999998</v>
      </c>
      <c r="W576" s="14">
        <v>28.473872</v>
      </c>
      <c r="Y576" s="29">
        <v>8.61693</v>
      </c>
      <c r="AA576" s="41">
        <v>567.27114500000005</v>
      </c>
      <c r="AC576" s="27">
        <v>47.271306000000003</v>
      </c>
      <c r="AE576" s="27">
        <v>1</v>
      </c>
      <c r="AG576" s="29">
        <v>7.3401230000000002</v>
      </c>
      <c r="AI576" s="29">
        <v>8.7539549999999995</v>
      </c>
      <c r="AK576" s="27">
        <v>23.425622000000001</v>
      </c>
      <c r="AM576" s="27">
        <v>29.976254999999998</v>
      </c>
      <c r="AO576" s="29">
        <v>6.7390119999999998</v>
      </c>
      <c r="AP576" s="11"/>
    </row>
    <row r="577" spans="2:42" ht="11.5" hidden="1" customHeight="1" outlineLevel="1" x14ac:dyDescent="0.25">
      <c r="B577" s="21">
        <v>42921</v>
      </c>
      <c r="C577" s="27">
        <v>18.258199999999999</v>
      </c>
      <c r="E577" s="30">
        <v>0.88145799999999996</v>
      </c>
      <c r="G577" s="27">
        <v>16.97006</v>
      </c>
      <c r="I577" s="29">
        <v>6.9436229999999997</v>
      </c>
      <c r="K577" s="29">
        <v>3.307328</v>
      </c>
      <c r="M577" s="41">
        <v>664.26579100000004</v>
      </c>
      <c r="O577" s="26">
        <v>3060.9107560000002</v>
      </c>
      <c r="Q577" s="26">
        <v>5551.0143600000001</v>
      </c>
      <c r="S577" s="26">
        <v>1678.4262229999999</v>
      </c>
      <c r="U577" s="29">
        <v>3.2571659999999998</v>
      </c>
      <c r="W577" s="14">
        <v>28.46594</v>
      </c>
      <c r="Y577" s="29">
        <v>8.60703</v>
      </c>
      <c r="AA577" s="41">
        <v>566.50108799999998</v>
      </c>
      <c r="AC577" s="27">
        <v>47.292698999999999</v>
      </c>
      <c r="AE577" s="27">
        <v>1</v>
      </c>
      <c r="AG577" s="29">
        <v>7.3293160000000004</v>
      </c>
      <c r="AI577" s="29">
        <v>8.7437950000000004</v>
      </c>
      <c r="AK577" s="27">
        <v>23.470032</v>
      </c>
      <c r="AM577" s="27">
        <v>30.006989999999998</v>
      </c>
      <c r="AO577" s="29">
        <v>6.7306299999999997</v>
      </c>
      <c r="AP577" s="11"/>
    </row>
    <row r="578" spans="2:42" ht="11.5" hidden="1" customHeight="1" outlineLevel="1" x14ac:dyDescent="0.25">
      <c r="B578" s="21">
        <v>42922</v>
      </c>
      <c r="C578" s="27">
        <v>18.31737</v>
      </c>
      <c r="E578" s="30">
        <v>0.87945700000000004</v>
      </c>
      <c r="G578" s="27">
        <v>17.134011999999998</v>
      </c>
      <c r="I578" s="29">
        <v>6.9341739999999996</v>
      </c>
      <c r="K578" s="29">
        <v>3.2956479999999999</v>
      </c>
      <c r="M578" s="41">
        <v>665.97994000000006</v>
      </c>
      <c r="O578" s="26">
        <v>3084.6699410000001</v>
      </c>
      <c r="Q578" s="26">
        <v>5545.1574739999996</v>
      </c>
      <c r="S578" s="26">
        <v>1682.585926</v>
      </c>
      <c r="U578" s="29">
        <v>3.2542439999999999</v>
      </c>
      <c r="W578" s="14">
        <v>28.675643999999998</v>
      </c>
      <c r="Y578" s="29">
        <v>8.701098</v>
      </c>
      <c r="AA578" s="41">
        <v>567.01999899999998</v>
      </c>
      <c r="AC578" s="27">
        <v>47.333128000000002</v>
      </c>
      <c r="AE578" s="27">
        <v>1</v>
      </c>
      <c r="AG578" s="29">
        <v>7.32362</v>
      </c>
      <c r="AI578" s="29">
        <v>8.7393459999999994</v>
      </c>
      <c r="AK578" s="27">
        <v>23.454241</v>
      </c>
      <c r="AM578" s="27">
        <v>30.002912999999999</v>
      </c>
      <c r="AO578" s="29">
        <v>6.7430029999999999</v>
      </c>
      <c r="AP578" s="11"/>
    </row>
    <row r="579" spans="2:42" ht="11.5" hidden="1" customHeight="1" outlineLevel="1" x14ac:dyDescent="0.25">
      <c r="B579" s="21">
        <v>42923</v>
      </c>
      <c r="C579" s="27">
        <v>18.205784999999999</v>
      </c>
      <c r="E579" s="30">
        <v>0.87635099999999999</v>
      </c>
      <c r="G579" s="27">
        <v>17.036977</v>
      </c>
      <c r="I579" s="29">
        <v>6.9382320000000002</v>
      </c>
      <c r="K579" s="29">
        <v>3.2911450000000002</v>
      </c>
      <c r="M579" s="41">
        <v>666.13882799999999</v>
      </c>
      <c r="O579" s="26">
        <v>3094.1346100000001</v>
      </c>
      <c r="Q579" s="26">
        <v>5540.7666479999998</v>
      </c>
      <c r="S579" s="26">
        <v>1683.554942</v>
      </c>
      <c r="U579" s="29">
        <v>3.2478349999999998</v>
      </c>
      <c r="W579" s="14">
        <v>28.776396999999999</v>
      </c>
      <c r="Y579" s="29">
        <v>8.7436340000000001</v>
      </c>
      <c r="AA579" s="41">
        <v>570.19883600000003</v>
      </c>
      <c r="AC579" s="27">
        <v>47.203682000000001</v>
      </c>
      <c r="AE579" s="27">
        <v>1</v>
      </c>
      <c r="AG579" s="29">
        <v>7.3172110000000004</v>
      </c>
      <c r="AI579" s="29">
        <v>8.7308599999999998</v>
      </c>
      <c r="AK579" s="27">
        <v>23.424322</v>
      </c>
      <c r="AM579" s="27">
        <v>29.98677</v>
      </c>
      <c r="AO579" s="29">
        <v>6.7442029999999997</v>
      </c>
      <c r="AP579" s="11"/>
    </row>
    <row r="580" spans="2:42" ht="11.5" hidden="1" customHeight="1" outlineLevel="1" x14ac:dyDescent="0.25">
      <c r="B580" s="21">
        <v>42924</v>
      </c>
      <c r="C580" s="27">
        <v>18.089220000000001</v>
      </c>
      <c r="E580" s="30">
        <v>0.87718600000000002</v>
      </c>
      <c r="G580" s="27">
        <v>17.059972999999999</v>
      </c>
      <c r="I580" s="29">
        <v>6.960464</v>
      </c>
      <c r="K580" s="29">
        <v>3.2808419999999998</v>
      </c>
      <c r="M580" s="41">
        <v>666.34876499999996</v>
      </c>
      <c r="O580" s="26">
        <v>3097.0736459999998</v>
      </c>
      <c r="Q580" s="26">
        <v>5559.5838059999996</v>
      </c>
      <c r="S580" s="26">
        <v>1694.596108</v>
      </c>
      <c r="U580" s="29">
        <v>3.2541380000000002</v>
      </c>
      <c r="W580" s="14">
        <v>28.936340000000001</v>
      </c>
      <c r="Y580" s="29">
        <v>8.8199140000000007</v>
      </c>
      <c r="AA580" s="41">
        <v>575.03731600000003</v>
      </c>
      <c r="AC580" s="27">
        <v>47.304093999999999</v>
      </c>
      <c r="AE580" s="27">
        <v>1</v>
      </c>
      <c r="AG580" s="29">
        <v>7.3381939999999997</v>
      </c>
      <c r="AI580" s="29">
        <v>8.7554449999999999</v>
      </c>
      <c r="AK580" s="27">
        <v>23.493742000000001</v>
      </c>
      <c r="AM580" s="27">
        <v>30.075555999999999</v>
      </c>
      <c r="AO580" s="29">
        <v>6.7618179999999999</v>
      </c>
      <c r="AP580" s="11"/>
    </row>
    <row r="581" spans="2:42" ht="11.5" hidden="1" customHeight="1" outlineLevel="1" x14ac:dyDescent="0.25">
      <c r="B581" s="21">
        <v>42925</v>
      </c>
      <c r="C581" s="27">
        <v>18.089220000000001</v>
      </c>
      <c r="E581" s="30">
        <v>0.87718600000000002</v>
      </c>
      <c r="G581" s="27">
        <v>17.102</v>
      </c>
      <c r="I581" s="29">
        <v>6.9812000000000003</v>
      </c>
      <c r="K581" s="29">
        <v>3.281072</v>
      </c>
      <c r="M581" s="41">
        <v>667.04965800000002</v>
      </c>
      <c r="O581" s="26">
        <v>3090.3153729999999</v>
      </c>
      <c r="Q581" s="26">
        <v>5560.95</v>
      </c>
      <c r="S581" s="26">
        <v>1694.8742580000001</v>
      </c>
      <c r="U581" s="29">
        <v>3.2562500000000001</v>
      </c>
      <c r="W581" s="14">
        <v>28.940999999999999</v>
      </c>
      <c r="Y581" s="29">
        <v>8.8206690000000005</v>
      </c>
      <c r="AA581" s="41">
        <v>575.17999999999995</v>
      </c>
      <c r="AC581" s="27">
        <v>47.216500000000003</v>
      </c>
      <c r="AE581" s="27">
        <v>1</v>
      </c>
      <c r="AG581" s="29">
        <v>7.34</v>
      </c>
      <c r="AI581" s="29">
        <v>8.7576000000000001</v>
      </c>
      <c r="AK581" s="27">
        <v>23.503499999999999</v>
      </c>
      <c r="AM581" s="27">
        <v>30.102499999999999</v>
      </c>
      <c r="AO581" s="29">
        <v>6.7635500000000004</v>
      </c>
      <c r="AP581" s="11"/>
    </row>
    <row r="582" spans="2:42" ht="11.5" hidden="1" customHeight="1" outlineLevel="1" x14ac:dyDescent="0.25">
      <c r="B582" s="21">
        <v>42926</v>
      </c>
      <c r="C582" s="27">
        <v>17.983678000000001</v>
      </c>
      <c r="E582" s="30">
        <v>0.87730799999999998</v>
      </c>
      <c r="G582" s="27">
        <v>16.975753999999998</v>
      </c>
      <c r="I582" s="29">
        <v>6.9639850000000001</v>
      </c>
      <c r="K582" s="29">
        <v>3.2711510000000001</v>
      </c>
      <c r="M582" s="41">
        <v>666.33545700000002</v>
      </c>
      <c r="O582" s="26">
        <v>3079.0161899999998</v>
      </c>
      <c r="Q582" s="26">
        <v>5550.6951230000004</v>
      </c>
      <c r="S582" s="26">
        <v>1696.8759439999999</v>
      </c>
      <c r="U582" s="29">
        <v>3.2547990000000002</v>
      </c>
      <c r="W582" s="14">
        <v>28.977222000000001</v>
      </c>
      <c r="Y582" s="29">
        <v>8.858466</v>
      </c>
      <c r="AA582" s="41">
        <v>571.15134</v>
      </c>
      <c r="AC582" s="27">
        <v>47.339297000000002</v>
      </c>
      <c r="AE582" s="27">
        <v>1</v>
      </c>
      <c r="AG582" s="29">
        <v>7.3337009999999996</v>
      </c>
      <c r="AI582" s="29">
        <v>8.7526919999999997</v>
      </c>
      <c r="AK582" s="27">
        <v>23.479462000000002</v>
      </c>
      <c r="AM582" s="27">
        <v>30.055070000000001</v>
      </c>
      <c r="AO582" s="29">
        <v>6.7538220000000004</v>
      </c>
      <c r="AP582" s="11"/>
    </row>
    <row r="583" spans="2:42" ht="11.5" hidden="1" customHeight="1" outlineLevel="1" x14ac:dyDescent="0.25">
      <c r="B583" s="21">
        <v>42927</v>
      </c>
      <c r="C583" s="27">
        <v>17.958690000000001</v>
      </c>
      <c r="E583" s="30">
        <v>0.87572099999999997</v>
      </c>
      <c r="G583" s="27">
        <v>17.003928999999999</v>
      </c>
      <c r="I583" s="29">
        <v>6.912922</v>
      </c>
      <c r="K583" s="29">
        <v>3.2527490000000001</v>
      </c>
      <c r="M583" s="41">
        <v>666.66368499999999</v>
      </c>
      <c r="O583" s="26">
        <v>3065.7310419999999</v>
      </c>
      <c r="Q583" s="26">
        <v>5540.5367379999998</v>
      </c>
      <c r="S583" s="26">
        <v>1703.3561990000001</v>
      </c>
      <c r="U583" s="29">
        <v>3.252116</v>
      </c>
      <c r="W583" s="14">
        <v>28.952885999999999</v>
      </c>
      <c r="Y583" s="29">
        <v>8.9011040000000001</v>
      </c>
      <c r="AA583" s="41">
        <v>567.27815399999997</v>
      </c>
      <c r="AC583" s="27">
        <v>47.304963999999998</v>
      </c>
      <c r="AE583" s="27">
        <v>1</v>
      </c>
      <c r="AG583" s="29">
        <v>7.3217549999999996</v>
      </c>
      <c r="AI583" s="29">
        <v>8.7424730000000004</v>
      </c>
      <c r="AK583" s="27">
        <v>23.462758000000001</v>
      </c>
      <c r="AM583" s="27">
        <v>30.010449999999999</v>
      </c>
      <c r="AO583" s="29">
        <v>6.7245980000000003</v>
      </c>
      <c r="AP583" s="11"/>
    </row>
    <row r="584" spans="2:42" ht="11.5" hidden="1" customHeight="1" outlineLevel="1" x14ac:dyDescent="0.25">
      <c r="B584" s="21">
        <v>42928</v>
      </c>
      <c r="C584" s="27">
        <v>17.846872000000001</v>
      </c>
      <c r="E584" s="30">
        <v>0.87382499999999996</v>
      </c>
      <c r="G584" s="27">
        <v>16.982406999999998</v>
      </c>
      <c r="I584" s="29">
        <v>6.9204879999999998</v>
      </c>
      <c r="K584" s="29">
        <v>3.2361589999999998</v>
      </c>
      <c r="M584" s="41">
        <v>663.37301300000001</v>
      </c>
      <c r="O584" s="26">
        <v>3064.5230959999999</v>
      </c>
      <c r="Q584" s="26">
        <v>5519.1544279999998</v>
      </c>
      <c r="S584" s="26">
        <v>1705.480783</v>
      </c>
      <c r="U584" s="29">
        <v>3.2456619999999998</v>
      </c>
      <c r="W584" s="14">
        <v>28.777850000000001</v>
      </c>
      <c r="Y584" s="29">
        <v>8.8926499999999997</v>
      </c>
      <c r="AA584" s="41">
        <v>566.07425799999999</v>
      </c>
      <c r="AC584" s="27">
        <v>47.221131</v>
      </c>
      <c r="AE584" s="27">
        <v>1</v>
      </c>
      <c r="AG584" s="29">
        <v>7.3016759999999996</v>
      </c>
      <c r="AI584" s="29">
        <v>8.7238939999999996</v>
      </c>
      <c r="AK584" s="27">
        <v>23.386958</v>
      </c>
      <c r="AM584" s="27">
        <v>29.929138999999999</v>
      </c>
      <c r="AO584" s="29">
        <v>6.7106880000000002</v>
      </c>
      <c r="AP584" s="11"/>
    </row>
    <row r="585" spans="2:42" ht="11.5" hidden="1" customHeight="1" outlineLevel="1" x14ac:dyDescent="0.25">
      <c r="B585" s="21">
        <v>42929</v>
      </c>
      <c r="C585" s="27">
        <v>17.745149999999999</v>
      </c>
      <c r="E585" s="30">
        <v>0.87621599999999999</v>
      </c>
      <c r="G585" s="27">
        <v>16.954128000000001</v>
      </c>
      <c r="I585" s="29">
        <v>6.9596369999999999</v>
      </c>
      <c r="K585" s="29">
        <v>3.209571</v>
      </c>
      <c r="M585" s="41">
        <v>662.13419799999997</v>
      </c>
      <c r="O585" s="26">
        <v>3059.498572</v>
      </c>
      <c r="Q585" s="26">
        <v>5540.0125660000003</v>
      </c>
      <c r="S585" s="26">
        <v>1726.1081260000001</v>
      </c>
      <c r="U585" s="29">
        <v>3.256532</v>
      </c>
      <c r="W585" s="14">
        <v>28.917929999999998</v>
      </c>
      <c r="Y585" s="29">
        <v>9.0099660000000004</v>
      </c>
      <c r="AA585" s="41">
        <v>572.69111699999996</v>
      </c>
      <c r="AC585" s="27">
        <v>47.401288000000001</v>
      </c>
      <c r="AE585" s="27">
        <v>1</v>
      </c>
      <c r="AG585" s="29">
        <v>7.3329589999999998</v>
      </c>
      <c r="AI585" s="29">
        <v>8.7668420000000005</v>
      </c>
      <c r="AK585" s="27">
        <v>23.489633000000001</v>
      </c>
      <c r="AM585" s="27">
        <v>30.050219999999999</v>
      </c>
      <c r="AO585" s="29">
        <v>6.7433920000000001</v>
      </c>
      <c r="AP585" s="11"/>
    </row>
    <row r="586" spans="2:42" ht="11.5" hidden="1" customHeight="1" outlineLevel="1" x14ac:dyDescent="0.25">
      <c r="B586" s="21">
        <v>42930</v>
      </c>
      <c r="C586" s="27">
        <v>17.62921</v>
      </c>
      <c r="E586" s="30">
        <v>0.87454200000000004</v>
      </c>
      <c r="G586" s="27">
        <v>16.905899999999999</v>
      </c>
      <c r="I586" s="29">
        <v>6.95214</v>
      </c>
      <c r="K586" s="29">
        <v>3.1989960000000002</v>
      </c>
      <c r="M586" s="41">
        <v>659.94050000000004</v>
      </c>
      <c r="O586" s="26">
        <v>3035.6216960000002</v>
      </c>
      <c r="Q586" s="26">
        <v>5538.8795319999999</v>
      </c>
      <c r="S586" s="26">
        <v>1731.460317</v>
      </c>
      <c r="U586" s="29">
        <v>3.2437870000000002</v>
      </c>
      <c r="W586" s="14">
        <v>28.757273999999999</v>
      </c>
      <c r="Y586" s="29">
        <v>8.989528</v>
      </c>
      <c r="AA586" s="41">
        <v>574.28026199999999</v>
      </c>
      <c r="AC586" s="27">
        <v>47.252336999999997</v>
      </c>
      <c r="AE586" s="27">
        <v>1</v>
      </c>
      <c r="AG586" s="29">
        <v>7.3058870000000002</v>
      </c>
      <c r="AI586" s="29">
        <v>8.7405880000000007</v>
      </c>
      <c r="AK586" s="27">
        <v>23.428704</v>
      </c>
      <c r="AM586" s="27">
        <v>30.031003999999999</v>
      </c>
      <c r="AO586" s="29">
        <v>6.7319360000000001</v>
      </c>
      <c r="AP586" s="11"/>
    </row>
    <row r="587" spans="2:42" ht="11.5" hidden="1" customHeight="1" outlineLevel="1" x14ac:dyDescent="0.25">
      <c r="B587" s="21">
        <v>42931</v>
      </c>
      <c r="C587" s="27">
        <v>17.563175000000001</v>
      </c>
      <c r="E587" s="30">
        <v>0.87199199999999999</v>
      </c>
      <c r="G587" s="27">
        <v>16.860499999999998</v>
      </c>
      <c r="I587" s="29">
        <v>6.9410999999999996</v>
      </c>
      <c r="K587" s="29">
        <v>3.1802999999999999</v>
      </c>
      <c r="M587" s="41">
        <v>657.86500000000001</v>
      </c>
      <c r="O587" s="26">
        <v>3019</v>
      </c>
      <c r="Q587" s="26">
        <v>5527.45</v>
      </c>
      <c r="S587" s="26">
        <v>1738.05096</v>
      </c>
      <c r="U587" s="29">
        <v>3.2342499999999998</v>
      </c>
      <c r="W587" s="14">
        <v>28.585000000000001</v>
      </c>
      <c r="Y587" s="29">
        <v>8.9882519999999992</v>
      </c>
      <c r="AA587" s="41">
        <v>572.02499999999998</v>
      </c>
      <c r="AC587" s="27">
        <v>47.353499999999997</v>
      </c>
      <c r="AE587" s="27">
        <v>1</v>
      </c>
      <c r="AG587" s="29">
        <v>7.2749499999999996</v>
      </c>
      <c r="AI587" s="29">
        <v>8.7073499999999999</v>
      </c>
      <c r="AK587" s="27">
        <v>23.337</v>
      </c>
      <c r="AM587" s="27">
        <v>29.9085</v>
      </c>
      <c r="AO587" s="29">
        <v>6.7102500000000003</v>
      </c>
      <c r="AP587" s="11"/>
    </row>
    <row r="588" spans="2:42" ht="11.5" hidden="1" customHeight="1" outlineLevel="1" x14ac:dyDescent="0.25">
      <c r="B588" s="21">
        <v>42932</v>
      </c>
      <c r="C588" s="27">
        <v>17.576705</v>
      </c>
      <c r="E588" s="30">
        <v>0.87178199999999995</v>
      </c>
      <c r="G588" s="27">
        <v>16.860029999999998</v>
      </c>
      <c r="I588" s="29">
        <v>6.9410999999999996</v>
      </c>
      <c r="K588" s="29">
        <v>3.1803840000000001</v>
      </c>
      <c r="M588" s="41">
        <v>657.78866200000004</v>
      </c>
      <c r="O588" s="26">
        <v>3020.5683130000002</v>
      </c>
      <c r="Q588" s="26">
        <v>5527.45</v>
      </c>
      <c r="S588" s="26">
        <v>1738.0074279999999</v>
      </c>
      <c r="U588" s="29">
        <v>3.2342499999999998</v>
      </c>
      <c r="W588" s="14">
        <v>28.585000000000001</v>
      </c>
      <c r="Y588" s="29">
        <v>8.9880259999999996</v>
      </c>
      <c r="AA588" s="41">
        <v>572.02499999999998</v>
      </c>
      <c r="AC588" s="27">
        <v>47.353499999999997</v>
      </c>
      <c r="AE588" s="27">
        <v>1</v>
      </c>
      <c r="AG588" s="29">
        <v>7.2749499999999996</v>
      </c>
      <c r="AI588" s="29">
        <v>8.7073499999999999</v>
      </c>
      <c r="AK588" s="27">
        <v>23.337</v>
      </c>
      <c r="AM588" s="27">
        <v>29.9085</v>
      </c>
      <c r="AO588" s="29">
        <v>6.7102500000000003</v>
      </c>
      <c r="AP588" s="11"/>
    </row>
    <row r="589" spans="2:42" ht="11.5" hidden="1" customHeight="1" outlineLevel="1" x14ac:dyDescent="0.25">
      <c r="B589" s="21">
        <v>42933</v>
      </c>
      <c r="C589" s="27">
        <v>17.585080999999999</v>
      </c>
      <c r="E589" s="30">
        <v>0.87209099999999995</v>
      </c>
      <c r="G589" s="27">
        <v>16.87556</v>
      </c>
      <c r="I589" s="29">
        <v>6.9551369999999997</v>
      </c>
      <c r="K589" s="29">
        <v>3.181762</v>
      </c>
      <c r="M589" s="41">
        <v>657.97153000000003</v>
      </c>
      <c r="O589" s="26">
        <v>3033.5043110000001</v>
      </c>
      <c r="Q589" s="26">
        <v>5541.03035</v>
      </c>
      <c r="S589" s="26">
        <v>1741.5144</v>
      </c>
      <c r="U589" s="29">
        <v>3.242769</v>
      </c>
      <c r="W589" s="14">
        <v>28.668281</v>
      </c>
      <c r="Y589" s="29">
        <v>9.0102679999999999</v>
      </c>
      <c r="AA589" s="41">
        <v>571.34504900000002</v>
      </c>
      <c r="AC589" s="27">
        <v>47.385261999999997</v>
      </c>
      <c r="AE589" s="27">
        <v>1</v>
      </c>
      <c r="AG589" s="29">
        <v>7.2768980000000001</v>
      </c>
      <c r="AI589" s="29">
        <v>8.725187</v>
      </c>
      <c r="AK589" s="27">
        <v>23.391470000000002</v>
      </c>
      <c r="AM589" s="27">
        <v>29.965972000000001</v>
      </c>
      <c r="AO589" s="29">
        <v>6.726979</v>
      </c>
      <c r="AP589" s="11"/>
    </row>
    <row r="590" spans="2:42" ht="11.5" hidden="1" customHeight="1" outlineLevel="1" x14ac:dyDescent="0.25">
      <c r="B590" s="21">
        <v>42934</v>
      </c>
      <c r="C590" s="27">
        <v>17.529178000000002</v>
      </c>
      <c r="E590" s="30">
        <v>0.86619800000000002</v>
      </c>
      <c r="G590" s="27">
        <v>16.979989</v>
      </c>
      <c r="I590" s="29">
        <v>6.9561739999999999</v>
      </c>
      <c r="K590" s="29">
        <v>3.1720999999999999</v>
      </c>
      <c r="M590" s="41">
        <v>657.96794999999997</v>
      </c>
      <c r="O590" s="26">
        <v>3023.9700640000001</v>
      </c>
      <c r="Q590" s="26">
        <v>5549.1228689999998</v>
      </c>
      <c r="S590" s="26">
        <v>1749.370997</v>
      </c>
      <c r="U590" s="29">
        <v>3.2440159999999998</v>
      </c>
      <c r="W590" s="14">
        <v>28.679362000000001</v>
      </c>
      <c r="Y590" s="29">
        <v>9.0411940000000008</v>
      </c>
      <c r="AA590" s="41">
        <v>572.04930000000002</v>
      </c>
      <c r="AC590" s="27">
        <v>47.466627000000003</v>
      </c>
      <c r="AE590" s="27">
        <v>1</v>
      </c>
      <c r="AG590" s="29">
        <v>7.2846320000000002</v>
      </c>
      <c r="AI590" s="29">
        <v>8.7455780000000001</v>
      </c>
      <c r="AK590" s="27">
        <v>23.441856000000001</v>
      </c>
      <c r="AM590" s="27">
        <v>30.020403000000002</v>
      </c>
      <c r="AO590" s="29">
        <v>6.7467519999999999</v>
      </c>
      <c r="AP590" s="11"/>
    </row>
    <row r="591" spans="2:42" ht="11.5" hidden="1" customHeight="1" outlineLevel="1" x14ac:dyDescent="0.25">
      <c r="B591" s="21">
        <v>42935</v>
      </c>
      <c r="C591" s="27">
        <v>17.503466</v>
      </c>
      <c r="E591" s="30">
        <v>0.86741599999999996</v>
      </c>
      <c r="G591" s="27">
        <v>17.142994000000002</v>
      </c>
      <c r="I591" s="29">
        <v>6.962472</v>
      </c>
      <c r="K591" s="29">
        <v>3.1528619999999998</v>
      </c>
      <c r="M591" s="41">
        <v>654.56481399999996</v>
      </c>
      <c r="O591" s="26">
        <v>3016.2983180000001</v>
      </c>
      <c r="Q591" s="26">
        <v>5550.641114</v>
      </c>
      <c r="S591" s="26">
        <v>1760.5261519999999</v>
      </c>
      <c r="U591" s="29">
        <v>3.24573</v>
      </c>
      <c r="W591" s="14">
        <v>28.647839999999999</v>
      </c>
      <c r="Y591" s="29">
        <v>9.0863600000000009</v>
      </c>
      <c r="AA591" s="41">
        <v>573.49487599999998</v>
      </c>
      <c r="AC591" s="27">
        <v>47.431246999999999</v>
      </c>
      <c r="AE591" s="27">
        <v>1</v>
      </c>
      <c r="AG591" s="29">
        <v>7.2928410000000001</v>
      </c>
      <c r="AI591" s="29">
        <v>8.7527439999999999</v>
      </c>
      <c r="AK591" s="27">
        <v>23.459897999999999</v>
      </c>
      <c r="AM591" s="27">
        <v>30.042020000000001</v>
      </c>
      <c r="AO591" s="29">
        <v>6.7565720000000002</v>
      </c>
      <c r="AP591" s="11"/>
    </row>
    <row r="592" spans="2:42" ht="11.5" hidden="1" customHeight="1" outlineLevel="1" x14ac:dyDescent="0.25">
      <c r="B592" s="21">
        <v>42936</v>
      </c>
      <c r="C592" s="27">
        <v>17.566517999999999</v>
      </c>
      <c r="E592" s="30">
        <v>0.86490599999999995</v>
      </c>
      <c r="G592" s="27">
        <v>17.154536</v>
      </c>
      <c r="I592" s="29">
        <v>6.9501879999999998</v>
      </c>
      <c r="K592" s="29">
        <v>3.1410999999999998</v>
      </c>
      <c r="M592" s="41">
        <v>653.15231400000005</v>
      </c>
      <c r="O592" s="26">
        <v>3002.1394679999999</v>
      </c>
      <c r="Q592" s="26">
        <v>5528.9258040000004</v>
      </c>
      <c r="S592" s="26">
        <v>1760.204866</v>
      </c>
      <c r="U592" s="29">
        <v>3.2349389999999998</v>
      </c>
      <c r="W592" s="14">
        <v>28.564716000000001</v>
      </c>
      <c r="Y592" s="29">
        <v>9.0939289999999993</v>
      </c>
      <c r="AA592" s="41">
        <v>572.40159000000006</v>
      </c>
      <c r="AC592" s="27">
        <v>47.328490000000002</v>
      </c>
      <c r="AE592" s="27">
        <v>1</v>
      </c>
      <c r="AG592" s="29">
        <v>7.2740239999999998</v>
      </c>
      <c r="AI592" s="29">
        <v>8.7276249999999997</v>
      </c>
      <c r="AK592" s="27">
        <v>23.385354</v>
      </c>
      <c r="AM592" s="27">
        <v>29.942864</v>
      </c>
      <c r="AO592" s="29">
        <v>6.7433379999999996</v>
      </c>
      <c r="AP592" s="11"/>
    </row>
    <row r="593" spans="2:42" ht="11.5" hidden="1" customHeight="1" outlineLevel="1" x14ac:dyDescent="0.25">
      <c r="B593" s="21">
        <v>42937</v>
      </c>
      <c r="C593" s="27">
        <v>17.545853999999999</v>
      </c>
      <c r="E593" s="30">
        <v>0.858406</v>
      </c>
      <c r="G593" s="27">
        <v>17.278089999999999</v>
      </c>
      <c r="I593" s="29">
        <v>6.9242419999999996</v>
      </c>
      <c r="K593" s="29">
        <v>3.1272669999999998</v>
      </c>
      <c r="M593" s="41">
        <v>651.97211800000002</v>
      </c>
      <c r="O593" s="26">
        <v>2996.9956040000002</v>
      </c>
      <c r="Q593" s="26">
        <v>5519.6427519999997</v>
      </c>
      <c r="S593" s="26">
        <v>1765.035539</v>
      </c>
      <c r="U593" s="29">
        <v>3.2305380000000001</v>
      </c>
      <c r="W593" s="14">
        <v>28.472481999999999</v>
      </c>
      <c r="Y593" s="29">
        <v>9.1047019999999996</v>
      </c>
      <c r="AA593" s="41">
        <v>571.59133799999995</v>
      </c>
      <c r="AC593" s="27">
        <v>47.209090000000003</v>
      </c>
      <c r="AE593" s="27">
        <v>1</v>
      </c>
      <c r="AG593" s="29">
        <v>7.2580010000000001</v>
      </c>
      <c r="AI593" s="29">
        <v>8.7057280000000006</v>
      </c>
      <c r="AK593" s="27">
        <v>23.332274000000002</v>
      </c>
      <c r="AM593" s="27">
        <v>29.876988999999998</v>
      </c>
      <c r="AO593" s="29">
        <v>6.7343159999999997</v>
      </c>
      <c r="AP593" s="11"/>
    </row>
    <row r="594" spans="2:42" ht="11.5" hidden="1" customHeight="1" outlineLevel="1" x14ac:dyDescent="0.25">
      <c r="B594" s="21">
        <v>42938</v>
      </c>
      <c r="C594" s="27">
        <v>17.653939000000001</v>
      </c>
      <c r="E594" s="30">
        <v>0.85723000000000005</v>
      </c>
      <c r="G594" s="27">
        <v>17.407858999999998</v>
      </c>
      <c r="I594" s="29">
        <v>6.9641000000000002</v>
      </c>
      <c r="K594" s="29">
        <v>3.142776</v>
      </c>
      <c r="M594" s="41">
        <v>651.38818300000003</v>
      </c>
      <c r="O594" s="26">
        <v>3004.904188</v>
      </c>
      <c r="Q594" s="26">
        <v>5549.85</v>
      </c>
      <c r="S594" s="26">
        <v>1765.9309370000001</v>
      </c>
      <c r="U594" s="29">
        <v>3.2374000000000001</v>
      </c>
      <c r="W594" s="14">
        <v>28.580500000000001</v>
      </c>
      <c r="Y594" s="29">
        <v>9.0941419999999997</v>
      </c>
      <c r="AA594" s="41">
        <v>573.77</v>
      </c>
      <c r="AC594" s="27">
        <v>47.320999999999998</v>
      </c>
      <c r="AE594" s="27">
        <v>1</v>
      </c>
      <c r="AG594" s="29">
        <v>7.2840999999999996</v>
      </c>
      <c r="AI594" s="29">
        <v>8.7363</v>
      </c>
      <c r="AK594" s="27">
        <v>23.47</v>
      </c>
      <c r="AM594" s="27">
        <v>30.0185</v>
      </c>
      <c r="AO594" s="29">
        <v>6.7634499999999997</v>
      </c>
      <c r="AP594" s="11"/>
    </row>
    <row r="595" spans="2:42" ht="11.5" hidden="1" customHeight="1" outlineLevel="1" x14ac:dyDescent="0.25">
      <c r="B595" s="21">
        <v>42939</v>
      </c>
      <c r="C595" s="27">
        <v>17.624669999999998</v>
      </c>
      <c r="E595" s="30">
        <v>0.85681799999999997</v>
      </c>
      <c r="G595" s="27">
        <v>17.406929999999999</v>
      </c>
      <c r="I595" s="29">
        <v>6.9641000000000002</v>
      </c>
      <c r="K595" s="29">
        <v>3.1501440000000001</v>
      </c>
      <c r="M595" s="41">
        <v>651.29999999999995</v>
      </c>
      <c r="O595" s="26">
        <v>3014.28</v>
      </c>
      <c r="Q595" s="26">
        <v>5549.85</v>
      </c>
      <c r="S595" s="26">
        <v>1761.797358</v>
      </c>
      <c r="U595" s="29">
        <v>3.2374000000000001</v>
      </c>
      <c r="W595" s="14">
        <v>28.580500000000001</v>
      </c>
      <c r="Y595" s="29">
        <v>9.0728559999999998</v>
      </c>
      <c r="AA595" s="41">
        <v>573.77</v>
      </c>
      <c r="AC595" s="27">
        <v>47.320999999999998</v>
      </c>
      <c r="AE595" s="27">
        <v>1</v>
      </c>
      <c r="AG595" s="29">
        <v>7.2840999999999996</v>
      </c>
      <c r="AI595" s="29">
        <v>8.7363</v>
      </c>
      <c r="AK595" s="27">
        <v>23.47</v>
      </c>
      <c r="AM595" s="27">
        <v>30.0185</v>
      </c>
      <c r="AO595" s="29">
        <v>6.7634499999999997</v>
      </c>
      <c r="AP595" s="11"/>
    </row>
    <row r="596" spans="2:42" ht="11.5" hidden="1" customHeight="1" outlineLevel="1" x14ac:dyDescent="0.25">
      <c r="B596" s="21">
        <v>42940</v>
      </c>
      <c r="C596" s="27">
        <v>17.676003999999999</v>
      </c>
      <c r="E596" s="30">
        <v>0.85829299999999997</v>
      </c>
      <c r="G596" s="27">
        <v>17.377226</v>
      </c>
      <c r="I596" s="29">
        <v>6.9500679999999999</v>
      </c>
      <c r="K596" s="29">
        <v>3.1439189999999999</v>
      </c>
      <c r="M596" s="41">
        <v>650.95024799999999</v>
      </c>
      <c r="O596" s="26">
        <v>3018.7852590000002</v>
      </c>
      <c r="Q596" s="26">
        <v>5550.2444949999999</v>
      </c>
      <c r="S596" s="26">
        <v>1765.4070999999999</v>
      </c>
      <c r="U596" s="29">
        <v>3.241682</v>
      </c>
      <c r="W596" s="14">
        <v>28.546576000000002</v>
      </c>
      <c r="Y596" s="29">
        <v>9.0799909999999997</v>
      </c>
      <c r="AA596" s="41">
        <v>573.87944600000003</v>
      </c>
      <c r="AC596" s="27">
        <v>47.325163000000003</v>
      </c>
      <c r="AE596" s="27">
        <v>1</v>
      </c>
      <c r="AG596" s="29">
        <v>7.2851800000000004</v>
      </c>
      <c r="AI596" s="29">
        <v>8.7382760000000008</v>
      </c>
      <c r="AK596" s="27">
        <v>23.414681999999999</v>
      </c>
      <c r="AM596" s="27">
        <v>30.022273999999999</v>
      </c>
      <c r="AO596" s="29">
        <v>6.7668900000000001</v>
      </c>
      <c r="AP596" s="11"/>
    </row>
    <row r="597" spans="2:42" ht="11.5" hidden="1" customHeight="1" outlineLevel="1" x14ac:dyDescent="0.25">
      <c r="B597" s="21">
        <v>42941</v>
      </c>
      <c r="C597" s="27">
        <v>17.747837000000001</v>
      </c>
      <c r="E597" s="30">
        <v>0.85791799999999996</v>
      </c>
      <c r="G597" s="27">
        <v>17.432093999999999</v>
      </c>
      <c r="I597" s="29">
        <v>6.9619260000000001</v>
      </c>
      <c r="K597" s="29">
        <v>3.1545359999999998</v>
      </c>
      <c r="M597" s="41">
        <v>650.84611399999994</v>
      </c>
      <c r="O597" s="26">
        <v>3028.7079640000002</v>
      </c>
      <c r="Q597" s="26">
        <v>5557.1330639999996</v>
      </c>
      <c r="S597" s="26">
        <v>1761.649228</v>
      </c>
      <c r="U597" s="29">
        <v>3.2485040000000001</v>
      </c>
      <c r="W597" s="14">
        <v>28.562118000000002</v>
      </c>
      <c r="Y597" s="29">
        <v>9.0543610000000001</v>
      </c>
      <c r="AA597" s="41">
        <v>574.37905000000001</v>
      </c>
      <c r="AC597" s="27">
        <v>47.463970000000003</v>
      </c>
      <c r="AE597" s="27">
        <v>1</v>
      </c>
      <c r="AG597" s="29">
        <v>7.2958730000000003</v>
      </c>
      <c r="AI597" s="29">
        <v>8.7520059999999997</v>
      </c>
      <c r="AK597" s="27">
        <v>23.456754</v>
      </c>
      <c r="AM597" s="27">
        <v>29.847984</v>
      </c>
      <c r="AO597" s="29">
        <v>6.7806620000000004</v>
      </c>
      <c r="AP597" s="11"/>
    </row>
    <row r="598" spans="2:42" ht="11.5" hidden="1" customHeight="1" outlineLevel="1" x14ac:dyDescent="0.25">
      <c r="B598" s="21">
        <v>42942</v>
      </c>
      <c r="C598" s="27">
        <v>17.723573999999999</v>
      </c>
      <c r="E598" s="30">
        <v>0.85765000000000002</v>
      </c>
      <c r="G598" s="27">
        <v>17.480125999999998</v>
      </c>
      <c r="I598" s="29">
        <v>6.9557310000000001</v>
      </c>
      <c r="K598" s="29">
        <v>3.1632980000000002</v>
      </c>
      <c r="M598" s="41">
        <v>648.52747899999997</v>
      </c>
      <c r="O598" s="26">
        <v>3026.9559850000001</v>
      </c>
      <c r="Q598" s="26">
        <v>5551.841144</v>
      </c>
      <c r="S598" s="26">
        <v>1755.097524</v>
      </c>
      <c r="U598" s="29">
        <v>3.248097</v>
      </c>
      <c r="W598" s="14">
        <v>28.468744000000001</v>
      </c>
      <c r="Y598" s="29">
        <v>8.9997679999999995</v>
      </c>
      <c r="AA598" s="41">
        <v>573.53967299999999</v>
      </c>
      <c r="AC598" s="27">
        <v>47.390014000000001</v>
      </c>
      <c r="AE598" s="27">
        <v>1</v>
      </c>
      <c r="AG598" s="29">
        <v>7.2901009999999999</v>
      </c>
      <c r="AI598" s="29">
        <v>8.7449759999999994</v>
      </c>
      <c r="AK598" s="27">
        <v>23.419333999999999</v>
      </c>
      <c r="AM598" s="27">
        <v>29.994938999999999</v>
      </c>
      <c r="AO598" s="29">
        <v>6.7763859999999996</v>
      </c>
      <c r="AP598" s="11"/>
    </row>
    <row r="599" spans="2:42" ht="11.5" hidden="1" customHeight="1" outlineLevel="1" x14ac:dyDescent="0.25">
      <c r="B599" s="21">
        <v>42943</v>
      </c>
      <c r="C599" s="27">
        <v>17.640588999999999</v>
      </c>
      <c r="E599" s="30">
        <v>0.85431900000000005</v>
      </c>
      <c r="G599" s="27">
        <v>17.54663</v>
      </c>
      <c r="I599" s="29">
        <v>6.93668</v>
      </c>
      <c r="K599" s="29">
        <v>3.1458379999999999</v>
      </c>
      <c r="M599" s="41">
        <v>646.73936700000002</v>
      </c>
      <c r="O599" s="26">
        <v>3012.3495590000002</v>
      </c>
      <c r="Q599" s="26">
        <v>5540.3103840000003</v>
      </c>
      <c r="S599" s="26">
        <v>1761.172378</v>
      </c>
      <c r="U599" s="29">
        <v>3.2386759999999999</v>
      </c>
      <c r="W599" s="14">
        <v>28.363420999999999</v>
      </c>
      <c r="Y599" s="29">
        <v>9.0162340000000007</v>
      </c>
      <c r="AA599" s="41">
        <v>571.90886699999999</v>
      </c>
      <c r="AC599" s="27">
        <v>47.237628000000001</v>
      </c>
      <c r="AE599" s="27">
        <v>1</v>
      </c>
      <c r="AG599" s="29">
        <v>7.268268</v>
      </c>
      <c r="AI599" s="29">
        <v>8.720027</v>
      </c>
      <c r="AK599" s="27">
        <v>23.365449000000002</v>
      </c>
      <c r="AM599" s="27">
        <v>29.90906</v>
      </c>
      <c r="AO599" s="29">
        <v>6.7365539999999999</v>
      </c>
      <c r="AP599" s="11"/>
    </row>
    <row r="600" spans="2:42" ht="11.5" hidden="1" customHeight="1" outlineLevel="1" x14ac:dyDescent="0.25">
      <c r="B600" s="21">
        <v>42944</v>
      </c>
      <c r="C600" s="27">
        <v>17.748884</v>
      </c>
      <c r="E600" s="30">
        <v>0.85317799999999999</v>
      </c>
      <c r="G600" s="27">
        <v>17.693978000000001</v>
      </c>
      <c r="I600" s="29">
        <v>6.9612530000000001</v>
      </c>
      <c r="K600" s="29">
        <v>3.1472069999999999</v>
      </c>
      <c r="M600" s="41">
        <v>648.18424700000003</v>
      </c>
      <c r="O600" s="26">
        <v>3006.3397920000002</v>
      </c>
      <c r="Q600" s="26">
        <v>5563.7044699999997</v>
      </c>
      <c r="S600" s="26">
        <v>1767.8400710000001</v>
      </c>
      <c r="U600" s="29">
        <v>3.2454839999999998</v>
      </c>
      <c r="W600" s="14">
        <v>28.45748</v>
      </c>
      <c r="Y600" s="29">
        <v>9.0421999999999993</v>
      </c>
      <c r="AA600" s="41">
        <v>573.88686800000005</v>
      </c>
      <c r="AC600" s="27">
        <v>47.279544000000001</v>
      </c>
      <c r="AE600" s="27">
        <v>1</v>
      </c>
      <c r="AG600" s="29">
        <v>7.292662</v>
      </c>
      <c r="AI600" s="29">
        <v>8.7510700000000003</v>
      </c>
      <c r="AK600" s="27">
        <v>23.447655999999998</v>
      </c>
      <c r="AM600" s="27">
        <v>29.956962000000001</v>
      </c>
      <c r="AO600" s="29">
        <v>6.749841</v>
      </c>
      <c r="AP600" s="11"/>
    </row>
    <row r="601" spans="2:42" ht="11.5" hidden="1" customHeight="1" outlineLevel="1" x14ac:dyDescent="0.25">
      <c r="B601" s="21">
        <v>42945</v>
      </c>
      <c r="C601" s="27">
        <v>17.77665</v>
      </c>
      <c r="E601" s="30">
        <v>0.851078</v>
      </c>
      <c r="G601" s="27">
        <v>17.802264000000001</v>
      </c>
      <c r="I601" s="29">
        <v>6.9501999999999997</v>
      </c>
      <c r="K601" s="29">
        <v>3.1313149999999998</v>
      </c>
      <c r="M601" s="41">
        <v>649.28297599999996</v>
      </c>
      <c r="O601" s="26">
        <v>3000.45</v>
      </c>
      <c r="Q601" s="26">
        <v>5543.15</v>
      </c>
      <c r="S601" s="26">
        <v>1770.25316</v>
      </c>
      <c r="U601" s="29">
        <v>3.2330000000000001</v>
      </c>
      <c r="W601" s="14">
        <v>28.343499999999999</v>
      </c>
      <c r="Y601" s="29">
        <v>9.0517319999999994</v>
      </c>
      <c r="AA601" s="41">
        <v>571.70500000000004</v>
      </c>
      <c r="AC601" s="27">
        <v>47.076999999999998</v>
      </c>
      <c r="AE601" s="27">
        <v>1</v>
      </c>
      <c r="AG601" s="29">
        <v>7.2655000000000003</v>
      </c>
      <c r="AI601" s="29">
        <v>8.7189999999999994</v>
      </c>
      <c r="AK601" s="27">
        <v>23.358499999999999</v>
      </c>
      <c r="AM601" s="27">
        <v>29.8385</v>
      </c>
      <c r="AO601" s="29">
        <v>6.7163000000000004</v>
      </c>
      <c r="AP601" s="11"/>
    </row>
    <row r="602" spans="2:42" ht="11.5" hidden="1" customHeight="1" outlineLevel="1" x14ac:dyDescent="0.25">
      <c r="B602" s="21">
        <v>42946</v>
      </c>
      <c r="C602" s="27">
        <v>17.762266</v>
      </c>
      <c r="E602" s="30">
        <v>0.85085599999999995</v>
      </c>
      <c r="G602" s="27">
        <v>17.797708</v>
      </c>
      <c r="I602" s="29">
        <v>6.9501999999999997</v>
      </c>
      <c r="K602" s="29">
        <v>3.1423420000000002</v>
      </c>
      <c r="M602" s="41">
        <v>653.70000000000005</v>
      </c>
      <c r="O602" s="26">
        <v>3000.45</v>
      </c>
      <c r="Q602" s="26">
        <v>5543.15</v>
      </c>
      <c r="S602" s="26">
        <v>1764.039974</v>
      </c>
      <c r="U602" s="29">
        <v>3.2330000000000001</v>
      </c>
      <c r="W602" s="14">
        <v>28.343499999999999</v>
      </c>
      <c r="Y602" s="29">
        <v>9.0199639999999999</v>
      </c>
      <c r="AA602" s="41">
        <v>571.70500000000004</v>
      </c>
      <c r="AC602" s="27">
        <v>47.076999999999998</v>
      </c>
      <c r="AE602" s="27">
        <v>1</v>
      </c>
      <c r="AG602" s="29">
        <v>7.2655000000000003</v>
      </c>
      <c r="AI602" s="29">
        <v>8.7189999999999994</v>
      </c>
      <c r="AK602" s="27">
        <v>23.358499999999999</v>
      </c>
      <c r="AM602" s="27">
        <v>29.8385</v>
      </c>
      <c r="AO602" s="29">
        <v>6.7163000000000004</v>
      </c>
      <c r="AP602" s="12"/>
    </row>
    <row r="603" spans="2:42" ht="11.5" hidden="1" customHeight="1" outlineLevel="1" x14ac:dyDescent="0.25">
      <c r="B603" s="21">
        <v>42947</v>
      </c>
      <c r="C603" s="49">
        <v>17.743500000000001</v>
      </c>
      <c r="E603" s="30">
        <v>0.84966399999999997</v>
      </c>
      <c r="G603" s="27">
        <v>17.739922</v>
      </c>
      <c r="I603" s="29">
        <v>6.9423779999999997</v>
      </c>
      <c r="K603" s="29">
        <v>3.1298870000000001</v>
      </c>
      <c r="M603" s="41">
        <v>652.19203200000004</v>
      </c>
      <c r="O603" s="26">
        <v>2996.8799990000002</v>
      </c>
      <c r="Q603" s="26">
        <v>5544.6481430000003</v>
      </c>
      <c r="S603" s="26">
        <v>1771.533764</v>
      </c>
      <c r="U603" s="29">
        <v>3.2387920000000001</v>
      </c>
      <c r="W603" s="14">
        <v>28.309584999999998</v>
      </c>
      <c r="Y603" s="29">
        <v>9.0449819999999992</v>
      </c>
      <c r="AA603" s="41">
        <v>572.75544600000001</v>
      </c>
      <c r="AC603" s="27">
        <v>47.197235999999997</v>
      </c>
      <c r="AE603" s="27">
        <v>1</v>
      </c>
      <c r="AG603" s="29">
        <v>7.2730759999999997</v>
      </c>
      <c r="AI603" s="29">
        <v>8.7279269999999993</v>
      </c>
      <c r="AK603" s="27">
        <v>23.391584999999999</v>
      </c>
      <c r="AM603" s="27">
        <v>29.941023999999999</v>
      </c>
      <c r="AO603" s="29">
        <v>6.728192</v>
      </c>
      <c r="AP603" s="12"/>
    </row>
    <row r="604" spans="2:42" ht="13" collapsed="1" x14ac:dyDescent="0.3">
      <c r="B604" s="25" t="s">
        <v>157</v>
      </c>
      <c r="C604" s="19">
        <v>17.8294</v>
      </c>
      <c r="E604" s="24">
        <v>0.86768199999999995</v>
      </c>
      <c r="G604" s="19">
        <v>17.142499999999998</v>
      </c>
      <c r="I604" s="23">
        <v>6.9481599999999997</v>
      </c>
      <c r="J604" s="9"/>
      <c r="K604" s="23">
        <v>3.2066699999999999</v>
      </c>
      <c r="M604" s="42">
        <v>657.96900000000005</v>
      </c>
      <c r="O604" s="31">
        <v>3036.57</v>
      </c>
      <c r="Q604" s="31">
        <v>5547.41</v>
      </c>
      <c r="S604" s="31">
        <v>1730.66</v>
      </c>
      <c r="U604" s="23">
        <v>3.2446799999999998</v>
      </c>
      <c r="W604" s="23">
        <v>28.594889999999999</v>
      </c>
      <c r="Y604" s="23">
        <v>8.9207000000000001</v>
      </c>
      <c r="AA604" s="42">
        <v>571.30700000000002</v>
      </c>
      <c r="AC604" s="19">
        <v>47.292099999999998</v>
      </c>
      <c r="AE604" s="19">
        <v>1</v>
      </c>
      <c r="AG604" s="23">
        <v>7.3001300000000002</v>
      </c>
      <c r="AI604" s="23">
        <v>8.73672</v>
      </c>
      <c r="AK604" s="23">
        <v>23.413489999999999</v>
      </c>
      <c r="AM604" s="23">
        <v>29.962900000000001</v>
      </c>
      <c r="AO604" s="23">
        <v>6.7401</v>
      </c>
      <c r="AP604" s="10"/>
    </row>
    <row r="605" spans="2:42" hidden="1" outlineLevel="1" x14ac:dyDescent="0.25">
      <c r="B605" s="21">
        <v>42948</v>
      </c>
      <c r="C605" s="27">
        <v>17.806826000000001</v>
      </c>
      <c r="E605" s="30">
        <v>0.84636999999999996</v>
      </c>
      <c r="G605" s="27">
        <v>17.618402</v>
      </c>
      <c r="I605" s="29">
        <v>6.934869</v>
      </c>
      <c r="K605" s="29">
        <v>3.1237879999999998</v>
      </c>
      <c r="M605" s="41">
        <v>650.34561699999995</v>
      </c>
      <c r="O605" s="26">
        <v>2978.3571259999999</v>
      </c>
      <c r="Q605" s="26">
        <v>5534.80267</v>
      </c>
      <c r="S605" s="26">
        <v>1771.840784</v>
      </c>
      <c r="U605" s="29">
        <v>3.2317520000000002</v>
      </c>
      <c r="W605" s="14">
        <v>28.211307000000001</v>
      </c>
      <c r="Y605" s="29">
        <v>9.0311760000000003</v>
      </c>
      <c r="AA605" s="41">
        <v>572.142338</v>
      </c>
      <c r="AC605" s="27">
        <v>47.141916999999999</v>
      </c>
      <c r="AE605" s="27">
        <v>1</v>
      </c>
      <c r="AG605" s="29">
        <v>7.2605789999999999</v>
      </c>
      <c r="AI605" s="29">
        <v>8.7181929999999994</v>
      </c>
      <c r="AK605" s="27">
        <v>23.367131000000001</v>
      </c>
      <c r="AM605" s="27">
        <v>29.857063</v>
      </c>
      <c r="AO605" s="29">
        <v>6.7249679999999996</v>
      </c>
      <c r="AP605" s="11"/>
    </row>
    <row r="606" spans="2:42" hidden="1" outlineLevel="1" x14ac:dyDescent="0.25">
      <c r="B606" s="21">
        <v>42949</v>
      </c>
      <c r="C606" s="27">
        <v>17.880011</v>
      </c>
      <c r="E606" s="30">
        <v>0.844634</v>
      </c>
      <c r="G606" s="27">
        <v>17.571605999999999</v>
      </c>
      <c r="I606" s="29">
        <v>6.9594120000000004</v>
      </c>
      <c r="K606" s="29">
        <v>3.1234470000000001</v>
      </c>
      <c r="M606" s="41">
        <v>650.97011199999997</v>
      </c>
      <c r="O606" s="26">
        <v>2966.0547059999999</v>
      </c>
      <c r="Q606" s="26">
        <v>5556.9481020000003</v>
      </c>
      <c r="S606" s="26">
        <v>1779.124834</v>
      </c>
      <c r="U606" s="29">
        <v>3.2392449999999999</v>
      </c>
      <c r="W606" s="14">
        <v>28.298432999999999</v>
      </c>
      <c r="Y606" s="29">
        <v>9.0600649999999998</v>
      </c>
      <c r="AA606" s="41">
        <v>573.94889899999998</v>
      </c>
      <c r="AC606" s="27">
        <v>47.318309999999997</v>
      </c>
      <c r="AE606" s="27">
        <v>1</v>
      </c>
      <c r="AG606" s="29">
        <v>7.2814779999999999</v>
      </c>
      <c r="AI606" s="29">
        <v>8.7506179999999993</v>
      </c>
      <c r="AK606" s="27">
        <v>23.439902</v>
      </c>
      <c r="AM606" s="27">
        <v>29.928642</v>
      </c>
      <c r="AO606" s="29">
        <v>6.7473679999999998</v>
      </c>
      <c r="AP606" s="11"/>
    </row>
    <row r="607" spans="2:42" hidden="1" outlineLevel="1" x14ac:dyDescent="0.25">
      <c r="B607" s="21">
        <v>42950</v>
      </c>
      <c r="C607" s="27">
        <v>17.851112000000001</v>
      </c>
      <c r="E607" s="30">
        <v>0.843364</v>
      </c>
      <c r="G607" s="27">
        <v>17.603235999999999</v>
      </c>
      <c r="I607" s="29">
        <v>6.9523549999999998</v>
      </c>
      <c r="K607" s="29">
        <v>3.1152820000000001</v>
      </c>
      <c r="M607" s="41">
        <v>650.16281000000004</v>
      </c>
      <c r="O607" s="26">
        <v>2959.3101099999999</v>
      </c>
      <c r="Q607" s="26">
        <v>5554.1323940000002</v>
      </c>
      <c r="S607" s="26">
        <v>1782.8846920000001</v>
      </c>
      <c r="U607" s="29">
        <v>3.2363140000000001</v>
      </c>
      <c r="W607" s="14">
        <v>28.268270000000001</v>
      </c>
      <c r="Y607" s="29">
        <v>9.0741300000000003</v>
      </c>
      <c r="AA607" s="41">
        <v>574.06140900000003</v>
      </c>
      <c r="AC607" s="27">
        <v>47.256798000000003</v>
      </c>
      <c r="AE607" s="27">
        <v>1</v>
      </c>
      <c r="AG607" s="29">
        <v>7.2687980000000003</v>
      </c>
      <c r="AI607" s="29">
        <v>8.7407520000000005</v>
      </c>
      <c r="AK607" s="27">
        <v>23.386771</v>
      </c>
      <c r="AM607" s="27">
        <v>29.909151999999999</v>
      </c>
      <c r="AO607" s="29">
        <v>6.7409119999999998</v>
      </c>
      <c r="AP607" s="11"/>
    </row>
    <row r="608" spans="2:42" hidden="1" outlineLevel="1" x14ac:dyDescent="0.25">
      <c r="B608" s="21">
        <v>42951</v>
      </c>
      <c r="C608" s="27">
        <v>17.863451999999999</v>
      </c>
      <c r="E608" s="30">
        <v>0.84540999999999999</v>
      </c>
      <c r="G608" s="27">
        <v>17.658445</v>
      </c>
      <c r="I608" s="29">
        <v>6.9530380000000003</v>
      </c>
      <c r="K608" s="29">
        <v>3.1187140000000002</v>
      </c>
      <c r="M608" s="41">
        <v>649.29656399999999</v>
      </c>
      <c r="O608" s="26">
        <v>2963.064723</v>
      </c>
      <c r="Q608" s="26">
        <v>5556.9898460000004</v>
      </c>
      <c r="S608" s="26">
        <v>1781.8397520000001</v>
      </c>
      <c r="U608" s="29">
        <v>3.2383579999999998</v>
      </c>
      <c r="W608" s="14">
        <v>28.307552999999999</v>
      </c>
      <c r="Y608" s="29">
        <v>9.0767439999999997</v>
      </c>
      <c r="AA608" s="41">
        <v>574.77090499999997</v>
      </c>
      <c r="AC608" s="27">
        <v>47.257680999999998</v>
      </c>
      <c r="AE608" s="27">
        <v>1</v>
      </c>
      <c r="AG608" s="29">
        <v>7.2664400000000002</v>
      </c>
      <c r="AI608" s="29">
        <v>8.7404980000000005</v>
      </c>
      <c r="AK608" s="27">
        <v>23.376996999999999</v>
      </c>
      <c r="AM608" s="27">
        <v>30.014994000000002</v>
      </c>
      <c r="AO608" s="29">
        <v>6.7534530000000004</v>
      </c>
      <c r="AP608" s="11"/>
    </row>
    <row r="609" spans="2:42" hidden="1" outlineLevel="1" x14ac:dyDescent="0.25">
      <c r="B609" s="21">
        <v>42952</v>
      </c>
      <c r="C609" s="27">
        <v>17.898275000000002</v>
      </c>
      <c r="E609" s="30">
        <v>0.849329</v>
      </c>
      <c r="G609" s="27">
        <v>17.658999999999999</v>
      </c>
      <c r="I609" s="29">
        <v>7.0324999999999998</v>
      </c>
      <c r="K609" s="29">
        <v>3.1319499999999998</v>
      </c>
      <c r="M609" s="41">
        <v>650.79999999999995</v>
      </c>
      <c r="O609" s="26">
        <v>2978.35</v>
      </c>
      <c r="Q609" s="26">
        <v>5608.9</v>
      </c>
      <c r="S609" s="26">
        <v>1790.8999060000001</v>
      </c>
      <c r="U609" s="29">
        <v>3.2656499999999999</v>
      </c>
      <c r="W609" s="14">
        <v>28.608499999999999</v>
      </c>
      <c r="Y609" s="29">
        <v>9.1345659999999995</v>
      </c>
      <c r="AA609" s="41">
        <v>580.08500000000004</v>
      </c>
      <c r="AC609" s="27">
        <v>47.604500000000002</v>
      </c>
      <c r="AE609" s="27">
        <v>1</v>
      </c>
      <c r="AG609" s="29">
        <v>7.3324499999999997</v>
      </c>
      <c r="AI609" s="29">
        <v>8.82165</v>
      </c>
      <c r="AK609" s="27">
        <v>23.598500000000001</v>
      </c>
      <c r="AM609" s="27">
        <v>30.292999999999999</v>
      </c>
      <c r="AO609" s="29">
        <v>6.8234000000000004</v>
      </c>
      <c r="AP609" s="11"/>
    </row>
    <row r="610" spans="2:42" hidden="1" outlineLevel="1" x14ac:dyDescent="0.25">
      <c r="B610" s="21">
        <v>42953</v>
      </c>
      <c r="C610" s="27">
        <v>17.870505999999999</v>
      </c>
      <c r="E610" s="30">
        <v>0.84886700000000004</v>
      </c>
      <c r="G610" s="27">
        <v>17.656116000000001</v>
      </c>
      <c r="I610" s="29">
        <v>7.0324999999999998</v>
      </c>
      <c r="K610" s="29">
        <v>3.1414520000000001</v>
      </c>
      <c r="M610" s="41">
        <v>650.79999999999995</v>
      </c>
      <c r="O610" s="26">
        <v>2978.35</v>
      </c>
      <c r="Q610" s="26">
        <v>5608.9</v>
      </c>
      <c r="S610" s="26">
        <v>1785.4715189999999</v>
      </c>
      <c r="U610" s="29">
        <v>3.2656499999999999</v>
      </c>
      <c r="W610" s="14">
        <v>28.608499999999999</v>
      </c>
      <c r="Y610" s="29">
        <v>9.1068840000000009</v>
      </c>
      <c r="AA610" s="41">
        <v>580.08500000000004</v>
      </c>
      <c r="AC610" s="27">
        <v>47.604500000000002</v>
      </c>
      <c r="AE610" s="27">
        <v>1</v>
      </c>
      <c r="AG610" s="29">
        <v>7.3324499999999997</v>
      </c>
      <c r="AI610" s="29">
        <v>8.82165</v>
      </c>
      <c r="AK610" s="27">
        <v>23.598500000000001</v>
      </c>
      <c r="AM610" s="27">
        <v>30.292999999999999</v>
      </c>
      <c r="AO610" s="29">
        <v>6.8234000000000004</v>
      </c>
      <c r="AP610" s="11"/>
    </row>
    <row r="611" spans="2:42" hidden="1" outlineLevel="1" x14ac:dyDescent="0.25">
      <c r="B611" s="21">
        <v>42954</v>
      </c>
      <c r="C611" s="27">
        <v>17.927368000000001</v>
      </c>
      <c r="E611" s="30">
        <v>0.84791399999999995</v>
      </c>
      <c r="G611" s="27">
        <v>17.671748000000001</v>
      </c>
      <c r="I611" s="29">
        <v>6.9840400000000002</v>
      </c>
      <c r="K611" s="29">
        <v>3.1291699999999998</v>
      </c>
      <c r="M611" s="41">
        <v>650.72161600000004</v>
      </c>
      <c r="O611" s="26">
        <v>2979.7811270000002</v>
      </c>
      <c r="Q611" s="26">
        <v>5581.654998</v>
      </c>
      <c r="S611" s="26">
        <v>1783.7783569999999</v>
      </c>
      <c r="U611" s="29">
        <v>3.2516620000000001</v>
      </c>
      <c r="W611" s="14">
        <v>28.466875999999999</v>
      </c>
      <c r="Y611" s="29">
        <v>9.0973690000000005</v>
      </c>
      <c r="AA611" s="41">
        <v>577.87712499999998</v>
      </c>
      <c r="AC611" s="27">
        <v>47.532150000000001</v>
      </c>
      <c r="AE611" s="27">
        <v>1</v>
      </c>
      <c r="AG611" s="29">
        <v>7.2979960000000004</v>
      </c>
      <c r="AI611" s="29">
        <v>8.779121</v>
      </c>
      <c r="AK611" s="27">
        <v>23.478505999999999</v>
      </c>
      <c r="AM611" s="27">
        <v>30.140726000000001</v>
      </c>
      <c r="AO611" s="29">
        <v>6.7902959999999997</v>
      </c>
      <c r="AP611" s="11"/>
    </row>
    <row r="612" spans="2:42" hidden="1" outlineLevel="1" x14ac:dyDescent="0.25">
      <c r="B612" s="21">
        <v>42955</v>
      </c>
      <c r="C612" s="27">
        <v>17.908069000000001</v>
      </c>
      <c r="E612" s="30">
        <v>0.84845199999999998</v>
      </c>
      <c r="G612" s="27">
        <v>17.702781999999999</v>
      </c>
      <c r="I612" s="29">
        <v>6.9630539999999996</v>
      </c>
      <c r="K612" s="29">
        <v>3.1269390000000001</v>
      </c>
      <c r="M612" s="41">
        <v>650.57775000000004</v>
      </c>
      <c r="O612" s="26">
        <v>2988.8215540000001</v>
      </c>
      <c r="Q612" s="26">
        <v>5568.5744720000002</v>
      </c>
      <c r="S612" s="26">
        <v>1780.8558149999999</v>
      </c>
      <c r="U612" s="29">
        <v>3.2451379999999999</v>
      </c>
      <c r="W612" s="14">
        <v>28.468371999999999</v>
      </c>
      <c r="Y612" s="29">
        <v>9.1042880000000004</v>
      </c>
      <c r="AA612" s="41">
        <v>576.810608</v>
      </c>
      <c r="AC612" s="27">
        <v>47.539673000000001</v>
      </c>
      <c r="AE612" s="27">
        <v>1</v>
      </c>
      <c r="AG612" s="29">
        <v>7.2777770000000004</v>
      </c>
      <c r="AI612" s="29">
        <v>8.7541220000000006</v>
      </c>
      <c r="AK612" s="27">
        <v>23.404968</v>
      </c>
      <c r="AM612" s="27">
        <v>30.046023999999999</v>
      </c>
      <c r="AO612" s="29">
        <v>6.765682</v>
      </c>
      <c r="AP612" s="11"/>
    </row>
    <row r="613" spans="2:42" hidden="1" outlineLevel="1" x14ac:dyDescent="0.25">
      <c r="B613" s="21">
        <v>42956</v>
      </c>
      <c r="C613" s="27">
        <v>17.947486999999999</v>
      </c>
      <c r="E613" s="30">
        <v>0.85155499999999995</v>
      </c>
      <c r="G613" s="27">
        <v>17.722892999999999</v>
      </c>
      <c r="I613" s="29">
        <v>6.9727370000000004</v>
      </c>
      <c r="K613" s="29">
        <v>3.1384050000000001</v>
      </c>
      <c r="M613" s="41">
        <v>648.92333399999995</v>
      </c>
      <c r="O613" s="26">
        <v>3002.5965289999999</v>
      </c>
      <c r="Q613" s="26">
        <v>5576.304607</v>
      </c>
      <c r="S613" s="26">
        <v>1776.812968</v>
      </c>
      <c r="U613" s="29">
        <v>3.2507239999999999</v>
      </c>
      <c r="W613" s="14">
        <v>28.592548000000001</v>
      </c>
      <c r="Y613" s="29">
        <v>9.1105959999999993</v>
      </c>
      <c r="AA613" s="41">
        <v>577.21896800000002</v>
      </c>
      <c r="AC613" s="27">
        <v>47.513694000000001</v>
      </c>
      <c r="AE613" s="27">
        <v>1</v>
      </c>
      <c r="AG613" s="29">
        <v>7.2899180000000001</v>
      </c>
      <c r="AI613" s="29">
        <v>8.7694299999999998</v>
      </c>
      <c r="AK613" s="27">
        <v>23.440774000000001</v>
      </c>
      <c r="AM613" s="27">
        <v>30.127597000000002</v>
      </c>
      <c r="AO613" s="29">
        <v>6.7735469999999998</v>
      </c>
      <c r="AP613" s="11"/>
    </row>
    <row r="614" spans="2:42" hidden="1" outlineLevel="1" x14ac:dyDescent="0.25">
      <c r="B614" s="21">
        <v>42957</v>
      </c>
      <c r="C614" s="27">
        <v>17.943718000000001</v>
      </c>
      <c r="E614" s="30">
        <v>0.85139799999999999</v>
      </c>
      <c r="G614" s="27">
        <v>17.708973</v>
      </c>
      <c r="I614" s="29">
        <v>6.9422819999999996</v>
      </c>
      <c r="K614" s="29">
        <v>3.159672</v>
      </c>
      <c r="M614" s="41">
        <v>647.66859699999998</v>
      </c>
      <c r="O614" s="26">
        <v>2993.1278520000001</v>
      </c>
      <c r="Q614" s="26">
        <v>5562.8484879999996</v>
      </c>
      <c r="S614" s="26">
        <v>1760.594562</v>
      </c>
      <c r="U614" s="29">
        <v>3.2419419999999999</v>
      </c>
      <c r="W614" s="14">
        <v>28.639741999999998</v>
      </c>
      <c r="Y614" s="29">
        <v>9.0642069999999997</v>
      </c>
      <c r="AA614" s="41">
        <v>575.59583999999995</v>
      </c>
      <c r="AC614" s="27">
        <v>47.199787000000001</v>
      </c>
      <c r="AE614" s="27">
        <v>1</v>
      </c>
      <c r="AG614" s="29">
        <v>7.2648299999999999</v>
      </c>
      <c r="AI614" s="29">
        <v>8.7384660000000007</v>
      </c>
      <c r="AK614" s="27">
        <v>23.347961999999999</v>
      </c>
      <c r="AM614" s="27">
        <v>29.846260000000001</v>
      </c>
      <c r="AO614" s="29">
        <v>6.7375350000000003</v>
      </c>
      <c r="AP614" s="11"/>
    </row>
    <row r="615" spans="2:42" hidden="1" outlineLevel="1" x14ac:dyDescent="0.25">
      <c r="B615" s="21">
        <v>42958</v>
      </c>
      <c r="C615" s="27">
        <v>17.915818000000002</v>
      </c>
      <c r="E615" s="30">
        <v>0.848163</v>
      </c>
      <c r="G615" s="27">
        <v>17.695765999999999</v>
      </c>
      <c r="I615" s="29">
        <v>6.9355320000000003</v>
      </c>
      <c r="K615" s="29">
        <v>3.1752919999999998</v>
      </c>
      <c r="M615" s="41">
        <v>646.57847900000002</v>
      </c>
      <c r="O615" s="26">
        <v>2988.9622260000001</v>
      </c>
      <c r="Q615" s="26">
        <v>5561.8348660000001</v>
      </c>
      <c r="S615" s="26">
        <v>1751.614867</v>
      </c>
      <c r="U615" s="29">
        <v>3.242626</v>
      </c>
      <c r="W615" s="14">
        <v>28.678286</v>
      </c>
      <c r="Y615" s="29">
        <v>9.0317600000000002</v>
      </c>
      <c r="AA615" s="41">
        <v>576.55426799999998</v>
      </c>
      <c r="AC615" s="27">
        <v>47.100472000000003</v>
      </c>
      <c r="AE615" s="27">
        <v>1</v>
      </c>
      <c r="AG615" s="29">
        <v>7.258114</v>
      </c>
      <c r="AI615" s="29">
        <v>8.7283299999999997</v>
      </c>
      <c r="AK615" s="27">
        <v>23.295624</v>
      </c>
      <c r="AM615" s="27">
        <v>29.644636999999999</v>
      </c>
      <c r="AO615" s="29">
        <v>6.7233029999999996</v>
      </c>
      <c r="AP615" s="11"/>
    </row>
    <row r="616" spans="2:42" hidden="1" outlineLevel="1" x14ac:dyDescent="0.25">
      <c r="B616" s="21">
        <v>42959</v>
      </c>
      <c r="C616" s="27">
        <v>17.826038</v>
      </c>
      <c r="E616" s="30">
        <v>0.84586300000000003</v>
      </c>
      <c r="G616" s="27">
        <v>17.612335999999999</v>
      </c>
      <c r="I616" s="29">
        <v>6.92875</v>
      </c>
      <c r="K616" s="29">
        <v>3.193222</v>
      </c>
      <c r="M616" s="41">
        <v>646.29999999999995</v>
      </c>
      <c r="O616" s="26">
        <v>2981.847244</v>
      </c>
      <c r="Q616" s="26">
        <v>5543.4</v>
      </c>
      <c r="S616" s="26">
        <v>1736.0080599999999</v>
      </c>
      <c r="U616" s="29">
        <v>3.2326000000000001</v>
      </c>
      <c r="W616" s="14">
        <v>28.675000000000001</v>
      </c>
      <c r="Y616" s="29">
        <v>8.9800439999999995</v>
      </c>
      <c r="AA616" s="41">
        <v>575.67499999999995</v>
      </c>
      <c r="AC616" s="27">
        <v>46.9495</v>
      </c>
      <c r="AE616" s="27">
        <v>1</v>
      </c>
      <c r="AG616" s="29">
        <v>7.2385999999999999</v>
      </c>
      <c r="AI616" s="29">
        <v>8.7044999999999995</v>
      </c>
      <c r="AK616" s="27">
        <v>23.219000000000001</v>
      </c>
      <c r="AM616" s="27">
        <v>29.5505</v>
      </c>
      <c r="AO616" s="29">
        <v>6.7008999999999999</v>
      </c>
      <c r="AP616" s="11"/>
    </row>
    <row r="617" spans="2:42" hidden="1" outlineLevel="1" x14ac:dyDescent="0.25">
      <c r="B617" s="21">
        <v>42960</v>
      </c>
      <c r="C617" s="27">
        <v>17.822074000000001</v>
      </c>
      <c r="E617" s="30">
        <v>0.84582299999999999</v>
      </c>
      <c r="G617" s="27">
        <v>17.612691999999999</v>
      </c>
      <c r="I617" s="29">
        <v>6.92875</v>
      </c>
      <c r="K617" s="29">
        <v>3.1913480000000001</v>
      </c>
      <c r="M617" s="41">
        <v>646.29999999999995</v>
      </c>
      <c r="O617" s="26">
        <v>2980.75</v>
      </c>
      <c r="Q617" s="26">
        <v>5543.4</v>
      </c>
      <c r="S617" s="26">
        <v>1737.0288290000001</v>
      </c>
      <c r="U617" s="29">
        <v>3.2326000000000001</v>
      </c>
      <c r="W617" s="14">
        <v>28.675000000000001</v>
      </c>
      <c r="Y617" s="29">
        <v>8.9853240000000003</v>
      </c>
      <c r="AA617" s="41">
        <v>575.67499999999995</v>
      </c>
      <c r="AC617" s="27">
        <v>46.9495</v>
      </c>
      <c r="AE617" s="27">
        <v>1</v>
      </c>
      <c r="AG617" s="29">
        <v>7.2385999999999999</v>
      </c>
      <c r="AI617" s="29">
        <v>8.7044999999999995</v>
      </c>
      <c r="AK617" s="27">
        <v>23.219000000000001</v>
      </c>
      <c r="AM617" s="27">
        <v>29.5505</v>
      </c>
      <c r="AO617" s="29">
        <v>6.7008999999999999</v>
      </c>
      <c r="AP617" s="11"/>
    </row>
    <row r="618" spans="2:42" hidden="1" outlineLevel="1" x14ac:dyDescent="0.25">
      <c r="B618" s="21">
        <v>42961</v>
      </c>
      <c r="C618" s="27">
        <v>17.786042999999999</v>
      </c>
      <c r="E618" s="30">
        <v>0.84750599999999998</v>
      </c>
      <c r="G618" s="27">
        <v>17.458981999999999</v>
      </c>
      <c r="I618" s="29">
        <v>6.9393279999999997</v>
      </c>
      <c r="K618" s="29">
        <v>3.1888860000000001</v>
      </c>
      <c r="M618" s="41">
        <v>646.58486600000003</v>
      </c>
      <c r="O618" s="26">
        <v>2975.8295280000002</v>
      </c>
      <c r="Q618" s="26">
        <v>5564.4409489999998</v>
      </c>
      <c r="S618" s="26">
        <v>1744.9508860000001</v>
      </c>
      <c r="U618" s="29">
        <v>3.240872</v>
      </c>
      <c r="W618" s="14">
        <v>28.767907999999998</v>
      </c>
      <c r="Y618" s="29">
        <v>9.0213140000000003</v>
      </c>
      <c r="AA618" s="41">
        <v>577.36451</v>
      </c>
      <c r="AC618" s="27">
        <v>47.125439</v>
      </c>
      <c r="AE618" s="27">
        <v>1</v>
      </c>
      <c r="AG618" s="29">
        <v>7.2601899999999997</v>
      </c>
      <c r="AI618" s="29">
        <v>8.7313980000000004</v>
      </c>
      <c r="AK618" s="27">
        <v>23.290199000000001</v>
      </c>
      <c r="AM618" s="27">
        <v>29.820557999999998</v>
      </c>
      <c r="AO618" s="29">
        <v>6.715827</v>
      </c>
      <c r="AP618" s="11"/>
    </row>
    <row r="619" spans="2:42" hidden="1" outlineLevel="1" x14ac:dyDescent="0.25">
      <c r="B619" s="21">
        <v>42962</v>
      </c>
      <c r="C619" s="27">
        <v>17.808575999999999</v>
      </c>
      <c r="E619" s="30">
        <v>0.85121100000000005</v>
      </c>
      <c r="G619" s="27">
        <v>17.097964000000001</v>
      </c>
      <c r="I619" s="29">
        <v>6.9662800000000002</v>
      </c>
      <c r="K619" s="29">
        <v>3.1869360000000002</v>
      </c>
      <c r="M619" s="41">
        <v>648.94470200000001</v>
      </c>
      <c r="O619" s="26">
        <v>2974.6627290000001</v>
      </c>
      <c r="Q619" s="26">
        <v>5580.1763019999999</v>
      </c>
      <c r="S619" s="26">
        <v>1750.970276</v>
      </c>
      <c r="U619" s="29">
        <v>3.249952</v>
      </c>
      <c r="W619" s="14">
        <v>28.844529999999999</v>
      </c>
      <c r="Y619" s="29">
        <v>9.0509280000000008</v>
      </c>
      <c r="AA619" s="41">
        <v>578.695198</v>
      </c>
      <c r="AC619" s="27">
        <v>47.307208000000003</v>
      </c>
      <c r="AE619" s="27">
        <v>1</v>
      </c>
      <c r="AG619" s="29">
        <v>7.2782859999999996</v>
      </c>
      <c r="AI619" s="29">
        <v>8.7572519999999994</v>
      </c>
      <c r="AK619" s="27">
        <v>23.388704000000001</v>
      </c>
      <c r="AM619" s="27">
        <v>30.083662</v>
      </c>
      <c r="AO619" s="29">
        <v>6.7264759999999999</v>
      </c>
      <c r="AP619" s="11"/>
    </row>
    <row r="620" spans="2:42" hidden="1" outlineLevel="1" x14ac:dyDescent="0.25">
      <c r="B620" s="21">
        <v>42963</v>
      </c>
      <c r="C620" s="27">
        <v>17.748837999999999</v>
      </c>
      <c r="E620" s="30">
        <v>0.85216199999999998</v>
      </c>
      <c r="G620" s="27">
        <v>17.115022</v>
      </c>
      <c r="I620" s="29">
        <v>6.9582499999999996</v>
      </c>
      <c r="K620" s="29">
        <v>3.1647159999999999</v>
      </c>
      <c r="M620" s="41">
        <v>647.20394799999997</v>
      </c>
      <c r="O620" s="26">
        <v>2966.1186280000002</v>
      </c>
      <c r="Q620" s="26">
        <v>5569.6106980000004</v>
      </c>
      <c r="S620" s="26">
        <v>1759.925614</v>
      </c>
      <c r="U620" s="29">
        <v>3.2433239999999999</v>
      </c>
      <c r="W620" s="14">
        <v>28.733720000000002</v>
      </c>
      <c r="Y620" s="29">
        <v>9.0794569999999997</v>
      </c>
      <c r="AA620" s="41">
        <v>577.72524299999998</v>
      </c>
      <c r="AC620" s="27">
        <v>47.204937000000001</v>
      </c>
      <c r="AE620" s="27">
        <v>1</v>
      </c>
      <c r="AG620" s="29">
        <v>7.2682200000000003</v>
      </c>
      <c r="AI620" s="29">
        <v>8.7456969999999998</v>
      </c>
      <c r="AK620" s="27">
        <v>23.382348</v>
      </c>
      <c r="AM620" s="27">
        <v>30.049688</v>
      </c>
      <c r="AO620" s="29">
        <v>6.7270320000000003</v>
      </c>
      <c r="AP620" s="11"/>
    </row>
    <row r="621" spans="2:42" hidden="1" outlineLevel="1" x14ac:dyDescent="0.25">
      <c r="B621" s="21">
        <v>42964</v>
      </c>
      <c r="C621" s="27">
        <v>17.732479999999999</v>
      </c>
      <c r="E621" s="30">
        <v>0.85165800000000003</v>
      </c>
      <c r="G621" s="27">
        <v>17.2532</v>
      </c>
      <c r="I621" s="29">
        <v>6.938898</v>
      </c>
      <c r="K621" s="29">
        <v>3.1607660000000002</v>
      </c>
      <c r="M621" s="41">
        <v>645.34294399999999</v>
      </c>
      <c r="O621" s="26">
        <v>2963.840463</v>
      </c>
      <c r="Q621" s="26">
        <v>5552.5986140000005</v>
      </c>
      <c r="S621" s="26">
        <v>1756.7424599999999</v>
      </c>
      <c r="U621" s="29">
        <v>3.2347489999999999</v>
      </c>
      <c r="W621" s="14">
        <v>28.552872000000001</v>
      </c>
      <c r="Y621" s="29">
        <v>9.0335920000000005</v>
      </c>
      <c r="AA621" s="41">
        <v>576.20349099999999</v>
      </c>
      <c r="AC621" s="27">
        <v>47.060014000000002</v>
      </c>
      <c r="AE621" s="27">
        <v>1</v>
      </c>
      <c r="AG621" s="29">
        <v>7.2496539999999996</v>
      </c>
      <c r="AI621" s="29">
        <v>8.7243429999999993</v>
      </c>
      <c r="AK621" s="27">
        <v>23.317364000000001</v>
      </c>
      <c r="AM621" s="27">
        <v>29.948384000000001</v>
      </c>
      <c r="AO621" s="29">
        <v>6.7327240000000002</v>
      </c>
      <c r="AP621" s="11"/>
    </row>
    <row r="622" spans="2:42" hidden="1" outlineLevel="1" x14ac:dyDescent="0.25">
      <c r="B622" s="21">
        <v>42965</v>
      </c>
      <c r="C622" s="27">
        <v>17.819868</v>
      </c>
      <c r="E622" s="30">
        <v>0.851433</v>
      </c>
      <c r="G622" s="27">
        <v>17.322216000000001</v>
      </c>
      <c r="I622" s="29">
        <v>6.9537719999999998</v>
      </c>
      <c r="K622" s="29">
        <v>3.1646589999999999</v>
      </c>
      <c r="M622" s="41">
        <v>646.42371000000003</v>
      </c>
      <c r="O622" s="26">
        <v>2984.9797359999998</v>
      </c>
      <c r="Q622" s="26">
        <v>5562.4363000000003</v>
      </c>
      <c r="S622" s="26">
        <v>1757.690994</v>
      </c>
      <c r="U622" s="29">
        <v>3.2395299999999998</v>
      </c>
      <c r="W622" s="14">
        <v>28.553211999999998</v>
      </c>
      <c r="Y622" s="29">
        <v>9.0225880000000007</v>
      </c>
      <c r="AA622" s="41">
        <v>576.94868199999996</v>
      </c>
      <c r="AC622" s="27">
        <v>47.150592000000003</v>
      </c>
      <c r="AE622" s="27">
        <v>1</v>
      </c>
      <c r="AG622" s="29">
        <v>7.2644390000000003</v>
      </c>
      <c r="AI622" s="29">
        <v>8.7420950000000008</v>
      </c>
      <c r="AK622" s="27">
        <v>23.361861999999999</v>
      </c>
      <c r="AM622" s="27">
        <v>29.983060999999999</v>
      </c>
      <c r="AO622" s="29">
        <v>6.7607059999999999</v>
      </c>
      <c r="AP622" s="11"/>
    </row>
    <row r="623" spans="2:42" hidden="1" outlineLevel="1" x14ac:dyDescent="0.25">
      <c r="B623" s="21">
        <v>42966</v>
      </c>
      <c r="C623" s="27">
        <v>17.706721999999999</v>
      </c>
      <c r="E623" s="30">
        <v>0.85029399999999999</v>
      </c>
      <c r="G623" s="27">
        <v>17.329855999999999</v>
      </c>
      <c r="I623" s="29">
        <v>6.9680499999999999</v>
      </c>
      <c r="K623" s="29">
        <v>3.1462880000000002</v>
      </c>
      <c r="M623" s="41">
        <v>646.4</v>
      </c>
      <c r="O623" s="26">
        <v>2989.79</v>
      </c>
      <c r="Q623" s="26">
        <v>5563.45</v>
      </c>
      <c r="S623" s="26">
        <v>1768.2840080000001</v>
      </c>
      <c r="U623" s="29">
        <v>3.2389999999999999</v>
      </c>
      <c r="W623" s="14">
        <v>28.576499999999999</v>
      </c>
      <c r="Y623" s="29">
        <v>9.0827270000000002</v>
      </c>
      <c r="AA623" s="41">
        <v>576.505</v>
      </c>
      <c r="AC623" s="27">
        <v>47.047499999999999</v>
      </c>
      <c r="AE623" s="27">
        <v>1</v>
      </c>
      <c r="AG623" s="29">
        <v>7.2641999999999998</v>
      </c>
      <c r="AI623" s="29">
        <v>8.7411999999999992</v>
      </c>
      <c r="AK623" s="27">
        <v>23.3565</v>
      </c>
      <c r="AM623" s="27">
        <v>29.965</v>
      </c>
      <c r="AO623" s="29">
        <v>6.7639500000000004</v>
      </c>
      <c r="AP623" s="11"/>
    </row>
    <row r="624" spans="2:42" hidden="1" outlineLevel="1" x14ac:dyDescent="0.25">
      <c r="B624" s="21">
        <v>42967</v>
      </c>
      <c r="C624" s="27">
        <v>17.706772999999998</v>
      </c>
      <c r="E624" s="30">
        <v>0.85059799999999997</v>
      </c>
      <c r="G624" s="27">
        <v>17.329812</v>
      </c>
      <c r="I624" s="29">
        <v>6.9680499999999999</v>
      </c>
      <c r="K624" s="29">
        <v>3.153918</v>
      </c>
      <c r="M624" s="41">
        <v>646.4</v>
      </c>
      <c r="O624" s="26">
        <v>2989.79</v>
      </c>
      <c r="Q624" s="26">
        <v>5563.45</v>
      </c>
      <c r="S624" s="26">
        <v>1764.000908</v>
      </c>
      <c r="U624" s="29">
        <v>3.2389999999999999</v>
      </c>
      <c r="W624" s="14">
        <v>28.576499999999999</v>
      </c>
      <c r="Y624" s="29">
        <v>9.0607290000000003</v>
      </c>
      <c r="AA624" s="41">
        <v>576.505</v>
      </c>
      <c r="AC624" s="27">
        <v>47.047499999999999</v>
      </c>
      <c r="AE624" s="27">
        <v>1</v>
      </c>
      <c r="AG624" s="29">
        <v>7.2641999999999998</v>
      </c>
      <c r="AI624" s="29">
        <v>8.7411999999999992</v>
      </c>
      <c r="AK624" s="27">
        <v>23.3565</v>
      </c>
      <c r="AM624" s="27">
        <v>29.965</v>
      </c>
      <c r="AO624" s="29">
        <v>6.7639500000000004</v>
      </c>
      <c r="AP624" s="11"/>
    </row>
    <row r="625" spans="2:42" hidden="1" outlineLevel="1" x14ac:dyDescent="0.25">
      <c r="B625" s="21">
        <v>42968</v>
      </c>
      <c r="C625" s="27">
        <v>17.693045999999999</v>
      </c>
      <c r="E625" s="30">
        <v>0.84900200000000003</v>
      </c>
      <c r="G625" s="27">
        <v>17.335882000000002</v>
      </c>
      <c r="I625" s="29">
        <v>6.9550999999999998</v>
      </c>
      <c r="K625" s="29">
        <v>3.151132</v>
      </c>
      <c r="M625" s="41">
        <v>644.58495400000004</v>
      </c>
      <c r="O625" s="26">
        <v>2988.8133309999998</v>
      </c>
      <c r="Q625" s="26">
        <v>5569.8859160000002</v>
      </c>
      <c r="S625" s="26">
        <v>1767.5994519999999</v>
      </c>
      <c r="U625" s="29">
        <v>3.2392470000000002</v>
      </c>
      <c r="W625" s="14">
        <v>28.598934</v>
      </c>
      <c r="Y625" s="29">
        <v>9.075825</v>
      </c>
      <c r="AA625" s="41">
        <v>576.09379300000001</v>
      </c>
      <c r="AC625" s="27">
        <v>47.150151999999999</v>
      </c>
      <c r="AE625" s="27">
        <v>1</v>
      </c>
      <c r="AG625" s="29">
        <v>7.2672330000000001</v>
      </c>
      <c r="AI625" s="29">
        <v>8.7432420000000004</v>
      </c>
      <c r="AK625" s="27">
        <v>23.358698</v>
      </c>
      <c r="AM625" s="27">
        <v>29.956071999999999</v>
      </c>
      <c r="AO625" s="29">
        <v>6.7663140000000004</v>
      </c>
      <c r="AP625" s="11"/>
    </row>
    <row r="626" spans="2:42" hidden="1" outlineLevel="1" x14ac:dyDescent="0.25">
      <c r="B626" s="21">
        <v>42969</v>
      </c>
      <c r="C626" s="27">
        <v>17.657948000000001</v>
      </c>
      <c r="E626" s="30">
        <v>0.84918800000000005</v>
      </c>
      <c r="G626" s="27">
        <v>17.276688</v>
      </c>
      <c r="I626" s="29">
        <v>6.9444590000000002</v>
      </c>
      <c r="K626" s="29">
        <v>3.1616759999999999</v>
      </c>
      <c r="M626" s="41">
        <v>642.30468199999996</v>
      </c>
      <c r="O626" s="26">
        <v>2986.3791630000001</v>
      </c>
      <c r="Q626" s="26">
        <v>5565.0427099999997</v>
      </c>
      <c r="S626" s="26">
        <v>1760.1727490000001</v>
      </c>
      <c r="U626" s="29">
        <v>3.234448</v>
      </c>
      <c r="W626" s="14">
        <v>28.595576999999999</v>
      </c>
      <c r="Y626" s="29">
        <v>9.0444969999999998</v>
      </c>
      <c r="AA626" s="41">
        <v>575.04035399999998</v>
      </c>
      <c r="AC626" s="27">
        <v>47.131911000000002</v>
      </c>
      <c r="AE626" s="27">
        <v>1</v>
      </c>
      <c r="AG626" s="29">
        <v>7.2558239999999996</v>
      </c>
      <c r="AI626" s="29">
        <v>8.7304680000000001</v>
      </c>
      <c r="AK626" s="27">
        <v>23.327273999999999</v>
      </c>
      <c r="AM626" s="27">
        <v>29.887312000000001</v>
      </c>
      <c r="AO626" s="29">
        <v>6.7551670000000001</v>
      </c>
      <c r="AP626" s="11"/>
    </row>
    <row r="627" spans="2:42" hidden="1" outlineLevel="1" x14ac:dyDescent="0.25">
      <c r="B627" s="21">
        <v>42970</v>
      </c>
      <c r="C627" s="27">
        <v>17.721613999999999</v>
      </c>
      <c r="E627" s="30">
        <v>0.84832799999999997</v>
      </c>
      <c r="G627" s="27">
        <v>17.213974</v>
      </c>
      <c r="I627" s="29">
        <v>6.9555179999999996</v>
      </c>
      <c r="K627" s="29">
        <v>3.1557279999999999</v>
      </c>
      <c r="M627" s="41">
        <v>640.86130800000001</v>
      </c>
      <c r="O627" s="26">
        <v>2985.3742280000001</v>
      </c>
      <c r="Q627" s="26">
        <v>5583.9382450000003</v>
      </c>
      <c r="S627" s="26">
        <v>1769.4776429999999</v>
      </c>
      <c r="U627" s="29">
        <v>3.2372390000000002</v>
      </c>
      <c r="W627" s="14">
        <v>28.712105999999999</v>
      </c>
      <c r="Y627" s="29">
        <v>9.0984680000000004</v>
      </c>
      <c r="AA627" s="41">
        <v>576.08146999999997</v>
      </c>
      <c r="AC627" s="27">
        <v>47.245567000000001</v>
      </c>
      <c r="AE627" s="27">
        <v>1</v>
      </c>
      <c r="AG627" s="29">
        <v>7.2671999999999999</v>
      </c>
      <c r="AI627" s="29">
        <v>8.7439990000000005</v>
      </c>
      <c r="AK627" s="27">
        <v>23.374610000000001</v>
      </c>
      <c r="AM627" s="27">
        <v>29.920428000000001</v>
      </c>
      <c r="AO627" s="29">
        <v>6.7694720000000004</v>
      </c>
      <c r="AP627" s="11"/>
    </row>
    <row r="628" spans="2:42" hidden="1" outlineLevel="1" x14ac:dyDescent="0.25">
      <c r="B628" s="21">
        <v>42971</v>
      </c>
      <c r="C628" s="27">
        <v>17.692083</v>
      </c>
      <c r="E628" s="30">
        <v>0.847414</v>
      </c>
      <c r="G628" s="27">
        <v>17.204991</v>
      </c>
      <c r="I628" s="29">
        <v>6.9499870000000001</v>
      </c>
      <c r="K628" s="29">
        <v>3.141686</v>
      </c>
      <c r="M628" s="41">
        <v>638.60972800000002</v>
      </c>
      <c r="O628" s="26">
        <v>2975.1898019999999</v>
      </c>
      <c r="Q628" s="26">
        <v>5598.8992159999998</v>
      </c>
      <c r="S628" s="26">
        <v>1782.149386</v>
      </c>
      <c r="U628" s="29">
        <v>3.2339980000000002</v>
      </c>
      <c r="W628" s="14">
        <v>28.735499000000001</v>
      </c>
      <c r="Y628" s="29">
        <v>9.1465840000000007</v>
      </c>
      <c r="AA628" s="41">
        <v>575.95812799999999</v>
      </c>
      <c r="AC628" s="27">
        <v>47.199751999999997</v>
      </c>
      <c r="AE628" s="27">
        <v>1</v>
      </c>
      <c r="AG628" s="29">
        <v>7.2666979999999999</v>
      </c>
      <c r="AI628" s="29">
        <v>8.7380420000000001</v>
      </c>
      <c r="AK628" s="27">
        <v>23.360334000000002</v>
      </c>
      <c r="AM628" s="27">
        <v>29.87866</v>
      </c>
      <c r="AO628" s="29">
        <v>6.7691420000000004</v>
      </c>
      <c r="AP628" s="11"/>
    </row>
    <row r="629" spans="2:42" hidden="1" outlineLevel="1" x14ac:dyDescent="0.25">
      <c r="B629" s="21">
        <v>42972</v>
      </c>
      <c r="C629" s="27">
        <v>17.664169999999999</v>
      </c>
      <c r="E629" s="30">
        <v>0.84455999999999998</v>
      </c>
      <c r="G629" s="27">
        <v>17.199847999999999</v>
      </c>
      <c r="I629" s="29">
        <v>6.9512980000000004</v>
      </c>
      <c r="K629" s="29">
        <v>3.1496870000000001</v>
      </c>
      <c r="M629" s="41">
        <v>637.45091600000001</v>
      </c>
      <c r="O629" s="26">
        <v>2947.5689659999998</v>
      </c>
      <c r="Q629" s="26">
        <v>5620.4523179999997</v>
      </c>
      <c r="S629" s="26">
        <v>1784.4664479999999</v>
      </c>
      <c r="U629" s="29">
        <v>3.2347450000000002</v>
      </c>
      <c r="W629" s="14">
        <v>28.758026000000001</v>
      </c>
      <c r="Y629" s="29">
        <v>9.130509</v>
      </c>
      <c r="AA629" s="41">
        <v>576.63457600000004</v>
      </c>
      <c r="AC629" s="27">
        <v>47.174881999999997</v>
      </c>
      <c r="AE629" s="27">
        <v>1</v>
      </c>
      <c r="AG629" s="29">
        <v>7.2684360000000003</v>
      </c>
      <c r="AI629" s="29">
        <v>8.7388379999999994</v>
      </c>
      <c r="AK629" s="27">
        <v>23.368548000000001</v>
      </c>
      <c r="AM629" s="27">
        <v>29.872572000000002</v>
      </c>
      <c r="AO629" s="29">
        <v>6.7704620000000002</v>
      </c>
      <c r="AP629" s="11"/>
    </row>
    <row r="630" spans="2:42" hidden="1" outlineLevel="1" x14ac:dyDescent="0.25">
      <c r="B630" s="21">
        <v>42973</v>
      </c>
      <c r="C630" s="27">
        <v>17.616347999999999</v>
      </c>
      <c r="E630" s="30">
        <v>0.838592</v>
      </c>
      <c r="G630" s="27">
        <v>17.060175000000001</v>
      </c>
      <c r="I630" s="29">
        <v>6.9134500000000001</v>
      </c>
      <c r="K630" s="29">
        <v>3.1585999999999999</v>
      </c>
      <c r="M630" s="41">
        <v>632.22085100000004</v>
      </c>
      <c r="O630" s="26">
        <v>2924.25</v>
      </c>
      <c r="Q630" s="26">
        <v>5589.75</v>
      </c>
      <c r="S630" s="26">
        <v>1769.722696</v>
      </c>
      <c r="U630" s="29">
        <v>3.2090000000000001</v>
      </c>
      <c r="W630" s="14">
        <v>28.65</v>
      </c>
      <c r="Y630" s="29">
        <v>9.0706150000000001</v>
      </c>
      <c r="AA630" s="41">
        <v>572.55499999999995</v>
      </c>
      <c r="AC630" s="27">
        <v>46.679000000000002</v>
      </c>
      <c r="AE630" s="27">
        <v>1</v>
      </c>
      <c r="AG630" s="29">
        <v>7.2123499999999998</v>
      </c>
      <c r="AI630" s="29">
        <v>8.6729000000000003</v>
      </c>
      <c r="AK630" s="27">
        <v>23.185500000000001</v>
      </c>
      <c r="AM630" s="27">
        <v>29.631499999999999</v>
      </c>
      <c r="AO630" s="29">
        <v>6.7222999999999997</v>
      </c>
      <c r="AP630" s="11"/>
    </row>
    <row r="631" spans="2:42" hidden="1" outlineLevel="1" x14ac:dyDescent="0.25">
      <c r="B631" s="21">
        <v>42974</v>
      </c>
      <c r="C631" s="27">
        <v>17.637008999999999</v>
      </c>
      <c r="E631" s="30">
        <v>0.83691199999999999</v>
      </c>
      <c r="G631" s="27">
        <v>17.04935</v>
      </c>
      <c r="I631" s="29">
        <v>6.9134500000000001</v>
      </c>
      <c r="K631" s="29">
        <v>3.1634639999999998</v>
      </c>
      <c r="M631" s="41">
        <v>632.20000000000005</v>
      </c>
      <c r="O631" s="26">
        <v>2924.25</v>
      </c>
      <c r="Q631" s="26">
        <v>5589.75</v>
      </c>
      <c r="S631" s="26">
        <v>1766.9908660000001</v>
      </c>
      <c r="U631" s="29">
        <v>3.2090000000000001</v>
      </c>
      <c r="W631" s="14">
        <v>28.65</v>
      </c>
      <c r="Y631" s="29">
        <v>9.0566189999999995</v>
      </c>
      <c r="AA631" s="41">
        <v>572.55499999999995</v>
      </c>
      <c r="AC631" s="27">
        <v>46.679000000000002</v>
      </c>
      <c r="AE631" s="27">
        <v>1</v>
      </c>
      <c r="AG631" s="29">
        <v>7.2123499999999998</v>
      </c>
      <c r="AI631" s="29">
        <v>8.6729000000000003</v>
      </c>
      <c r="AK631" s="27">
        <v>23.185500000000001</v>
      </c>
      <c r="AM631" s="27">
        <v>29.631499999999999</v>
      </c>
      <c r="AO631" s="29">
        <v>6.7222999999999997</v>
      </c>
      <c r="AP631" s="11"/>
    </row>
    <row r="632" spans="2:42" hidden="1" outlineLevel="1" x14ac:dyDescent="0.25">
      <c r="B632" s="21">
        <v>42975</v>
      </c>
      <c r="C632" s="27">
        <v>17.741465999999999</v>
      </c>
      <c r="E632" s="30">
        <v>0.83705300000000005</v>
      </c>
      <c r="G632" s="27">
        <v>17.223669000000001</v>
      </c>
      <c r="I632" s="29">
        <v>6.9213680000000002</v>
      </c>
      <c r="K632" s="29">
        <v>3.1589459999999998</v>
      </c>
      <c r="M632" s="41">
        <v>631.75647300000003</v>
      </c>
      <c r="O632" s="26">
        <v>2929.6524979999999</v>
      </c>
      <c r="Q632" s="26">
        <v>5613.1122379999997</v>
      </c>
      <c r="S632" s="26">
        <v>1776.910554</v>
      </c>
      <c r="U632" s="29">
        <v>3.2218019999999998</v>
      </c>
      <c r="W632" s="14">
        <v>28.651261999999999</v>
      </c>
      <c r="Y632" s="29">
        <v>9.0699360000000002</v>
      </c>
      <c r="AA632" s="41">
        <v>574.34790199999998</v>
      </c>
      <c r="AC632" s="27">
        <v>47.022877999999999</v>
      </c>
      <c r="AE632" s="27">
        <v>1</v>
      </c>
      <c r="AG632" s="29">
        <v>7.2387030000000001</v>
      </c>
      <c r="AI632" s="29">
        <v>8.7025939999999995</v>
      </c>
      <c r="AK632" s="27">
        <v>23.269538000000001</v>
      </c>
      <c r="AM632" s="27">
        <v>29.73499</v>
      </c>
      <c r="AO632" s="29">
        <v>6.7379920000000002</v>
      </c>
      <c r="AP632" s="11"/>
    </row>
    <row r="633" spans="2:42" hidden="1" outlineLevel="1" x14ac:dyDescent="0.25">
      <c r="B633" s="21">
        <v>42976</v>
      </c>
      <c r="C633" s="27">
        <v>17.892983999999998</v>
      </c>
      <c r="E633" s="30">
        <v>0.83323800000000003</v>
      </c>
      <c r="G633" s="27">
        <v>17.285907999999999</v>
      </c>
      <c r="I633" s="29">
        <v>6.9559340000000001</v>
      </c>
      <c r="K633" s="29">
        <v>3.1670319999999998</v>
      </c>
      <c r="M633" s="41">
        <v>627.17933400000004</v>
      </c>
      <c r="O633" s="26">
        <v>2942.370997</v>
      </c>
      <c r="Q633" s="26">
        <v>5642.0645270000005</v>
      </c>
      <c r="S633" s="26">
        <v>1781.5149570000001</v>
      </c>
      <c r="U633" s="29">
        <v>3.2362510000000002</v>
      </c>
      <c r="W633" s="14">
        <v>28.766321999999999</v>
      </c>
      <c r="Y633" s="29">
        <v>9.0831119999999999</v>
      </c>
      <c r="AA633" s="41">
        <v>576.507834</v>
      </c>
      <c r="AC633" s="27">
        <v>47.148178000000001</v>
      </c>
      <c r="AE633" s="27">
        <v>1</v>
      </c>
      <c r="AG633" s="29">
        <v>7.2775780000000001</v>
      </c>
      <c r="AI633" s="29">
        <v>8.7452819999999996</v>
      </c>
      <c r="AK633" s="27">
        <v>23.365642000000001</v>
      </c>
      <c r="AM633" s="27">
        <v>29.90887</v>
      </c>
      <c r="AO633" s="29">
        <v>6.7585709999999999</v>
      </c>
      <c r="AP633" s="11"/>
    </row>
    <row r="634" spans="2:42" hidden="1" outlineLevel="1" x14ac:dyDescent="0.25">
      <c r="B634" s="21">
        <v>42977</v>
      </c>
      <c r="C634" s="27">
        <v>17.804134999999999</v>
      </c>
      <c r="E634" s="30">
        <v>0.83808700000000003</v>
      </c>
      <c r="G634" s="27">
        <v>17.391354</v>
      </c>
      <c r="I634" s="29">
        <v>6.9809789999999996</v>
      </c>
      <c r="K634" s="29">
        <v>3.1640419999999998</v>
      </c>
      <c r="M634" s="41">
        <v>628.23084700000004</v>
      </c>
      <c r="O634" s="26">
        <v>2936.1357750000002</v>
      </c>
      <c r="Q634" s="26">
        <v>5662.832625</v>
      </c>
      <c r="S634" s="26">
        <v>1789.7632570000001</v>
      </c>
      <c r="U634" s="29">
        <v>3.2481019999999998</v>
      </c>
      <c r="W634" s="14">
        <v>28.868054000000001</v>
      </c>
      <c r="Y634" s="29">
        <v>9.1238480000000006</v>
      </c>
      <c r="AA634" s="41">
        <v>577.97353899999996</v>
      </c>
      <c r="AC634" s="27">
        <v>47.405487999999998</v>
      </c>
      <c r="AE634" s="27">
        <v>1</v>
      </c>
      <c r="AG634" s="29">
        <v>7.3074950000000003</v>
      </c>
      <c r="AI634" s="29">
        <v>8.7771399999999993</v>
      </c>
      <c r="AK634" s="27">
        <v>23.461544</v>
      </c>
      <c r="AM634" s="27">
        <v>30.027062000000001</v>
      </c>
      <c r="AO634" s="29">
        <v>6.75936</v>
      </c>
      <c r="AP634" s="12"/>
    </row>
    <row r="635" spans="2:42" hidden="1" outlineLevel="1" x14ac:dyDescent="0.25">
      <c r="B635" s="21">
        <v>42978</v>
      </c>
      <c r="C635" s="49">
        <v>17.775300000000001</v>
      </c>
      <c r="E635" s="30">
        <v>0.84153800000000001</v>
      </c>
      <c r="G635" s="27">
        <v>17.370778999999999</v>
      </c>
      <c r="I635" s="29">
        <v>6.9735279999999999</v>
      </c>
      <c r="K635" s="29">
        <v>3.154623</v>
      </c>
      <c r="M635" s="41">
        <v>629.46392800000001</v>
      </c>
      <c r="O635" s="26">
        <v>2951.2464110000001</v>
      </c>
      <c r="Q635" s="26">
        <v>5669.7130289999996</v>
      </c>
      <c r="S635" s="26">
        <v>1797.288194</v>
      </c>
      <c r="U635" s="29">
        <v>3.2445780000000002</v>
      </c>
      <c r="W635" s="14">
        <v>28.775825999999999</v>
      </c>
      <c r="Y635" s="29">
        <v>9.1218540000000008</v>
      </c>
      <c r="AA635" s="41">
        <v>577.31000200000005</v>
      </c>
      <c r="AC635" s="27">
        <v>47.305405999999998</v>
      </c>
      <c r="AE635" s="27">
        <v>1</v>
      </c>
      <c r="AG635" s="29">
        <v>7.3040079999999996</v>
      </c>
      <c r="AI635" s="29">
        <v>8.7691619999999997</v>
      </c>
      <c r="AK635" s="27">
        <v>23.431035999999999</v>
      </c>
      <c r="AM635" s="27">
        <v>29.973621999999999</v>
      </c>
      <c r="AO635" s="29">
        <v>6.7425319999999997</v>
      </c>
      <c r="AP635" s="12"/>
    </row>
    <row r="636" spans="2:42" ht="13" collapsed="1" x14ac:dyDescent="0.3">
      <c r="B636" s="25" t="s">
        <v>158</v>
      </c>
      <c r="C636" s="19">
        <v>17.7957</v>
      </c>
      <c r="E636" s="24">
        <v>0.84631999999999996</v>
      </c>
      <c r="G636" s="19">
        <v>17.419799999999999</v>
      </c>
      <c r="I636" s="23">
        <v>6.95573</v>
      </c>
      <c r="J636" s="9"/>
      <c r="K636" s="23">
        <v>3.1536</v>
      </c>
      <c r="M636" s="42">
        <v>643.6</v>
      </c>
      <c r="O636" s="31">
        <v>2970.18</v>
      </c>
      <c r="Q636" s="31">
        <v>5581.3</v>
      </c>
      <c r="S636" s="31">
        <v>1769.92</v>
      </c>
      <c r="U636" s="23">
        <v>3.2389999999999999</v>
      </c>
      <c r="W636" s="23">
        <v>28.608560000000001</v>
      </c>
      <c r="Y636" s="23">
        <v>9.0719499999999993</v>
      </c>
      <c r="AA636" s="42">
        <v>576.178</v>
      </c>
      <c r="AC636" s="19">
        <v>47.195300000000003</v>
      </c>
      <c r="AE636" s="19">
        <v>1</v>
      </c>
      <c r="AG636" s="23">
        <v>7.2688699999999997</v>
      </c>
      <c r="AI636" s="23">
        <v>8.7416</v>
      </c>
      <c r="AK636" s="23">
        <v>23.365010000000002</v>
      </c>
      <c r="AM636" s="23">
        <v>29.91742</v>
      </c>
      <c r="AO636" s="23">
        <v>6.7506399999999998</v>
      </c>
      <c r="AP636" s="10"/>
    </row>
    <row r="637" spans="2:42" hidden="1" outlineLevel="1" x14ac:dyDescent="0.25">
      <c r="B637" s="21">
        <v>42979</v>
      </c>
      <c r="C637" s="27">
        <v>17.841884</v>
      </c>
      <c r="E637" s="30">
        <v>0.84118999999999999</v>
      </c>
      <c r="G637" s="27">
        <v>17.304387999999999</v>
      </c>
      <c r="I637" s="29">
        <v>6.9499469999999999</v>
      </c>
      <c r="K637" s="29">
        <v>3.1426820000000002</v>
      </c>
      <c r="M637" s="41">
        <v>627.271748</v>
      </c>
      <c r="O637" s="26">
        <v>2942.5355239999999</v>
      </c>
      <c r="Q637" s="26">
        <v>5651.5293300000003</v>
      </c>
      <c r="S637" s="26">
        <v>1798.3326730000001</v>
      </c>
      <c r="U637" s="29">
        <v>3.2363740000000001</v>
      </c>
      <c r="W637" s="14">
        <v>28.726502</v>
      </c>
      <c r="Y637" s="29">
        <v>9.1408299999999993</v>
      </c>
      <c r="AA637" s="41">
        <v>575.74426400000004</v>
      </c>
      <c r="AC637" s="27">
        <v>47.147272000000001</v>
      </c>
      <c r="AE637" s="27">
        <v>1</v>
      </c>
      <c r="AG637" s="29">
        <v>7.2814220000000001</v>
      </c>
      <c r="AI637" s="29">
        <v>8.7385420000000007</v>
      </c>
      <c r="AK637" s="27">
        <v>23.35586</v>
      </c>
      <c r="AM637" s="27">
        <v>29.860028</v>
      </c>
      <c r="AO637" s="29">
        <v>6.7219980000000001</v>
      </c>
      <c r="AP637" s="11"/>
    </row>
    <row r="638" spans="2:42" hidden="1" outlineLevel="1" x14ac:dyDescent="0.25">
      <c r="B638" s="21">
        <v>42980</v>
      </c>
      <c r="C638" s="27">
        <v>17.822928000000001</v>
      </c>
      <c r="E638" s="30">
        <v>0.84303399999999995</v>
      </c>
      <c r="G638" s="27">
        <v>17.415436</v>
      </c>
      <c r="I638" s="29">
        <v>7.0065</v>
      </c>
      <c r="K638" s="29">
        <v>3.1412</v>
      </c>
      <c r="M638" s="41">
        <v>625.25835300000006</v>
      </c>
      <c r="O638" s="26">
        <v>2958.8061600000001</v>
      </c>
      <c r="Q638" s="26">
        <v>5678.6</v>
      </c>
      <c r="S638" s="26">
        <v>1807.8100400000001</v>
      </c>
      <c r="U638" s="29">
        <v>3.2541500000000001</v>
      </c>
      <c r="W638" s="14">
        <v>28.975000000000001</v>
      </c>
      <c r="Y638" s="29">
        <v>9.2243189999999995</v>
      </c>
      <c r="AA638" s="41">
        <v>579.51499999999999</v>
      </c>
      <c r="AC638" s="27">
        <v>47.267499999999998</v>
      </c>
      <c r="AE638" s="27">
        <v>1</v>
      </c>
      <c r="AG638" s="29">
        <v>7.32545</v>
      </c>
      <c r="AI638" s="29">
        <v>8.7899499999999993</v>
      </c>
      <c r="AK638" s="27">
        <v>23.505500000000001</v>
      </c>
      <c r="AM638" s="27">
        <v>29.9495</v>
      </c>
      <c r="AO638" s="29">
        <v>6.7626999999999997</v>
      </c>
      <c r="AP638" s="11"/>
    </row>
    <row r="639" spans="2:42" hidden="1" outlineLevel="1" x14ac:dyDescent="0.25">
      <c r="B639" s="21">
        <v>42981</v>
      </c>
      <c r="C639" s="27">
        <v>17.843851999999998</v>
      </c>
      <c r="E639" s="30">
        <v>0.84172000000000002</v>
      </c>
      <c r="G639" s="27">
        <v>17.408237</v>
      </c>
      <c r="I639" s="29">
        <v>7.0065</v>
      </c>
      <c r="K639" s="29">
        <v>3.1425169999999998</v>
      </c>
      <c r="M639" s="41">
        <v>625.5</v>
      </c>
      <c r="O639" s="26">
        <v>2931</v>
      </c>
      <c r="Q639" s="26">
        <v>5678.6</v>
      </c>
      <c r="S639" s="26">
        <v>1807.0404619999999</v>
      </c>
      <c r="U639" s="29">
        <v>3.2541500000000001</v>
      </c>
      <c r="W639" s="14">
        <v>28.975000000000001</v>
      </c>
      <c r="Y639" s="29">
        <v>9.2203979999999994</v>
      </c>
      <c r="AA639" s="41">
        <v>579.51499999999999</v>
      </c>
      <c r="AC639" s="27">
        <v>47.267499999999998</v>
      </c>
      <c r="AE639" s="27">
        <v>1</v>
      </c>
      <c r="AG639" s="29">
        <v>7.32545</v>
      </c>
      <c r="AI639" s="29">
        <v>8.7899499999999993</v>
      </c>
      <c r="AK639" s="27">
        <v>23.505500000000001</v>
      </c>
      <c r="AM639" s="27">
        <v>29.9495</v>
      </c>
      <c r="AO639" s="29">
        <v>6.7626999999999997</v>
      </c>
      <c r="AP639" s="11"/>
    </row>
    <row r="640" spans="2:42" hidden="1" outlineLevel="1" x14ac:dyDescent="0.25">
      <c r="B640" s="21">
        <v>42982</v>
      </c>
      <c r="C640" s="27">
        <v>17.861599999999999</v>
      </c>
      <c r="E640" s="30">
        <v>0.84051200000000004</v>
      </c>
      <c r="G640" s="27">
        <v>17.218536</v>
      </c>
      <c r="I640" s="29">
        <v>6.9700119999999997</v>
      </c>
      <c r="K640" s="29">
        <v>3.1403470000000002</v>
      </c>
      <c r="M640" s="41">
        <v>625.04225799999995</v>
      </c>
      <c r="O640" s="26">
        <v>2932.046562</v>
      </c>
      <c r="Q640" s="26">
        <v>5667.3525579999996</v>
      </c>
      <c r="S640" s="26">
        <v>1804.7067259999999</v>
      </c>
      <c r="U640" s="29">
        <v>3.2428020000000002</v>
      </c>
      <c r="W640" s="14">
        <v>28.878948999999999</v>
      </c>
      <c r="Y640" s="29">
        <v>9.1961619999999993</v>
      </c>
      <c r="AA640" s="41">
        <v>578.27932399999997</v>
      </c>
      <c r="AC640" s="27">
        <v>47.344388000000002</v>
      </c>
      <c r="AE640" s="27">
        <v>1</v>
      </c>
      <c r="AG640" s="29">
        <v>7.3061579999999999</v>
      </c>
      <c r="AI640" s="29">
        <v>8.7636760000000002</v>
      </c>
      <c r="AK640" s="27">
        <v>23.440794</v>
      </c>
      <c r="AM640" s="27">
        <v>29.981190000000002</v>
      </c>
      <c r="AO640" s="29">
        <v>6.7436059999999998</v>
      </c>
      <c r="AP640" s="11"/>
    </row>
    <row r="641" spans="2:42" hidden="1" outlineLevel="1" x14ac:dyDescent="0.25">
      <c r="B641" s="21">
        <v>42983</v>
      </c>
      <c r="C641" s="27">
        <v>17.863582000000001</v>
      </c>
      <c r="E641" s="30">
        <v>0.84005399999999997</v>
      </c>
      <c r="G641" s="27">
        <v>17.246269999999999</v>
      </c>
      <c r="I641" s="29">
        <v>6.9649999999999999</v>
      </c>
      <c r="K641" s="29">
        <v>3.130252</v>
      </c>
      <c r="M641" s="41">
        <v>624.28072099999997</v>
      </c>
      <c r="O641" s="26">
        <v>2931.4866780000002</v>
      </c>
      <c r="Q641" s="26">
        <v>5663.7072779999999</v>
      </c>
      <c r="S641" s="26">
        <v>1809.362257</v>
      </c>
      <c r="U641" s="29">
        <v>3.2395230000000002</v>
      </c>
      <c r="W641" s="14">
        <v>28.861692000000001</v>
      </c>
      <c r="Y641" s="29">
        <v>9.2203040000000005</v>
      </c>
      <c r="AA641" s="41">
        <v>577.16967299999999</v>
      </c>
      <c r="AC641" s="27">
        <v>47.656778000000003</v>
      </c>
      <c r="AE641" s="27">
        <v>1</v>
      </c>
      <c r="AG641" s="29">
        <v>7.3022020000000003</v>
      </c>
      <c r="AI641" s="29">
        <v>8.7577470000000002</v>
      </c>
      <c r="AK641" s="27">
        <v>23.42192</v>
      </c>
      <c r="AM641" s="27">
        <v>30.088965999999999</v>
      </c>
      <c r="AO641" s="29">
        <v>6.7375360000000004</v>
      </c>
      <c r="AP641" s="11"/>
    </row>
    <row r="642" spans="2:42" hidden="1" outlineLevel="1" x14ac:dyDescent="0.25">
      <c r="B642" s="21">
        <v>42984</v>
      </c>
      <c r="C642" s="27">
        <v>17.845244000000001</v>
      </c>
      <c r="E642" s="30">
        <v>0.83862599999999998</v>
      </c>
      <c r="G642" s="27">
        <v>17.235651000000001</v>
      </c>
      <c r="I642" s="29">
        <v>6.9531020000000003</v>
      </c>
      <c r="K642" s="29">
        <v>3.112123</v>
      </c>
      <c r="M642" s="41">
        <v>621.18805499999996</v>
      </c>
      <c r="O642" s="26">
        <v>2923.0743040000002</v>
      </c>
      <c r="Q642" s="26">
        <v>5649.5718900000002</v>
      </c>
      <c r="S642" s="26">
        <v>1815.3604780000001</v>
      </c>
      <c r="U642" s="29">
        <v>3.2343829999999998</v>
      </c>
      <c r="W642" s="14">
        <v>28.790634000000001</v>
      </c>
      <c r="Y642" s="29">
        <v>9.2511869999999998</v>
      </c>
      <c r="AA642" s="41">
        <v>575.84075499999994</v>
      </c>
      <c r="AC642" s="27">
        <v>47.502831999999998</v>
      </c>
      <c r="AE642" s="27">
        <v>1</v>
      </c>
      <c r="AG642" s="29">
        <v>7.2893699999999999</v>
      </c>
      <c r="AI642" s="29">
        <v>8.7407149999999998</v>
      </c>
      <c r="AK642" s="27">
        <v>23.369783000000002</v>
      </c>
      <c r="AM642" s="27">
        <v>30.158253999999999</v>
      </c>
      <c r="AO642" s="29">
        <v>6.7373729999999998</v>
      </c>
      <c r="AP642" s="11"/>
    </row>
    <row r="643" spans="2:42" hidden="1" outlineLevel="1" x14ac:dyDescent="0.25">
      <c r="B643" s="21">
        <v>42985</v>
      </c>
      <c r="C643" s="27">
        <v>17.726939999999999</v>
      </c>
      <c r="E643" s="30">
        <v>0.83496400000000004</v>
      </c>
      <c r="G643" s="27">
        <v>17.22607</v>
      </c>
      <c r="I643" s="29">
        <v>6.9595159999999998</v>
      </c>
      <c r="K643" s="29">
        <v>3.0991900000000001</v>
      </c>
      <c r="M643" s="41">
        <v>618.87630200000001</v>
      </c>
      <c r="O643" s="26">
        <v>2910.9826910000002</v>
      </c>
      <c r="Q643" s="26">
        <v>5659.8806420000001</v>
      </c>
      <c r="S643" s="26">
        <v>1826.263236</v>
      </c>
      <c r="U643" s="29">
        <v>3.2351380000000001</v>
      </c>
      <c r="W643" s="14">
        <v>28.793718999999999</v>
      </c>
      <c r="Y643" s="29">
        <v>9.2907879999999992</v>
      </c>
      <c r="AA643" s="41">
        <v>577.66609400000004</v>
      </c>
      <c r="AC643" s="27">
        <v>47.357840000000003</v>
      </c>
      <c r="AE643" s="27">
        <v>1</v>
      </c>
      <c r="AG643" s="29">
        <v>7.2968000000000002</v>
      </c>
      <c r="AI643" s="29">
        <v>8.7507439999999992</v>
      </c>
      <c r="AK643" s="27">
        <v>23.39021</v>
      </c>
      <c r="AM643" s="27">
        <v>30.582184000000002</v>
      </c>
      <c r="AO643" s="29">
        <v>6.747287</v>
      </c>
      <c r="AP643" s="11"/>
    </row>
    <row r="644" spans="2:42" hidden="1" outlineLevel="1" x14ac:dyDescent="0.25">
      <c r="B644" s="21">
        <v>42986</v>
      </c>
      <c r="C644" s="27">
        <v>17.680685</v>
      </c>
      <c r="E644" s="30">
        <v>0.83013499999999996</v>
      </c>
      <c r="G644" s="27">
        <v>17.204879999999999</v>
      </c>
      <c r="I644" s="29">
        <v>6.9507839999999996</v>
      </c>
      <c r="K644" s="29">
        <v>3.0945719999999999</v>
      </c>
      <c r="M644" s="41">
        <v>617.38345300000003</v>
      </c>
      <c r="O644" s="26">
        <v>2906.901194</v>
      </c>
      <c r="Q644" s="26">
        <v>5654.889846</v>
      </c>
      <c r="S644" s="26">
        <v>1827.3757760000001</v>
      </c>
      <c r="U644" s="29">
        <v>3.2303480000000002</v>
      </c>
      <c r="W644" s="14">
        <v>28.730778000000001</v>
      </c>
      <c r="Y644" s="29">
        <v>9.2843099999999996</v>
      </c>
      <c r="AA644" s="41">
        <v>577.61646299999995</v>
      </c>
      <c r="AC644" s="27">
        <v>47.336765999999997</v>
      </c>
      <c r="AE644" s="27">
        <v>1</v>
      </c>
      <c r="AG644" s="29">
        <v>7.2846339999999996</v>
      </c>
      <c r="AI644" s="29">
        <v>8.7391120000000004</v>
      </c>
      <c r="AK644" s="27">
        <v>23.358879999999999</v>
      </c>
      <c r="AM644" s="27">
        <v>30.532934999999998</v>
      </c>
      <c r="AO644" s="29">
        <v>6.7542939999999998</v>
      </c>
      <c r="AP644" s="11"/>
    </row>
    <row r="645" spans="2:42" hidden="1" outlineLevel="1" x14ac:dyDescent="0.25">
      <c r="B645" s="21">
        <v>42987</v>
      </c>
      <c r="C645" s="27">
        <v>17.713933999999998</v>
      </c>
      <c r="E645" s="30">
        <v>0.83077800000000002</v>
      </c>
      <c r="G645" s="27">
        <v>17.238842999999999</v>
      </c>
      <c r="I645" s="29">
        <v>6.9949000000000003</v>
      </c>
      <c r="K645" s="29">
        <v>3.0868000000000002</v>
      </c>
      <c r="M645" s="41">
        <v>620.1</v>
      </c>
      <c r="O645" s="26">
        <v>2905.84</v>
      </c>
      <c r="Q645" s="26">
        <v>5677.65</v>
      </c>
      <c r="S645" s="26">
        <v>1839.3605520000001</v>
      </c>
      <c r="U645" s="29">
        <v>3.2423000000000002</v>
      </c>
      <c r="W645" s="14">
        <v>28.907499999999999</v>
      </c>
      <c r="Y645" s="29">
        <v>9.3650079999999996</v>
      </c>
      <c r="AA645" s="41">
        <v>580.16999999999996</v>
      </c>
      <c r="AC645" s="27">
        <v>47.339500000000001</v>
      </c>
      <c r="AE645" s="27">
        <v>1</v>
      </c>
      <c r="AG645" s="29">
        <v>7.3143000000000002</v>
      </c>
      <c r="AI645" s="29">
        <v>8.7745999999999995</v>
      </c>
      <c r="AK645" s="27">
        <v>23.447500000000002</v>
      </c>
      <c r="AM645" s="27">
        <v>30.672499999999999</v>
      </c>
      <c r="AO645" s="29">
        <v>6.7827000000000002</v>
      </c>
      <c r="AP645" s="11"/>
    </row>
    <row r="646" spans="2:42" hidden="1" outlineLevel="1" x14ac:dyDescent="0.25">
      <c r="B646" s="21">
        <v>42988</v>
      </c>
      <c r="C646" s="27">
        <v>17.719477999999999</v>
      </c>
      <c r="E646" s="30">
        <v>0.83198000000000005</v>
      </c>
      <c r="G646" s="27">
        <v>17.240639999999999</v>
      </c>
      <c r="I646" s="29">
        <v>6.9949000000000003</v>
      </c>
      <c r="K646" s="29">
        <v>3.1065339999999999</v>
      </c>
      <c r="M646" s="41">
        <v>620.1</v>
      </c>
      <c r="O646" s="26">
        <v>2905.84</v>
      </c>
      <c r="Q646" s="26">
        <v>5677.65</v>
      </c>
      <c r="S646" s="26">
        <v>1827.6684620000001</v>
      </c>
      <c r="U646" s="29">
        <v>3.2423000000000002</v>
      </c>
      <c r="W646" s="14">
        <v>28.907499999999999</v>
      </c>
      <c r="Y646" s="29">
        <v>9.3054819999999996</v>
      </c>
      <c r="AA646" s="41">
        <v>580.16999999999996</v>
      </c>
      <c r="AC646" s="27">
        <v>47.339500000000001</v>
      </c>
      <c r="AE646" s="27">
        <v>1</v>
      </c>
      <c r="AG646" s="29">
        <v>7.3143000000000002</v>
      </c>
      <c r="AI646" s="29">
        <v>8.7745999999999995</v>
      </c>
      <c r="AK646" s="27">
        <v>23.447500000000002</v>
      </c>
      <c r="AM646" s="27">
        <v>30.672499999999999</v>
      </c>
      <c r="AO646" s="29">
        <v>6.7827000000000002</v>
      </c>
      <c r="AP646" s="11"/>
    </row>
    <row r="647" spans="2:42" hidden="1" outlineLevel="1" x14ac:dyDescent="0.25">
      <c r="B647" s="21">
        <v>42989</v>
      </c>
      <c r="C647" s="27">
        <v>17.676380000000002</v>
      </c>
      <c r="E647" s="30">
        <v>0.83403300000000002</v>
      </c>
      <c r="G647" s="27">
        <v>17.216739</v>
      </c>
      <c r="I647" s="29">
        <v>6.9771619999999999</v>
      </c>
      <c r="K647" s="29">
        <v>3.0915819999999998</v>
      </c>
      <c r="M647" s="41">
        <v>619.419758</v>
      </c>
      <c r="O647" s="26">
        <v>2911.7603079999999</v>
      </c>
      <c r="Q647" s="26">
        <v>5673.1702580000001</v>
      </c>
      <c r="S647" s="26">
        <v>1835.054856</v>
      </c>
      <c r="U647" s="29">
        <v>3.238772</v>
      </c>
      <c r="W647" s="14">
        <v>28.886990999999998</v>
      </c>
      <c r="Y647" s="29">
        <v>9.3438160000000003</v>
      </c>
      <c r="AA647" s="41">
        <v>579.42147199999999</v>
      </c>
      <c r="AC647" s="27">
        <v>47.558278000000001</v>
      </c>
      <c r="AE647" s="27">
        <v>1</v>
      </c>
      <c r="AG647" s="29">
        <v>7.310994</v>
      </c>
      <c r="AI647" s="29">
        <v>8.7714929999999995</v>
      </c>
      <c r="AK647" s="27">
        <v>23.441388</v>
      </c>
      <c r="AM647" s="27">
        <v>30.371908000000001</v>
      </c>
      <c r="AO647" s="29">
        <v>6.7890280000000001</v>
      </c>
      <c r="AP647" s="11"/>
    </row>
    <row r="648" spans="2:42" hidden="1" outlineLevel="1" x14ac:dyDescent="0.25">
      <c r="B648" s="21">
        <v>42990</v>
      </c>
      <c r="C648" s="27">
        <v>17.725930999999999</v>
      </c>
      <c r="E648" s="30">
        <v>0.83624200000000004</v>
      </c>
      <c r="G648" s="27">
        <v>17.110399999999998</v>
      </c>
      <c r="I648" s="29">
        <v>6.9698789999999997</v>
      </c>
      <c r="K648" s="29">
        <v>3.1118739999999998</v>
      </c>
      <c r="M648" s="41">
        <v>622.91073300000005</v>
      </c>
      <c r="O648" s="26">
        <v>2917.5872749999999</v>
      </c>
      <c r="Q648" s="26">
        <v>5660.1827460000004</v>
      </c>
      <c r="S648" s="26">
        <v>1818.915258</v>
      </c>
      <c r="U648" s="29">
        <v>3.2369659999999998</v>
      </c>
      <c r="W648" s="14">
        <v>28.871251999999998</v>
      </c>
      <c r="Y648" s="29">
        <v>9.2778299999999998</v>
      </c>
      <c r="AA648" s="41">
        <v>579.54738799999996</v>
      </c>
      <c r="AC648" s="27">
        <v>47.737488999999997</v>
      </c>
      <c r="AE648" s="27">
        <v>1</v>
      </c>
      <c r="AG648" s="29">
        <v>7.3070000000000004</v>
      </c>
      <c r="AI648" s="29">
        <v>8.7669499999999996</v>
      </c>
      <c r="AK648" s="27">
        <v>23.436627999999999</v>
      </c>
      <c r="AM648" s="27">
        <v>30.307079000000002</v>
      </c>
      <c r="AO648" s="29">
        <v>6.7867940000000004</v>
      </c>
      <c r="AP648" s="11"/>
    </row>
    <row r="649" spans="2:42" hidden="1" outlineLevel="1" x14ac:dyDescent="0.25">
      <c r="B649" s="21">
        <v>42991</v>
      </c>
      <c r="C649" s="27">
        <v>17.750219999999999</v>
      </c>
      <c r="E649" s="30">
        <v>0.83739399999999997</v>
      </c>
      <c r="G649" s="27">
        <v>17.062840000000001</v>
      </c>
      <c r="I649" s="29">
        <v>6.9483560000000004</v>
      </c>
      <c r="K649" s="29">
        <v>3.129874</v>
      </c>
      <c r="M649" s="41">
        <v>624.46969799999999</v>
      </c>
      <c r="O649" s="26">
        <v>2908.491098</v>
      </c>
      <c r="Q649" s="26">
        <v>5637.0426180000004</v>
      </c>
      <c r="S649" s="26">
        <v>1801.062058</v>
      </c>
      <c r="U649" s="29">
        <v>3.2337319999999998</v>
      </c>
      <c r="W649" s="14">
        <v>28.784752000000001</v>
      </c>
      <c r="Y649" s="29">
        <v>9.1968370000000004</v>
      </c>
      <c r="AA649" s="41">
        <v>578.06419000000005</v>
      </c>
      <c r="AC649" s="27">
        <v>47.545763999999998</v>
      </c>
      <c r="AE649" s="27">
        <v>1</v>
      </c>
      <c r="AG649" s="29">
        <v>7.289282</v>
      </c>
      <c r="AI649" s="29">
        <v>8.7452769999999997</v>
      </c>
      <c r="AK649" s="27">
        <v>23.372171999999999</v>
      </c>
      <c r="AM649" s="27">
        <v>30.325935999999999</v>
      </c>
      <c r="AO649" s="29">
        <v>6.7727750000000002</v>
      </c>
      <c r="AP649" s="11"/>
    </row>
    <row r="650" spans="2:42" hidden="1" outlineLevel="1" x14ac:dyDescent="0.25">
      <c r="B650" s="21">
        <v>42992</v>
      </c>
      <c r="C650" s="27">
        <v>17.730025999999999</v>
      </c>
      <c r="E650" s="30">
        <v>0.84085600000000005</v>
      </c>
      <c r="G650" s="27">
        <v>17.037413000000001</v>
      </c>
      <c r="I650" s="29">
        <v>6.9796990000000001</v>
      </c>
      <c r="K650" s="29">
        <v>3.13103</v>
      </c>
      <c r="M650" s="41">
        <v>625.91828799999996</v>
      </c>
      <c r="O650" s="26">
        <v>2907.2287459999998</v>
      </c>
      <c r="Q650" s="26">
        <v>5664.1589599999998</v>
      </c>
      <c r="S650" s="26">
        <v>1809.057292</v>
      </c>
      <c r="U650" s="29">
        <v>3.246686</v>
      </c>
      <c r="W650" s="14">
        <v>28.968136000000001</v>
      </c>
      <c r="Y650" s="29">
        <v>9.2520120000000006</v>
      </c>
      <c r="AA650" s="41">
        <v>579.75963100000001</v>
      </c>
      <c r="AC650" s="27">
        <v>47.777985000000001</v>
      </c>
      <c r="AE650" s="27">
        <v>1</v>
      </c>
      <c r="AG650" s="29">
        <v>7.3228749999999998</v>
      </c>
      <c r="AI650" s="29">
        <v>8.7844280000000001</v>
      </c>
      <c r="AK650" s="27">
        <v>23.456721999999999</v>
      </c>
      <c r="AM650" s="27">
        <v>30.446275</v>
      </c>
      <c r="AO650" s="29">
        <v>6.7907299999999999</v>
      </c>
      <c r="AP650" s="11"/>
    </row>
    <row r="651" spans="2:42" hidden="1" outlineLevel="1" x14ac:dyDescent="0.25">
      <c r="B651" s="21">
        <v>42993</v>
      </c>
      <c r="C651" s="27">
        <v>17.673304000000002</v>
      </c>
      <c r="E651" s="30">
        <v>0.83767800000000003</v>
      </c>
      <c r="G651" s="27">
        <v>16.984995999999999</v>
      </c>
      <c r="I651" s="29">
        <v>6.9462000000000002</v>
      </c>
      <c r="K651" s="29">
        <v>3.1191360000000001</v>
      </c>
      <c r="M651" s="41">
        <v>624.53857300000004</v>
      </c>
      <c r="O651" s="26">
        <v>2899.92893</v>
      </c>
      <c r="Q651" s="26">
        <v>5644.1770079999997</v>
      </c>
      <c r="S651" s="26">
        <v>1809.552328</v>
      </c>
      <c r="U651" s="29">
        <v>3.2400679999999999</v>
      </c>
      <c r="W651" s="14">
        <v>28.896246000000001</v>
      </c>
      <c r="Y651" s="29">
        <v>9.2642579999999999</v>
      </c>
      <c r="AA651" s="41">
        <v>576.51767600000005</v>
      </c>
      <c r="AC651" s="27">
        <v>47.375728000000002</v>
      </c>
      <c r="AE651" s="27">
        <v>1</v>
      </c>
      <c r="AG651" s="29">
        <v>7.2865520000000004</v>
      </c>
      <c r="AI651" s="29">
        <v>8.7406500000000005</v>
      </c>
      <c r="AK651" s="27">
        <v>23.366119999999999</v>
      </c>
      <c r="AM651" s="27">
        <v>30.318452000000001</v>
      </c>
      <c r="AO651" s="29">
        <v>6.7341819999999997</v>
      </c>
      <c r="AP651" s="11"/>
    </row>
    <row r="652" spans="2:42" hidden="1" outlineLevel="1" x14ac:dyDescent="0.25">
      <c r="B652" s="21">
        <v>42994</v>
      </c>
      <c r="C652" s="27">
        <v>17.657399999999999</v>
      </c>
      <c r="E652" s="30">
        <v>0.83716999999999997</v>
      </c>
      <c r="G652" s="27">
        <v>16.997</v>
      </c>
      <c r="I652" s="29">
        <v>6.9672999999999998</v>
      </c>
      <c r="K652" s="29">
        <v>3.1103499999999999</v>
      </c>
      <c r="M652" s="41">
        <v>624.38499999999999</v>
      </c>
      <c r="O652" s="26">
        <v>2899.75</v>
      </c>
      <c r="Q652" s="26">
        <v>5655.4</v>
      </c>
      <c r="S652" s="26">
        <v>1818.301874</v>
      </c>
      <c r="U652" s="29">
        <v>3.2380499999999999</v>
      </c>
      <c r="W652" s="14">
        <v>29.015000000000001</v>
      </c>
      <c r="Y652" s="29">
        <v>9.3287639999999996</v>
      </c>
      <c r="AA652" s="41">
        <v>577.04</v>
      </c>
      <c r="AC652" s="27">
        <v>47.290500000000002</v>
      </c>
      <c r="AE652" s="27">
        <v>1</v>
      </c>
      <c r="AG652" s="29">
        <v>7.2960000000000003</v>
      </c>
      <c r="AI652" s="29">
        <v>8.7523</v>
      </c>
      <c r="AK652" s="27">
        <v>23.4055</v>
      </c>
      <c r="AM652" s="27">
        <v>30.375499999999999</v>
      </c>
      <c r="AO652" s="29">
        <v>6.7490500000000004</v>
      </c>
      <c r="AP652" s="11"/>
    </row>
    <row r="653" spans="2:42" hidden="1" outlineLevel="1" x14ac:dyDescent="0.25">
      <c r="B653" s="21">
        <v>42995</v>
      </c>
      <c r="C653" s="27">
        <v>17.651174000000001</v>
      </c>
      <c r="E653" s="30">
        <v>0.83754700000000004</v>
      </c>
      <c r="G653" s="27">
        <v>17.000399000000002</v>
      </c>
      <c r="I653" s="29">
        <v>6.9672999999999998</v>
      </c>
      <c r="K653" s="29">
        <v>3.1221380000000001</v>
      </c>
      <c r="M653" s="41">
        <v>624.39340400000003</v>
      </c>
      <c r="O653" s="26">
        <v>2898.3491939999999</v>
      </c>
      <c r="Q653" s="26">
        <v>5655.4</v>
      </c>
      <c r="S653" s="26">
        <v>1811.4212130000001</v>
      </c>
      <c r="U653" s="29">
        <v>3.2380499999999999</v>
      </c>
      <c r="W653" s="14">
        <v>29.015000000000001</v>
      </c>
      <c r="Y653" s="29">
        <v>9.2934699999999992</v>
      </c>
      <c r="AA653" s="41">
        <v>577.04</v>
      </c>
      <c r="AC653" s="27">
        <v>47.290500000000002</v>
      </c>
      <c r="AE653" s="27">
        <v>1</v>
      </c>
      <c r="AG653" s="29">
        <v>7.2960000000000003</v>
      </c>
      <c r="AI653" s="29">
        <v>8.7523</v>
      </c>
      <c r="AK653" s="27">
        <v>23.4055</v>
      </c>
      <c r="AM653" s="27">
        <v>30.375499999999999</v>
      </c>
      <c r="AO653" s="29">
        <v>6.7490500000000004</v>
      </c>
      <c r="AP653" s="11"/>
    </row>
    <row r="654" spans="2:42" hidden="1" outlineLevel="1" x14ac:dyDescent="0.25">
      <c r="B654" s="21">
        <v>42996</v>
      </c>
      <c r="C654" s="27">
        <v>17.696861999999999</v>
      </c>
      <c r="E654" s="30">
        <v>0.83704400000000001</v>
      </c>
      <c r="G654" s="27">
        <v>17.029048</v>
      </c>
      <c r="I654" s="29">
        <v>6.9549940000000001</v>
      </c>
      <c r="K654" s="29">
        <v>3.11937</v>
      </c>
      <c r="M654" s="41">
        <v>624.93142999999998</v>
      </c>
      <c r="O654" s="26">
        <v>2902.0309710000001</v>
      </c>
      <c r="Q654" s="26">
        <v>5658.0510780000004</v>
      </c>
      <c r="S654" s="26">
        <v>1813.8604660000001</v>
      </c>
      <c r="U654" s="29">
        <v>3.2463009999999999</v>
      </c>
      <c r="W654" s="14">
        <v>28.981045000000002</v>
      </c>
      <c r="Y654" s="29">
        <v>9.2907279999999997</v>
      </c>
      <c r="AA654" s="41">
        <v>576.99514999999997</v>
      </c>
      <c r="AC654" s="27">
        <v>47.373812000000001</v>
      </c>
      <c r="AE654" s="27">
        <v>1</v>
      </c>
      <c r="AG654" s="29">
        <v>7.2952579999999996</v>
      </c>
      <c r="AI654" s="29">
        <v>8.7515520000000002</v>
      </c>
      <c r="AK654" s="27">
        <v>23.403521999999999</v>
      </c>
      <c r="AM654" s="27">
        <v>30.372199999999999</v>
      </c>
      <c r="AO654" s="29">
        <v>6.7491709999999996</v>
      </c>
      <c r="AP654" s="11"/>
    </row>
    <row r="655" spans="2:42" hidden="1" outlineLevel="1" x14ac:dyDescent="0.25">
      <c r="B655" s="21">
        <v>42997</v>
      </c>
      <c r="C655" s="27">
        <v>17.771826000000001</v>
      </c>
      <c r="E655" s="30">
        <v>0.83450800000000003</v>
      </c>
      <c r="G655" s="27">
        <v>17.128830000000001</v>
      </c>
      <c r="I655" s="29">
        <v>6.9525699999999997</v>
      </c>
      <c r="K655" s="29">
        <v>3.1347680000000002</v>
      </c>
      <c r="M655" s="41">
        <v>625.203215</v>
      </c>
      <c r="O655" s="26">
        <v>2905.9604399999998</v>
      </c>
      <c r="Q655" s="26">
        <v>5662.1975160000002</v>
      </c>
      <c r="S655" s="26">
        <v>1806.274181</v>
      </c>
      <c r="U655" s="29">
        <v>3.2473320000000001</v>
      </c>
      <c r="W655" s="14">
        <v>28.949534</v>
      </c>
      <c r="Y655" s="29">
        <v>9.2350460000000005</v>
      </c>
      <c r="AA655" s="41">
        <v>576.67049199999997</v>
      </c>
      <c r="AC655" s="27">
        <v>47.382064</v>
      </c>
      <c r="AE655" s="27">
        <v>1</v>
      </c>
      <c r="AG655" s="29">
        <v>7.2940040000000002</v>
      </c>
      <c r="AI655" s="29">
        <v>8.7499140000000004</v>
      </c>
      <c r="AK655" s="27">
        <v>23.395645999999999</v>
      </c>
      <c r="AM655" s="27">
        <v>30.358248</v>
      </c>
      <c r="AO655" s="29">
        <v>6.7476060000000002</v>
      </c>
      <c r="AP655" s="11"/>
    </row>
    <row r="656" spans="2:42" hidden="1" outlineLevel="1" x14ac:dyDescent="0.25">
      <c r="B656" s="21">
        <v>42998</v>
      </c>
      <c r="C656" s="27">
        <v>17.769705999999999</v>
      </c>
      <c r="E656" s="30">
        <v>0.83505300000000005</v>
      </c>
      <c r="G656" s="27">
        <v>17.14255</v>
      </c>
      <c r="I656" s="29">
        <v>6.9610940000000001</v>
      </c>
      <c r="K656" s="29">
        <v>3.1318039999999998</v>
      </c>
      <c r="M656" s="41">
        <v>623.54236100000003</v>
      </c>
      <c r="O656" s="26">
        <v>2895.767527</v>
      </c>
      <c r="Q656" s="26">
        <v>5669.4207850000003</v>
      </c>
      <c r="S656" s="26">
        <v>1810.28972</v>
      </c>
      <c r="U656" s="29">
        <v>3.247716</v>
      </c>
      <c r="W656" s="14">
        <v>28.915510000000001</v>
      </c>
      <c r="Y656" s="29">
        <v>9.2329159999999995</v>
      </c>
      <c r="AA656" s="41">
        <v>576.81070899999997</v>
      </c>
      <c r="AC656" s="27">
        <v>47.448974999999997</v>
      </c>
      <c r="AE656" s="27">
        <v>1</v>
      </c>
      <c r="AG656" s="29">
        <v>7.3003479999999996</v>
      </c>
      <c r="AI656" s="29">
        <v>8.7568769999999994</v>
      </c>
      <c r="AK656" s="27">
        <v>23.410646</v>
      </c>
      <c r="AM656" s="27">
        <v>30.335083999999998</v>
      </c>
      <c r="AO656" s="29">
        <v>6.7573439999999998</v>
      </c>
      <c r="AP656" s="11"/>
    </row>
    <row r="657" spans="2:42" hidden="1" outlineLevel="1" x14ac:dyDescent="0.25">
      <c r="B657" s="21">
        <v>42999</v>
      </c>
      <c r="C657" s="27">
        <v>17.843357000000001</v>
      </c>
      <c r="E657" s="30">
        <v>0.83953199999999994</v>
      </c>
      <c r="G657" s="27">
        <v>17.218769999999999</v>
      </c>
      <c r="I657" s="29">
        <v>6.9946359999999999</v>
      </c>
      <c r="K657" s="29">
        <v>3.1350500000000001</v>
      </c>
      <c r="M657" s="41">
        <v>623.21366</v>
      </c>
      <c r="O657" s="26">
        <v>2900.7298420000002</v>
      </c>
      <c r="Q657" s="26">
        <v>5699.3728179999998</v>
      </c>
      <c r="S657" s="26">
        <v>1817.9698350000001</v>
      </c>
      <c r="U657" s="29">
        <v>3.260154</v>
      </c>
      <c r="W657" s="14">
        <v>29.033669</v>
      </c>
      <c r="Y657" s="29">
        <v>9.2610469999999996</v>
      </c>
      <c r="AA657" s="41">
        <v>578.79961400000002</v>
      </c>
      <c r="AC657" s="27">
        <v>47.556725</v>
      </c>
      <c r="AE657" s="27">
        <v>1</v>
      </c>
      <c r="AG657" s="29">
        <v>7.3330539999999997</v>
      </c>
      <c r="AI657" s="29">
        <v>8.7941299999999991</v>
      </c>
      <c r="AK657" s="27">
        <v>23.510376999999998</v>
      </c>
      <c r="AM657" s="27">
        <v>30.426259999999999</v>
      </c>
      <c r="AO657" s="29">
        <v>6.7984400000000003</v>
      </c>
      <c r="AP657" s="11"/>
    </row>
    <row r="658" spans="2:42" hidden="1" outlineLevel="1" x14ac:dyDescent="0.25">
      <c r="B658" s="21">
        <v>43000</v>
      </c>
      <c r="C658" s="27">
        <v>17.799018</v>
      </c>
      <c r="E658" s="30">
        <v>0.83608199999999999</v>
      </c>
      <c r="G658" s="27">
        <v>17.277913999999999</v>
      </c>
      <c r="I658" s="29">
        <v>6.9488880000000002</v>
      </c>
      <c r="K658" s="29">
        <v>3.1326100000000001</v>
      </c>
      <c r="M658" s="41">
        <v>624.69285600000001</v>
      </c>
      <c r="O658" s="26">
        <v>2910.6380039999999</v>
      </c>
      <c r="Q658" s="26">
        <v>5667.3210959999997</v>
      </c>
      <c r="S658" s="26">
        <v>1809.154595</v>
      </c>
      <c r="U658" s="29">
        <v>3.2437499999999999</v>
      </c>
      <c r="W658" s="14">
        <v>28.834858000000001</v>
      </c>
      <c r="Y658" s="29">
        <v>9.2047980000000003</v>
      </c>
      <c r="AA658" s="41">
        <v>574.52199199999995</v>
      </c>
      <c r="AC658" s="27">
        <v>47.290875999999997</v>
      </c>
      <c r="AE658" s="27">
        <v>1</v>
      </c>
      <c r="AG658" s="29">
        <v>7.2838310000000002</v>
      </c>
      <c r="AI658" s="29">
        <v>8.7359749999999998</v>
      </c>
      <c r="AK658" s="27">
        <v>23.360692</v>
      </c>
      <c r="AM658" s="27">
        <v>30.194022</v>
      </c>
      <c r="AO658" s="29">
        <v>6.7642239999999996</v>
      </c>
      <c r="AP658" s="11"/>
    </row>
    <row r="659" spans="2:42" hidden="1" outlineLevel="1" x14ac:dyDescent="0.25">
      <c r="B659" s="21">
        <v>43001</v>
      </c>
      <c r="C659" s="27">
        <v>17.746040000000001</v>
      </c>
      <c r="E659" s="30">
        <v>0.83682000000000001</v>
      </c>
      <c r="G659" s="27">
        <v>17.291</v>
      </c>
      <c r="I659" s="29">
        <v>6.9855999999999998</v>
      </c>
      <c r="K659" s="29">
        <v>3.1250499999999999</v>
      </c>
      <c r="M659" s="41">
        <v>626.70000000000005</v>
      </c>
      <c r="O659" s="26">
        <v>2919.65</v>
      </c>
      <c r="Q659" s="26">
        <v>5685.5</v>
      </c>
      <c r="S659" s="26">
        <v>1819.3593040000001</v>
      </c>
      <c r="U659" s="29">
        <v>3.2554500000000002</v>
      </c>
      <c r="W659" s="14">
        <v>28.918500000000002</v>
      </c>
      <c r="Y659" s="29">
        <v>9.2539040000000004</v>
      </c>
      <c r="AA659" s="41">
        <v>576.13</v>
      </c>
      <c r="AC659" s="27">
        <v>47.225999999999999</v>
      </c>
      <c r="AE659" s="27">
        <v>1</v>
      </c>
      <c r="AG659" s="29">
        <v>7.3064999999999998</v>
      </c>
      <c r="AI659" s="29">
        <v>8.7632499999999993</v>
      </c>
      <c r="AK659" s="27">
        <v>23.427499999999998</v>
      </c>
      <c r="AM659" s="27">
        <v>30.290500000000002</v>
      </c>
      <c r="AO659" s="29">
        <v>6.7861500000000001</v>
      </c>
      <c r="AP659" s="11"/>
    </row>
    <row r="660" spans="2:42" hidden="1" outlineLevel="1" x14ac:dyDescent="0.25">
      <c r="B660" s="21">
        <v>43002</v>
      </c>
      <c r="C660" s="27">
        <v>17.757349999999999</v>
      </c>
      <c r="E660" s="30">
        <v>0.83909400000000001</v>
      </c>
      <c r="G660" s="27">
        <v>17.298760000000001</v>
      </c>
      <c r="I660" s="29">
        <v>6.9855999999999998</v>
      </c>
      <c r="K660" s="29">
        <v>3.1294789999999999</v>
      </c>
      <c r="M660" s="41">
        <v>626.70000000000005</v>
      </c>
      <c r="O660" s="26">
        <v>2910.0086160000001</v>
      </c>
      <c r="Q660" s="26">
        <v>5685.5</v>
      </c>
      <c r="S660" s="26">
        <v>1816.7792870000001</v>
      </c>
      <c r="U660" s="29">
        <v>3.2554500000000002</v>
      </c>
      <c r="W660" s="14">
        <v>28.918500000000002</v>
      </c>
      <c r="Y660" s="29">
        <v>9.2407830000000004</v>
      </c>
      <c r="AA660" s="41">
        <v>576.13</v>
      </c>
      <c r="AC660" s="27">
        <v>47.225999999999999</v>
      </c>
      <c r="AE660" s="27">
        <v>1</v>
      </c>
      <c r="AG660" s="29">
        <v>7.3064999999999998</v>
      </c>
      <c r="AI660" s="29">
        <v>8.7632499999999993</v>
      </c>
      <c r="AK660" s="27">
        <v>23.427499999999998</v>
      </c>
      <c r="AM660" s="27">
        <v>30.290500000000002</v>
      </c>
      <c r="AO660" s="29">
        <v>6.7861500000000001</v>
      </c>
      <c r="AP660" s="11"/>
    </row>
    <row r="661" spans="2:42" hidden="1" outlineLevel="1" x14ac:dyDescent="0.25">
      <c r="B661" s="21">
        <v>43003</v>
      </c>
      <c r="C661" s="27">
        <v>17.830686</v>
      </c>
      <c r="E661" s="30">
        <v>0.84139399999999998</v>
      </c>
      <c r="G661" s="27">
        <v>17.372085999999999</v>
      </c>
      <c r="I661" s="29">
        <v>6.9687799999999998</v>
      </c>
      <c r="K661" s="29">
        <v>3.1435149999999998</v>
      </c>
      <c r="M661" s="41">
        <v>628.25758199999996</v>
      </c>
      <c r="O661" s="26">
        <v>2919.1101760000001</v>
      </c>
      <c r="Q661" s="26">
        <v>5683.3275199999998</v>
      </c>
      <c r="S661" s="26">
        <v>1807.9738520000001</v>
      </c>
      <c r="U661" s="29">
        <v>3.2562120000000001</v>
      </c>
      <c r="W661" s="14">
        <v>28.929776</v>
      </c>
      <c r="Y661" s="29">
        <v>9.2030740000000009</v>
      </c>
      <c r="AA661" s="41">
        <v>575.77408600000001</v>
      </c>
      <c r="AC661" s="27">
        <v>47.482073999999997</v>
      </c>
      <c r="AE661" s="27">
        <v>1</v>
      </c>
      <c r="AG661" s="29">
        <v>7.3131760000000003</v>
      </c>
      <c r="AI661" s="29">
        <v>8.7648659999999996</v>
      </c>
      <c r="AK661" s="27">
        <v>23.425706999999999</v>
      </c>
      <c r="AM661" s="27">
        <v>30.308730000000001</v>
      </c>
      <c r="AO661" s="29">
        <v>6.7913319999999997</v>
      </c>
      <c r="AP661" s="11"/>
    </row>
    <row r="662" spans="2:42" hidden="1" outlineLevel="1" x14ac:dyDescent="0.25">
      <c r="B662" s="21">
        <v>43004</v>
      </c>
      <c r="C662" s="27">
        <v>17.94577</v>
      </c>
      <c r="E662" s="30">
        <v>0.84658800000000001</v>
      </c>
      <c r="G662" s="27">
        <v>17.532802</v>
      </c>
      <c r="I662" s="29">
        <v>6.957948</v>
      </c>
      <c r="K662" s="29">
        <v>3.1626880000000002</v>
      </c>
      <c r="M662" s="41">
        <v>631.61640799999998</v>
      </c>
      <c r="O662" s="26">
        <v>2926.3141820000001</v>
      </c>
      <c r="Q662" s="26">
        <v>5677.1115019999997</v>
      </c>
      <c r="S662" s="26">
        <v>1795.043345</v>
      </c>
      <c r="U662" s="29">
        <v>3.2599930000000001</v>
      </c>
      <c r="W662" s="14">
        <v>28.958741</v>
      </c>
      <c r="Y662" s="29">
        <v>9.1564289999999993</v>
      </c>
      <c r="AA662" s="41">
        <v>574.59133999999995</v>
      </c>
      <c r="AC662" s="27">
        <v>47.649495999999999</v>
      </c>
      <c r="AE662" s="27">
        <v>1</v>
      </c>
      <c r="AG662" s="29">
        <v>7.3059580000000004</v>
      </c>
      <c r="AI662" s="29">
        <v>8.7582559999999994</v>
      </c>
      <c r="AK662" s="27">
        <v>23.409724000000001</v>
      </c>
      <c r="AM662" s="27">
        <v>30.328171999999999</v>
      </c>
      <c r="AO662" s="29">
        <v>6.7886730000000002</v>
      </c>
      <c r="AP662" s="11"/>
    </row>
    <row r="663" spans="2:42" hidden="1" outlineLevel="1" x14ac:dyDescent="0.25">
      <c r="B663" s="21">
        <v>43005</v>
      </c>
      <c r="C663" s="27">
        <v>18.086189999999998</v>
      </c>
      <c r="E663" s="30">
        <v>0.85060800000000003</v>
      </c>
      <c r="G663" s="27">
        <v>17.565974000000001</v>
      </c>
      <c r="I663" s="29">
        <v>6.9546080000000003</v>
      </c>
      <c r="K663" s="29">
        <v>3.1791839999999998</v>
      </c>
      <c r="M663" s="41">
        <v>636.72341200000005</v>
      </c>
      <c r="O663" s="26">
        <v>2928.4964519999999</v>
      </c>
      <c r="Q663" s="26">
        <v>5674.7330499999998</v>
      </c>
      <c r="S663" s="26">
        <v>1784.981585</v>
      </c>
      <c r="U663" s="29">
        <v>3.2683849999999999</v>
      </c>
      <c r="W663" s="14">
        <v>28.965969000000001</v>
      </c>
      <c r="Y663" s="29">
        <v>9.1111920000000008</v>
      </c>
      <c r="AA663" s="41">
        <v>573.98737500000004</v>
      </c>
      <c r="AC663" s="27">
        <v>47.41478</v>
      </c>
      <c r="AE663" s="27">
        <v>1</v>
      </c>
      <c r="AG663" s="29">
        <v>7.3130629999999996</v>
      </c>
      <c r="AI663" s="29">
        <v>8.7541159999999998</v>
      </c>
      <c r="AK663" s="27">
        <v>23.396291999999999</v>
      </c>
      <c r="AM663" s="27">
        <v>30.370238000000001</v>
      </c>
      <c r="AO663" s="29">
        <v>6.7848800000000002</v>
      </c>
      <c r="AP663" s="11"/>
    </row>
    <row r="664" spans="2:42" hidden="1" outlineLevel="1" x14ac:dyDescent="0.25">
      <c r="B664" s="21">
        <v>43006</v>
      </c>
      <c r="C664" s="27">
        <v>18.206534000000001</v>
      </c>
      <c r="E664" s="30">
        <v>0.84985999999999995</v>
      </c>
      <c r="G664" s="27">
        <v>17.547180000000001</v>
      </c>
      <c r="I664" s="29">
        <v>6.9509220000000003</v>
      </c>
      <c r="K664" s="29">
        <v>3.1887240000000001</v>
      </c>
      <c r="M664" s="41">
        <v>635.81281799999999</v>
      </c>
      <c r="O664" s="26">
        <v>2939.035942</v>
      </c>
      <c r="Q664" s="26">
        <v>5664.3869839999998</v>
      </c>
      <c r="S664" s="26">
        <v>1776.397336</v>
      </c>
      <c r="U664" s="29">
        <v>3.2696260000000001</v>
      </c>
      <c r="W664" s="14">
        <v>28.90962</v>
      </c>
      <c r="Y664" s="29">
        <v>9.0662640000000003</v>
      </c>
      <c r="AA664" s="41">
        <v>573.14639099999999</v>
      </c>
      <c r="AC664" s="27">
        <v>47.375537999999999</v>
      </c>
      <c r="AE664" s="27">
        <v>1</v>
      </c>
      <c r="AG664" s="29">
        <v>7.3258520000000003</v>
      </c>
      <c r="AI664" s="29">
        <v>8.7490600000000001</v>
      </c>
      <c r="AK664" s="27">
        <v>23.387149999999998</v>
      </c>
      <c r="AM664" s="27">
        <v>30.339171</v>
      </c>
      <c r="AO664" s="29">
        <v>6.7699699999999998</v>
      </c>
      <c r="AP664" s="11"/>
    </row>
    <row r="665" spans="2:42" hidden="1" outlineLevel="1" x14ac:dyDescent="0.25">
      <c r="B665" s="21">
        <v>43007</v>
      </c>
      <c r="C665" s="27">
        <v>18.188686000000001</v>
      </c>
      <c r="E665" s="30">
        <v>0.84731000000000001</v>
      </c>
      <c r="G665" s="27">
        <v>17.482469999999999</v>
      </c>
      <c r="I665" s="29">
        <v>6.95479</v>
      </c>
      <c r="K665" s="29">
        <v>3.1745190000000001</v>
      </c>
      <c r="M665" s="41">
        <v>637.49839999999995</v>
      </c>
      <c r="O665" s="26">
        <v>2942.9689560000002</v>
      </c>
      <c r="Q665" s="26">
        <v>5659.2308519999997</v>
      </c>
      <c r="S665" s="26">
        <v>1782.7262820000001</v>
      </c>
      <c r="U665" s="29">
        <v>3.2702740000000001</v>
      </c>
      <c r="W665" s="14">
        <v>29.077676</v>
      </c>
      <c r="Y665" s="29">
        <v>9.1597819999999999</v>
      </c>
      <c r="AA665" s="41">
        <v>572.80385999999999</v>
      </c>
      <c r="AC665" s="27">
        <v>47.426538000000001</v>
      </c>
      <c r="AE665" s="27">
        <v>1</v>
      </c>
      <c r="AG665" s="29">
        <v>7.3353679999999999</v>
      </c>
      <c r="AI665" s="29">
        <v>8.7531909999999993</v>
      </c>
      <c r="AK665" s="27">
        <v>23.405729999999998</v>
      </c>
      <c r="AM665" s="27">
        <v>30.353650999999999</v>
      </c>
      <c r="AO665" s="29">
        <v>6.7591840000000003</v>
      </c>
      <c r="AP665" s="11"/>
    </row>
    <row r="666" spans="2:42" hidden="1" outlineLevel="1" x14ac:dyDescent="0.25">
      <c r="B666" s="21">
        <v>43008</v>
      </c>
      <c r="C666" s="49">
        <v>18.197900000000001</v>
      </c>
      <c r="E666" s="30">
        <v>0.846418</v>
      </c>
      <c r="G666" s="27">
        <v>17.634</v>
      </c>
      <c r="I666" s="29">
        <v>7.0072000000000001</v>
      </c>
      <c r="K666" s="29">
        <v>3.1631</v>
      </c>
      <c r="M666" s="41">
        <v>640.1</v>
      </c>
      <c r="O666" s="26">
        <v>2961.3</v>
      </c>
      <c r="Q666" s="26">
        <v>5689.4</v>
      </c>
      <c r="S666" s="26">
        <v>1798.70136</v>
      </c>
      <c r="U666" s="29">
        <v>3.2866499999999998</v>
      </c>
      <c r="W666" s="14">
        <v>29.321999999999999</v>
      </c>
      <c r="Y666" s="29">
        <v>9.2701259999999994</v>
      </c>
      <c r="AA666" s="41">
        <v>575.78499999999997</v>
      </c>
      <c r="AC666" s="27">
        <v>48.0595</v>
      </c>
      <c r="AE666" s="27">
        <v>1</v>
      </c>
      <c r="AG666" s="29">
        <v>7.3789499999999997</v>
      </c>
      <c r="AI666" s="29">
        <v>8.8030000000000008</v>
      </c>
      <c r="AK666" s="27">
        <v>23.55</v>
      </c>
      <c r="AM666" s="27">
        <v>30.544</v>
      </c>
      <c r="AO666" s="29">
        <v>6.7937500000000002</v>
      </c>
      <c r="AP666" s="12"/>
    </row>
    <row r="667" spans="2:42" ht="13" collapsed="1" x14ac:dyDescent="0.3">
      <c r="B667" s="25" t="s">
        <v>159</v>
      </c>
      <c r="C667" s="19">
        <v>17.820799999999998</v>
      </c>
      <c r="E667" s="24">
        <v>0.83914100000000003</v>
      </c>
      <c r="G667" s="19">
        <v>17.255700000000001</v>
      </c>
      <c r="I667" s="23">
        <v>6.9694900000000004</v>
      </c>
      <c r="J667" s="9"/>
      <c r="K667" s="23">
        <v>3.1310699999999998</v>
      </c>
      <c r="M667" s="42">
        <v>625.86800000000005</v>
      </c>
      <c r="O667" s="31">
        <v>2918.45</v>
      </c>
      <c r="Q667" s="31">
        <v>5667.48</v>
      </c>
      <c r="S667" s="31">
        <v>1810.21</v>
      </c>
      <c r="U667" s="23">
        <v>3.24837</v>
      </c>
      <c r="W667" s="23">
        <v>28.92333</v>
      </c>
      <c r="Y667" s="23">
        <v>9.2380600000000008</v>
      </c>
      <c r="AA667" s="42">
        <v>577.04100000000005</v>
      </c>
      <c r="AC667" s="19">
        <v>47.434899999999999</v>
      </c>
      <c r="AE667" s="19">
        <v>1</v>
      </c>
      <c r="AG667" s="23">
        <v>7.30802</v>
      </c>
      <c r="AI667" s="23">
        <v>8.7610200000000003</v>
      </c>
      <c r="AK667" s="23">
        <v>23.42127</v>
      </c>
      <c r="AM667" s="23">
        <v>30.31597</v>
      </c>
      <c r="AO667" s="23">
        <v>6.7660499999999999</v>
      </c>
      <c r="AP667" s="10"/>
    </row>
    <row r="668" spans="2:42" hidden="1" outlineLevel="1" x14ac:dyDescent="0.25">
      <c r="B668" s="21">
        <v>43009</v>
      </c>
      <c r="C668" s="27">
        <v>18.254536999999999</v>
      </c>
      <c r="E668" s="30">
        <v>0.84648100000000004</v>
      </c>
      <c r="G668" s="27">
        <v>17.566465999999998</v>
      </c>
      <c r="I668" s="29">
        <v>7.0072000000000001</v>
      </c>
      <c r="K668" s="29">
        <v>3.1630720000000001</v>
      </c>
      <c r="M668" s="41">
        <v>640.1</v>
      </c>
      <c r="O668" s="26">
        <v>2945.5648059999999</v>
      </c>
      <c r="Q668" s="26">
        <v>5689.4</v>
      </c>
      <c r="S668" s="26">
        <v>1798.713025</v>
      </c>
      <c r="U668" s="29">
        <v>3.2866499999999998</v>
      </c>
      <c r="W668" s="14">
        <v>29.321999999999999</v>
      </c>
      <c r="Y668" s="29">
        <v>9.2701879999999992</v>
      </c>
      <c r="AA668" s="41">
        <v>575.78499999999997</v>
      </c>
      <c r="AC668" s="27">
        <v>48.0595</v>
      </c>
      <c r="AE668" s="27">
        <v>1</v>
      </c>
      <c r="AG668" s="29">
        <v>7.3789499999999997</v>
      </c>
      <c r="AI668" s="29">
        <v>8.8030000000000008</v>
      </c>
      <c r="AK668" s="27">
        <v>23.55</v>
      </c>
      <c r="AM668" s="27">
        <v>30.544</v>
      </c>
      <c r="AO668" s="29">
        <v>6.7937500000000002</v>
      </c>
      <c r="AP668" s="11"/>
    </row>
    <row r="669" spans="2:42" hidden="1" outlineLevel="1" x14ac:dyDescent="0.25">
      <c r="B669" s="21">
        <v>43010</v>
      </c>
      <c r="C669" s="27">
        <v>18.253748000000002</v>
      </c>
      <c r="E669" s="30">
        <v>0.85089199999999998</v>
      </c>
      <c r="G669" s="27">
        <v>17.350670000000001</v>
      </c>
      <c r="I669" s="29">
        <v>6.9382390000000003</v>
      </c>
      <c r="K669" s="29">
        <v>3.1613980000000002</v>
      </c>
      <c r="M669" s="41">
        <v>638.17438400000003</v>
      </c>
      <c r="O669" s="26">
        <v>2943.6190670000001</v>
      </c>
      <c r="Q669" s="26">
        <v>5658.3799959999997</v>
      </c>
      <c r="S669" s="26">
        <v>1789.8529160000001</v>
      </c>
      <c r="U669" s="29">
        <v>3.2682479999999998</v>
      </c>
      <c r="W669" s="14">
        <v>29.170188</v>
      </c>
      <c r="Y669" s="29">
        <v>9.2270579999999995</v>
      </c>
      <c r="AA669" s="41">
        <v>572.00483599999995</v>
      </c>
      <c r="AC669" s="27">
        <v>47.702986000000003</v>
      </c>
      <c r="AE669" s="27">
        <v>1</v>
      </c>
      <c r="AG669" s="29">
        <v>7.343375</v>
      </c>
      <c r="AI669" s="29">
        <v>8.7539119999999997</v>
      </c>
      <c r="AK669" s="27">
        <v>23.415116000000001</v>
      </c>
      <c r="AM669" s="27">
        <v>30.374010999999999</v>
      </c>
      <c r="AO669" s="29">
        <v>6.7581800000000003</v>
      </c>
      <c r="AP669" s="11"/>
    </row>
    <row r="670" spans="2:42" hidden="1" outlineLevel="1" x14ac:dyDescent="0.25">
      <c r="B670" s="21">
        <v>43011</v>
      </c>
      <c r="C670" s="27">
        <v>18.246012</v>
      </c>
      <c r="E670" s="30">
        <v>0.85198099999999999</v>
      </c>
      <c r="G670" s="27">
        <v>17.395980999999999</v>
      </c>
      <c r="I670" s="29">
        <v>6.9143400000000002</v>
      </c>
      <c r="K670" s="29">
        <v>3.1510340000000001</v>
      </c>
      <c r="M670" s="41">
        <v>637.09181599999999</v>
      </c>
      <c r="O670" s="26">
        <v>2950.5907299999999</v>
      </c>
      <c r="Q670" s="26">
        <v>5659.9376279999997</v>
      </c>
      <c r="S670" s="26">
        <v>1796.233794</v>
      </c>
      <c r="U670" s="29">
        <v>3.2693789999999998</v>
      </c>
      <c r="W670" s="14">
        <v>29.127479999999998</v>
      </c>
      <c r="Y670" s="29">
        <v>9.2438479999999998</v>
      </c>
      <c r="AA670" s="41">
        <v>571.58694200000002</v>
      </c>
      <c r="AC670" s="27">
        <v>47.541234000000003</v>
      </c>
      <c r="AE670" s="27">
        <v>1</v>
      </c>
      <c r="AG670" s="29">
        <v>7.35297</v>
      </c>
      <c r="AI670" s="29">
        <v>8.7522769999999994</v>
      </c>
      <c r="AK670" s="27">
        <v>23.417774000000001</v>
      </c>
      <c r="AM670" s="27">
        <v>30.354037000000002</v>
      </c>
      <c r="AO670" s="29">
        <v>6.7688990000000002</v>
      </c>
      <c r="AP670" s="11"/>
    </row>
    <row r="671" spans="2:42" hidden="1" outlineLevel="1" x14ac:dyDescent="0.25">
      <c r="B671" s="21">
        <v>43012</v>
      </c>
      <c r="C671" s="27">
        <v>18.211525999999999</v>
      </c>
      <c r="E671" s="30">
        <v>0.85004000000000002</v>
      </c>
      <c r="G671" s="27">
        <v>17.386844</v>
      </c>
      <c r="I671" s="29">
        <v>6.9136879999999996</v>
      </c>
      <c r="K671" s="29">
        <v>3.1367289999999999</v>
      </c>
      <c r="M671" s="41">
        <v>632.24282600000004</v>
      </c>
      <c r="O671" s="26">
        <v>2949.9170789999998</v>
      </c>
      <c r="Q671" s="26">
        <v>5665.3551530000004</v>
      </c>
      <c r="S671" s="26">
        <v>1806.1520640000001</v>
      </c>
      <c r="U671" s="29">
        <v>3.2662420000000001</v>
      </c>
      <c r="W671" s="14">
        <v>29.094460000000002</v>
      </c>
      <c r="Y671" s="29">
        <v>9.2754750000000001</v>
      </c>
      <c r="AA671" s="41">
        <v>572.280124</v>
      </c>
      <c r="AC671" s="27">
        <v>47.554046</v>
      </c>
      <c r="AE671" s="27">
        <v>1</v>
      </c>
      <c r="AG671" s="29">
        <v>7.3523300000000003</v>
      </c>
      <c r="AI671" s="29">
        <v>8.7551260000000006</v>
      </c>
      <c r="AK671" s="27">
        <v>23.412483999999999</v>
      </c>
      <c r="AM671" s="27">
        <v>30.319451000000001</v>
      </c>
      <c r="AO671" s="29">
        <v>6.7713530000000004</v>
      </c>
      <c r="AP671" s="11"/>
    </row>
    <row r="672" spans="2:42" hidden="1" outlineLevel="1" x14ac:dyDescent="0.25">
      <c r="B672" s="21">
        <v>43013</v>
      </c>
      <c r="C672" s="27">
        <v>18.333352000000001</v>
      </c>
      <c r="E672" s="30">
        <v>0.85206999999999999</v>
      </c>
      <c r="G672" s="27">
        <v>17.359772</v>
      </c>
      <c r="I672" s="29">
        <v>6.9175319999999996</v>
      </c>
      <c r="K672" s="29">
        <v>3.1394000000000002</v>
      </c>
      <c r="M672" s="41">
        <v>631.21566600000006</v>
      </c>
      <c r="O672" s="26">
        <v>2939.6927390000001</v>
      </c>
      <c r="Q672" s="26">
        <v>5664.3834980000001</v>
      </c>
      <c r="S672" s="26">
        <v>1804.3067100000001</v>
      </c>
      <c r="U672" s="29">
        <v>3.2624439999999999</v>
      </c>
      <c r="W672" s="14">
        <v>29.191866999999998</v>
      </c>
      <c r="Y672" s="29">
        <v>9.2986109999999993</v>
      </c>
      <c r="AA672" s="41">
        <v>573.49784799999998</v>
      </c>
      <c r="AC672" s="27">
        <v>47.539740999999999</v>
      </c>
      <c r="AE672" s="27">
        <v>1</v>
      </c>
      <c r="AG672" s="29">
        <v>7.3539409999999998</v>
      </c>
      <c r="AI672" s="29">
        <v>8.7601910000000007</v>
      </c>
      <c r="AK672" s="27">
        <v>23.426188</v>
      </c>
      <c r="AM672" s="27">
        <v>30.35933</v>
      </c>
      <c r="AO672" s="29">
        <v>6.7767499999999998</v>
      </c>
      <c r="AP672" s="11"/>
    </row>
    <row r="673" spans="2:42" hidden="1" outlineLevel="1" x14ac:dyDescent="0.25">
      <c r="B673" s="21">
        <v>43014</v>
      </c>
      <c r="C673" s="27">
        <v>18.524971000000001</v>
      </c>
      <c r="E673" s="30">
        <v>0.85376200000000002</v>
      </c>
      <c r="G673" s="27">
        <v>17.420093999999999</v>
      </c>
      <c r="I673" s="29">
        <v>6.9176479999999998</v>
      </c>
      <c r="K673" s="29">
        <v>3.1573820000000001</v>
      </c>
      <c r="M673" s="41">
        <v>631.11034700000005</v>
      </c>
      <c r="O673" s="26">
        <v>2934.8552199999999</v>
      </c>
      <c r="Q673" s="26">
        <v>5653.2326880000001</v>
      </c>
      <c r="S673" s="26">
        <v>1790.499767</v>
      </c>
      <c r="U673" s="29">
        <v>3.2649110000000001</v>
      </c>
      <c r="W673" s="14">
        <v>29.219601999999998</v>
      </c>
      <c r="Y673" s="29">
        <v>9.2544459999999997</v>
      </c>
      <c r="AA673" s="41">
        <v>574.05684900000006</v>
      </c>
      <c r="AC673" s="27">
        <v>47.530251</v>
      </c>
      <c r="AE673" s="27">
        <v>1</v>
      </c>
      <c r="AG673" s="29">
        <v>7.3517479999999997</v>
      </c>
      <c r="AI673" s="29">
        <v>8.7588600000000003</v>
      </c>
      <c r="AK673" s="27">
        <v>23.427523999999998</v>
      </c>
      <c r="AM673" s="27">
        <v>30.365476999999998</v>
      </c>
      <c r="AO673" s="29">
        <v>6.7774340000000004</v>
      </c>
      <c r="AP673" s="11"/>
    </row>
    <row r="674" spans="2:42" hidden="1" outlineLevel="1" x14ac:dyDescent="0.25">
      <c r="B674" s="21">
        <v>43015</v>
      </c>
      <c r="C674" s="27">
        <v>18.529133999999999</v>
      </c>
      <c r="E674" s="30">
        <v>0.852302</v>
      </c>
      <c r="G674" s="27">
        <v>17.359976</v>
      </c>
      <c r="I674" s="29">
        <v>6.89656</v>
      </c>
      <c r="K674" s="29">
        <v>3.1567750000000001</v>
      </c>
      <c r="M674" s="41">
        <v>632.85382400000003</v>
      </c>
      <c r="O674" s="26">
        <v>2924.486852</v>
      </c>
      <c r="Q674" s="26">
        <v>5634.4845679999999</v>
      </c>
      <c r="S674" s="26">
        <v>1784.9277300000001</v>
      </c>
      <c r="U674" s="29">
        <v>3.2546360000000001</v>
      </c>
      <c r="W674" s="14">
        <v>29.137957</v>
      </c>
      <c r="Y674" s="29">
        <v>9.2304840000000006</v>
      </c>
      <c r="AA674" s="41">
        <v>572.63311799999997</v>
      </c>
      <c r="AC674" s="27">
        <v>47.243049999999997</v>
      </c>
      <c r="AE674" s="27">
        <v>1</v>
      </c>
      <c r="AG674" s="29">
        <v>7.3282540000000003</v>
      </c>
      <c r="AI674" s="29">
        <v>8.7330199999999998</v>
      </c>
      <c r="AK674" s="27">
        <v>23.360059</v>
      </c>
      <c r="AM674" s="27">
        <v>30.236388999999999</v>
      </c>
      <c r="AO674" s="29">
        <v>6.761514</v>
      </c>
      <c r="AP674" s="11"/>
    </row>
    <row r="675" spans="2:42" hidden="1" outlineLevel="1" x14ac:dyDescent="0.25">
      <c r="B675" s="21">
        <v>43016</v>
      </c>
      <c r="C675" s="27">
        <v>18.533539000000001</v>
      </c>
      <c r="E675" s="30">
        <v>0.852244</v>
      </c>
      <c r="G675" s="27">
        <v>17.355684</v>
      </c>
      <c r="I675" s="29">
        <v>6.8946500000000004</v>
      </c>
      <c r="K675" s="29">
        <v>3.1562999999999999</v>
      </c>
      <c r="M675" s="41">
        <v>633.09656800000005</v>
      </c>
      <c r="O675" s="26">
        <v>2938.0967540000001</v>
      </c>
      <c r="Q675" s="26">
        <v>5632.9</v>
      </c>
      <c r="S675" s="26">
        <v>1784.678118</v>
      </c>
      <c r="U675" s="29">
        <v>3.2537500000000001</v>
      </c>
      <c r="W675" s="14">
        <v>29.130500000000001</v>
      </c>
      <c r="Y675" s="29">
        <v>9.2294359999999998</v>
      </c>
      <c r="AA675" s="41">
        <v>572.47</v>
      </c>
      <c r="AC675" s="27">
        <v>47.23</v>
      </c>
      <c r="AE675" s="27">
        <v>1</v>
      </c>
      <c r="AG675" s="29">
        <v>7.3262499999999999</v>
      </c>
      <c r="AI675" s="29">
        <v>8.7305499999999991</v>
      </c>
      <c r="AK675" s="27">
        <v>23.353999999999999</v>
      </c>
      <c r="AM675" s="27">
        <v>30.228000000000002</v>
      </c>
      <c r="AO675" s="29">
        <v>6.7596499999999997</v>
      </c>
      <c r="AP675" s="11"/>
    </row>
    <row r="676" spans="2:42" hidden="1" outlineLevel="1" x14ac:dyDescent="0.25">
      <c r="B676" s="21">
        <v>43017</v>
      </c>
      <c r="C676" s="27">
        <v>18.622959999999999</v>
      </c>
      <c r="E676" s="30">
        <v>0.85175900000000004</v>
      </c>
      <c r="G676" s="27">
        <v>17.425304000000001</v>
      </c>
      <c r="I676" s="29">
        <v>6.9007690000000004</v>
      </c>
      <c r="K676" s="29">
        <v>3.1685829999999999</v>
      </c>
      <c r="M676" s="41">
        <v>631.29586200000006</v>
      </c>
      <c r="O676" s="26">
        <v>2942.9608859999998</v>
      </c>
      <c r="Q676" s="26">
        <v>5636.9349560000001</v>
      </c>
      <c r="S676" s="26">
        <v>1779.02539</v>
      </c>
      <c r="U676" s="29">
        <v>3.2631760000000001</v>
      </c>
      <c r="W676" s="14">
        <v>29.155989999999999</v>
      </c>
      <c r="Y676" s="29">
        <v>9.2016480000000005</v>
      </c>
      <c r="AA676" s="41">
        <v>573.210914</v>
      </c>
      <c r="AC676" s="27">
        <v>47.312503999999997</v>
      </c>
      <c r="AE676" s="27">
        <v>1</v>
      </c>
      <c r="AG676" s="29">
        <v>7.3328430000000004</v>
      </c>
      <c r="AI676" s="29">
        <v>8.7383880000000005</v>
      </c>
      <c r="AK676" s="27">
        <v>23.374525999999999</v>
      </c>
      <c r="AM676" s="27">
        <v>30.260819999999999</v>
      </c>
      <c r="AO676" s="29">
        <v>6.764602</v>
      </c>
      <c r="AP676" s="11"/>
    </row>
    <row r="677" spans="2:42" hidden="1" outlineLevel="1" x14ac:dyDescent="0.25">
      <c r="B677" s="21">
        <v>43018</v>
      </c>
      <c r="C677" s="27">
        <v>18.670383000000001</v>
      </c>
      <c r="E677" s="30">
        <v>0.84821400000000002</v>
      </c>
      <c r="G677" s="27">
        <v>17.441758</v>
      </c>
      <c r="I677" s="29">
        <v>6.909834</v>
      </c>
      <c r="K677" s="29">
        <v>3.1817690000000001</v>
      </c>
      <c r="M677" s="41">
        <v>631.41950899999995</v>
      </c>
      <c r="O677" s="26">
        <v>2945.2762130000001</v>
      </c>
      <c r="Q677" s="26">
        <v>5640.8136039999999</v>
      </c>
      <c r="S677" s="26">
        <v>1772.8710699999999</v>
      </c>
      <c r="U677" s="29">
        <v>3.268284</v>
      </c>
      <c r="W677" s="14">
        <v>29.216227</v>
      </c>
      <c r="Y677" s="29">
        <v>9.182442</v>
      </c>
      <c r="AA677" s="41">
        <v>574.40019400000006</v>
      </c>
      <c r="AC677" s="27">
        <v>47.486266000000001</v>
      </c>
      <c r="AE677" s="27">
        <v>1</v>
      </c>
      <c r="AG677" s="29">
        <v>7.3418840000000003</v>
      </c>
      <c r="AI677" s="29">
        <v>8.7494870000000002</v>
      </c>
      <c r="AK677" s="27">
        <v>23.383962</v>
      </c>
      <c r="AM677" s="27">
        <v>30.369731999999999</v>
      </c>
      <c r="AO677" s="29">
        <v>6.7696519999999998</v>
      </c>
      <c r="AP677" s="11"/>
    </row>
    <row r="678" spans="2:42" hidden="1" outlineLevel="1" x14ac:dyDescent="0.25">
      <c r="B678" s="21">
        <v>43019</v>
      </c>
      <c r="C678" s="27">
        <v>18.754376000000001</v>
      </c>
      <c r="E678" s="30">
        <v>0.84494800000000003</v>
      </c>
      <c r="G678" s="27">
        <v>17.412130000000001</v>
      </c>
      <c r="I678" s="29">
        <v>6.89968</v>
      </c>
      <c r="K678" s="29">
        <v>3.1737500000000001</v>
      </c>
      <c r="M678" s="41">
        <v>628.10807999999997</v>
      </c>
      <c r="O678" s="26">
        <v>2955.2946999999999</v>
      </c>
      <c r="Q678" s="26">
        <v>5631.5493839999999</v>
      </c>
      <c r="S678" s="26">
        <v>1774.4318519999999</v>
      </c>
      <c r="U678" s="29">
        <v>3.262308</v>
      </c>
      <c r="W678" s="14">
        <v>29.177108</v>
      </c>
      <c r="Y678" s="29">
        <v>9.1933209999999992</v>
      </c>
      <c r="AA678" s="41">
        <v>573.73752000000002</v>
      </c>
      <c r="AC678" s="27">
        <v>47.401631999999999</v>
      </c>
      <c r="AE678" s="27">
        <v>1</v>
      </c>
      <c r="AG678" s="29">
        <v>7.332986</v>
      </c>
      <c r="AI678" s="29">
        <v>8.7370380000000001</v>
      </c>
      <c r="AK678" s="27">
        <v>23.366942000000002</v>
      </c>
      <c r="AM678" s="27">
        <v>30.337716</v>
      </c>
      <c r="AO678" s="29">
        <v>6.7485480000000004</v>
      </c>
      <c r="AP678" s="11"/>
    </row>
    <row r="679" spans="2:42" hidden="1" outlineLevel="1" x14ac:dyDescent="0.25">
      <c r="B679" s="21">
        <v>43020</v>
      </c>
      <c r="C679" s="27">
        <v>18.758706</v>
      </c>
      <c r="E679" s="30">
        <v>0.84370199999999995</v>
      </c>
      <c r="G679" s="27">
        <v>17.413105999999999</v>
      </c>
      <c r="I679" s="29">
        <v>6.8992040000000001</v>
      </c>
      <c r="K679" s="29">
        <v>3.1709019999999999</v>
      </c>
      <c r="M679" s="41">
        <v>625.90170699999999</v>
      </c>
      <c r="O679" s="26">
        <v>2950.249898</v>
      </c>
      <c r="Q679" s="26">
        <v>5631.4245719999999</v>
      </c>
      <c r="S679" s="26">
        <v>1775.9877300000001</v>
      </c>
      <c r="U679" s="29">
        <v>3.2557870000000002</v>
      </c>
      <c r="W679" s="14">
        <v>29.254401999999999</v>
      </c>
      <c r="Y679" s="29">
        <v>9.2259569999999993</v>
      </c>
      <c r="AA679" s="41">
        <v>573.284942</v>
      </c>
      <c r="AC679" s="27">
        <v>47.491627999999999</v>
      </c>
      <c r="AE679" s="27">
        <v>1</v>
      </c>
      <c r="AG679" s="29">
        <v>7.332884</v>
      </c>
      <c r="AI679" s="29">
        <v>8.7347560000000009</v>
      </c>
      <c r="AK679" s="27">
        <v>23.364038000000001</v>
      </c>
      <c r="AM679" s="27">
        <v>30.352847000000001</v>
      </c>
      <c r="AO679" s="29">
        <v>6.721927</v>
      </c>
      <c r="AP679" s="11"/>
    </row>
    <row r="680" spans="2:42" hidden="1" outlineLevel="1" x14ac:dyDescent="0.25">
      <c r="B680" s="21">
        <v>43021</v>
      </c>
      <c r="C680" s="27">
        <v>18.909683999999999</v>
      </c>
      <c r="E680" s="30">
        <v>0.84501199999999999</v>
      </c>
      <c r="G680" s="27">
        <v>17.392848000000001</v>
      </c>
      <c r="I680" s="29">
        <v>6.9174340000000001</v>
      </c>
      <c r="K680" s="29">
        <v>3.1620520000000001</v>
      </c>
      <c r="M680" s="41">
        <v>625.157421</v>
      </c>
      <c r="O680" s="26">
        <v>2941.6752719999999</v>
      </c>
      <c r="Q680" s="26">
        <v>5648.6955280000002</v>
      </c>
      <c r="S680" s="26">
        <v>1786.4207080000001</v>
      </c>
      <c r="U680" s="29">
        <v>3.256278</v>
      </c>
      <c r="W680" s="14">
        <v>29.384231</v>
      </c>
      <c r="Y680" s="29">
        <v>9.2928420000000003</v>
      </c>
      <c r="AA680" s="41">
        <v>573.95146899999997</v>
      </c>
      <c r="AC680" s="27">
        <v>47.596048000000003</v>
      </c>
      <c r="AE680" s="27">
        <v>1</v>
      </c>
      <c r="AG680" s="29">
        <v>7.3540770000000002</v>
      </c>
      <c r="AI680" s="29">
        <v>8.7599300000000007</v>
      </c>
      <c r="AK680" s="27">
        <v>23.434671999999999</v>
      </c>
      <c r="AM680" s="27">
        <v>30.421769999999999</v>
      </c>
      <c r="AO680" s="29">
        <v>6.7310679999999996</v>
      </c>
      <c r="AP680" s="11"/>
    </row>
    <row r="681" spans="2:42" hidden="1" outlineLevel="1" x14ac:dyDescent="0.25">
      <c r="B681" s="21">
        <v>43022</v>
      </c>
      <c r="C681" s="27">
        <v>18.914605000000002</v>
      </c>
      <c r="E681" s="30">
        <v>0.84595299999999995</v>
      </c>
      <c r="G681" s="27">
        <v>17.422844999999999</v>
      </c>
      <c r="I681" s="29">
        <v>6.9134000000000002</v>
      </c>
      <c r="K681" s="29">
        <v>3.1459419999999998</v>
      </c>
      <c r="M681" s="41">
        <v>623.29999999999995</v>
      </c>
      <c r="O681" s="26">
        <v>2934.26</v>
      </c>
      <c r="Q681" s="26">
        <v>5645.2</v>
      </c>
      <c r="S681" s="26">
        <v>1794.4645860000001</v>
      </c>
      <c r="U681" s="29">
        <v>3.2535500000000002</v>
      </c>
      <c r="W681" s="14">
        <v>29.339500000000001</v>
      </c>
      <c r="Y681" s="29">
        <v>9.3262619999999998</v>
      </c>
      <c r="AA681" s="41">
        <v>572.88499999999999</v>
      </c>
      <c r="AC681" s="27">
        <v>47.398499999999999</v>
      </c>
      <c r="AE681" s="27">
        <v>1</v>
      </c>
      <c r="AG681" s="29">
        <v>7.3491</v>
      </c>
      <c r="AI681" s="29">
        <v>8.7544500000000003</v>
      </c>
      <c r="AK681" s="27">
        <v>23.454000000000001</v>
      </c>
      <c r="AM681" s="27">
        <v>30.32</v>
      </c>
      <c r="AO681" s="29">
        <v>6.7080000000000002</v>
      </c>
      <c r="AP681" s="11"/>
    </row>
    <row r="682" spans="2:42" hidden="1" outlineLevel="1" x14ac:dyDescent="0.25">
      <c r="B682" s="21">
        <v>43023</v>
      </c>
      <c r="C682" s="27">
        <v>18.918146</v>
      </c>
      <c r="E682" s="30">
        <v>0.84606899999999996</v>
      </c>
      <c r="G682" s="27">
        <v>17.423931</v>
      </c>
      <c r="I682" s="29">
        <v>6.9134000000000002</v>
      </c>
      <c r="K682" s="29">
        <v>3.1456240000000002</v>
      </c>
      <c r="M682" s="41">
        <v>623.29999999999995</v>
      </c>
      <c r="O682" s="26">
        <v>2934.26</v>
      </c>
      <c r="Q682" s="26">
        <v>5645.2</v>
      </c>
      <c r="S682" s="26">
        <v>1794.633748</v>
      </c>
      <c r="U682" s="29">
        <v>3.2535500000000002</v>
      </c>
      <c r="W682" s="14">
        <v>29.339500000000001</v>
      </c>
      <c r="Y682" s="29">
        <v>9.3271470000000001</v>
      </c>
      <c r="AA682" s="41">
        <v>572.88499999999999</v>
      </c>
      <c r="AC682" s="27">
        <v>47.398499999999999</v>
      </c>
      <c r="AE682" s="27">
        <v>1</v>
      </c>
      <c r="AG682" s="29">
        <v>7.3491</v>
      </c>
      <c r="AI682" s="29">
        <v>8.7544500000000003</v>
      </c>
      <c r="AK682" s="27">
        <v>23.454000000000001</v>
      </c>
      <c r="AM682" s="27">
        <v>30.32</v>
      </c>
      <c r="AO682" s="29">
        <v>6.7080000000000002</v>
      </c>
      <c r="AP682" s="11"/>
    </row>
    <row r="683" spans="2:42" hidden="1" outlineLevel="1" x14ac:dyDescent="0.25">
      <c r="B683" s="21">
        <v>43024</v>
      </c>
      <c r="C683" s="27">
        <v>19.017320000000002</v>
      </c>
      <c r="E683" s="30">
        <v>0.84741</v>
      </c>
      <c r="G683" s="27">
        <v>17.359521999999998</v>
      </c>
      <c r="I683" s="29">
        <v>6.9190699999999996</v>
      </c>
      <c r="K683" s="29">
        <v>3.1563099999999999</v>
      </c>
      <c r="M683" s="41">
        <v>621.32977700000004</v>
      </c>
      <c r="O683" s="26">
        <v>2934.261395</v>
      </c>
      <c r="Q683" s="26">
        <v>5639.9435549999998</v>
      </c>
      <c r="S683" s="26">
        <v>1786.8953120000001</v>
      </c>
      <c r="U683" s="29">
        <v>3.2508240000000002</v>
      </c>
      <c r="W683" s="14">
        <v>29.387157999999999</v>
      </c>
      <c r="Y683" s="29">
        <v>9.3106659999999994</v>
      </c>
      <c r="AA683" s="41">
        <v>571.97529199999997</v>
      </c>
      <c r="AC683" s="27">
        <v>47.528377999999996</v>
      </c>
      <c r="AE683" s="27">
        <v>1</v>
      </c>
      <c r="AG683" s="29">
        <v>7.3470940000000002</v>
      </c>
      <c r="AI683" s="29">
        <v>8.7538090000000004</v>
      </c>
      <c r="AK683" s="27">
        <v>23.452458</v>
      </c>
      <c r="AM683" s="27">
        <v>30.307262000000001</v>
      </c>
      <c r="AO683" s="29">
        <v>6.7178880000000003</v>
      </c>
      <c r="AP683" s="11"/>
    </row>
    <row r="684" spans="2:42" hidden="1" outlineLevel="1" x14ac:dyDescent="0.25">
      <c r="B684" s="21">
        <v>43025</v>
      </c>
      <c r="C684" s="27">
        <v>18.992077999999999</v>
      </c>
      <c r="E684" s="30">
        <v>0.84989499999999996</v>
      </c>
      <c r="G684" s="27">
        <v>17.338832</v>
      </c>
      <c r="I684" s="29">
        <v>6.9120840000000001</v>
      </c>
      <c r="K684" s="29">
        <v>3.1701579999999998</v>
      </c>
      <c r="M684" s="41">
        <v>622.77635999999995</v>
      </c>
      <c r="O684" s="26">
        <v>2939.8120739999999</v>
      </c>
      <c r="Q684" s="26">
        <v>5637.0693520000004</v>
      </c>
      <c r="S684" s="26">
        <v>1778.1836860000001</v>
      </c>
      <c r="U684" s="29">
        <v>3.2464240000000002</v>
      </c>
      <c r="W684" s="14">
        <v>29.408327</v>
      </c>
      <c r="Y684" s="29">
        <v>9.2766719999999996</v>
      </c>
      <c r="AA684" s="41">
        <v>571.14369799999997</v>
      </c>
      <c r="AC684" s="27">
        <v>47.505800000000001</v>
      </c>
      <c r="AE684" s="27">
        <v>1</v>
      </c>
      <c r="AG684" s="29">
        <v>7.345078</v>
      </c>
      <c r="AI684" s="29">
        <v>8.7532560000000004</v>
      </c>
      <c r="AK684" s="27">
        <v>23.438020000000002</v>
      </c>
      <c r="AM684" s="27">
        <v>30.367329999999999</v>
      </c>
      <c r="AO684" s="29">
        <v>6.7152960000000004</v>
      </c>
      <c r="AP684" s="11"/>
    </row>
    <row r="685" spans="2:42" hidden="1" outlineLevel="1" x14ac:dyDescent="0.25">
      <c r="B685" s="21">
        <v>43026</v>
      </c>
      <c r="C685" s="27">
        <v>18.818642000000001</v>
      </c>
      <c r="E685" s="30">
        <v>0.84941</v>
      </c>
      <c r="G685" s="27">
        <v>17.336168000000001</v>
      </c>
      <c r="I685" s="29">
        <v>6.9049759999999996</v>
      </c>
      <c r="K685" s="29">
        <v>3.1639659999999998</v>
      </c>
      <c r="M685" s="41">
        <v>622.12622599999997</v>
      </c>
      <c r="O685" s="26">
        <v>2941.4840589999999</v>
      </c>
      <c r="Q685" s="26">
        <v>5632.4213179999997</v>
      </c>
      <c r="S685" s="26">
        <v>1780.194166</v>
      </c>
      <c r="U685" s="29">
        <v>3.2406429999999999</v>
      </c>
      <c r="W685" s="14">
        <v>29.403718000000001</v>
      </c>
      <c r="Y685" s="29">
        <v>9.2933679999999992</v>
      </c>
      <c r="AA685" s="41">
        <v>570.00244899999996</v>
      </c>
      <c r="AC685" s="27">
        <v>47.519832999999998</v>
      </c>
      <c r="AE685" s="27">
        <v>1</v>
      </c>
      <c r="AG685" s="29">
        <v>7.3426140000000002</v>
      </c>
      <c r="AI685" s="29">
        <v>8.7434080000000005</v>
      </c>
      <c r="AK685" s="27">
        <v>23.444728000000001</v>
      </c>
      <c r="AM685" s="27">
        <v>30.422082</v>
      </c>
      <c r="AO685" s="29">
        <v>6.7168060000000001</v>
      </c>
      <c r="AP685" s="11"/>
    </row>
    <row r="686" spans="2:42" hidden="1" outlineLevel="1" x14ac:dyDescent="0.25">
      <c r="B686" s="21">
        <v>43027</v>
      </c>
      <c r="C686" s="27">
        <v>18.841017999999998</v>
      </c>
      <c r="E686" s="30">
        <v>0.84575</v>
      </c>
      <c r="G686" s="27">
        <v>17.375499000000001</v>
      </c>
      <c r="I686" s="29">
        <v>6.8970339999999997</v>
      </c>
      <c r="K686" s="29">
        <v>3.171392</v>
      </c>
      <c r="M686" s="41">
        <v>622.87078799999995</v>
      </c>
      <c r="O686" s="26">
        <v>2927.463217</v>
      </c>
      <c r="Q686" s="26">
        <v>5627.4783710000002</v>
      </c>
      <c r="S686" s="26">
        <v>1774.4664110000001</v>
      </c>
      <c r="U686" s="29">
        <v>3.234159</v>
      </c>
      <c r="W686" s="14">
        <v>29.339583999999999</v>
      </c>
      <c r="Y686" s="29">
        <v>9.2513780000000008</v>
      </c>
      <c r="AA686" s="41">
        <v>568.89987199999996</v>
      </c>
      <c r="AC686" s="27">
        <v>47.628348000000003</v>
      </c>
      <c r="AE686" s="27">
        <v>1</v>
      </c>
      <c r="AG686" s="29">
        <v>7.3385040000000004</v>
      </c>
      <c r="AI686" s="29">
        <v>8.7332219999999996</v>
      </c>
      <c r="AK686" s="27">
        <v>23.477713000000001</v>
      </c>
      <c r="AM686" s="27">
        <v>30.618618000000001</v>
      </c>
      <c r="AO686" s="29">
        <v>6.7218410000000004</v>
      </c>
      <c r="AP686" s="11"/>
    </row>
    <row r="687" spans="2:42" hidden="1" outlineLevel="1" x14ac:dyDescent="0.25">
      <c r="B687" s="21">
        <v>43028</v>
      </c>
      <c r="C687" s="27">
        <v>18.927233999999999</v>
      </c>
      <c r="E687" s="30">
        <v>0.84743299999999999</v>
      </c>
      <c r="G687" s="27">
        <v>17.450247999999998</v>
      </c>
      <c r="I687" s="29">
        <v>6.9045860000000001</v>
      </c>
      <c r="K687" s="29">
        <v>3.1781779999999999</v>
      </c>
      <c r="M687" s="41">
        <v>627.04364199999998</v>
      </c>
      <c r="O687" s="26">
        <v>2926.2991029999998</v>
      </c>
      <c r="Q687" s="26">
        <v>5639.5852949999999</v>
      </c>
      <c r="S687" s="26">
        <v>1774.49019</v>
      </c>
      <c r="U687" s="29">
        <v>3.2339359999999999</v>
      </c>
      <c r="W687" s="14">
        <v>29.344228000000001</v>
      </c>
      <c r="Y687" s="29">
        <v>9.2331020000000006</v>
      </c>
      <c r="AA687" s="41">
        <v>569.47606800000005</v>
      </c>
      <c r="AC687" s="27">
        <v>47.805253</v>
      </c>
      <c r="AE687" s="27">
        <v>1</v>
      </c>
      <c r="AG687" s="29">
        <v>7.3465400000000001</v>
      </c>
      <c r="AI687" s="29">
        <v>8.7427019999999995</v>
      </c>
      <c r="AK687" s="27">
        <v>23.510467999999999</v>
      </c>
      <c r="AM687" s="27">
        <v>30.658432000000001</v>
      </c>
      <c r="AO687" s="29">
        <v>6.7296909999999999</v>
      </c>
      <c r="AP687" s="11"/>
    </row>
    <row r="688" spans="2:42" hidden="1" outlineLevel="1" x14ac:dyDescent="0.25">
      <c r="B688" s="21">
        <v>43029</v>
      </c>
      <c r="C688" s="27">
        <v>18.994256</v>
      </c>
      <c r="E688" s="30">
        <v>0.84884800000000005</v>
      </c>
      <c r="G688" s="27">
        <v>17.478359999999999</v>
      </c>
      <c r="I688" s="29">
        <v>6.923</v>
      </c>
      <c r="K688" s="29">
        <v>3.193654</v>
      </c>
      <c r="M688" s="41">
        <v>628.6</v>
      </c>
      <c r="O688" s="26">
        <v>2934</v>
      </c>
      <c r="Q688" s="26">
        <v>5658.1</v>
      </c>
      <c r="S688" s="26">
        <v>1771.7109479999999</v>
      </c>
      <c r="U688" s="29">
        <v>3.2364999999999999</v>
      </c>
      <c r="W688" s="14">
        <v>29.581</v>
      </c>
      <c r="Y688" s="29">
        <v>9.2626229999999996</v>
      </c>
      <c r="AA688" s="41">
        <v>570.93499999999995</v>
      </c>
      <c r="AC688" s="27">
        <v>47.814999999999998</v>
      </c>
      <c r="AE688" s="27">
        <v>1</v>
      </c>
      <c r="AG688" s="29">
        <v>7.3662999999999998</v>
      </c>
      <c r="AI688" s="29">
        <v>8.7661499999999997</v>
      </c>
      <c r="AK688" s="27">
        <v>23.644500000000001</v>
      </c>
      <c r="AM688" s="27">
        <v>30.807500000000001</v>
      </c>
      <c r="AO688" s="29">
        <v>6.7426000000000004</v>
      </c>
      <c r="AP688" s="11"/>
    </row>
    <row r="689" spans="2:42" hidden="1" outlineLevel="1" x14ac:dyDescent="0.25">
      <c r="B689" s="21">
        <v>43030</v>
      </c>
      <c r="C689" s="27">
        <v>18.993939000000001</v>
      </c>
      <c r="E689" s="30">
        <v>0.84886200000000001</v>
      </c>
      <c r="G689" s="27">
        <v>17.487932000000001</v>
      </c>
      <c r="I689" s="29">
        <v>6.923</v>
      </c>
      <c r="K689" s="29">
        <v>3.1928459999999999</v>
      </c>
      <c r="M689" s="41">
        <v>628.6</v>
      </c>
      <c r="O689" s="26">
        <v>2933.979652</v>
      </c>
      <c r="Q689" s="26">
        <v>5658.1</v>
      </c>
      <c r="S689" s="26">
        <v>1772.137195</v>
      </c>
      <c r="U689" s="29">
        <v>3.2364999999999999</v>
      </c>
      <c r="W689" s="14">
        <v>29.581</v>
      </c>
      <c r="Y689" s="29">
        <v>9.2648639999999993</v>
      </c>
      <c r="AA689" s="41">
        <v>570.93499999999995</v>
      </c>
      <c r="AC689" s="27">
        <v>47.814999999999998</v>
      </c>
      <c r="AE689" s="27">
        <v>1</v>
      </c>
      <c r="AG689" s="29">
        <v>7.3662999999999998</v>
      </c>
      <c r="AI689" s="29">
        <v>8.7661499999999997</v>
      </c>
      <c r="AK689" s="27">
        <v>23.644500000000001</v>
      </c>
      <c r="AM689" s="27">
        <v>30.807500000000001</v>
      </c>
      <c r="AO689" s="29">
        <v>6.7426000000000004</v>
      </c>
      <c r="AP689" s="11"/>
    </row>
    <row r="690" spans="2:42" hidden="1" outlineLevel="1" x14ac:dyDescent="0.25">
      <c r="B690" s="21">
        <v>43031</v>
      </c>
      <c r="C690" s="27">
        <v>19.025884000000001</v>
      </c>
      <c r="E690" s="30">
        <v>0.85089599999999999</v>
      </c>
      <c r="G690" s="27">
        <v>17.419695999999998</v>
      </c>
      <c r="I690" s="29">
        <v>6.9288220000000003</v>
      </c>
      <c r="K690" s="29">
        <v>3.2065579999999998</v>
      </c>
      <c r="M690" s="41">
        <v>630.63217799999995</v>
      </c>
      <c r="O690" s="26">
        <v>2940.3228009999998</v>
      </c>
      <c r="Q690" s="26">
        <v>5653.0531680000004</v>
      </c>
      <c r="S690" s="26">
        <v>1762.9817840000001</v>
      </c>
      <c r="U690" s="29">
        <v>3.2419519999999999</v>
      </c>
      <c r="W690" s="14">
        <v>29.620563000000001</v>
      </c>
      <c r="Y690" s="29">
        <v>9.2375489999999996</v>
      </c>
      <c r="AA690" s="41">
        <v>570.33587299999999</v>
      </c>
      <c r="AC690" s="27">
        <v>47.987850000000002</v>
      </c>
      <c r="AE690" s="27">
        <v>1</v>
      </c>
      <c r="AG690" s="29">
        <v>7.3682350000000003</v>
      </c>
      <c r="AI690" s="29">
        <v>8.7683630000000008</v>
      </c>
      <c r="AK690" s="27">
        <v>23.598724000000001</v>
      </c>
      <c r="AM690" s="27">
        <v>30.75788</v>
      </c>
      <c r="AO690" s="29">
        <v>6.7510320000000004</v>
      </c>
      <c r="AP690" s="11"/>
    </row>
    <row r="691" spans="2:42" hidden="1" outlineLevel="1" x14ac:dyDescent="0.25">
      <c r="B691" s="21">
        <v>43032</v>
      </c>
      <c r="C691" s="27">
        <v>19.139424000000002</v>
      </c>
      <c r="E691" s="30">
        <v>0.85019999999999996</v>
      </c>
      <c r="G691" s="27">
        <v>17.451336000000001</v>
      </c>
      <c r="I691" s="29">
        <v>6.9135140000000002</v>
      </c>
      <c r="K691" s="29">
        <v>3.2426309999999998</v>
      </c>
      <c r="M691" s="41">
        <v>630.32867199999998</v>
      </c>
      <c r="O691" s="26">
        <v>2957.6815259999998</v>
      </c>
      <c r="Q691" s="26">
        <v>5628.9990200000002</v>
      </c>
      <c r="S691" s="26">
        <v>1735.9510379999999</v>
      </c>
      <c r="U691" s="29">
        <v>3.236291</v>
      </c>
      <c r="W691" s="14">
        <v>29.622881</v>
      </c>
      <c r="Y691" s="29">
        <v>9.1354980000000001</v>
      </c>
      <c r="AA691" s="41">
        <v>568.83345599999996</v>
      </c>
      <c r="AC691" s="27">
        <v>47.936929999999997</v>
      </c>
      <c r="AE691" s="27">
        <v>1</v>
      </c>
      <c r="AG691" s="29">
        <v>7.347302</v>
      </c>
      <c r="AI691" s="29">
        <v>8.7439440000000008</v>
      </c>
      <c r="AK691" s="27">
        <v>23.526374000000001</v>
      </c>
      <c r="AM691" s="27">
        <v>30.656744</v>
      </c>
      <c r="AO691" s="29">
        <v>6.7374780000000003</v>
      </c>
      <c r="AP691" s="11"/>
    </row>
    <row r="692" spans="2:42" hidden="1" outlineLevel="1" x14ac:dyDescent="0.25">
      <c r="B692" s="21">
        <v>43033</v>
      </c>
      <c r="C692" s="27">
        <v>19.146467000000001</v>
      </c>
      <c r="E692" s="30">
        <v>0.84857400000000005</v>
      </c>
      <c r="G692" s="27">
        <v>17.488727999999998</v>
      </c>
      <c r="I692" s="29">
        <v>6.9081080000000004</v>
      </c>
      <c r="K692" s="29">
        <v>3.2417720000000001</v>
      </c>
      <c r="M692" s="41">
        <v>631.43193900000006</v>
      </c>
      <c r="O692" s="26">
        <v>2974.1123600000001</v>
      </c>
      <c r="Q692" s="26">
        <v>5634.1390199999996</v>
      </c>
      <c r="S692" s="26">
        <v>1737.9973319999999</v>
      </c>
      <c r="U692" s="29">
        <v>3.235233</v>
      </c>
      <c r="W692" s="14">
        <v>29.650848</v>
      </c>
      <c r="Y692" s="29">
        <v>9.1465540000000001</v>
      </c>
      <c r="AA692" s="41">
        <v>569.26988800000004</v>
      </c>
      <c r="AC692" s="27">
        <v>47.911684000000001</v>
      </c>
      <c r="AE692" s="27">
        <v>1</v>
      </c>
      <c r="AG692" s="29">
        <v>7.3506710000000002</v>
      </c>
      <c r="AI692" s="29">
        <v>8.7474279999999993</v>
      </c>
      <c r="AK692" s="27">
        <v>23.544930999999998</v>
      </c>
      <c r="AM692" s="27">
        <v>30.670584000000002</v>
      </c>
      <c r="AO692" s="29">
        <v>6.7387370000000004</v>
      </c>
      <c r="AP692" s="11"/>
    </row>
    <row r="693" spans="2:42" hidden="1" outlineLevel="1" x14ac:dyDescent="0.25">
      <c r="B693" s="21">
        <v>43034</v>
      </c>
      <c r="C693" s="27">
        <v>19.095312</v>
      </c>
      <c r="E693" s="30">
        <v>0.85101199999999999</v>
      </c>
      <c r="G693" s="27">
        <v>17.539567999999999</v>
      </c>
      <c r="I693" s="29">
        <v>6.912274</v>
      </c>
      <c r="K693" s="29">
        <v>3.252243</v>
      </c>
      <c r="M693" s="41">
        <v>631.33507399999996</v>
      </c>
      <c r="O693" s="26">
        <v>2995.3227259999999</v>
      </c>
      <c r="Q693" s="26">
        <v>5640.4720699999998</v>
      </c>
      <c r="S693" s="26">
        <v>1734.3484679999999</v>
      </c>
      <c r="U693" s="29">
        <v>3.2340779999999998</v>
      </c>
      <c r="W693" s="14">
        <v>29.609831</v>
      </c>
      <c r="Y693" s="29">
        <v>9.1044900000000002</v>
      </c>
      <c r="AA693" s="41">
        <v>569.23025199999995</v>
      </c>
      <c r="AC693" s="27">
        <v>47.950274</v>
      </c>
      <c r="AE693" s="27">
        <v>1</v>
      </c>
      <c r="AG693" s="29">
        <v>7.3511119999999996</v>
      </c>
      <c r="AI693" s="29">
        <v>8.7480279999999997</v>
      </c>
      <c r="AK693" s="27">
        <v>23.558764</v>
      </c>
      <c r="AM693" s="27">
        <v>30.673888000000002</v>
      </c>
      <c r="AO693" s="29">
        <v>6.7396799999999999</v>
      </c>
      <c r="AP693" s="11"/>
    </row>
    <row r="694" spans="2:42" hidden="1" outlineLevel="1" x14ac:dyDescent="0.25">
      <c r="B694" s="21">
        <v>43035</v>
      </c>
      <c r="C694" s="27">
        <v>19.19171</v>
      </c>
      <c r="E694" s="30">
        <v>0.86100100000000002</v>
      </c>
      <c r="G694" s="27">
        <v>17.64453</v>
      </c>
      <c r="I694" s="29">
        <v>6.9733169999999998</v>
      </c>
      <c r="K694" s="29">
        <v>3.2735859999999999</v>
      </c>
      <c r="M694" s="41">
        <v>637.09114799999998</v>
      </c>
      <c r="O694" s="26">
        <v>3013.4342200000001</v>
      </c>
      <c r="Q694" s="26">
        <v>5688.3558199999998</v>
      </c>
      <c r="S694" s="26">
        <v>1737.670292</v>
      </c>
      <c r="U694" s="29">
        <v>3.2590539999999999</v>
      </c>
      <c r="W694" s="14">
        <v>29.770876999999999</v>
      </c>
      <c r="Y694" s="29">
        <v>9.0943179999999995</v>
      </c>
      <c r="AA694" s="41">
        <v>574.13640599999997</v>
      </c>
      <c r="AC694" s="27">
        <v>48.324351999999998</v>
      </c>
      <c r="AE694" s="27">
        <v>1</v>
      </c>
      <c r="AG694" s="29">
        <v>7.4094559999999996</v>
      </c>
      <c r="AI694" s="29">
        <v>8.8177319999999995</v>
      </c>
      <c r="AK694" s="27">
        <v>23.758232</v>
      </c>
      <c r="AM694" s="27">
        <v>30.909472000000001</v>
      </c>
      <c r="AO694" s="29">
        <v>6.7914219999999998</v>
      </c>
      <c r="AP694" s="11"/>
    </row>
    <row r="695" spans="2:42" hidden="1" outlineLevel="1" x14ac:dyDescent="0.25">
      <c r="B695" s="21">
        <v>43036</v>
      </c>
      <c r="C695" s="27">
        <v>19.138784000000001</v>
      </c>
      <c r="E695" s="30">
        <v>0.86140000000000005</v>
      </c>
      <c r="G695" s="27">
        <v>17.605</v>
      </c>
      <c r="I695" s="29">
        <v>6.9358000000000004</v>
      </c>
      <c r="K695" s="29">
        <v>3.2357</v>
      </c>
      <c r="M695" s="41">
        <v>635.4</v>
      </c>
      <c r="O695" s="26">
        <v>3010.83</v>
      </c>
      <c r="Q695" s="26">
        <v>5654.8</v>
      </c>
      <c r="S695" s="26">
        <v>1747.6569669999999</v>
      </c>
      <c r="U695" s="29">
        <v>3.24505</v>
      </c>
      <c r="W695" s="14">
        <v>29.550999999999998</v>
      </c>
      <c r="Y695" s="29">
        <v>9.1329340000000006</v>
      </c>
      <c r="AA695" s="41">
        <v>570.71</v>
      </c>
      <c r="AC695" s="27">
        <v>48.099499999999999</v>
      </c>
      <c r="AE695" s="27">
        <v>1</v>
      </c>
      <c r="AG695" s="29">
        <v>7.3639000000000001</v>
      </c>
      <c r="AI695" s="29">
        <v>8.7636500000000002</v>
      </c>
      <c r="AK695" s="27">
        <v>23.6585</v>
      </c>
      <c r="AM695" s="27">
        <v>30.782499999999999</v>
      </c>
      <c r="AO695" s="29">
        <v>6.7404999999999999</v>
      </c>
      <c r="AP695" s="11"/>
    </row>
    <row r="696" spans="2:42" hidden="1" outlineLevel="1" x14ac:dyDescent="0.25">
      <c r="B696" s="21">
        <v>43037</v>
      </c>
      <c r="C696" s="27">
        <v>19.139900000000001</v>
      </c>
      <c r="E696" s="30">
        <v>0.86144399999999999</v>
      </c>
      <c r="G696" s="27">
        <v>17.604213000000001</v>
      </c>
      <c r="I696" s="29">
        <v>6.9358000000000004</v>
      </c>
      <c r="K696" s="29">
        <v>3.246286</v>
      </c>
      <c r="M696" s="41">
        <v>635.4</v>
      </c>
      <c r="O696" s="26">
        <v>3010.7491319999999</v>
      </c>
      <c r="Q696" s="26">
        <v>5654.8</v>
      </c>
      <c r="S696" s="26">
        <v>1741.9495939999999</v>
      </c>
      <c r="U696" s="29">
        <v>3.24505</v>
      </c>
      <c r="W696" s="14">
        <v>29.550999999999998</v>
      </c>
      <c r="Y696" s="29">
        <v>9.1031139999999997</v>
      </c>
      <c r="AA696" s="41">
        <v>570.71</v>
      </c>
      <c r="AC696" s="27">
        <v>48.099499999999999</v>
      </c>
      <c r="AE696" s="27">
        <v>1</v>
      </c>
      <c r="AG696" s="29">
        <v>7.3639000000000001</v>
      </c>
      <c r="AI696" s="29">
        <v>8.7636500000000002</v>
      </c>
      <c r="AK696" s="27">
        <v>23.6585</v>
      </c>
      <c r="AM696" s="27">
        <v>30.782499999999999</v>
      </c>
      <c r="AO696" s="29">
        <v>6.7404999999999999</v>
      </c>
      <c r="AP696" s="11"/>
    </row>
    <row r="697" spans="2:42" hidden="1" outlineLevel="1" x14ac:dyDescent="0.25">
      <c r="B697" s="21">
        <v>43038</v>
      </c>
      <c r="C697" s="27">
        <v>19.169640000000001</v>
      </c>
      <c r="E697" s="30">
        <v>0.86008399999999996</v>
      </c>
      <c r="G697" s="27">
        <v>17.654098000000001</v>
      </c>
      <c r="I697" s="29">
        <v>6.9239459999999999</v>
      </c>
      <c r="K697" s="29">
        <v>3.2545310000000001</v>
      </c>
      <c r="M697" s="41">
        <v>636.28168400000004</v>
      </c>
      <c r="O697" s="26">
        <v>3011.469603</v>
      </c>
      <c r="Q697" s="26">
        <v>5651.4383850000004</v>
      </c>
      <c r="S697" s="26">
        <v>1736.4994899999999</v>
      </c>
      <c r="U697" s="29">
        <v>3.2467030000000001</v>
      </c>
      <c r="W697" s="14">
        <v>29.398122999999998</v>
      </c>
      <c r="Y697" s="29">
        <v>9.0330270000000006</v>
      </c>
      <c r="AA697" s="41">
        <v>570.27822700000002</v>
      </c>
      <c r="AC697" s="27">
        <v>47.980316000000002</v>
      </c>
      <c r="AE697" s="27">
        <v>1</v>
      </c>
      <c r="AG697" s="29">
        <v>7.3586600000000004</v>
      </c>
      <c r="AI697" s="29">
        <v>8.7572779999999995</v>
      </c>
      <c r="AK697" s="27">
        <v>23.600773</v>
      </c>
      <c r="AM697" s="27">
        <v>30.702928</v>
      </c>
      <c r="AO697" s="29">
        <v>6.74979</v>
      </c>
      <c r="AP697" s="11"/>
    </row>
    <row r="698" spans="2:42" hidden="1" outlineLevel="1" x14ac:dyDescent="0.25">
      <c r="B698" s="21">
        <v>43039</v>
      </c>
      <c r="C698" s="49">
        <v>19.218800000000002</v>
      </c>
      <c r="E698" s="30">
        <v>0.85897800000000002</v>
      </c>
      <c r="G698" s="27">
        <v>17.676857999999999</v>
      </c>
      <c r="I698" s="29">
        <v>6.9171339999999999</v>
      </c>
      <c r="K698" s="29">
        <v>3.2814000000000001</v>
      </c>
      <c r="M698" s="41">
        <v>635.64984900000002</v>
      </c>
      <c r="O698" s="26">
        <v>3022.679122</v>
      </c>
      <c r="Q698" s="26">
        <v>5644.3346899999997</v>
      </c>
      <c r="S698" s="26">
        <v>1720.1146140000001</v>
      </c>
      <c r="U698" s="29">
        <v>3.24594</v>
      </c>
      <c r="W698" s="14">
        <v>29.316571</v>
      </c>
      <c r="Y698" s="29">
        <v>8.9342120000000005</v>
      </c>
      <c r="AA698" s="41">
        <v>569.51618599999995</v>
      </c>
      <c r="AC698" s="27">
        <v>47.971552000000003</v>
      </c>
      <c r="AE698" s="27">
        <v>1</v>
      </c>
      <c r="AG698" s="29">
        <v>7.348306</v>
      </c>
      <c r="AI698" s="29">
        <v>8.7445679999999992</v>
      </c>
      <c r="AK698" s="27">
        <v>23.570322000000001</v>
      </c>
      <c r="AM698" s="27">
        <v>30.653914</v>
      </c>
      <c r="AO698" s="29">
        <v>6.7311839999999998</v>
      </c>
      <c r="AP698" s="11"/>
    </row>
    <row r="699" spans="2:42" ht="13" collapsed="1" x14ac:dyDescent="0.3">
      <c r="B699" s="25" t="s">
        <v>160</v>
      </c>
      <c r="C699" s="19">
        <v>18.8157</v>
      </c>
      <c r="E699" s="24">
        <v>0.85085900000000003</v>
      </c>
      <c r="G699" s="19">
        <v>17.4528</v>
      </c>
      <c r="I699" s="23">
        <v>6.9188999999999998</v>
      </c>
      <c r="J699" s="9"/>
      <c r="K699" s="23">
        <v>3.1881300000000001</v>
      </c>
      <c r="M699" s="42">
        <v>630.36300000000006</v>
      </c>
      <c r="O699" s="31">
        <v>2954.99</v>
      </c>
      <c r="Q699" s="31">
        <v>5647.77</v>
      </c>
      <c r="S699" s="31">
        <v>1771.82</v>
      </c>
      <c r="U699" s="23">
        <v>3.2518600000000002</v>
      </c>
      <c r="W699" s="23">
        <v>29.36767</v>
      </c>
      <c r="Y699" s="23">
        <v>9.2126900000000003</v>
      </c>
      <c r="AA699" s="42">
        <v>571.77599999999995</v>
      </c>
      <c r="AC699" s="19">
        <v>47.6892</v>
      </c>
      <c r="AE699" s="19">
        <v>1</v>
      </c>
      <c r="AG699" s="23">
        <v>7.3514400000000002</v>
      </c>
      <c r="AI699" s="23">
        <v>8.7544799999999992</v>
      </c>
      <c r="AK699" s="23">
        <v>23.492989999999999</v>
      </c>
      <c r="AM699" s="23">
        <v>30.507829999999998</v>
      </c>
      <c r="AO699" s="23">
        <v>6.7460100000000001</v>
      </c>
      <c r="AP699" s="10"/>
    </row>
    <row r="700" spans="2:42" hidden="1" outlineLevel="1" x14ac:dyDescent="0.25">
      <c r="B700" s="21">
        <v>43040</v>
      </c>
      <c r="C700" s="27">
        <v>19.145814999999999</v>
      </c>
      <c r="E700" s="30">
        <v>0.85985199999999995</v>
      </c>
      <c r="G700" s="27">
        <v>17.631239999999998</v>
      </c>
      <c r="I700" s="29">
        <v>6.9215200000000001</v>
      </c>
      <c r="K700" s="29">
        <v>3.2704309999999999</v>
      </c>
      <c r="M700" s="41">
        <v>636.39099399999998</v>
      </c>
      <c r="O700" s="26">
        <v>3044.0089859999998</v>
      </c>
      <c r="Q700" s="26">
        <v>5641.4299080000001</v>
      </c>
      <c r="S700" s="26">
        <v>1724.995414</v>
      </c>
      <c r="U700" s="29">
        <v>3.2498179999999999</v>
      </c>
      <c r="W700" s="14">
        <v>29.292838</v>
      </c>
      <c r="Y700" s="29">
        <v>8.9569189999999992</v>
      </c>
      <c r="AA700" s="41">
        <v>569.73576200000002</v>
      </c>
      <c r="AC700" s="27">
        <v>47.927399000000001</v>
      </c>
      <c r="AE700" s="27">
        <v>1</v>
      </c>
      <c r="AG700" s="29">
        <v>7.3517830000000002</v>
      </c>
      <c r="AI700" s="29">
        <v>8.7486540000000002</v>
      </c>
      <c r="AK700" s="27">
        <v>23.581910000000001</v>
      </c>
      <c r="AM700" s="27">
        <v>30.671641999999999</v>
      </c>
      <c r="AO700" s="29">
        <v>6.7325080000000002</v>
      </c>
      <c r="AP700" s="11"/>
    </row>
    <row r="701" spans="2:42" hidden="1" outlineLevel="1" x14ac:dyDescent="0.25">
      <c r="B701" s="21">
        <v>43041</v>
      </c>
      <c r="C701" s="27">
        <v>19.024888000000001</v>
      </c>
      <c r="E701" s="30">
        <v>0.85808399999999996</v>
      </c>
      <c r="G701" s="27">
        <v>17.576243999999999</v>
      </c>
      <c r="I701" s="29">
        <v>6.921208</v>
      </c>
      <c r="K701" s="29">
        <v>3.2676660000000002</v>
      </c>
      <c r="M701" s="41">
        <v>633.22631999999999</v>
      </c>
      <c r="O701" s="26">
        <v>3056.506543</v>
      </c>
      <c r="Q701" s="26">
        <v>5640.8133289999996</v>
      </c>
      <c r="S701" s="26">
        <v>1726.2686739999999</v>
      </c>
      <c r="U701" s="29">
        <v>3.2972139999999999</v>
      </c>
      <c r="W701" s="14">
        <v>29.195789000000001</v>
      </c>
      <c r="Y701" s="29">
        <v>8.9348080000000003</v>
      </c>
      <c r="AA701" s="41">
        <v>569.36375599999997</v>
      </c>
      <c r="AC701" s="27">
        <v>47.947369999999999</v>
      </c>
      <c r="AE701" s="27">
        <v>1</v>
      </c>
      <c r="AG701" s="29">
        <v>7.3506</v>
      </c>
      <c r="AI701" s="29">
        <v>8.7475579999999997</v>
      </c>
      <c r="AK701" s="27">
        <v>23.607133000000001</v>
      </c>
      <c r="AM701" s="27">
        <v>30.717493000000001</v>
      </c>
      <c r="AO701" s="29">
        <v>6.7320690000000001</v>
      </c>
      <c r="AP701" s="11"/>
    </row>
    <row r="702" spans="2:42" hidden="1" outlineLevel="1" x14ac:dyDescent="0.25">
      <c r="B702" s="21">
        <v>43042</v>
      </c>
      <c r="C702" s="27">
        <v>19.084130999999999</v>
      </c>
      <c r="E702" s="30">
        <v>0.859375</v>
      </c>
      <c r="G702" s="27">
        <v>17.561229999999998</v>
      </c>
      <c r="I702" s="29">
        <v>6.9211999999999998</v>
      </c>
      <c r="K702" s="29">
        <v>3.2854950000000001</v>
      </c>
      <c r="M702" s="41">
        <v>633.096678</v>
      </c>
      <c r="O702" s="26">
        <v>3040.5799360000001</v>
      </c>
      <c r="Q702" s="26">
        <v>5645.0802400000002</v>
      </c>
      <c r="S702" s="26">
        <v>1718.1987569999999</v>
      </c>
      <c r="U702" s="29">
        <v>3.2584599999999999</v>
      </c>
      <c r="W702" s="14">
        <v>29.201146000000001</v>
      </c>
      <c r="Y702" s="29">
        <v>8.8879520000000003</v>
      </c>
      <c r="AA702" s="41">
        <v>569.19537400000002</v>
      </c>
      <c r="AC702" s="27">
        <v>48.005898000000002</v>
      </c>
      <c r="AE702" s="27">
        <v>1</v>
      </c>
      <c r="AG702" s="29">
        <v>7.3528200000000004</v>
      </c>
      <c r="AI702" s="29">
        <v>8.7490579999999998</v>
      </c>
      <c r="AK702" s="27">
        <v>23.608508</v>
      </c>
      <c r="AM702" s="27">
        <v>30.71555</v>
      </c>
      <c r="AO702" s="29">
        <v>6.7287460000000001</v>
      </c>
      <c r="AP702" s="11"/>
    </row>
    <row r="703" spans="2:42" hidden="1" outlineLevel="1" x14ac:dyDescent="0.25">
      <c r="B703" s="21">
        <v>43043</v>
      </c>
      <c r="C703" s="27">
        <v>19.204543999999999</v>
      </c>
      <c r="E703" s="30">
        <v>0.86138400000000004</v>
      </c>
      <c r="G703" s="27">
        <v>17.634851999999999</v>
      </c>
      <c r="I703" s="29">
        <v>6.9492000000000003</v>
      </c>
      <c r="K703" s="29">
        <v>3.3138010000000002</v>
      </c>
      <c r="M703" s="41">
        <v>632.21283200000005</v>
      </c>
      <c r="O703" s="26">
        <v>3039.1681480000002</v>
      </c>
      <c r="Q703" s="26">
        <v>5662.9</v>
      </c>
      <c r="S703" s="26">
        <v>1708.9092760000001</v>
      </c>
      <c r="U703" s="29">
        <v>3.2483</v>
      </c>
      <c r="W703" s="14">
        <v>29.337</v>
      </c>
      <c r="Y703" s="29">
        <v>8.8530949999999997</v>
      </c>
      <c r="AA703" s="41">
        <v>571.26</v>
      </c>
      <c r="AC703" s="27">
        <v>48.192</v>
      </c>
      <c r="AE703" s="27">
        <v>1</v>
      </c>
      <c r="AG703" s="29">
        <v>7.3806000000000003</v>
      </c>
      <c r="AI703" s="29">
        <v>8.7806499999999996</v>
      </c>
      <c r="AK703" s="27">
        <v>23.7135</v>
      </c>
      <c r="AM703" s="27">
        <v>30.841999999999999</v>
      </c>
      <c r="AO703" s="29">
        <v>6.75345</v>
      </c>
      <c r="AP703" s="11"/>
    </row>
    <row r="704" spans="2:42" hidden="1" outlineLevel="1" x14ac:dyDescent="0.25">
      <c r="B704" s="21">
        <v>43044</v>
      </c>
      <c r="C704" s="27">
        <v>19.203178000000001</v>
      </c>
      <c r="E704" s="30">
        <v>0.86065800000000003</v>
      </c>
      <c r="G704" s="27">
        <v>17.620114000000001</v>
      </c>
      <c r="I704" s="29">
        <v>6.9492000000000003</v>
      </c>
      <c r="K704" s="29">
        <v>3.3129460000000002</v>
      </c>
      <c r="M704" s="41">
        <v>632.25119299999994</v>
      </c>
      <c r="O704" s="26">
        <v>3037.5</v>
      </c>
      <c r="Q704" s="26">
        <v>5662.9</v>
      </c>
      <c r="S704" s="26">
        <v>1709.3642339999999</v>
      </c>
      <c r="U704" s="29">
        <v>3.2483</v>
      </c>
      <c r="W704" s="14">
        <v>29.337</v>
      </c>
      <c r="Y704" s="29">
        <v>8.8554440000000003</v>
      </c>
      <c r="AA704" s="41">
        <v>571.26</v>
      </c>
      <c r="AC704" s="27">
        <v>48.192</v>
      </c>
      <c r="AE704" s="27">
        <v>1</v>
      </c>
      <c r="AG704" s="29">
        <v>7.3806000000000003</v>
      </c>
      <c r="AI704" s="29">
        <v>8.7806499999999996</v>
      </c>
      <c r="AK704" s="27">
        <v>23.7135</v>
      </c>
      <c r="AM704" s="27">
        <v>30.841999999999999</v>
      </c>
      <c r="AO704" s="29">
        <v>6.75345</v>
      </c>
      <c r="AP704" s="11"/>
    </row>
    <row r="705" spans="2:42" hidden="1" outlineLevel="1" x14ac:dyDescent="0.25">
      <c r="B705" s="21">
        <v>43045</v>
      </c>
      <c r="C705" s="27">
        <v>19.109615999999999</v>
      </c>
      <c r="E705" s="30">
        <v>0.86170999999999998</v>
      </c>
      <c r="G705" s="27">
        <v>17.619664</v>
      </c>
      <c r="I705" s="29">
        <v>6.9342579999999998</v>
      </c>
      <c r="K705" s="29">
        <v>3.2902239999999998</v>
      </c>
      <c r="M705" s="41">
        <v>633.41462200000001</v>
      </c>
      <c r="O705" s="26">
        <v>3040.3412840000001</v>
      </c>
      <c r="Q705" s="26">
        <v>5652.8489659999996</v>
      </c>
      <c r="S705" s="26">
        <v>1718.090279</v>
      </c>
      <c r="U705" s="29">
        <v>3.2765420000000001</v>
      </c>
      <c r="W705" s="14">
        <v>29.292372</v>
      </c>
      <c r="Y705" s="29">
        <v>8.9029100000000003</v>
      </c>
      <c r="AA705" s="41">
        <v>570.53630599999997</v>
      </c>
      <c r="AC705" s="27">
        <v>48.098762000000001</v>
      </c>
      <c r="AE705" s="27">
        <v>1</v>
      </c>
      <c r="AG705" s="29">
        <v>7.3670559999999998</v>
      </c>
      <c r="AI705" s="29">
        <v>8.7654599999999991</v>
      </c>
      <c r="AK705" s="27">
        <v>23.676715999999999</v>
      </c>
      <c r="AM705" s="27">
        <v>30.790493999999999</v>
      </c>
      <c r="AO705" s="29">
        <v>6.7447080000000001</v>
      </c>
      <c r="AP705" s="11"/>
    </row>
    <row r="706" spans="2:42" hidden="1" outlineLevel="1" x14ac:dyDescent="0.25">
      <c r="B706" s="21">
        <v>43046</v>
      </c>
      <c r="C706" s="27">
        <v>19.094999999999999</v>
      </c>
      <c r="E706" s="30">
        <v>0.863012</v>
      </c>
      <c r="G706" s="27">
        <v>17.649097999999999</v>
      </c>
      <c r="I706" s="29">
        <v>6.9153440000000002</v>
      </c>
      <c r="K706" s="29">
        <v>3.2621760000000002</v>
      </c>
      <c r="M706" s="41">
        <v>633.65165999999999</v>
      </c>
      <c r="O706" s="26">
        <v>3036.3677619999999</v>
      </c>
      <c r="Q706" s="26">
        <v>5639.9318370000001</v>
      </c>
      <c r="S706" s="26">
        <v>1728.9015380000001</v>
      </c>
      <c r="U706" s="29">
        <v>3.2425410000000001</v>
      </c>
      <c r="W706" s="14">
        <v>29.202873</v>
      </c>
      <c r="Y706" s="29">
        <v>8.9520099999999996</v>
      </c>
      <c r="AA706" s="41">
        <v>568.970868</v>
      </c>
      <c r="AC706" s="27">
        <v>47.983317</v>
      </c>
      <c r="AE706" s="27">
        <v>1</v>
      </c>
      <c r="AG706" s="29">
        <v>7.343413</v>
      </c>
      <c r="AI706" s="29">
        <v>8.7434879999999993</v>
      </c>
      <c r="AK706" s="27">
        <v>23.589812999999999</v>
      </c>
      <c r="AM706" s="27">
        <v>30.681395999999999</v>
      </c>
      <c r="AO706" s="29">
        <v>6.7308849999999998</v>
      </c>
      <c r="AP706" s="11"/>
    </row>
    <row r="707" spans="2:42" hidden="1" outlineLevel="1" x14ac:dyDescent="0.25">
      <c r="B707" s="21">
        <v>43047</v>
      </c>
      <c r="C707" s="27">
        <v>19.111803999999999</v>
      </c>
      <c r="E707" s="30">
        <v>0.86240799999999995</v>
      </c>
      <c r="G707" s="27">
        <v>17.597906999999999</v>
      </c>
      <c r="I707" s="29">
        <v>6.9145899999999996</v>
      </c>
      <c r="K707" s="29">
        <v>3.2622719999999998</v>
      </c>
      <c r="M707" s="41">
        <v>632.82740799999999</v>
      </c>
      <c r="O707" s="26">
        <v>3028.5352659999999</v>
      </c>
      <c r="Q707" s="26">
        <v>5638.9704620000002</v>
      </c>
      <c r="S707" s="26">
        <v>1728.5573199999999</v>
      </c>
      <c r="U707" s="29">
        <v>3.2592249999999998</v>
      </c>
      <c r="W707" s="14">
        <v>29.175218000000001</v>
      </c>
      <c r="Y707" s="29">
        <v>8.9432749999999999</v>
      </c>
      <c r="AA707" s="41">
        <v>568.415482</v>
      </c>
      <c r="AC707" s="27">
        <v>47.949007000000002</v>
      </c>
      <c r="AE707" s="27">
        <v>1</v>
      </c>
      <c r="AG707" s="29">
        <v>7.3378829999999997</v>
      </c>
      <c r="AI707" s="29">
        <v>8.7414319999999996</v>
      </c>
      <c r="AK707" s="27">
        <v>23.574577999999999</v>
      </c>
      <c r="AM707" s="27">
        <v>30.656891999999999</v>
      </c>
      <c r="AO707" s="29">
        <v>6.736847</v>
      </c>
      <c r="AP707" s="11"/>
    </row>
    <row r="708" spans="2:42" hidden="1" outlineLevel="1" x14ac:dyDescent="0.25">
      <c r="B708" s="21">
        <v>43048</v>
      </c>
      <c r="C708" s="27">
        <v>19.091101999999999</v>
      </c>
      <c r="E708" s="30">
        <v>0.86067300000000002</v>
      </c>
      <c r="G708" s="27">
        <v>17.517838000000001</v>
      </c>
      <c r="I708" s="29">
        <v>6.9276260000000001</v>
      </c>
      <c r="K708" s="29">
        <v>3.2540789999999999</v>
      </c>
      <c r="M708" s="41">
        <v>631.51678800000002</v>
      </c>
      <c r="O708" s="26">
        <v>3024.8745800000002</v>
      </c>
      <c r="Q708" s="26">
        <v>5651.4643260000003</v>
      </c>
      <c r="S708" s="26">
        <v>1736.751172</v>
      </c>
      <c r="U708" s="29">
        <v>3.2455400000000001</v>
      </c>
      <c r="W708" s="14">
        <v>29.226101</v>
      </c>
      <c r="Y708" s="29">
        <v>8.9814360000000004</v>
      </c>
      <c r="AA708" s="41">
        <v>570.69856000000004</v>
      </c>
      <c r="AC708" s="27">
        <v>47.950507000000002</v>
      </c>
      <c r="AE708" s="27">
        <v>1</v>
      </c>
      <c r="AG708" s="29">
        <v>7.3443940000000003</v>
      </c>
      <c r="AI708" s="29">
        <v>8.7555420000000002</v>
      </c>
      <c r="AK708" s="27">
        <v>23.529798</v>
      </c>
      <c r="AM708" s="27">
        <v>30.640633999999999</v>
      </c>
      <c r="AO708" s="29">
        <v>6.7521100000000001</v>
      </c>
      <c r="AP708" s="11"/>
    </row>
    <row r="709" spans="2:42" hidden="1" outlineLevel="1" x14ac:dyDescent="0.25">
      <c r="B709" s="21">
        <v>43049</v>
      </c>
      <c r="C709" s="27">
        <v>19.059425999999998</v>
      </c>
      <c r="E709" s="30">
        <v>0.85818000000000005</v>
      </c>
      <c r="G709" s="27">
        <v>17.500094000000001</v>
      </c>
      <c r="I709" s="29">
        <v>6.921494</v>
      </c>
      <c r="K709" s="29">
        <v>3.2623180000000001</v>
      </c>
      <c r="M709" s="41">
        <v>630.70050400000002</v>
      </c>
      <c r="O709" s="26">
        <v>3011.2267440000001</v>
      </c>
      <c r="Q709" s="26">
        <v>5648.0385990000004</v>
      </c>
      <c r="S709" s="26">
        <v>1731.3239840000001</v>
      </c>
      <c r="U709" s="29">
        <v>3.2426680000000001</v>
      </c>
      <c r="W709" s="14">
        <v>29.186610000000002</v>
      </c>
      <c r="Y709" s="29">
        <v>8.9466929999999998</v>
      </c>
      <c r="AA709" s="41">
        <v>570.20276100000001</v>
      </c>
      <c r="AC709" s="27">
        <v>47.795307999999999</v>
      </c>
      <c r="AE709" s="27">
        <v>1</v>
      </c>
      <c r="AG709" s="29">
        <v>7.3313870000000003</v>
      </c>
      <c r="AI709" s="29">
        <v>8.7422789999999999</v>
      </c>
      <c r="AK709" s="27">
        <v>23.548103999999999</v>
      </c>
      <c r="AM709" s="27">
        <v>30.408728</v>
      </c>
      <c r="AO709" s="29">
        <v>6.7469970000000004</v>
      </c>
      <c r="AP709" s="11"/>
    </row>
    <row r="710" spans="2:42" hidden="1" outlineLevel="1" x14ac:dyDescent="0.25">
      <c r="B710" s="21">
        <v>43050</v>
      </c>
      <c r="C710" s="27">
        <v>19.104707999999999</v>
      </c>
      <c r="E710" s="30">
        <v>0.85719199999999995</v>
      </c>
      <c r="G710" s="27">
        <v>17.466501999999998</v>
      </c>
      <c r="I710" s="29">
        <v>6.9099000000000004</v>
      </c>
      <c r="K710" s="29">
        <v>3.2771720000000002</v>
      </c>
      <c r="M710" s="41">
        <v>630.49829999999997</v>
      </c>
      <c r="O710" s="26">
        <v>3005.113613</v>
      </c>
      <c r="Q710" s="26">
        <v>5640.75</v>
      </c>
      <c r="S710" s="26">
        <v>1721.26323</v>
      </c>
      <c r="U710" s="29">
        <v>3.237644</v>
      </c>
      <c r="W710" s="14">
        <v>29.131</v>
      </c>
      <c r="Y710" s="29">
        <v>8.8892450000000007</v>
      </c>
      <c r="AA710" s="41">
        <v>568.23</v>
      </c>
      <c r="AC710" s="27">
        <v>47.910372000000002</v>
      </c>
      <c r="AE710" s="27">
        <v>1</v>
      </c>
      <c r="AG710" s="29">
        <v>7.3265500000000001</v>
      </c>
      <c r="AI710" s="29">
        <v>8.7313500000000008</v>
      </c>
      <c r="AK710" s="27">
        <v>23.575899</v>
      </c>
      <c r="AM710" s="27">
        <v>30.682500000000001</v>
      </c>
      <c r="AO710" s="29">
        <v>6.7153999999999998</v>
      </c>
      <c r="AP710" s="11"/>
    </row>
    <row r="711" spans="2:42" hidden="1" outlineLevel="1" x14ac:dyDescent="0.25">
      <c r="B711" s="21">
        <v>43051</v>
      </c>
      <c r="C711" s="27">
        <v>19.104668</v>
      </c>
      <c r="E711" s="30">
        <v>0.85722600000000004</v>
      </c>
      <c r="G711" s="27">
        <v>17.468702</v>
      </c>
      <c r="I711" s="29">
        <v>6.9099000000000004</v>
      </c>
      <c r="K711" s="29">
        <v>3.2773319999999999</v>
      </c>
      <c r="M711" s="41">
        <v>630.10390199999995</v>
      </c>
      <c r="O711" s="26">
        <v>3004.4979619999999</v>
      </c>
      <c r="Q711" s="26">
        <v>5640.75</v>
      </c>
      <c r="S711" s="26">
        <v>1721.1775339999999</v>
      </c>
      <c r="U711" s="29">
        <v>3.2353499999999999</v>
      </c>
      <c r="W711" s="14">
        <v>29.131</v>
      </c>
      <c r="Y711" s="29">
        <v>8.8888020000000001</v>
      </c>
      <c r="AA711" s="41">
        <v>568.23</v>
      </c>
      <c r="AC711" s="27">
        <v>47.92</v>
      </c>
      <c r="AE711" s="27">
        <v>1</v>
      </c>
      <c r="AG711" s="29">
        <v>7.3265500000000001</v>
      </c>
      <c r="AI711" s="29">
        <v>8.7313500000000008</v>
      </c>
      <c r="AK711" s="27">
        <v>23.590499999999999</v>
      </c>
      <c r="AM711" s="27">
        <v>30.682500000000001</v>
      </c>
      <c r="AO711" s="29">
        <v>6.7153999999999998</v>
      </c>
      <c r="AP711" s="11"/>
    </row>
    <row r="712" spans="2:42" hidden="1" outlineLevel="1" x14ac:dyDescent="0.25">
      <c r="B712" s="21">
        <v>43052</v>
      </c>
      <c r="C712" s="27">
        <v>19.137103</v>
      </c>
      <c r="E712" s="30">
        <v>0.85786799999999996</v>
      </c>
      <c r="G712" s="27">
        <v>17.500422</v>
      </c>
      <c r="I712" s="29">
        <v>6.9130969999999996</v>
      </c>
      <c r="K712" s="29">
        <v>3.2834590000000001</v>
      </c>
      <c r="M712" s="41">
        <v>631.12926800000002</v>
      </c>
      <c r="O712" s="26">
        <v>3012.1261340000001</v>
      </c>
      <c r="Q712" s="26">
        <v>5650.0514839999996</v>
      </c>
      <c r="S712" s="26">
        <v>1720.7774139999999</v>
      </c>
      <c r="U712" s="29">
        <v>3.2406280000000001</v>
      </c>
      <c r="W712" s="14">
        <v>29.182230000000001</v>
      </c>
      <c r="Y712" s="29">
        <v>8.8876980000000003</v>
      </c>
      <c r="AA712" s="41">
        <v>569.09901400000001</v>
      </c>
      <c r="AC712" s="27">
        <v>47.961075999999998</v>
      </c>
      <c r="AE712" s="27">
        <v>1</v>
      </c>
      <c r="AG712" s="29">
        <v>7.3355030000000001</v>
      </c>
      <c r="AI712" s="29">
        <v>8.7430920000000008</v>
      </c>
      <c r="AK712" s="27">
        <v>23.635666000000001</v>
      </c>
      <c r="AM712" s="27">
        <v>30.713766</v>
      </c>
      <c r="AO712" s="29">
        <v>6.748424</v>
      </c>
      <c r="AP712" s="11"/>
    </row>
    <row r="713" spans="2:42" hidden="1" outlineLevel="1" x14ac:dyDescent="0.25">
      <c r="B713" s="21">
        <v>43053</v>
      </c>
      <c r="C713" s="27">
        <v>19.115482</v>
      </c>
      <c r="E713" s="30">
        <v>0.85249399999999997</v>
      </c>
      <c r="G713" s="27">
        <v>17.488714999999999</v>
      </c>
      <c r="I713" s="29">
        <v>6.9166249999999998</v>
      </c>
      <c r="K713" s="29">
        <v>3.2901159999999998</v>
      </c>
      <c r="M713" s="41">
        <v>630.13487599999996</v>
      </c>
      <c r="O713" s="26">
        <v>3009.3049059999998</v>
      </c>
      <c r="Q713" s="26">
        <v>5652.1096399999997</v>
      </c>
      <c r="S713" s="26">
        <v>1717.921308</v>
      </c>
      <c r="U713" s="29">
        <v>3.2388560000000002</v>
      </c>
      <c r="W713" s="14">
        <v>29.191293999999999</v>
      </c>
      <c r="Y713" s="29">
        <v>8.8724720000000001</v>
      </c>
      <c r="AA713" s="41">
        <v>568.77610600000003</v>
      </c>
      <c r="AC713" s="27">
        <v>47.942411999999997</v>
      </c>
      <c r="AE713" s="27">
        <v>1</v>
      </c>
      <c r="AG713" s="29">
        <v>7.3305879999999997</v>
      </c>
      <c r="AI713" s="29">
        <v>8.7389039999999998</v>
      </c>
      <c r="AK713" s="27">
        <v>23.62256</v>
      </c>
      <c r="AM713" s="27">
        <v>30.680914000000001</v>
      </c>
      <c r="AO713" s="29">
        <v>6.7412299999999998</v>
      </c>
      <c r="AP713" s="11"/>
    </row>
    <row r="714" spans="2:42" hidden="1" outlineLevel="1" x14ac:dyDescent="0.25">
      <c r="B714" s="21">
        <v>43054</v>
      </c>
      <c r="C714" s="27">
        <v>19.204364999999999</v>
      </c>
      <c r="E714" s="30">
        <v>0.84698799999999996</v>
      </c>
      <c r="G714" s="27">
        <v>17.502941</v>
      </c>
      <c r="I714" s="29">
        <v>6.9380119999999996</v>
      </c>
      <c r="K714" s="29">
        <v>3.3133940000000002</v>
      </c>
      <c r="M714" s="41">
        <v>629.79858400000001</v>
      </c>
      <c r="O714" s="26">
        <v>3010.267922</v>
      </c>
      <c r="Q714" s="26">
        <v>5649.5914039999998</v>
      </c>
      <c r="S714" s="26">
        <v>1705.09294</v>
      </c>
      <c r="U714" s="29">
        <v>3.2383310000000001</v>
      </c>
      <c r="W714" s="14">
        <v>29.220690000000001</v>
      </c>
      <c r="Y714" s="29">
        <v>8.819013</v>
      </c>
      <c r="AA714" s="41">
        <v>567.96738000000005</v>
      </c>
      <c r="AC714" s="27">
        <v>47.904187999999998</v>
      </c>
      <c r="AE714" s="27">
        <v>1</v>
      </c>
      <c r="AG714" s="29">
        <v>7.3215919999999999</v>
      </c>
      <c r="AI714" s="29">
        <v>8.7277269999999998</v>
      </c>
      <c r="AK714" s="27">
        <v>23.56983</v>
      </c>
      <c r="AM714" s="27">
        <v>30.633101</v>
      </c>
      <c r="AO714" s="29">
        <v>6.7254459999999998</v>
      </c>
      <c r="AP714" s="11"/>
    </row>
    <row r="715" spans="2:42" hidden="1" outlineLevel="1" x14ac:dyDescent="0.25">
      <c r="B715" s="21">
        <v>43055</v>
      </c>
      <c r="C715" s="27">
        <v>19.154869999999999</v>
      </c>
      <c r="E715" s="30">
        <v>0.84923899999999997</v>
      </c>
      <c r="G715" s="27">
        <v>17.503996999999998</v>
      </c>
      <c r="I715" s="29">
        <v>6.975066</v>
      </c>
      <c r="K715" s="29">
        <v>3.2947069999999998</v>
      </c>
      <c r="M715" s="41">
        <v>631.567588</v>
      </c>
      <c r="O715" s="26">
        <v>3022.3657480000002</v>
      </c>
      <c r="Q715" s="26">
        <v>5673.3598220000003</v>
      </c>
      <c r="S715" s="26">
        <v>1721.9770120000001</v>
      </c>
      <c r="U715" s="29">
        <v>3.2558099999999999</v>
      </c>
      <c r="W715" s="14">
        <v>29.46885</v>
      </c>
      <c r="Y715" s="29">
        <v>8.94435</v>
      </c>
      <c r="AA715" s="41">
        <v>570.70306400000004</v>
      </c>
      <c r="AC715" s="27">
        <v>47.993532000000002</v>
      </c>
      <c r="AE715" s="27">
        <v>1</v>
      </c>
      <c r="AG715" s="29">
        <v>7.3596279999999998</v>
      </c>
      <c r="AI715" s="29">
        <v>8.7730969999999999</v>
      </c>
      <c r="AK715" s="27">
        <v>23.605340000000002</v>
      </c>
      <c r="AM715" s="27">
        <v>30.701664000000001</v>
      </c>
      <c r="AO715" s="29">
        <v>6.7502279999999999</v>
      </c>
      <c r="AP715" s="11"/>
    </row>
    <row r="716" spans="2:42" hidden="1" outlineLevel="1" x14ac:dyDescent="0.25">
      <c r="B716" s="21">
        <v>43056</v>
      </c>
      <c r="C716" s="27">
        <v>19.007373999999999</v>
      </c>
      <c r="E716" s="30">
        <v>0.84761399999999998</v>
      </c>
      <c r="G716" s="27">
        <v>17.479144999999999</v>
      </c>
      <c r="I716" s="29">
        <v>6.9488890000000003</v>
      </c>
      <c r="K716" s="29">
        <v>3.269908</v>
      </c>
      <c r="M716" s="41">
        <v>628.80373299999997</v>
      </c>
      <c r="O716" s="26">
        <v>3015.6849670000001</v>
      </c>
      <c r="Q716" s="26">
        <v>5646.1132090000001</v>
      </c>
      <c r="S716" s="26">
        <v>1726.704524</v>
      </c>
      <c r="U716" s="29">
        <v>3.2466360000000001</v>
      </c>
      <c r="W716" s="14">
        <v>29.442461999999999</v>
      </c>
      <c r="Y716" s="29">
        <v>9.0041159999999998</v>
      </c>
      <c r="AA716" s="41">
        <v>567.93105500000001</v>
      </c>
      <c r="AC716" s="27">
        <v>48.022951999999997</v>
      </c>
      <c r="AE716" s="27">
        <v>1</v>
      </c>
      <c r="AG716" s="29">
        <v>7.3348899999999997</v>
      </c>
      <c r="AI716" s="29">
        <v>8.7411469999999998</v>
      </c>
      <c r="AK716" s="27">
        <v>23.608039999999999</v>
      </c>
      <c r="AM716" s="27">
        <v>30.710856</v>
      </c>
      <c r="AO716" s="29">
        <v>6.7269079999999999</v>
      </c>
      <c r="AP716" s="11"/>
    </row>
    <row r="717" spans="2:42" hidden="1" outlineLevel="1" x14ac:dyDescent="0.25">
      <c r="B717" s="21">
        <v>43057</v>
      </c>
      <c r="C717" s="27">
        <v>18.922788000000001</v>
      </c>
      <c r="E717" s="30">
        <v>0.84767000000000003</v>
      </c>
      <c r="G717" s="27">
        <v>17.48</v>
      </c>
      <c r="I717" s="29">
        <v>6.9715999999999996</v>
      </c>
      <c r="K717" s="29">
        <v>3.2571880000000002</v>
      </c>
      <c r="M717" s="41">
        <v>628.27703899999995</v>
      </c>
      <c r="O717" s="26">
        <v>3015.1</v>
      </c>
      <c r="Q717" s="26">
        <v>5654.05</v>
      </c>
      <c r="S717" s="26">
        <v>1735.9054940000001</v>
      </c>
      <c r="U717" s="29">
        <v>3.2459500000000001</v>
      </c>
      <c r="W717" s="14">
        <v>29.5215</v>
      </c>
      <c r="Y717" s="29">
        <v>9.0636639999999993</v>
      </c>
      <c r="AA717" s="41">
        <v>568.22500000000002</v>
      </c>
      <c r="AC717" s="27">
        <v>48.085500000000003</v>
      </c>
      <c r="AE717" s="27">
        <v>1</v>
      </c>
      <c r="AG717" s="29">
        <v>7.3467000000000002</v>
      </c>
      <c r="AI717" s="29">
        <v>8.7521000000000004</v>
      </c>
      <c r="AK717" s="27">
        <v>23.663</v>
      </c>
      <c r="AM717" s="27">
        <v>30.782</v>
      </c>
      <c r="AO717" s="29">
        <v>6.7314999999999996</v>
      </c>
      <c r="AP717" s="11"/>
    </row>
    <row r="718" spans="2:42" hidden="1" outlineLevel="1" x14ac:dyDescent="0.25">
      <c r="B718" s="21">
        <v>43058</v>
      </c>
      <c r="C718" s="27">
        <v>18.924408</v>
      </c>
      <c r="E718" s="30">
        <v>0.84784599999999999</v>
      </c>
      <c r="G718" s="27">
        <v>17.478186999999998</v>
      </c>
      <c r="I718" s="29">
        <v>6.9715999999999996</v>
      </c>
      <c r="K718" s="29">
        <v>3.2575500000000002</v>
      </c>
      <c r="M718" s="41">
        <v>626.67957999999999</v>
      </c>
      <c r="O718" s="26">
        <v>3015.9944009999999</v>
      </c>
      <c r="Q718" s="26">
        <v>5654.05</v>
      </c>
      <c r="S718" s="26">
        <v>1735.6961289999999</v>
      </c>
      <c r="U718" s="29">
        <v>3.2459500000000001</v>
      </c>
      <c r="W718" s="14">
        <v>29.5215</v>
      </c>
      <c r="Y718" s="29">
        <v>9.0625800000000005</v>
      </c>
      <c r="AA718" s="41">
        <v>568.22500000000002</v>
      </c>
      <c r="AC718" s="27">
        <v>48.085500000000003</v>
      </c>
      <c r="AE718" s="27">
        <v>1</v>
      </c>
      <c r="AG718" s="29">
        <v>7.3467000000000002</v>
      </c>
      <c r="AI718" s="29">
        <v>8.7521000000000004</v>
      </c>
      <c r="AK718" s="27">
        <v>23.663</v>
      </c>
      <c r="AM718" s="27">
        <v>30.782</v>
      </c>
      <c r="AO718" s="29">
        <v>6.7314999999999996</v>
      </c>
      <c r="AP718" s="11"/>
    </row>
    <row r="719" spans="2:42" hidden="1" outlineLevel="1" x14ac:dyDescent="0.25">
      <c r="B719" s="21">
        <v>43059</v>
      </c>
      <c r="C719" s="27">
        <v>18.974769999999999</v>
      </c>
      <c r="E719" s="30">
        <v>0.85096099999999997</v>
      </c>
      <c r="G719" s="27">
        <v>17.499419</v>
      </c>
      <c r="I719" s="29">
        <v>6.9708009999999998</v>
      </c>
      <c r="K719" s="29">
        <v>3.257517</v>
      </c>
      <c r="M719" s="41">
        <v>633.69968400000005</v>
      </c>
      <c r="O719" s="26">
        <v>3018.181094</v>
      </c>
      <c r="Q719" s="26">
        <v>5665.2102940000004</v>
      </c>
      <c r="S719" s="26">
        <v>1739.1358700000001</v>
      </c>
      <c r="U719" s="29">
        <v>3.2484069999999998</v>
      </c>
      <c r="W719" s="14">
        <v>29.527348</v>
      </c>
      <c r="Y719" s="29">
        <v>9.0644349999999996</v>
      </c>
      <c r="AA719" s="41">
        <v>569.15333399999997</v>
      </c>
      <c r="AC719" s="27">
        <v>48.168731999999999</v>
      </c>
      <c r="AE719" s="27">
        <v>1</v>
      </c>
      <c r="AG719" s="29">
        <v>7.3605280000000004</v>
      </c>
      <c r="AI719" s="29">
        <v>8.7684879999999996</v>
      </c>
      <c r="AK719" s="27">
        <v>23.674413999999999</v>
      </c>
      <c r="AM719" s="27">
        <v>30.809725</v>
      </c>
      <c r="AO719" s="29">
        <v>6.7526799999999998</v>
      </c>
      <c r="AP719" s="11"/>
    </row>
    <row r="720" spans="2:42" hidden="1" outlineLevel="1" x14ac:dyDescent="0.25">
      <c r="B720" s="21">
        <v>43060</v>
      </c>
      <c r="C720" s="27">
        <v>18.914815999999998</v>
      </c>
      <c r="E720" s="30">
        <v>0.85205600000000004</v>
      </c>
      <c r="G720" s="27">
        <v>17.477646</v>
      </c>
      <c r="I720" s="29">
        <v>6.9564120000000003</v>
      </c>
      <c r="K720" s="29">
        <v>3.2564380000000002</v>
      </c>
      <c r="M720" s="41">
        <v>635.97699499999999</v>
      </c>
      <c r="O720" s="26">
        <v>3009.4940080000001</v>
      </c>
      <c r="Q720" s="26">
        <v>5659.5879880000002</v>
      </c>
      <c r="S720" s="26">
        <v>1737.984627</v>
      </c>
      <c r="U720" s="29">
        <v>3.2415419999999999</v>
      </c>
      <c r="W720" s="14">
        <v>29.439177999999998</v>
      </c>
      <c r="Y720" s="29">
        <v>9.0403509999999994</v>
      </c>
      <c r="AA720" s="41">
        <v>568.86510399999997</v>
      </c>
      <c r="AC720" s="27">
        <v>48.071939999999998</v>
      </c>
      <c r="AE720" s="27">
        <v>1</v>
      </c>
      <c r="AG720" s="29">
        <v>7.3419280000000002</v>
      </c>
      <c r="AI720" s="29">
        <v>8.7612620000000003</v>
      </c>
      <c r="AK720" s="27">
        <v>23.653953000000001</v>
      </c>
      <c r="AM720" s="27">
        <v>30.823228</v>
      </c>
      <c r="AO720" s="29">
        <v>6.7525519999999997</v>
      </c>
      <c r="AP720" s="11"/>
    </row>
    <row r="721" spans="2:42" hidden="1" outlineLevel="1" x14ac:dyDescent="0.25">
      <c r="B721" s="21">
        <v>43061</v>
      </c>
      <c r="C721" s="27">
        <v>18.757618999999998</v>
      </c>
      <c r="E721" s="30">
        <v>0.84957499999999997</v>
      </c>
      <c r="G721" s="27">
        <v>17.465896999999998</v>
      </c>
      <c r="I721" s="29">
        <v>6.9284999999999997</v>
      </c>
      <c r="K721" s="29">
        <v>3.2478539999999998</v>
      </c>
      <c r="M721" s="41">
        <v>635.05246399999999</v>
      </c>
      <c r="O721" s="26">
        <v>2996.5483559999998</v>
      </c>
      <c r="Q721" s="26">
        <v>5645.3819450000001</v>
      </c>
      <c r="S721" s="26">
        <v>1738.20427</v>
      </c>
      <c r="U721" s="29">
        <v>3.235185</v>
      </c>
      <c r="W721" s="14">
        <v>29.283154</v>
      </c>
      <c r="Y721" s="29">
        <v>9.0162049999999994</v>
      </c>
      <c r="AA721" s="41">
        <v>566.34030199999995</v>
      </c>
      <c r="AC721" s="27">
        <v>47.750362000000003</v>
      </c>
      <c r="AE721" s="27">
        <v>1</v>
      </c>
      <c r="AG721" s="29">
        <v>7.3236280000000002</v>
      </c>
      <c r="AI721" s="29">
        <v>8.7427759999999992</v>
      </c>
      <c r="AK721" s="27">
        <v>23.583743999999999</v>
      </c>
      <c r="AM721" s="27">
        <v>30.745871999999999</v>
      </c>
      <c r="AO721" s="29">
        <v>6.7514440000000002</v>
      </c>
      <c r="AP721" s="11"/>
    </row>
    <row r="722" spans="2:42" hidden="1" outlineLevel="1" x14ac:dyDescent="0.25">
      <c r="B722" s="21">
        <v>43062</v>
      </c>
      <c r="C722" s="27">
        <v>18.637765999999999</v>
      </c>
      <c r="E722" s="30">
        <v>0.84455400000000003</v>
      </c>
      <c r="G722" s="27">
        <v>17.429922000000001</v>
      </c>
      <c r="I722" s="29">
        <v>6.9315720000000001</v>
      </c>
      <c r="K722" s="29">
        <v>3.226118</v>
      </c>
      <c r="M722" s="41">
        <v>633.99079700000004</v>
      </c>
      <c r="O722" s="26">
        <v>2980.402677</v>
      </c>
      <c r="Q722" s="26">
        <v>5640.8748480000004</v>
      </c>
      <c r="S722" s="26">
        <v>1748.51794</v>
      </c>
      <c r="U722" s="29">
        <v>3.228974</v>
      </c>
      <c r="W722" s="14">
        <v>29.211943999999999</v>
      </c>
      <c r="Y722" s="29">
        <v>9.0548789999999997</v>
      </c>
      <c r="AA722" s="41">
        <v>563.72379000000001</v>
      </c>
      <c r="AC722" s="27">
        <v>47.956023999999999</v>
      </c>
      <c r="AE722" s="27">
        <v>1</v>
      </c>
      <c r="AG722" s="29">
        <v>7.3244680000000004</v>
      </c>
      <c r="AI722" s="29">
        <v>8.7260399999999994</v>
      </c>
      <c r="AK722" s="27">
        <v>23.586808000000001</v>
      </c>
      <c r="AM722" s="27">
        <v>30.690738</v>
      </c>
      <c r="AO722" s="29">
        <v>6.7308899999999996</v>
      </c>
      <c r="AP722" s="11"/>
    </row>
    <row r="723" spans="2:42" hidden="1" outlineLevel="1" x14ac:dyDescent="0.25">
      <c r="B723" s="21">
        <v>43063</v>
      </c>
      <c r="C723" s="27">
        <v>18.604900000000001</v>
      </c>
      <c r="E723" s="30">
        <v>0.84129799999999999</v>
      </c>
      <c r="G723" s="27">
        <v>17.378644000000001</v>
      </c>
      <c r="I723" s="29">
        <v>6.95045</v>
      </c>
      <c r="K723" s="29">
        <v>3.2262909999999998</v>
      </c>
      <c r="M723" s="41">
        <v>633.69320000000005</v>
      </c>
      <c r="O723" s="26">
        <v>2979.1911519999999</v>
      </c>
      <c r="Q723" s="26">
        <v>5665.952174</v>
      </c>
      <c r="S723" s="26">
        <v>1756.19802</v>
      </c>
      <c r="U723" s="29">
        <v>3.2359</v>
      </c>
      <c r="W723" s="14">
        <v>29.356013000000001</v>
      </c>
      <c r="Y723" s="29">
        <v>9.0990520000000004</v>
      </c>
      <c r="AA723" s="41">
        <v>565.36339999999996</v>
      </c>
      <c r="AC723" s="27">
        <v>48.075558000000001</v>
      </c>
      <c r="AE723" s="27">
        <v>1</v>
      </c>
      <c r="AG723" s="29">
        <v>7.3442660000000002</v>
      </c>
      <c r="AI723" s="29">
        <v>8.7473500000000008</v>
      </c>
      <c r="AK723" s="27">
        <v>23.630492</v>
      </c>
      <c r="AM723" s="27">
        <v>30.766102</v>
      </c>
      <c r="AO723" s="29">
        <v>6.737406</v>
      </c>
      <c r="AP723" s="11"/>
    </row>
    <row r="724" spans="2:42" hidden="1" outlineLevel="1" x14ac:dyDescent="0.25">
      <c r="B724" s="21">
        <v>43064</v>
      </c>
      <c r="C724" s="27">
        <v>18.604900000000001</v>
      </c>
      <c r="E724" s="30">
        <v>0.84129799999999999</v>
      </c>
      <c r="G724" s="27">
        <v>17.346668999999999</v>
      </c>
      <c r="I724" s="29">
        <v>6.9211499999999999</v>
      </c>
      <c r="K724" s="29">
        <v>3.2327360000000001</v>
      </c>
      <c r="M724" s="41">
        <v>631.59234800000002</v>
      </c>
      <c r="O724" s="26">
        <v>2975.8975580000001</v>
      </c>
      <c r="Q724" s="26">
        <v>5637.05</v>
      </c>
      <c r="S724" s="26">
        <v>1743.7661000000001</v>
      </c>
      <c r="U724" s="29">
        <v>3.2171500000000002</v>
      </c>
      <c r="W724" s="14">
        <v>29.18</v>
      </c>
      <c r="Y724" s="29">
        <v>9.0265319999999996</v>
      </c>
      <c r="AA724" s="41">
        <v>561.97500000000002</v>
      </c>
      <c r="AC724" s="27">
        <v>47.796500000000002</v>
      </c>
      <c r="AE724" s="27">
        <v>1</v>
      </c>
      <c r="AG724" s="29">
        <v>7.2987000000000002</v>
      </c>
      <c r="AI724" s="29">
        <v>8.69435</v>
      </c>
      <c r="AK724" s="27">
        <v>23.507999999999999</v>
      </c>
      <c r="AM724" s="27">
        <v>30.581</v>
      </c>
      <c r="AO724" s="29">
        <v>6.6875499999999999</v>
      </c>
      <c r="AP724" s="11"/>
    </row>
    <row r="725" spans="2:42" hidden="1" outlineLevel="1" x14ac:dyDescent="0.25">
      <c r="B725" s="21">
        <v>43065</v>
      </c>
      <c r="C725" s="27">
        <v>18.55986</v>
      </c>
      <c r="E725" s="30">
        <v>0.83804000000000001</v>
      </c>
      <c r="G725" s="27">
        <v>17.346585999999999</v>
      </c>
      <c r="I725" s="29">
        <v>6.9211499999999999</v>
      </c>
      <c r="K725" s="29">
        <v>3.2329210000000002</v>
      </c>
      <c r="M725" s="41">
        <v>634.1</v>
      </c>
      <c r="O725" s="26">
        <v>3016.02</v>
      </c>
      <c r="Q725" s="26">
        <v>5637.05</v>
      </c>
      <c r="S725" s="26">
        <v>1743.6545149999999</v>
      </c>
      <c r="U725" s="29">
        <v>3.2171500000000002</v>
      </c>
      <c r="W725" s="14">
        <v>29.18</v>
      </c>
      <c r="Y725" s="29">
        <v>9.0259610000000006</v>
      </c>
      <c r="AA725" s="41">
        <v>561.97500000000002</v>
      </c>
      <c r="AC725" s="27">
        <v>47.796500000000002</v>
      </c>
      <c r="AE725" s="27">
        <v>1</v>
      </c>
      <c r="AG725" s="29">
        <v>7.2987000000000002</v>
      </c>
      <c r="AI725" s="29">
        <v>8.69435</v>
      </c>
      <c r="AK725" s="27">
        <v>23.507999999999999</v>
      </c>
      <c r="AM725" s="27">
        <v>30.581</v>
      </c>
      <c r="AO725" s="29">
        <v>6.6875499999999999</v>
      </c>
      <c r="AP725" s="11"/>
    </row>
    <row r="726" spans="2:42" hidden="1" outlineLevel="1" x14ac:dyDescent="0.25">
      <c r="B726" s="21">
        <v>43066</v>
      </c>
      <c r="C726" s="27">
        <v>18.549247999999999</v>
      </c>
      <c r="E726" s="30">
        <v>0.83881700000000003</v>
      </c>
      <c r="G726" s="27">
        <v>17.324522999999999</v>
      </c>
      <c r="I726" s="29">
        <v>6.9348229999999997</v>
      </c>
      <c r="K726" s="29">
        <v>3.2279499999999999</v>
      </c>
      <c r="M726" s="41">
        <v>634.17271600000004</v>
      </c>
      <c r="O726" s="26">
        <v>2975.7187859999999</v>
      </c>
      <c r="Q726" s="26">
        <v>5658.5600569999997</v>
      </c>
      <c r="S726" s="26">
        <v>1753.004739</v>
      </c>
      <c r="U726" s="29">
        <v>3.2315659999999999</v>
      </c>
      <c r="W726" s="14">
        <v>29.289389</v>
      </c>
      <c r="Y726" s="29">
        <v>9.0737299999999994</v>
      </c>
      <c r="AA726" s="41">
        <v>564.15764000000001</v>
      </c>
      <c r="AC726" s="27">
        <v>47.972732999999998</v>
      </c>
      <c r="AE726" s="27">
        <v>1</v>
      </c>
      <c r="AG726" s="29">
        <v>7.3276830000000004</v>
      </c>
      <c r="AI726" s="29">
        <v>8.75</v>
      </c>
      <c r="AK726" s="27">
        <v>23.576840000000001</v>
      </c>
      <c r="AM726" s="27">
        <v>30.70448</v>
      </c>
      <c r="AO726" s="29">
        <v>6.7243550000000001</v>
      </c>
      <c r="AP726" s="11"/>
    </row>
    <row r="727" spans="2:42" hidden="1" outlineLevel="1" x14ac:dyDescent="0.25">
      <c r="B727" s="21">
        <v>43067</v>
      </c>
      <c r="C727" s="27">
        <v>18.571217999999998</v>
      </c>
      <c r="E727" s="30">
        <v>0.84156200000000003</v>
      </c>
      <c r="G727" s="27">
        <v>17.330705999999999</v>
      </c>
      <c r="I727" s="29">
        <v>6.9623819999999998</v>
      </c>
      <c r="K727" s="29">
        <v>3.221266</v>
      </c>
      <c r="M727" s="41">
        <v>638.71081000000004</v>
      </c>
      <c r="O727" s="26">
        <v>2997.079225</v>
      </c>
      <c r="Q727" s="26">
        <v>5677.995911</v>
      </c>
      <c r="S727" s="26">
        <v>1762.6755479999999</v>
      </c>
      <c r="U727" s="29">
        <v>3.2392759999999998</v>
      </c>
      <c r="W727" s="14">
        <v>29.276719</v>
      </c>
      <c r="Y727" s="29">
        <v>9.0886270000000007</v>
      </c>
      <c r="AA727" s="41">
        <v>566.47997099999998</v>
      </c>
      <c r="AC727" s="27">
        <v>48.177028</v>
      </c>
      <c r="AE727" s="27">
        <v>1</v>
      </c>
      <c r="AG727" s="29">
        <v>7.3597799999999998</v>
      </c>
      <c r="AI727" s="29">
        <v>8.75</v>
      </c>
      <c r="AK727" s="27">
        <v>23.670195</v>
      </c>
      <c r="AM727" s="27">
        <v>30.830148000000001</v>
      </c>
      <c r="AO727" s="29">
        <v>6.7524420000000003</v>
      </c>
      <c r="AP727" s="11"/>
    </row>
    <row r="728" spans="2:42" hidden="1" outlineLevel="1" x14ac:dyDescent="0.25">
      <c r="B728" s="21">
        <v>43068</v>
      </c>
      <c r="C728" s="27">
        <v>18.538388000000001</v>
      </c>
      <c r="E728" s="30">
        <v>0.843773</v>
      </c>
      <c r="G728" s="27">
        <v>17.393408000000001</v>
      </c>
      <c r="I728" s="29">
        <v>6.9626279999999996</v>
      </c>
      <c r="K728" s="29">
        <v>3.2216399999999998</v>
      </c>
      <c r="M728" s="41">
        <v>642.42463199999997</v>
      </c>
      <c r="O728" s="26">
        <v>3007.0595640000001</v>
      </c>
      <c r="Q728" s="26">
        <v>5670.7170720000004</v>
      </c>
      <c r="S728" s="26">
        <v>1760.211577</v>
      </c>
      <c r="U728" s="29">
        <v>3.2315879999999999</v>
      </c>
      <c r="W728" s="14">
        <v>29.109559999999998</v>
      </c>
      <c r="Y728" s="29">
        <v>9.0356850000000009</v>
      </c>
      <c r="AA728" s="41">
        <v>566.50622399999997</v>
      </c>
      <c r="AC728" s="27">
        <v>48.163890000000002</v>
      </c>
      <c r="AE728" s="27">
        <v>1</v>
      </c>
      <c r="AG728" s="29">
        <v>7.3619339999999998</v>
      </c>
      <c r="AI728" s="29">
        <v>8.75</v>
      </c>
      <c r="AK728" s="27">
        <v>23.666475999999999</v>
      </c>
      <c r="AM728" s="27">
        <v>30.804317999999999</v>
      </c>
      <c r="AO728" s="29">
        <v>6.7498120000000004</v>
      </c>
      <c r="AP728" s="11"/>
    </row>
    <row r="729" spans="2:42" hidden="1" outlineLevel="1" x14ac:dyDescent="0.25">
      <c r="B729" s="21">
        <v>43069</v>
      </c>
      <c r="C729" s="49">
        <v>18.518999999999998</v>
      </c>
      <c r="E729" s="30">
        <v>0.84223800000000004</v>
      </c>
      <c r="G729" s="27">
        <v>17.383953999999999</v>
      </c>
      <c r="I729" s="29">
        <v>6.9459739999999996</v>
      </c>
      <c r="K729" s="29">
        <v>3.2576909999999999</v>
      </c>
      <c r="M729" s="41">
        <v>645.17439999999999</v>
      </c>
      <c r="O729" s="26">
        <v>3001.0736339999999</v>
      </c>
      <c r="Q729" s="26">
        <v>5658.020356</v>
      </c>
      <c r="S729" s="26">
        <v>1736.8348699999999</v>
      </c>
      <c r="U729" s="29">
        <v>3.2302339999999998</v>
      </c>
      <c r="W729" s="14">
        <v>28.962443</v>
      </c>
      <c r="Y729" s="29">
        <v>8.8905329999999996</v>
      </c>
      <c r="AA729" s="41">
        <v>565.39430800000002</v>
      </c>
      <c r="AC729" s="27">
        <v>48.076222999999999</v>
      </c>
      <c r="AE729" s="27">
        <v>1</v>
      </c>
      <c r="AG729" s="29">
        <v>7.3436969999999997</v>
      </c>
      <c r="AI729" s="29">
        <v>8.75</v>
      </c>
      <c r="AK729" s="27">
        <v>23.611785999999999</v>
      </c>
      <c r="AM729" s="27">
        <v>30.763909999999999</v>
      </c>
      <c r="AO729" s="29">
        <v>6.7268080000000001</v>
      </c>
      <c r="AP729" s="11"/>
    </row>
    <row r="730" spans="2:42" ht="13" collapsed="1" x14ac:dyDescent="0.3">
      <c r="B730" s="25" t="s">
        <v>161</v>
      </c>
      <c r="C730" s="19">
        <v>18.9346</v>
      </c>
      <c r="E730" s="24">
        <v>0.85178799999999999</v>
      </c>
      <c r="G730" s="19">
        <v>17.488499999999998</v>
      </c>
      <c r="I730" s="23">
        <v>6.9372100000000003</v>
      </c>
      <c r="J730" s="9"/>
      <c r="K730" s="23">
        <v>3.26369</v>
      </c>
      <c r="M730" s="42">
        <v>633.16200000000003</v>
      </c>
      <c r="O730" s="31">
        <v>3014.21</v>
      </c>
      <c r="Q730" s="31">
        <v>5652.05</v>
      </c>
      <c r="S730" s="31">
        <v>1731.94</v>
      </c>
      <c r="U730" s="23">
        <v>3.24369</v>
      </c>
      <c r="W730" s="23">
        <v>29.269110000000001</v>
      </c>
      <c r="Y730" s="23">
        <v>8.96875</v>
      </c>
      <c r="AA730" s="42">
        <v>567.899</v>
      </c>
      <c r="AC730" s="19">
        <v>47.995800000000003</v>
      </c>
      <c r="AE730" s="19">
        <v>1</v>
      </c>
      <c r="AG730" s="23">
        <v>7.3418200000000002</v>
      </c>
      <c r="AI730" s="23">
        <v>8.7460100000000001</v>
      </c>
      <c r="AK730" s="23">
        <v>23.611599999999999</v>
      </c>
      <c r="AM730" s="23">
        <v>30.714559999999999</v>
      </c>
      <c r="AO730" s="23">
        <v>6.7350399999999997</v>
      </c>
      <c r="AP730" s="10"/>
    </row>
    <row r="731" spans="2:42" hidden="1" outlineLevel="1" x14ac:dyDescent="0.25">
      <c r="B731" s="21">
        <v>43070</v>
      </c>
      <c r="C731" s="27">
        <v>18.647296000000001</v>
      </c>
      <c r="E731" s="30">
        <v>0.84020700000000004</v>
      </c>
      <c r="G731" s="27">
        <v>17.278853000000002</v>
      </c>
      <c r="I731" s="29">
        <v>6.9173460000000002</v>
      </c>
      <c r="K731" s="29">
        <v>3.2658399999999999</v>
      </c>
      <c r="M731" s="41">
        <v>645.06550400000003</v>
      </c>
      <c r="O731" s="26">
        <v>3001.7051339999998</v>
      </c>
      <c r="Q731" s="26">
        <v>5653.006171</v>
      </c>
      <c r="S731" s="26">
        <v>1730.9665</v>
      </c>
      <c r="U731" s="29">
        <v>3.2267220000000001</v>
      </c>
      <c r="W731" s="14">
        <v>28.884886000000002</v>
      </c>
      <c r="Y731" s="29">
        <v>8.8446040000000004</v>
      </c>
      <c r="AA731" s="41">
        <v>564.54950799999995</v>
      </c>
      <c r="AC731" s="27">
        <v>47.991777999999996</v>
      </c>
      <c r="AE731" s="27">
        <v>1</v>
      </c>
      <c r="AG731" s="29">
        <v>7.3287440000000004</v>
      </c>
      <c r="AI731" s="29">
        <v>8.75</v>
      </c>
      <c r="AK731" s="27">
        <v>23.557579</v>
      </c>
      <c r="AM731" s="27">
        <v>30.711880000000001</v>
      </c>
      <c r="AO731" s="29">
        <v>6.7217169999999999</v>
      </c>
      <c r="AP731" s="11"/>
    </row>
    <row r="732" spans="2:42" hidden="1" outlineLevel="1" x14ac:dyDescent="0.25">
      <c r="B732" s="21">
        <v>43071</v>
      </c>
      <c r="C732" s="27">
        <v>18.625779000000001</v>
      </c>
      <c r="E732" s="30">
        <v>0.84083300000000005</v>
      </c>
      <c r="G732" s="27">
        <v>17.309719999999999</v>
      </c>
      <c r="I732" s="29">
        <v>6.9119000000000002</v>
      </c>
      <c r="K732" s="29">
        <v>3.2563200000000001</v>
      </c>
      <c r="M732" s="41">
        <v>647.28274399999998</v>
      </c>
      <c r="O732" s="26">
        <v>3017.75</v>
      </c>
      <c r="Q732" s="26">
        <v>5670.85</v>
      </c>
      <c r="S732" s="26">
        <v>1741.529094</v>
      </c>
      <c r="U732" s="29">
        <v>3.2335500000000001</v>
      </c>
      <c r="W732" s="14">
        <v>29.003499999999999</v>
      </c>
      <c r="Y732" s="29">
        <v>8.9070140000000002</v>
      </c>
      <c r="AA732" s="41">
        <v>566.36500000000001</v>
      </c>
      <c r="AC732" s="27">
        <v>48.188499999999998</v>
      </c>
      <c r="AE732" s="27">
        <v>1</v>
      </c>
      <c r="AG732" s="29">
        <v>7.3520000000000003</v>
      </c>
      <c r="AI732" s="29">
        <v>8.75</v>
      </c>
      <c r="AK732" s="27">
        <v>23.658999999999999</v>
      </c>
      <c r="AM732" s="27">
        <v>30.834</v>
      </c>
      <c r="AO732" s="29">
        <v>6.7318499999999997</v>
      </c>
      <c r="AP732" s="11"/>
    </row>
    <row r="733" spans="2:42" hidden="1" outlineLevel="1" x14ac:dyDescent="0.25">
      <c r="B733" s="21">
        <v>43072</v>
      </c>
      <c r="C733" s="27">
        <v>18.627617999999998</v>
      </c>
      <c r="E733" s="30">
        <v>0.84097599999999995</v>
      </c>
      <c r="G733" s="27">
        <v>17.319220999999999</v>
      </c>
      <c r="I733" s="29">
        <v>6.9119000000000002</v>
      </c>
      <c r="K733" s="29">
        <v>3.25692</v>
      </c>
      <c r="M733" s="41">
        <v>647.25869999999998</v>
      </c>
      <c r="O733" s="26">
        <v>3017.1620119999998</v>
      </c>
      <c r="Q733" s="26">
        <v>5670.85</v>
      </c>
      <c r="S733" s="26">
        <v>1741.199341</v>
      </c>
      <c r="U733" s="29">
        <v>3.2335500000000001</v>
      </c>
      <c r="W733" s="14">
        <v>29.003499999999999</v>
      </c>
      <c r="Y733" s="29">
        <v>8.9053310000000003</v>
      </c>
      <c r="AA733" s="41">
        <v>566.36500000000001</v>
      </c>
      <c r="AC733" s="27">
        <v>48.188499999999998</v>
      </c>
      <c r="AE733" s="27">
        <v>1</v>
      </c>
      <c r="AG733" s="29">
        <v>7.3520000000000003</v>
      </c>
      <c r="AI733" s="29">
        <v>8.75</v>
      </c>
      <c r="AK733" s="27">
        <v>23.658999999999999</v>
      </c>
      <c r="AM733" s="27">
        <v>30.834</v>
      </c>
      <c r="AO733" s="29">
        <v>6.7318499999999997</v>
      </c>
      <c r="AP733" s="11"/>
    </row>
    <row r="734" spans="2:42" hidden="1" outlineLevel="1" x14ac:dyDescent="0.25">
      <c r="B734" s="21">
        <v>43073</v>
      </c>
      <c r="C734" s="27">
        <v>18.647506</v>
      </c>
      <c r="E734" s="30">
        <v>0.84326000000000001</v>
      </c>
      <c r="G734" s="27">
        <v>17.272517000000001</v>
      </c>
      <c r="I734" s="29">
        <v>6.9185980000000002</v>
      </c>
      <c r="K734" s="29">
        <v>3.2527680000000001</v>
      </c>
      <c r="M734" s="41">
        <v>648.35375899999997</v>
      </c>
      <c r="O734" s="26">
        <v>3006.3748460000002</v>
      </c>
      <c r="Q734" s="26">
        <v>5674.7724479999997</v>
      </c>
      <c r="S734" s="26">
        <v>1744.613638</v>
      </c>
      <c r="U734" s="29">
        <v>3.2365879999999998</v>
      </c>
      <c r="W734" s="14">
        <v>29.031956000000001</v>
      </c>
      <c r="Y734" s="29">
        <v>8.9253599999999995</v>
      </c>
      <c r="AA734" s="41">
        <v>566.98224000000005</v>
      </c>
      <c r="AC734" s="27">
        <v>48.226872999999998</v>
      </c>
      <c r="AE734" s="27">
        <v>1</v>
      </c>
      <c r="AG734" s="29">
        <v>7.3599500000000004</v>
      </c>
      <c r="AI734" s="29">
        <v>8.75</v>
      </c>
      <c r="AK734" s="27">
        <v>23.644966</v>
      </c>
      <c r="AM734" s="27">
        <v>30.853508999999999</v>
      </c>
      <c r="AO734" s="29">
        <v>6.7415240000000001</v>
      </c>
      <c r="AP734" s="11"/>
    </row>
    <row r="735" spans="2:42" hidden="1" outlineLevel="1" x14ac:dyDescent="0.25">
      <c r="B735" s="21">
        <v>43074</v>
      </c>
      <c r="C735" s="27">
        <v>18.661797</v>
      </c>
      <c r="E735" s="30">
        <v>0.84411400000000003</v>
      </c>
      <c r="G735" s="27">
        <v>17.329035999999999</v>
      </c>
      <c r="I735" s="29">
        <v>6.9204850000000002</v>
      </c>
      <c r="K735" s="29">
        <v>3.2398959999999999</v>
      </c>
      <c r="M735" s="41">
        <v>650.75466600000004</v>
      </c>
      <c r="O735" s="26">
        <v>2994.2822390000001</v>
      </c>
      <c r="Q735" s="26">
        <v>5664.6952700000002</v>
      </c>
      <c r="S735" s="26">
        <v>1748.4280650000001</v>
      </c>
      <c r="U735" s="29">
        <v>3.233768</v>
      </c>
      <c r="W735" s="14">
        <v>28.952726999999999</v>
      </c>
      <c r="Y735" s="29">
        <v>8.9363419999999998</v>
      </c>
      <c r="AA735" s="41">
        <v>566.61347699999999</v>
      </c>
      <c r="AC735" s="27">
        <v>48.120550000000001</v>
      </c>
      <c r="AE735" s="27">
        <v>1</v>
      </c>
      <c r="AG735" s="29">
        <v>7.3422369999999999</v>
      </c>
      <c r="AI735" s="29">
        <v>8.75</v>
      </c>
      <c r="AK735" s="27">
        <v>23.579854000000001</v>
      </c>
      <c r="AM735" s="27">
        <v>30.759454000000002</v>
      </c>
      <c r="AO735" s="29">
        <v>6.7038029999999997</v>
      </c>
      <c r="AP735" s="11"/>
    </row>
    <row r="736" spans="2:42" hidden="1" outlineLevel="1" x14ac:dyDescent="0.25">
      <c r="B736" s="21">
        <v>43075</v>
      </c>
      <c r="C736" s="27">
        <v>18.819230000000001</v>
      </c>
      <c r="E736" s="30">
        <v>0.84649099999999999</v>
      </c>
      <c r="G736" s="27">
        <v>17.277272</v>
      </c>
      <c r="I736" s="29">
        <v>6.9288740000000004</v>
      </c>
      <c r="K736" s="29">
        <v>3.2389039999999998</v>
      </c>
      <c r="M736" s="41">
        <v>653.67067599999996</v>
      </c>
      <c r="O736" s="26">
        <v>3004.392022</v>
      </c>
      <c r="Q736" s="26">
        <v>5670.5007159999996</v>
      </c>
      <c r="S736" s="26">
        <v>1750.7557569999999</v>
      </c>
      <c r="U736" s="29">
        <v>3.237762</v>
      </c>
      <c r="W736" s="14">
        <v>29.007556000000001</v>
      </c>
      <c r="Y736" s="29">
        <v>8.9560069999999996</v>
      </c>
      <c r="AA736" s="41">
        <v>567.68926499999998</v>
      </c>
      <c r="AC736" s="27">
        <v>48.169572000000002</v>
      </c>
      <c r="AE736" s="27">
        <v>1</v>
      </c>
      <c r="AG736" s="29">
        <v>7.3539279999999998</v>
      </c>
      <c r="AI736" s="29">
        <v>8.75</v>
      </c>
      <c r="AK736" s="27">
        <v>23.609614000000001</v>
      </c>
      <c r="AM736" s="27">
        <v>30.798732000000001</v>
      </c>
      <c r="AO736" s="29">
        <v>6.7063620000000004</v>
      </c>
      <c r="AP736" s="11"/>
    </row>
    <row r="737" spans="2:42" hidden="1" outlineLevel="1" x14ac:dyDescent="0.25">
      <c r="B737" s="21">
        <v>43076</v>
      </c>
      <c r="C737" s="27">
        <v>18.910936</v>
      </c>
      <c r="E737" s="30">
        <v>0.84818899999999997</v>
      </c>
      <c r="G737" s="27">
        <v>17.264530000000001</v>
      </c>
      <c r="I737" s="29">
        <v>6.9252010000000004</v>
      </c>
      <c r="K737" s="29">
        <v>3.2644869999999999</v>
      </c>
      <c r="M737" s="41">
        <v>654.45775000000003</v>
      </c>
      <c r="O737" s="26">
        <v>3009.5118499999999</v>
      </c>
      <c r="Q737" s="26">
        <v>5661.7324660000004</v>
      </c>
      <c r="S737" s="26">
        <v>1734.349144</v>
      </c>
      <c r="U737" s="29">
        <v>3.2361620000000002</v>
      </c>
      <c r="W737" s="14">
        <v>29.013185</v>
      </c>
      <c r="Y737" s="29">
        <v>8.8875430000000009</v>
      </c>
      <c r="AA737" s="41">
        <v>566.78590399999996</v>
      </c>
      <c r="AC737" s="27">
        <v>48.159894000000001</v>
      </c>
      <c r="AE737" s="27">
        <v>1</v>
      </c>
      <c r="AG737" s="29">
        <v>7.3485639999999997</v>
      </c>
      <c r="AI737" s="29">
        <v>8.75</v>
      </c>
      <c r="AK737" s="27">
        <v>23.598742000000001</v>
      </c>
      <c r="AM737" s="27">
        <v>30.794712000000001</v>
      </c>
      <c r="AO737" s="29">
        <v>6.7239079999999998</v>
      </c>
      <c r="AP737" s="11"/>
    </row>
    <row r="738" spans="2:42" hidden="1" outlineLevel="1" x14ac:dyDescent="0.25">
      <c r="B738" s="21">
        <v>43077</v>
      </c>
      <c r="C738" s="27">
        <v>18.947500000000002</v>
      </c>
      <c r="E738" s="30">
        <v>0.85048000000000001</v>
      </c>
      <c r="G738" s="27">
        <v>17.271744999999999</v>
      </c>
      <c r="I738" s="29">
        <v>6.9254819999999997</v>
      </c>
      <c r="K738" s="29">
        <v>3.2906399999999998</v>
      </c>
      <c r="M738" s="41">
        <v>655.42021799999998</v>
      </c>
      <c r="O738" s="26">
        <v>3011.7235179999998</v>
      </c>
      <c r="Q738" s="26">
        <v>5668.51703</v>
      </c>
      <c r="S738" s="26">
        <v>1722.6274780000001</v>
      </c>
      <c r="U738" s="29">
        <v>3.2366969999999999</v>
      </c>
      <c r="W738" s="14">
        <v>29.033861999999999</v>
      </c>
      <c r="Y738" s="29">
        <v>8.8231940000000009</v>
      </c>
      <c r="AA738" s="41">
        <v>566.72856200000001</v>
      </c>
      <c r="AC738" s="27">
        <v>48.140909999999998</v>
      </c>
      <c r="AE738" s="27">
        <v>1</v>
      </c>
      <c r="AG738" s="29">
        <v>7.347836</v>
      </c>
      <c r="AI738" s="29">
        <v>8.75</v>
      </c>
      <c r="AK738" s="27">
        <v>23.598307999999999</v>
      </c>
      <c r="AM738" s="27">
        <v>30.844336999999999</v>
      </c>
      <c r="AO738" s="29">
        <v>6.7431770000000002</v>
      </c>
      <c r="AP738" s="11"/>
    </row>
    <row r="739" spans="2:42" hidden="1" outlineLevel="1" x14ac:dyDescent="0.25">
      <c r="B739" s="21">
        <v>43078</v>
      </c>
      <c r="C739" s="27">
        <v>18.947500000000002</v>
      </c>
      <c r="E739" s="30">
        <v>0.85048000000000001</v>
      </c>
      <c r="G739" s="27">
        <v>17.271744999999999</v>
      </c>
      <c r="I739" s="29">
        <v>6.9254819999999997</v>
      </c>
      <c r="K739" s="29">
        <v>3.2906399999999998</v>
      </c>
      <c r="M739" s="41">
        <v>655.42021799999998</v>
      </c>
      <c r="O739" s="26">
        <v>3011.7235179999998</v>
      </c>
      <c r="Q739" s="26">
        <v>5668.51703</v>
      </c>
      <c r="S739" s="26">
        <v>1722.6274780000001</v>
      </c>
      <c r="U739" s="29">
        <v>3.2366969999999999</v>
      </c>
      <c r="W739" s="14">
        <v>29.033861999999999</v>
      </c>
      <c r="Y739" s="29">
        <v>8.8231940000000009</v>
      </c>
      <c r="AA739" s="41">
        <v>566.72856200000001</v>
      </c>
      <c r="AC739" s="27">
        <v>48.140909999999998</v>
      </c>
      <c r="AE739" s="27">
        <v>1</v>
      </c>
      <c r="AG739" s="29">
        <v>7.347836</v>
      </c>
      <c r="AI739" s="29">
        <v>8.75</v>
      </c>
      <c r="AK739" s="27">
        <v>23.598307999999999</v>
      </c>
      <c r="AM739" s="27">
        <v>30.844336999999999</v>
      </c>
      <c r="AO739" s="29">
        <v>6.7431770000000002</v>
      </c>
      <c r="AP739" s="11"/>
    </row>
    <row r="740" spans="2:42" hidden="1" outlineLevel="1" x14ac:dyDescent="0.25">
      <c r="B740" s="21">
        <v>43079</v>
      </c>
      <c r="C740" s="27">
        <v>18.931891</v>
      </c>
      <c r="E740" s="30">
        <v>0.84952700000000003</v>
      </c>
      <c r="G740" s="27">
        <v>17.259096</v>
      </c>
      <c r="I740" s="29">
        <v>6.9216430000000004</v>
      </c>
      <c r="K740" s="29">
        <v>3.291496</v>
      </c>
      <c r="M740" s="41">
        <v>655.27455199999997</v>
      </c>
      <c r="O740" s="26">
        <v>3010.0504540000002</v>
      </c>
      <c r="Q740" s="26">
        <v>5669.6233380000003</v>
      </c>
      <c r="S740" s="26">
        <v>1722.5165890000001</v>
      </c>
      <c r="U740" s="29">
        <v>3.23556</v>
      </c>
      <c r="W740" s="14">
        <v>29.041191000000001</v>
      </c>
      <c r="Y740" s="29">
        <v>8.8231140000000003</v>
      </c>
      <c r="AA740" s="41">
        <v>566.79503599999998</v>
      </c>
      <c r="AC740" s="27">
        <v>47.853771999999999</v>
      </c>
      <c r="AE740" s="27">
        <v>1</v>
      </c>
      <c r="AG740" s="29">
        <v>7.3448260000000003</v>
      </c>
      <c r="AI740" s="29">
        <v>8.75</v>
      </c>
      <c r="AK740" s="27">
        <v>23.589751</v>
      </c>
      <c r="AM740" s="27">
        <v>30.866800000000001</v>
      </c>
      <c r="AO740" s="29">
        <v>6.7644650000000004</v>
      </c>
      <c r="AP740" s="11"/>
    </row>
    <row r="741" spans="2:42" hidden="1" outlineLevel="1" x14ac:dyDescent="0.25">
      <c r="B741" s="21">
        <v>43080</v>
      </c>
      <c r="C741" s="27">
        <v>18.976662000000001</v>
      </c>
      <c r="E741" s="30">
        <v>0.84851399999999999</v>
      </c>
      <c r="G741" s="27">
        <v>17.226741000000001</v>
      </c>
      <c r="I741" s="29">
        <v>6.9203580000000002</v>
      </c>
      <c r="K741" s="29">
        <v>3.2929539999999999</v>
      </c>
      <c r="M741" s="41">
        <v>654.94088299999999</v>
      </c>
      <c r="O741" s="26">
        <v>3013.3644410000002</v>
      </c>
      <c r="Q741" s="26">
        <v>5651.218022</v>
      </c>
      <c r="S741" s="26">
        <v>1716.16326</v>
      </c>
      <c r="U741" s="29">
        <v>3.234588</v>
      </c>
      <c r="W741" s="14">
        <v>28.982741000000001</v>
      </c>
      <c r="Y741" s="29">
        <v>8.8014720000000004</v>
      </c>
      <c r="AA741" s="41">
        <v>566.17546400000003</v>
      </c>
      <c r="AC741" s="27">
        <v>48.086765999999997</v>
      </c>
      <c r="AE741" s="27">
        <v>1</v>
      </c>
      <c r="AG741" s="29">
        <v>7.3390659999999999</v>
      </c>
      <c r="AI741" s="29">
        <v>8.75</v>
      </c>
      <c r="AK741" s="27">
        <v>23.568788000000001</v>
      </c>
      <c r="AM741" s="27">
        <v>30.809467999999999</v>
      </c>
      <c r="AO741" s="29">
        <v>6.7390499999999998</v>
      </c>
      <c r="AP741" s="11"/>
    </row>
    <row r="742" spans="2:42" hidden="1" outlineLevel="1" x14ac:dyDescent="0.25">
      <c r="B742" s="21">
        <v>43081</v>
      </c>
      <c r="C742" s="27">
        <v>19.118669000000001</v>
      </c>
      <c r="E742" s="30">
        <v>0.85047600000000001</v>
      </c>
      <c r="G742" s="27">
        <v>17.268708</v>
      </c>
      <c r="I742" s="29">
        <v>6.9316199999999997</v>
      </c>
      <c r="K742" s="29">
        <v>3.3111079999999999</v>
      </c>
      <c r="M742" s="41">
        <v>655.059214</v>
      </c>
      <c r="O742" s="26">
        <v>3020.4275720000001</v>
      </c>
      <c r="Q742" s="26">
        <v>5639.8293960000001</v>
      </c>
      <c r="S742" s="26">
        <v>1703.314715</v>
      </c>
      <c r="U742" s="29">
        <v>3.236335</v>
      </c>
      <c r="W742" s="14">
        <v>28.991130999999999</v>
      </c>
      <c r="Y742" s="29">
        <v>8.7557460000000003</v>
      </c>
      <c r="AA742" s="41">
        <v>566.89118599999995</v>
      </c>
      <c r="AC742" s="27">
        <v>48.155422999999999</v>
      </c>
      <c r="AE742" s="27">
        <v>1</v>
      </c>
      <c r="AG742" s="29">
        <v>7.3476179999999998</v>
      </c>
      <c r="AI742" s="29">
        <v>8.75</v>
      </c>
      <c r="AK742" s="27">
        <v>23.592995999999999</v>
      </c>
      <c r="AM742" s="27">
        <v>30.818884000000001</v>
      </c>
      <c r="AO742" s="29">
        <v>6.7219889999999998</v>
      </c>
      <c r="AP742" s="11"/>
    </row>
    <row r="743" spans="2:42" hidden="1" outlineLevel="1" x14ac:dyDescent="0.25">
      <c r="B743" s="21">
        <v>43082</v>
      </c>
      <c r="C743" s="27">
        <v>19.134692000000001</v>
      </c>
      <c r="E743" s="30">
        <v>0.84991700000000003</v>
      </c>
      <c r="G743" s="27">
        <v>17.328607999999999</v>
      </c>
      <c r="I743" s="29">
        <v>6.9250959999999999</v>
      </c>
      <c r="K743" s="29">
        <v>3.3080319999999999</v>
      </c>
      <c r="M743" s="41">
        <v>651.27749300000005</v>
      </c>
      <c r="O743" s="26">
        <v>3019.5744759999998</v>
      </c>
      <c r="Q743" s="26">
        <v>5642.1072160000003</v>
      </c>
      <c r="S743" s="26">
        <v>1705.5867860000001</v>
      </c>
      <c r="U743" s="29">
        <v>3.2339540000000002</v>
      </c>
      <c r="W743" s="14">
        <v>28.986601</v>
      </c>
      <c r="Y743" s="29">
        <v>8.762518</v>
      </c>
      <c r="AA743" s="41">
        <v>566.23852399999998</v>
      </c>
      <c r="AC743" s="27">
        <v>48.181044</v>
      </c>
      <c r="AE743" s="27">
        <v>1</v>
      </c>
      <c r="AG743" s="29">
        <v>7.3482269999999996</v>
      </c>
      <c r="AI743" s="29">
        <v>8.75</v>
      </c>
      <c r="AK743" s="27">
        <v>23.582287000000001</v>
      </c>
      <c r="AM743" s="27">
        <v>30.836178</v>
      </c>
      <c r="AO743" s="29">
        <v>6.6993840000000002</v>
      </c>
      <c r="AP743" s="11"/>
    </row>
    <row r="744" spans="2:42" hidden="1" outlineLevel="1" x14ac:dyDescent="0.25">
      <c r="B744" s="21">
        <v>43083</v>
      </c>
      <c r="C744" s="27">
        <v>19.068724</v>
      </c>
      <c r="E744" s="30">
        <v>0.84660199999999997</v>
      </c>
      <c r="G744" s="27">
        <v>17.346185999999999</v>
      </c>
      <c r="I744" s="29">
        <v>6.9074220000000004</v>
      </c>
      <c r="K744" s="29">
        <v>3.324274</v>
      </c>
      <c r="M744" s="41">
        <v>642.872074</v>
      </c>
      <c r="O744" s="26">
        <v>3003.8470139999999</v>
      </c>
      <c r="Q744" s="26">
        <v>5636.1600410000001</v>
      </c>
      <c r="S744" s="26">
        <v>1695.46415</v>
      </c>
      <c r="U744" s="29">
        <v>3.2327919999999999</v>
      </c>
      <c r="W744" s="14">
        <v>28.874607999999998</v>
      </c>
      <c r="Y744" s="29">
        <v>8.6860140000000001</v>
      </c>
      <c r="AA744" s="41">
        <v>564.54675099999997</v>
      </c>
      <c r="AC744" s="27">
        <v>48.086455999999998</v>
      </c>
      <c r="AE744" s="27">
        <v>1</v>
      </c>
      <c r="AG744" s="29">
        <v>7.3294379999999997</v>
      </c>
      <c r="AI744" s="29">
        <v>8.75</v>
      </c>
      <c r="AK744" s="27">
        <v>23.519542999999999</v>
      </c>
      <c r="AM744" s="27">
        <v>30.787949999999999</v>
      </c>
      <c r="AO744" s="29">
        <v>6.6855149999999997</v>
      </c>
      <c r="AP744" s="11"/>
    </row>
    <row r="745" spans="2:42" hidden="1" outlineLevel="1" x14ac:dyDescent="0.25">
      <c r="B745" s="21">
        <v>43084</v>
      </c>
      <c r="C745" s="27">
        <v>19.124828000000001</v>
      </c>
      <c r="E745" s="30">
        <v>0.84899800000000003</v>
      </c>
      <c r="G745" s="27">
        <v>17.477616000000001</v>
      </c>
      <c r="I745" s="29">
        <v>6.9288189999999998</v>
      </c>
      <c r="K745" s="29">
        <v>3.3244919999999998</v>
      </c>
      <c r="M745" s="41">
        <v>637.62754399999994</v>
      </c>
      <c r="O745" s="26">
        <v>3000.1613980000002</v>
      </c>
      <c r="Q745" s="26">
        <v>5653.4122559999996</v>
      </c>
      <c r="S745" s="26">
        <v>1700.542498</v>
      </c>
      <c r="U745" s="29">
        <v>3.2539639999999999</v>
      </c>
      <c r="W745" s="14">
        <v>28.906510999999998</v>
      </c>
      <c r="Y745" s="29">
        <v>8.6950400000000005</v>
      </c>
      <c r="AA745" s="41">
        <v>566.50263600000005</v>
      </c>
      <c r="AC745" s="27">
        <v>48.213774000000001</v>
      </c>
      <c r="AE745" s="27">
        <v>1</v>
      </c>
      <c r="AG745" s="29">
        <v>7.3508319999999996</v>
      </c>
      <c r="AI745" s="29">
        <v>8.75</v>
      </c>
      <c r="AK745" s="27">
        <v>23.577801000000001</v>
      </c>
      <c r="AM745" s="27">
        <v>30.856180999999999</v>
      </c>
      <c r="AO745" s="29">
        <v>6.7012140000000002</v>
      </c>
      <c r="AP745" s="11"/>
    </row>
    <row r="746" spans="2:42" hidden="1" outlineLevel="1" x14ac:dyDescent="0.25">
      <c r="B746" s="21">
        <v>43085</v>
      </c>
      <c r="C746" s="27">
        <v>19.124828000000001</v>
      </c>
      <c r="E746" s="30">
        <v>0.84899800000000003</v>
      </c>
      <c r="G746" s="27">
        <v>17.477616000000001</v>
      </c>
      <c r="I746" s="29">
        <v>6.9288189999999998</v>
      </c>
      <c r="K746" s="29">
        <v>3.3244919999999998</v>
      </c>
      <c r="M746" s="41">
        <v>637.62754399999994</v>
      </c>
      <c r="O746" s="26">
        <v>3000.1613980000002</v>
      </c>
      <c r="Q746" s="26">
        <v>5653.4122559999996</v>
      </c>
      <c r="S746" s="26">
        <v>1700.542498</v>
      </c>
      <c r="U746" s="29">
        <v>3.2539639999999999</v>
      </c>
      <c r="W746" s="14">
        <v>28.906510999999998</v>
      </c>
      <c r="Y746" s="29">
        <v>8.6950400000000005</v>
      </c>
      <c r="AA746" s="41">
        <v>566.50263600000005</v>
      </c>
      <c r="AC746" s="27">
        <v>48.213774000000001</v>
      </c>
      <c r="AE746" s="27">
        <v>1</v>
      </c>
      <c r="AG746" s="29">
        <v>7.3508319999999996</v>
      </c>
      <c r="AI746" s="29">
        <v>8.75</v>
      </c>
      <c r="AK746" s="27">
        <v>23.577801000000001</v>
      </c>
      <c r="AM746" s="27">
        <v>30.856180999999999</v>
      </c>
      <c r="AO746" s="29">
        <v>6.7012140000000002</v>
      </c>
      <c r="AP746" s="11"/>
    </row>
    <row r="747" spans="2:42" hidden="1" outlineLevel="1" x14ac:dyDescent="0.25">
      <c r="B747" s="21">
        <v>43086</v>
      </c>
      <c r="C747" s="27">
        <v>19.116375999999999</v>
      </c>
      <c r="E747" s="30">
        <v>0.85102</v>
      </c>
      <c r="G747" s="27">
        <v>17.511687999999999</v>
      </c>
      <c r="I747" s="29">
        <v>6.9236620000000002</v>
      </c>
      <c r="K747" s="29">
        <v>3.294988</v>
      </c>
      <c r="M747" s="41">
        <v>636.776386</v>
      </c>
      <c r="O747" s="26">
        <v>2997.470022</v>
      </c>
      <c r="Q747" s="26">
        <v>5641.783246</v>
      </c>
      <c r="S747" s="26">
        <v>1712.2415820000001</v>
      </c>
      <c r="U747" s="29">
        <v>3.269088</v>
      </c>
      <c r="W747" s="14">
        <v>28.839645999999998</v>
      </c>
      <c r="Y747" s="29">
        <v>8.7525929999999992</v>
      </c>
      <c r="AA747" s="41">
        <v>566.67332399999998</v>
      </c>
      <c r="AC747" s="27">
        <v>47.908555999999997</v>
      </c>
      <c r="AE747" s="27">
        <v>1</v>
      </c>
      <c r="AG747" s="29">
        <v>7.3459539999999999</v>
      </c>
      <c r="AI747" s="29">
        <v>8.75</v>
      </c>
      <c r="AK747" s="27">
        <v>23.546643</v>
      </c>
      <c r="AM747" s="27">
        <v>30.849954</v>
      </c>
      <c r="AO747" s="29">
        <v>6.7027710000000003</v>
      </c>
      <c r="AP747" s="11"/>
    </row>
    <row r="748" spans="2:42" hidden="1" outlineLevel="1" x14ac:dyDescent="0.25">
      <c r="B748" s="21">
        <v>43087</v>
      </c>
      <c r="C748" s="27">
        <v>19.068204999999999</v>
      </c>
      <c r="E748" s="30">
        <v>0.84879800000000005</v>
      </c>
      <c r="G748" s="27">
        <v>17.526973999999999</v>
      </c>
      <c r="I748" s="29">
        <v>6.9290019999999997</v>
      </c>
      <c r="K748" s="29">
        <v>3.2922799999999999</v>
      </c>
      <c r="M748" s="41">
        <v>629.74537099999998</v>
      </c>
      <c r="O748" s="26">
        <v>2990.53163</v>
      </c>
      <c r="Q748" s="26">
        <v>5647.3427739999997</v>
      </c>
      <c r="S748" s="26">
        <v>1715.337055</v>
      </c>
      <c r="U748" s="29">
        <v>3.2854320000000001</v>
      </c>
      <c r="W748" s="14">
        <v>28.829163999999999</v>
      </c>
      <c r="Y748" s="29">
        <v>8.7566229999999994</v>
      </c>
      <c r="AA748" s="41">
        <v>566.85453900000005</v>
      </c>
      <c r="AC748" s="27">
        <v>48.281444999999998</v>
      </c>
      <c r="AE748" s="27">
        <v>1</v>
      </c>
      <c r="AG748" s="29">
        <v>7.3509339999999996</v>
      </c>
      <c r="AI748" s="29">
        <v>8.75</v>
      </c>
      <c r="AK748" s="27">
        <v>23.579352</v>
      </c>
      <c r="AM748" s="27">
        <v>30.832896000000002</v>
      </c>
      <c r="AO748" s="29">
        <v>6.7150879999999997</v>
      </c>
      <c r="AP748" s="11"/>
    </row>
    <row r="749" spans="2:42" hidden="1" outlineLevel="1" x14ac:dyDescent="0.25">
      <c r="B749" s="21">
        <v>43088</v>
      </c>
      <c r="C749" s="27">
        <v>19.122702</v>
      </c>
      <c r="E749" s="30">
        <v>0.84655400000000003</v>
      </c>
      <c r="G749" s="27">
        <v>17.576001999999999</v>
      </c>
      <c r="I749" s="29">
        <v>6.9229539999999998</v>
      </c>
      <c r="K749" s="29">
        <v>3.2927680000000001</v>
      </c>
      <c r="M749" s="41">
        <v>621.16641800000002</v>
      </c>
      <c r="O749" s="26">
        <v>2978.797908</v>
      </c>
      <c r="Q749" s="26">
        <v>5643.1383980000001</v>
      </c>
      <c r="S749" s="26">
        <v>1713.8065329999999</v>
      </c>
      <c r="U749" s="29">
        <v>3.2812299999999999</v>
      </c>
      <c r="W749" s="14">
        <v>28.763086999999999</v>
      </c>
      <c r="Y749" s="29">
        <v>8.7352570000000007</v>
      </c>
      <c r="AA749" s="41">
        <v>566.37671599999999</v>
      </c>
      <c r="AC749" s="27">
        <v>48.228490000000001</v>
      </c>
      <c r="AE749" s="27">
        <v>1</v>
      </c>
      <c r="AG749" s="29">
        <v>7.3438780000000001</v>
      </c>
      <c r="AI749" s="29">
        <v>8.75</v>
      </c>
      <c r="AK749" s="27">
        <v>23.573865999999999</v>
      </c>
      <c r="AM749" s="27">
        <v>30.788854000000001</v>
      </c>
      <c r="AO749" s="29">
        <v>6.7424619999999997</v>
      </c>
      <c r="AP749" s="11"/>
    </row>
    <row r="750" spans="2:42" hidden="1" outlineLevel="1" x14ac:dyDescent="0.25">
      <c r="B750" s="21">
        <v>43089</v>
      </c>
      <c r="C750" s="27">
        <v>19.223520000000001</v>
      </c>
      <c r="E750" s="30">
        <v>0.84343800000000002</v>
      </c>
      <c r="G750" s="27">
        <v>17.676508999999999</v>
      </c>
      <c r="I750" s="29">
        <v>6.9163069999999998</v>
      </c>
      <c r="K750" s="29">
        <v>3.2915480000000001</v>
      </c>
      <c r="M750" s="41">
        <v>620.41427799999997</v>
      </c>
      <c r="O750" s="26">
        <v>2968.4349560000001</v>
      </c>
      <c r="Q750" s="26">
        <v>5636.6840730000004</v>
      </c>
      <c r="S750" s="26">
        <v>1712.4803589999999</v>
      </c>
      <c r="U750" s="29">
        <v>3.2750319999999999</v>
      </c>
      <c r="W750" s="14">
        <v>28.739386</v>
      </c>
      <c r="Y750" s="29">
        <v>8.7312919999999998</v>
      </c>
      <c r="AA750" s="41">
        <v>565.75617799999998</v>
      </c>
      <c r="AC750" s="27">
        <v>48.192267999999999</v>
      </c>
      <c r="AE750" s="27">
        <v>1</v>
      </c>
      <c r="AG750" s="29">
        <v>7.337396</v>
      </c>
      <c r="AI750" s="29">
        <v>8.75</v>
      </c>
      <c r="AK750" s="27">
        <v>23.54664</v>
      </c>
      <c r="AM750" s="27">
        <v>30.787168000000001</v>
      </c>
      <c r="AO750" s="29">
        <v>6.7478540000000002</v>
      </c>
      <c r="AP750" s="11"/>
    </row>
    <row r="751" spans="2:42" hidden="1" outlineLevel="1" x14ac:dyDescent="0.25">
      <c r="B751" s="21">
        <v>43090</v>
      </c>
      <c r="C751" s="27">
        <v>19.328893999999998</v>
      </c>
      <c r="E751" s="30">
        <v>0.84246399999999999</v>
      </c>
      <c r="G751" s="27">
        <v>17.819662000000001</v>
      </c>
      <c r="I751" s="29">
        <v>6.9166460000000001</v>
      </c>
      <c r="K751" s="29">
        <v>3.3025159999999998</v>
      </c>
      <c r="M751" s="41">
        <v>620.285392</v>
      </c>
      <c r="O751" s="26">
        <v>2962.936381</v>
      </c>
      <c r="Q751" s="26">
        <v>5634.5501530000001</v>
      </c>
      <c r="S751" s="26">
        <v>1706.1471260000001</v>
      </c>
      <c r="U751" s="29">
        <v>3.2677299999999998</v>
      </c>
      <c r="W751" s="14">
        <v>28.769586</v>
      </c>
      <c r="Y751" s="29">
        <v>8.7114410000000007</v>
      </c>
      <c r="AA751" s="41">
        <v>565.80980599999998</v>
      </c>
      <c r="AC751" s="27">
        <v>48.205227999999998</v>
      </c>
      <c r="AE751" s="27">
        <v>1</v>
      </c>
      <c r="AG751" s="29">
        <v>7.3374079999999999</v>
      </c>
      <c r="AI751" s="29">
        <v>8.75</v>
      </c>
      <c r="AK751" s="27">
        <v>23.546655999999999</v>
      </c>
      <c r="AM751" s="27">
        <v>30.791943</v>
      </c>
      <c r="AO751" s="29">
        <v>6.7452880000000004</v>
      </c>
      <c r="AP751" s="11"/>
    </row>
    <row r="752" spans="2:42" hidden="1" outlineLevel="1" x14ac:dyDescent="0.25">
      <c r="B752" s="21">
        <v>43091</v>
      </c>
      <c r="C752" s="27">
        <v>19.555268000000002</v>
      </c>
      <c r="E752" s="30">
        <v>0.84382599999999996</v>
      </c>
      <c r="G752" s="27">
        <v>17.982659999999999</v>
      </c>
      <c r="I752" s="29">
        <v>6.9251990000000001</v>
      </c>
      <c r="K752" s="29">
        <v>3.319026</v>
      </c>
      <c r="M752" s="41">
        <v>621.404766</v>
      </c>
      <c r="O752" s="26">
        <v>2966.7588190000001</v>
      </c>
      <c r="Q752" s="26">
        <v>5632.2739519999996</v>
      </c>
      <c r="S752" s="26">
        <v>1696.9755419999999</v>
      </c>
      <c r="U752" s="29">
        <v>3.2551679999999998</v>
      </c>
      <c r="W752" s="14">
        <v>28.814729</v>
      </c>
      <c r="Y752" s="29">
        <v>8.6817100000000007</v>
      </c>
      <c r="AA752" s="41">
        <v>566.93975599999999</v>
      </c>
      <c r="AC752" s="27">
        <v>48.270310000000002</v>
      </c>
      <c r="AE752" s="27">
        <v>1</v>
      </c>
      <c r="AG752" s="29">
        <v>7.347264</v>
      </c>
      <c r="AI752" s="29">
        <v>8.75</v>
      </c>
      <c r="AK752" s="27">
        <v>23.580722999999999</v>
      </c>
      <c r="AM752" s="27">
        <v>30.821777000000001</v>
      </c>
      <c r="AO752" s="29">
        <v>6.7578889999999996</v>
      </c>
      <c r="AP752" s="11"/>
    </row>
    <row r="753" spans="2:42" hidden="1" outlineLevel="1" x14ac:dyDescent="0.25">
      <c r="B753" s="21">
        <v>43092</v>
      </c>
      <c r="C753" s="27">
        <v>19.555268000000002</v>
      </c>
      <c r="E753" s="30">
        <v>0.84382599999999996</v>
      </c>
      <c r="G753" s="27">
        <v>17.982659999999999</v>
      </c>
      <c r="I753" s="29">
        <v>6.9251990000000001</v>
      </c>
      <c r="K753" s="29">
        <v>3.319026</v>
      </c>
      <c r="M753" s="41">
        <v>621.404766</v>
      </c>
      <c r="O753" s="26">
        <v>2966.7588190000001</v>
      </c>
      <c r="Q753" s="26">
        <v>5632.2739519999996</v>
      </c>
      <c r="S753" s="26">
        <v>1696.9755419999999</v>
      </c>
      <c r="U753" s="29">
        <v>3.2551679999999998</v>
      </c>
      <c r="W753" s="14">
        <v>28.814729</v>
      </c>
      <c r="Y753" s="29">
        <v>8.6817100000000007</v>
      </c>
      <c r="AA753" s="41">
        <v>566.93975599999999</v>
      </c>
      <c r="AC753" s="27">
        <v>48.270310000000002</v>
      </c>
      <c r="AE753" s="27">
        <v>1</v>
      </c>
      <c r="AG753" s="29">
        <v>7.347264</v>
      </c>
      <c r="AI753" s="29">
        <v>8.75</v>
      </c>
      <c r="AK753" s="27">
        <v>23.580722999999999</v>
      </c>
      <c r="AM753" s="27">
        <v>30.821777000000001</v>
      </c>
      <c r="AO753" s="29">
        <v>6.7578889999999996</v>
      </c>
      <c r="AP753" s="11"/>
    </row>
    <row r="754" spans="2:42" hidden="1" outlineLevel="1" x14ac:dyDescent="0.25">
      <c r="B754" s="21">
        <v>43093</v>
      </c>
      <c r="C754" s="27">
        <v>19.555268000000002</v>
      </c>
      <c r="E754" s="30">
        <v>0.84382599999999996</v>
      </c>
      <c r="G754" s="27">
        <v>18.034901999999999</v>
      </c>
      <c r="I754" s="29">
        <v>6.9222659999999996</v>
      </c>
      <c r="K754" s="29">
        <v>3.3370600000000001</v>
      </c>
      <c r="M754" s="41">
        <v>622.26208799999995</v>
      </c>
      <c r="O754" s="26">
        <v>2961.3651359999999</v>
      </c>
      <c r="Q754" s="26">
        <v>5629.5133919999998</v>
      </c>
      <c r="S754" s="26">
        <v>1686.9822079999999</v>
      </c>
      <c r="U754" s="29">
        <v>3.2363979999999999</v>
      </c>
      <c r="W754" s="14">
        <v>28.814211</v>
      </c>
      <c r="Y754" s="29">
        <v>8.6346319999999999</v>
      </c>
      <c r="AA754" s="41">
        <v>567.343839</v>
      </c>
      <c r="AC754" s="27">
        <v>48.028001000000003</v>
      </c>
      <c r="AE754" s="27">
        <v>1</v>
      </c>
      <c r="AG754" s="29">
        <v>7.3442879999999997</v>
      </c>
      <c r="AI754" s="29">
        <v>8.75</v>
      </c>
      <c r="AK754" s="27">
        <v>23.550581999999999</v>
      </c>
      <c r="AM754" s="27">
        <v>30.833152999999999</v>
      </c>
      <c r="AO754" s="29">
        <v>6.780316</v>
      </c>
      <c r="AP754" s="11"/>
    </row>
    <row r="755" spans="2:42" hidden="1" outlineLevel="1" x14ac:dyDescent="0.25">
      <c r="B755" s="21">
        <v>43094</v>
      </c>
      <c r="C755" s="27">
        <v>19.747318</v>
      </c>
      <c r="E755" s="30">
        <v>0.84298399999999996</v>
      </c>
      <c r="G755" s="27">
        <v>17.928766</v>
      </c>
      <c r="I755" s="29">
        <v>6.9183659999999998</v>
      </c>
      <c r="K755" s="29">
        <v>3.3374570000000001</v>
      </c>
      <c r="M755" s="41">
        <v>621.61530400000004</v>
      </c>
      <c r="O755" s="26">
        <v>2990.8073909999998</v>
      </c>
      <c r="Q755" s="26">
        <v>5626.6895560000003</v>
      </c>
      <c r="S755" s="26">
        <v>1685.9307080000001</v>
      </c>
      <c r="U755" s="29">
        <v>3.2525759999999999</v>
      </c>
      <c r="W755" s="14">
        <v>28.800656</v>
      </c>
      <c r="Y755" s="29">
        <v>8.6295599999999997</v>
      </c>
      <c r="AA755" s="41">
        <v>566.56253000000004</v>
      </c>
      <c r="AC755" s="27">
        <v>48.197788000000003</v>
      </c>
      <c r="AE755" s="27">
        <v>1</v>
      </c>
      <c r="AG755" s="29">
        <v>7.3406760000000002</v>
      </c>
      <c r="AI755" s="29">
        <v>8.75</v>
      </c>
      <c r="AK755" s="27">
        <v>23.581422</v>
      </c>
      <c r="AM755" s="27">
        <v>30.781932999999999</v>
      </c>
      <c r="AO755" s="29">
        <v>6.7536529999999999</v>
      </c>
      <c r="AP755" s="11"/>
    </row>
    <row r="756" spans="2:42" hidden="1" outlineLevel="1" x14ac:dyDescent="0.25">
      <c r="B756" s="21">
        <v>43095</v>
      </c>
      <c r="C756" s="27">
        <v>19.764251000000002</v>
      </c>
      <c r="E756" s="30">
        <v>0.84283200000000003</v>
      </c>
      <c r="G756" s="27">
        <v>18.142012999999999</v>
      </c>
      <c r="I756" s="29">
        <v>6.9172479999999998</v>
      </c>
      <c r="K756" s="29">
        <v>3.32619</v>
      </c>
      <c r="M756" s="41">
        <v>620.10620200000005</v>
      </c>
      <c r="O756" s="26">
        <v>2962.782784</v>
      </c>
      <c r="Q756" s="26">
        <v>5623.1669609999999</v>
      </c>
      <c r="S756" s="26">
        <v>1690.5812719999999</v>
      </c>
      <c r="U756" s="29">
        <v>3.242092</v>
      </c>
      <c r="W756" s="14">
        <v>28.784862</v>
      </c>
      <c r="Y756" s="29">
        <v>8.6540239999999997</v>
      </c>
      <c r="AA756" s="41">
        <v>566.27718400000003</v>
      </c>
      <c r="AC756" s="27">
        <v>48.28284</v>
      </c>
      <c r="AE756" s="27">
        <v>1</v>
      </c>
      <c r="AG756" s="29">
        <v>7.3399619999999999</v>
      </c>
      <c r="AI756" s="29">
        <v>8.75</v>
      </c>
      <c r="AK756" s="27">
        <v>23.563023999999999</v>
      </c>
      <c r="AM756" s="27">
        <v>30.795565</v>
      </c>
      <c r="AO756" s="29">
        <v>6.716742</v>
      </c>
      <c r="AP756" s="11"/>
    </row>
    <row r="757" spans="2:42" hidden="1" outlineLevel="1" x14ac:dyDescent="0.25">
      <c r="B757" s="21">
        <v>43096</v>
      </c>
      <c r="C757" s="27">
        <v>19.802274000000001</v>
      </c>
      <c r="E757" s="30">
        <v>0.84138199999999996</v>
      </c>
      <c r="G757" s="27">
        <v>18.381858000000001</v>
      </c>
      <c r="I757" s="29">
        <v>6.9200039999999996</v>
      </c>
      <c r="K757" s="29">
        <v>3.3099419999999999</v>
      </c>
      <c r="M757" s="41">
        <v>617.70896700000003</v>
      </c>
      <c r="O757" s="26">
        <v>2968.3867279999999</v>
      </c>
      <c r="Q757" s="26">
        <v>5621.0891659999998</v>
      </c>
      <c r="S757" s="26">
        <v>1698.2522779999999</v>
      </c>
      <c r="U757" s="29">
        <v>3.244561</v>
      </c>
      <c r="W757" s="14">
        <v>28.794899000000001</v>
      </c>
      <c r="Y757" s="29">
        <v>8.6995419999999992</v>
      </c>
      <c r="AA757" s="41">
        <v>566.62498000000005</v>
      </c>
      <c r="AC757" s="27">
        <v>48.291528</v>
      </c>
      <c r="AE757" s="27">
        <v>1</v>
      </c>
      <c r="AG757" s="29">
        <v>7.3419939999999997</v>
      </c>
      <c r="AI757" s="29">
        <v>8.75</v>
      </c>
      <c r="AK757" s="27">
        <v>23.571103999999998</v>
      </c>
      <c r="AM757" s="27">
        <v>30.801680000000001</v>
      </c>
      <c r="AO757" s="29">
        <v>6.7337639999999999</v>
      </c>
      <c r="AP757" s="11"/>
    </row>
    <row r="758" spans="2:42" hidden="1" outlineLevel="1" x14ac:dyDescent="0.25">
      <c r="B758" s="21">
        <v>43097</v>
      </c>
      <c r="C758" s="27">
        <v>19.703685</v>
      </c>
      <c r="E758" s="30">
        <v>0.83797200000000005</v>
      </c>
      <c r="G758" s="27">
        <v>18.676002</v>
      </c>
      <c r="I758" s="29">
        <v>6.9239430000000004</v>
      </c>
      <c r="K758" s="29">
        <v>3.3114170000000001</v>
      </c>
      <c r="M758" s="41">
        <v>615.516932</v>
      </c>
      <c r="O758" s="26">
        <v>2977.3735320000001</v>
      </c>
      <c r="Q758" s="26">
        <v>5608.3801279999998</v>
      </c>
      <c r="S758" s="26">
        <v>1693.6586380000001</v>
      </c>
      <c r="U758" s="29">
        <v>3.2413639999999999</v>
      </c>
      <c r="W758" s="14">
        <v>28.832647000000001</v>
      </c>
      <c r="Y758" s="29">
        <v>8.7070690000000006</v>
      </c>
      <c r="AA758" s="41">
        <v>566.89626799999996</v>
      </c>
      <c r="AC758" s="27">
        <v>48.335357000000002</v>
      </c>
      <c r="AE758" s="27">
        <v>1</v>
      </c>
      <c r="AG758" s="29">
        <v>7.3435750000000004</v>
      </c>
      <c r="AI758" s="29">
        <v>8.75</v>
      </c>
      <c r="AK758" s="27">
        <v>23.565557999999999</v>
      </c>
      <c r="AM758" s="27">
        <v>30.811924000000001</v>
      </c>
      <c r="AO758" s="29">
        <v>6.6996070000000003</v>
      </c>
      <c r="AP758" s="11"/>
    </row>
    <row r="759" spans="2:42" hidden="1" outlineLevel="1" x14ac:dyDescent="0.25">
      <c r="B759" s="21">
        <v>43098</v>
      </c>
      <c r="C759" s="27">
        <v>19.684861999999999</v>
      </c>
      <c r="E759" s="30">
        <v>0.834758</v>
      </c>
      <c r="G759" s="27">
        <v>18.957958000000001</v>
      </c>
      <c r="I759" s="29">
        <v>6.9279419999999998</v>
      </c>
      <c r="K759" s="29">
        <v>3.3124959999999999</v>
      </c>
      <c r="M759" s="41">
        <v>614.95710199999996</v>
      </c>
      <c r="O759" s="26">
        <v>2982.3663769999998</v>
      </c>
      <c r="Q759" s="26">
        <v>5600.2771560000001</v>
      </c>
      <c r="S759" s="26">
        <v>1690.66201</v>
      </c>
      <c r="U759" s="29">
        <v>3.2398880000000001</v>
      </c>
      <c r="W759" s="14">
        <v>28.817957</v>
      </c>
      <c r="Y759" s="29">
        <v>8.6997940000000007</v>
      </c>
      <c r="AA759" s="41">
        <v>567.48491999999999</v>
      </c>
      <c r="AC759" s="27">
        <v>48.268183000000001</v>
      </c>
      <c r="AE759" s="27">
        <v>1</v>
      </c>
      <c r="AG759" s="29">
        <v>7.3419610000000004</v>
      </c>
      <c r="AI759" s="29">
        <v>8.75</v>
      </c>
      <c r="AK759" s="27">
        <v>23.585042000000001</v>
      </c>
      <c r="AM759" s="27">
        <v>30.812761999999999</v>
      </c>
      <c r="AO759" s="29">
        <v>6.714766</v>
      </c>
      <c r="AP759" s="11"/>
    </row>
    <row r="760" spans="2:42" hidden="1" outlineLevel="1" x14ac:dyDescent="0.25">
      <c r="B760" s="21">
        <v>43099</v>
      </c>
      <c r="C760" s="27">
        <v>19.684861999999999</v>
      </c>
      <c r="E760" s="30">
        <v>0.834758</v>
      </c>
      <c r="G760" s="27">
        <v>18.957958000000001</v>
      </c>
      <c r="I760" s="29">
        <v>6.9279419999999998</v>
      </c>
      <c r="K760" s="29">
        <v>3.3124959999999999</v>
      </c>
      <c r="M760" s="41">
        <v>614.95710199999996</v>
      </c>
      <c r="O760" s="26">
        <v>2982.3663769999998</v>
      </c>
      <c r="Q760" s="26">
        <v>5600.2771560000001</v>
      </c>
      <c r="S760" s="26">
        <v>1690.66201</v>
      </c>
      <c r="U760" s="29">
        <v>3.2398880000000001</v>
      </c>
      <c r="W760" s="14">
        <v>28.817957</v>
      </c>
      <c r="Y760" s="29">
        <v>8.6997940000000007</v>
      </c>
      <c r="AA760" s="41">
        <v>567.48491999999999</v>
      </c>
      <c r="AC760" s="27">
        <v>48.268183000000001</v>
      </c>
      <c r="AE760" s="27">
        <v>1</v>
      </c>
      <c r="AG760" s="29">
        <v>7.3419610000000004</v>
      </c>
      <c r="AI760" s="29">
        <v>8.75</v>
      </c>
      <c r="AK760" s="27">
        <v>23.585042000000001</v>
      </c>
      <c r="AM760" s="27">
        <v>30.812761999999999</v>
      </c>
      <c r="AO760" s="29">
        <v>6.714766</v>
      </c>
      <c r="AP760" s="11"/>
    </row>
    <row r="761" spans="2:42" hidden="1" outlineLevel="1" x14ac:dyDescent="0.25">
      <c r="B761" s="21">
        <v>43100</v>
      </c>
      <c r="C761" s="49">
        <v>19.735399999999998</v>
      </c>
      <c r="E761" s="30">
        <v>0.834758</v>
      </c>
      <c r="G761" s="27">
        <v>18.643495999999999</v>
      </c>
      <c r="I761" s="29">
        <v>6.9230790000000004</v>
      </c>
      <c r="K761" s="29">
        <v>3.31257</v>
      </c>
      <c r="M761" s="41">
        <v>615.35361999999998</v>
      </c>
      <c r="O761" s="26">
        <v>2985.4146860000001</v>
      </c>
      <c r="Q761" s="26">
        <v>5591.9206400000003</v>
      </c>
      <c r="S761" s="26">
        <v>1688.09987</v>
      </c>
      <c r="U761" s="29">
        <v>3.2395610000000001</v>
      </c>
      <c r="W761" s="14">
        <v>28.813949999999998</v>
      </c>
      <c r="Y761" s="29">
        <v>8.6983800000000002</v>
      </c>
      <c r="AA761" s="41">
        <v>568.21917599999995</v>
      </c>
      <c r="AC761" s="27">
        <v>48.094555999999997</v>
      </c>
      <c r="AE761" s="27">
        <v>1</v>
      </c>
      <c r="AG761" s="29">
        <v>7.342047</v>
      </c>
      <c r="AI761" s="29">
        <v>8.75</v>
      </c>
      <c r="AK761" s="27">
        <v>23.586236</v>
      </c>
      <c r="AM761" s="27">
        <v>30.827672</v>
      </c>
      <c r="AO761" s="29">
        <v>6.7683689999999999</v>
      </c>
      <c r="AP761" s="11"/>
    </row>
    <row r="762" spans="2:42" ht="13" collapsed="1" x14ac:dyDescent="0.3">
      <c r="B762" s="25" t="s">
        <v>162</v>
      </c>
      <c r="C762" s="19">
        <v>19.192399999999999</v>
      </c>
      <c r="E762" s="24">
        <v>0.844557</v>
      </c>
      <c r="G762" s="19">
        <v>17.702500000000001</v>
      </c>
      <c r="I762" s="23">
        <v>6.9222200000000003</v>
      </c>
      <c r="J762" s="9"/>
      <c r="K762" s="23">
        <v>3.2969400000000002</v>
      </c>
      <c r="M762" s="42">
        <v>635.67899999999997</v>
      </c>
      <c r="O762" s="31">
        <v>2993.06</v>
      </c>
      <c r="Q762" s="31">
        <v>5642.53</v>
      </c>
      <c r="S762" s="31">
        <v>1711.61</v>
      </c>
      <c r="U762" s="23">
        <v>3.2457400000000001</v>
      </c>
      <c r="W762" s="23">
        <v>28.893609999999999</v>
      </c>
      <c r="Y762" s="23">
        <v>8.7645499999999998</v>
      </c>
      <c r="AA762" s="42">
        <v>566.60299999999995</v>
      </c>
      <c r="AC762" s="19">
        <v>48.1691</v>
      </c>
      <c r="AE762" s="19">
        <v>1</v>
      </c>
      <c r="AG762" s="23">
        <v>7.3448500000000001</v>
      </c>
      <c r="AI762" s="23">
        <v>8.75</v>
      </c>
      <c r="AK762" s="23">
        <v>23.58248</v>
      </c>
      <c r="AM762" s="23">
        <v>30.815429999999999</v>
      </c>
      <c r="AO762" s="23">
        <v>6.7294</v>
      </c>
      <c r="AP762" s="10"/>
    </row>
    <row r="763" spans="2:42" hidden="1" outlineLevel="1" x14ac:dyDescent="0.25">
      <c r="B763" s="21">
        <v>43101</v>
      </c>
      <c r="C763" s="27">
        <v>19.661866</v>
      </c>
      <c r="E763" s="30">
        <v>0.83311000000000002</v>
      </c>
      <c r="G763" s="27">
        <v>18.648477</v>
      </c>
      <c r="I763" s="29">
        <v>6.9298339999999996</v>
      </c>
      <c r="K763" s="29">
        <v>3.3123239999999998</v>
      </c>
      <c r="M763" s="41">
        <v>614.26870399999996</v>
      </c>
      <c r="O763" s="26">
        <v>2991.6519320000002</v>
      </c>
      <c r="Q763" s="26">
        <v>5589.073832</v>
      </c>
      <c r="S763" s="26">
        <v>1687.3659299999999</v>
      </c>
      <c r="U763" s="29">
        <v>3.2376179999999999</v>
      </c>
      <c r="W763" s="14">
        <v>28.7973</v>
      </c>
      <c r="Y763" s="29">
        <v>8.6940080000000002</v>
      </c>
      <c r="AA763" s="41">
        <v>567.93472399999996</v>
      </c>
      <c r="AC763" s="27">
        <v>48.192846000000003</v>
      </c>
      <c r="AE763" s="27">
        <v>1</v>
      </c>
      <c r="AG763" s="29">
        <v>7.3382779999999999</v>
      </c>
      <c r="AI763" s="29">
        <v>8.75</v>
      </c>
      <c r="AK763" s="27">
        <v>23.596613999999999</v>
      </c>
      <c r="AM763" s="27">
        <v>30.799313999999999</v>
      </c>
      <c r="AO763" s="29">
        <v>6.7483320000000004</v>
      </c>
      <c r="AP763" s="28"/>
    </row>
    <row r="764" spans="2:42" hidden="1" outlineLevel="1" x14ac:dyDescent="0.25">
      <c r="B764" s="21">
        <v>43102</v>
      </c>
      <c r="C764" s="27">
        <v>19.548448</v>
      </c>
      <c r="E764" s="30">
        <v>0.83039300000000005</v>
      </c>
      <c r="G764" s="27">
        <v>18.602356</v>
      </c>
      <c r="I764" s="29">
        <v>6.9232139999999998</v>
      </c>
      <c r="K764" s="29">
        <v>3.2869320000000002</v>
      </c>
      <c r="M764" s="41">
        <v>611.24201000000005</v>
      </c>
      <c r="O764" s="26">
        <v>2962.5249060000001</v>
      </c>
      <c r="Q764" s="26">
        <v>5588.5911960000003</v>
      </c>
      <c r="S764" s="26">
        <v>1700.2537480000001</v>
      </c>
      <c r="U764" s="29">
        <v>3.2358129999999998</v>
      </c>
      <c r="W764" s="14">
        <v>28.799834000000001</v>
      </c>
      <c r="Y764" s="29">
        <v>8.7619430000000005</v>
      </c>
      <c r="AA764" s="41">
        <v>567.40818000000002</v>
      </c>
      <c r="AC764" s="27">
        <v>48.206574000000003</v>
      </c>
      <c r="AE764" s="27">
        <v>1</v>
      </c>
      <c r="AG764" s="29">
        <v>7.3378839999999999</v>
      </c>
      <c r="AI764" s="29">
        <v>8.75</v>
      </c>
      <c r="AK764" s="27">
        <v>23.577195</v>
      </c>
      <c r="AM764" s="27">
        <v>30.810670000000002</v>
      </c>
      <c r="AO764" s="29">
        <v>6.7538</v>
      </c>
      <c r="AP764" s="28"/>
    </row>
    <row r="765" spans="2:42" hidden="1" outlineLevel="1" x14ac:dyDescent="0.25">
      <c r="B765" s="21">
        <v>43103</v>
      </c>
      <c r="C765" s="27">
        <v>19.430392999999999</v>
      </c>
      <c r="E765" s="30">
        <v>0.83115000000000006</v>
      </c>
      <c r="G765" s="27">
        <v>18.412903</v>
      </c>
      <c r="I765" s="29">
        <v>6.9221250000000003</v>
      </c>
      <c r="K765" s="29">
        <v>3.2521580000000001</v>
      </c>
      <c r="M765" s="41">
        <v>606.52447500000005</v>
      </c>
      <c r="O765" s="26">
        <v>2932.08889</v>
      </c>
      <c r="Q765" s="26">
        <v>5598.8437309999999</v>
      </c>
      <c r="S765" s="26">
        <v>1721.5865240000001</v>
      </c>
      <c r="U765" s="29">
        <v>3.2309730000000001</v>
      </c>
      <c r="W765" s="14">
        <v>28.794601</v>
      </c>
      <c r="Y765" s="29">
        <v>8.8540170000000007</v>
      </c>
      <c r="AA765" s="41">
        <v>568.07851400000004</v>
      </c>
      <c r="AC765" s="27">
        <v>48.238408</v>
      </c>
      <c r="AE765" s="27">
        <v>1</v>
      </c>
      <c r="AG765" s="29">
        <v>7.344576</v>
      </c>
      <c r="AI765" s="29">
        <v>8.75</v>
      </c>
      <c r="AK765" s="27">
        <v>23.591370999999999</v>
      </c>
      <c r="AM765" s="27">
        <v>30.815325000000001</v>
      </c>
      <c r="AO765" s="29">
        <v>6.7550559999999997</v>
      </c>
      <c r="AP765" s="28"/>
    </row>
    <row r="766" spans="2:42" hidden="1" outlineLevel="1" x14ac:dyDescent="0.25">
      <c r="B766" s="21">
        <v>43104</v>
      </c>
      <c r="C766" s="27">
        <v>19.309358</v>
      </c>
      <c r="E766" s="30">
        <v>0.83004699999999998</v>
      </c>
      <c r="G766" s="27">
        <v>18.521401000000001</v>
      </c>
      <c r="I766" s="29">
        <v>6.9214419999999999</v>
      </c>
      <c r="K766" s="29">
        <v>3.2344840000000001</v>
      </c>
      <c r="M766" s="41">
        <v>605.87060799999995</v>
      </c>
      <c r="O766" s="26">
        <v>2900.4922529999999</v>
      </c>
      <c r="Q766" s="26">
        <v>5623.0500869999996</v>
      </c>
      <c r="S766" s="26">
        <v>1738.4780760000001</v>
      </c>
      <c r="U766" s="29">
        <v>3.2164280000000001</v>
      </c>
      <c r="W766" s="14">
        <v>28.759001999999999</v>
      </c>
      <c r="Y766" s="29">
        <v>8.891394</v>
      </c>
      <c r="AA766" s="41">
        <v>568.33615599999996</v>
      </c>
      <c r="AC766" s="27">
        <v>48.228425999999999</v>
      </c>
      <c r="AE766" s="27">
        <v>1</v>
      </c>
      <c r="AG766" s="29">
        <v>7.3468460000000002</v>
      </c>
      <c r="AI766" s="29">
        <v>8.75</v>
      </c>
      <c r="AK766" s="27">
        <v>23.598896</v>
      </c>
      <c r="AM766" s="27">
        <v>30.804967000000001</v>
      </c>
      <c r="AO766" s="29">
        <v>6.7260260000000001</v>
      </c>
      <c r="AP766" s="28"/>
    </row>
    <row r="767" spans="2:42" hidden="1" outlineLevel="1" x14ac:dyDescent="0.25">
      <c r="B767" s="21">
        <v>43105</v>
      </c>
      <c r="C767" s="27">
        <v>19.283629999999999</v>
      </c>
      <c r="E767" s="30">
        <v>0.82971399999999995</v>
      </c>
      <c r="G767" s="27">
        <v>18.736989999999999</v>
      </c>
      <c r="I767" s="29">
        <v>6.9213519999999997</v>
      </c>
      <c r="K767" s="29">
        <v>3.2346059999999999</v>
      </c>
      <c r="M767" s="41">
        <v>605.76666</v>
      </c>
      <c r="O767" s="26">
        <v>2894.3229679999999</v>
      </c>
      <c r="Q767" s="26">
        <v>5634.3013140000003</v>
      </c>
      <c r="S767" s="26">
        <v>1741.8897420000001</v>
      </c>
      <c r="U767" s="29">
        <v>3.2118519999999999</v>
      </c>
      <c r="W767" s="14">
        <v>28.691735999999999</v>
      </c>
      <c r="Y767" s="29">
        <v>8.8702590000000008</v>
      </c>
      <c r="AA767" s="41">
        <v>568.14445000000001</v>
      </c>
      <c r="AC767" s="27">
        <v>48.293232000000003</v>
      </c>
      <c r="AE767" s="27">
        <v>1</v>
      </c>
      <c r="AG767" s="29">
        <v>7.34375</v>
      </c>
      <c r="AI767" s="29">
        <v>8.75</v>
      </c>
      <c r="AK767" s="27">
        <v>23.599340000000002</v>
      </c>
      <c r="AM767" s="27">
        <v>30.824134000000001</v>
      </c>
      <c r="AO767" s="29">
        <v>6.7215680000000004</v>
      </c>
      <c r="AP767" s="28"/>
    </row>
    <row r="768" spans="2:42" hidden="1" outlineLevel="1" x14ac:dyDescent="0.25">
      <c r="B768" s="21">
        <v>43106</v>
      </c>
      <c r="C768" s="27">
        <v>19.283629999999999</v>
      </c>
      <c r="E768" s="30">
        <v>0.82971399999999995</v>
      </c>
      <c r="G768" s="27">
        <v>18.736989999999999</v>
      </c>
      <c r="I768" s="29">
        <v>6.9213519999999997</v>
      </c>
      <c r="K768" s="29">
        <v>3.2346059999999999</v>
      </c>
      <c r="M768" s="41">
        <v>605.76666</v>
      </c>
      <c r="O768" s="26">
        <v>2894.3229679999999</v>
      </c>
      <c r="Q768" s="26">
        <v>5634.3013140000003</v>
      </c>
      <c r="S768" s="26">
        <v>1741.8897420000001</v>
      </c>
      <c r="U768" s="29">
        <v>3.2118519999999999</v>
      </c>
      <c r="W768" s="14">
        <v>28.691735999999999</v>
      </c>
      <c r="Y768" s="29">
        <v>8.8702590000000008</v>
      </c>
      <c r="AA768" s="41">
        <v>568.14445000000001</v>
      </c>
      <c r="AC768" s="27">
        <v>48.293232000000003</v>
      </c>
      <c r="AE768" s="27">
        <v>1</v>
      </c>
      <c r="AG768" s="29">
        <v>7.34375</v>
      </c>
      <c r="AI768" s="29">
        <v>8.75</v>
      </c>
      <c r="AK768" s="27">
        <v>23.599340000000002</v>
      </c>
      <c r="AM768" s="27">
        <v>30.824134000000001</v>
      </c>
      <c r="AO768" s="29">
        <v>6.7215680000000004</v>
      </c>
      <c r="AP768" s="28"/>
    </row>
    <row r="769" spans="2:42" hidden="1" outlineLevel="1" x14ac:dyDescent="0.25">
      <c r="B769" s="21">
        <v>43107</v>
      </c>
      <c r="C769" s="27">
        <v>19.179168000000001</v>
      </c>
      <c r="E769" s="30">
        <v>0.83125400000000005</v>
      </c>
      <c r="G769" s="27">
        <v>18.862992999999999</v>
      </c>
      <c r="I769" s="29">
        <v>6.9230309999999999</v>
      </c>
      <c r="K769" s="29">
        <v>3.22906</v>
      </c>
      <c r="M769" s="41">
        <v>605.43255099999999</v>
      </c>
      <c r="O769" s="26">
        <v>2911.201427</v>
      </c>
      <c r="Q769" s="26">
        <v>5639.5190640000001</v>
      </c>
      <c r="S769" s="26">
        <v>1746.4961539999999</v>
      </c>
      <c r="U769" s="29">
        <v>3.2134740000000002</v>
      </c>
      <c r="W769" s="14">
        <v>28.666989000000001</v>
      </c>
      <c r="Y769" s="29">
        <v>8.8778220000000001</v>
      </c>
      <c r="AA769" s="41">
        <v>568.85252200000002</v>
      </c>
      <c r="AC769" s="27">
        <v>48.266098</v>
      </c>
      <c r="AE769" s="27">
        <v>1</v>
      </c>
      <c r="AG769" s="29">
        <v>7.346482</v>
      </c>
      <c r="AI769" s="29">
        <v>8.75</v>
      </c>
      <c r="AK769" s="27">
        <v>23.617495999999999</v>
      </c>
      <c r="AM769" s="27">
        <v>30.941037999999999</v>
      </c>
      <c r="AO769" s="29">
        <v>6.7528779999999999</v>
      </c>
      <c r="AP769" s="28"/>
    </row>
    <row r="770" spans="2:42" hidden="1" outlineLevel="1" x14ac:dyDescent="0.25">
      <c r="B770" s="21">
        <v>43108</v>
      </c>
      <c r="C770" s="27">
        <v>19.217061999999999</v>
      </c>
      <c r="E770" s="30">
        <v>0.83377000000000001</v>
      </c>
      <c r="G770" s="27">
        <v>18.93685</v>
      </c>
      <c r="I770" s="29">
        <v>6.9255719999999998</v>
      </c>
      <c r="K770" s="29">
        <v>3.233139</v>
      </c>
      <c r="M770" s="41">
        <v>606.32913900000005</v>
      </c>
      <c r="O770" s="26">
        <v>2922.0922700000001</v>
      </c>
      <c r="Q770" s="26">
        <v>5644.3876600000003</v>
      </c>
      <c r="S770" s="26">
        <v>1745.801502</v>
      </c>
      <c r="U770" s="29">
        <v>3.2139359999999999</v>
      </c>
      <c r="W770" s="14">
        <v>28.672470000000001</v>
      </c>
      <c r="Y770" s="29">
        <v>8.8683320000000005</v>
      </c>
      <c r="AA770" s="41">
        <v>568.51369</v>
      </c>
      <c r="AC770" s="27">
        <v>48.312109999999997</v>
      </c>
      <c r="AE770" s="27">
        <v>1</v>
      </c>
      <c r="AG770" s="29">
        <v>7.3489069999999996</v>
      </c>
      <c r="AI770" s="29">
        <v>8.75</v>
      </c>
      <c r="AK770" s="27">
        <v>23.614915</v>
      </c>
      <c r="AM770" s="27">
        <v>30.902066000000001</v>
      </c>
      <c r="AO770" s="29">
        <v>6.7356660000000002</v>
      </c>
      <c r="AP770" s="28"/>
    </row>
    <row r="771" spans="2:42" hidden="1" outlineLevel="1" x14ac:dyDescent="0.25">
      <c r="B771" s="21">
        <v>43109</v>
      </c>
      <c r="C771" s="27">
        <v>19.250451000000002</v>
      </c>
      <c r="E771" s="30">
        <v>0.83732600000000001</v>
      </c>
      <c r="G771" s="27">
        <v>19.017475999999998</v>
      </c>
      <c r="I771" s="29">
        <v>6.9211499999999999</v>
      </c>
      <c r="K771" s="29">
        <v>3.2431399999999999</v>
      </c>
      <c r="M771" s="41">
        <v>606.57377099999997</v>
      </c>
      <c r="O771" s="26">
        <v>2910.5574280000001</v>
      </c>
      <c r="Q771" s="26">
        <v>5642.2768919999999</v>
      </c>
      <c r="S771" s="26">
        <v>1739.7678639999999</v>
      </c>
      <c r="U771" s="29">
        <v>3.2170399999999999</v>
      </c>
      <c r="W771" s="14">
        <v>28.670670000000001</v>
      </c>
      <c r="Y771" s="29">
        <v>8.8404279999999993</v>
      </c>
      <c r="AA771" s="41">
        <v>568.32339100000002</v>
      </c>
      <c r="AC771" s="27">
        <v>48.276823</v>
      </c>
      <c r="AE771" s="27">
        <v>1</v>
      </c>
      <c r="AG771" s="29">
        <v>7.3470180000000003</v>
      </c>
      <c r="AI771" s="29">
        <v>8.75</v>
      </c>
      <c r="AK771" s="27">
        <v>23.607420000000001</v>
      </c>
      <c r="AM771" s="27">
        <v>30.915776999999999</v>
      </c>
      <c r="AO771" s="29">
        <v>6.7277279999999999</v>
      </c>
      <c r="AP771" s="28"/>
    </row>
    <row r="772" spans="2:42" hidden="1" outlineLevel="1" x14ac:dyDescent="0.25">
      <c r="B772" s="21">
        <v>43110</v>
      </c>
      <c r="C772" s="27">
        <v>19.261963000000002</v>
      </c>
      <c r="E772" s="30">
        <v>0.83625099999999997</v>
      </c>
      <c r="G772" s="27">
        <v>18.823239000000001</v>
      </c>
      <c r="I772" s="29">
        <v>6.9171440000000004</v>
      </c>
      <c r="K772" s="29">
        <v>3.242588</v>
      </c>
      <c r="M772" s="41">
        <v>608.17074000000002</v>
      </c>
      <c r="O772" s="26">
        <v>2902.853302</v>
      </c>
      <c r="Q772" s="26">
        <v>5634.7806520000004</v>
      </c>
      <c r="S772" s="26">
        <v>1737.7513879999999</v>
      </c>
      <c r="U772" s="29">
        <v>3.2191719999999999</v>
      </c>
      <c r="W772" s="14">
        <v>28.675792999999999</v>
      </c>
      <c r="Y772" s="29">
        <v>8.8435179999999995</v>
      </c>
      <c r="AA772" s="41">
        <v>568.09960999999998</v>
      </c>
      <c r="AC772" s="27">
        <v>48.291857</v>
      </c>
      <c r="AE772" s="27">
        <v>1</v>
      </c>
      <c r="AG772" s="29">
        <v>7.3427939999999996</v>
      </c>
      <c r="AI772" s="29">
        <v>8.75</v>
      </c>
      <c r="AK772" s="27">
        <v>23.603750000000002</v>
      </c>
      <c r="AM772" s="27">
        <v>30.914656000000001</v>
      </c>
      <c r="AO772" s="29">
        <v>6.7219230000000003</v>
      </c>
      <c r="AP772" s="28"/>
    </row>
    <row r="773" spans="2:42" hidden="1" outlineLevel="1" x14ac:dyDescent="0.25">
      <c r="B773" s="21">
        <v>43111</v>
      </c>
      <c r="C773" s="27">
        <v>19.312548</v>
      </c>
      <c r="E773" s="30">
        <v>0.83404100000000003</v>
      </c>
      <c r="G773" s="27">
        <v>18.657153999999998</v>
      </c>
      <c r="I773" s="29">
        <v>6.928356</v>
      </c>
      <c r="K773" s="29">
        <v>3.225333</v>
      </c>
      <c r="M773" s="41">
        <v>607.64328399999999</v>
      </c>
      <c r="O773" s="26">
        <v>2880.2786120000001</v>
      </c>
      <c r="Q773" s="26">
        <v>5636.3488219999999</v>
      </c>
      <c r="S773" s="26">
        <v>1747.5355979999999</v>
      </c>
      <c r="U773" s="29">
        <v>3.2205979999999998</v>
      </c>
      <c r="W773" s="14">
        <v>28.688184</v>
      </c>
      <c r="Y773" s="29">
        <v>8.8946679999999994</v>
      </c>
      <c r="AA773" s="41">
        <v>568.805565</v>
      </c>
      <c r="AC773" s="27">
        <v>48.505464000000003</v>
      </c>
      <c r="AE773" s="27">
        <v>1</v>
      </c>
      <c r="AG773" s="29">
        <v>7.350244</v>
      </c>
      <c r="AI773" s="29">
        <v>8.75</v>
      </c>
      <c r="AK773" s="27">
        <v>23.631519999999998</v>
      </c>
      <c r="AM773" s="27">
        <v>30.919508</v>
      </c>
      <c r="AO773" s="29">
        <v>6.7493080000000001</v>
      </c>
      <c r="AP773" s="28"/>
    </row>
    <row r="774" spans="2:42" hidden="1" outlineLevel="1" x14ac:dyDescent="0.25">
      <c r="B774" s="21">
        <v>43112</v>
      </c>
      <c r="C774" s="27">
        <v>19.129708000000001</v>
      </c>
      <c r="E774" s="30">
        <v>0.82538999999999996</v>
      </c>
      <c r="G774" s="27">
        <v>18.696826999999999</v>
      </c>
      <c r="I774" s="29">
        <v>6.9123340000000004</v>
      </c>
      <c r="K774" s="29">
        <v>3.2136079999999998</v>
      </c>
      <c r="M774" s="41">
        <v>604.64151200000003</v>
      </c>
      <c r="O774" s="26">
        <v>2856.1892619999999</v>
      </c>
      <c r="Q774" s="26">
        <v>5618.8016619999999</v>
      </c>
      <c r="S774" s="26">
        <v>1748.449298</v>
      </c>
      <c r="U774" s="29">
        <v>3.2133219999999998</v>
      </c>
      <c r="W774" s="14">
        <v>28.618016000000001</v>
      </c>
      <c r="Y774" s="29">
        <v>8.9052799999999994</v>
      </c>
      <c r="AA774" s="41">
        <v>567.01834299999996</v>
      </c>
      <c r="AC774" s="27">
        <v>48.442883999999999</v>
      </c>
      <c r="AE774" s="27">
        <v>1</v>
      </c>
      <c r="AG774" s="29">
        <v>7.3265409999999997</v>
      </c>
      <c r="AI774" s="29">
        <v>8.75</v>
      </c>
      <c r="AK774" s="27">
        <v>23.554404999999999</v>
      </c>
      <c r="AM774" s="27">
        <v>30.833335999999999</v>
      </c>
      <c r="AO774" s="29">
        <v>6.7194830000000003</v>
      </c>
      <c r="AP774" s="28"/>
    </row>
    <row r="775" spans="2:42" hidden="1" outlineLevel="1" x14ac:dyDescent="0.25">
      <c r="B775" s="21">
        <v>43113</v>
      </c>
      <c r="C775" s="27">
        <v>19.129708000000001</v>
      </c>
      <c r="E775" s="30">
        <v>0.82538999999999996</v>
      </c>
      <c r="G775" s="27">
        <v>18.696826999999999</v>
      </c>
      <c r="I775" s="29">
        <v>6.9123340000000004</v>
      </c>
      <c r="K775" s="29">
        <v>3.2136079999999998</v>
      </c>
      <c r="M775" s="41">
        <v>604.64151200000003</v>
      </c>
      <c r="O775" s="26">
        <v>2856.1892619999999</v>
      </c>
      <c r="Q775" s="26">
        <v>5618.8016619999999</v>
      </c>
      <c r="S775" s="26">
        <v>1748.449298</v>
      </c>
      <c r="U775" s="29">
        <v>3.2133219999999998</v>
      </c>
      <c r="W775" s="14">
        <v>28.618016000000001</v>
      </c>
      <c r="Y775" s="29">
        <v>8.9052799999999994</v>
      </c>
      <c r="AA775" s="41">
        <v>567.01834299999996</v>
      </c>
      <c r="AC775" s="27">
        <v>48.442883999999999</v>
      </c>
      <c r="AE775" s="27">
        <v>1</v>
      </c>
      <c r="AG775" s="29">
        <v>7.3265409999999997</v>
      </c>
      <c r="AI775" s="29">
        <v>8.75</v>
      </c>
      <c r="AK775" s="27">
        <v>23.554404999999999</v>
      </c>
      <c r="AM775" s="27">
        <v>30.833335999999999</v>
      </c>
      <c r="AO775" s="29">
        <v>6.7194830000000003</v>
      </c>
      <c r="AP775" s="28"/>
    </row>
    <row r="776" spans="2:42" hidden="1" outlineLevel="1" x14ac:dyDescent="0.25">
      <c r="B776" s="21">
        <v>43114</v>
      </c>
      <c r="C776" s="27">
        <v>19.036059999999999</v>
      </c>
      <c r="E776" s="30">
        <v>0.81965299999999996</v>
      </c>
      <c r="G776" s="27">
        <v>18.667781000000002</v>
      </c>
      <c r="I776" s="29">
        <v>6.9207599999999996</v>
      </c>
      <c r="K776" s="29">
        <v>3.2056960000000001</v>
      </c>
      <c r="M776" s="41">
        <v>603.72143100000005</v>
      </c>
      <c r="O776" s="26">
        <v>2858.4583419999999</v>
      </c>
      <c r="Q776" s="26">
        <v>5626.3782659999997</v>
      </c>
      <c r="S776" s="26">
        <v>1755.126702</v>
      </c>
      <c r="U776" s="29">
        <v>3.2161240000000002</v>
      </c>
      <c r="W776" s="14">
        <v>28.637975999999998</v>
      </c>
      <c r="Y776" s="29">
        <v>8.9334779999999991</v>
      </c>
      <c r="AA776" s="41">
        <v>568.59454600000004</v>
      </c>
      <c r="AC776" s="27">
        <v>48.332470000000001</v>
      </c>
      <c r="AE776" s="27">
        <v>1</v>
      </c>
      <c r="AG776" s="29">
        <v>7.3412090000000001</v>
      </c>
      <c r="AI776" s="29">
        <v>8.75</v>
      </c>
      <c r="AK776" s="27">
        <v>23.574988999999999</v>
      </c>
      <c r="AM776" s="27">
        <v>30.900456999999999</v>
      </c>
      <c r="AO776" s="29">
        <v>6.7754000000000003</v>
      </c>
      <c r="AP776" s="28"/>
    </row>
    <row r="777" spans="2:42" hidden="1" outlineLevel="1" x14ac:dyDescent="0.25">
      <c r="B777" s="21">
        <v>43115</v>
      </c>
      <c r="C777" s="27">
        <v>18.871091</v>
      </c>
      <c r="E777" s="30">
        <v>0.81669199999999997</v>
      </c>
      <c r="G777" s="27">
        <v>18.667524</v>
      </c>
      <c r="I777" s="29">
        <v>6.9109920000000002</v>
      </c>
      <c r="K777" s="29">
        <v>3.2059030000000002</v>
      </c>
      <c r="M777" s="41">
        <v>602.850638</v>
      </c>
      <c r="O777" s="26">
        <v>2853.5421940000001</v>
      </c>
      <c r="Q777" s="26">
        <v>5617.1063359999998</v>
      </c>
      <c r="S777" s="26">
        <v>1752.1223729999999</v>
      </c>
      <c r="U777" s="29">
        <v>3.2108240000000001</v>
      </c>
      <c r="W777" s="14">
        <v>28.590344000000002</v>
      </c>
      <c r="Y777" s="29">
        <v>8.9180580000000003</v>
      </c>
      <c r="AA777" s="41">
        <v>567.25714800000003</v>
      </c>
      <c r="AC777" s="27">
        <v>48.396583999999997</v>
      </c>
      <c r="AE777" s="27">
        <v>1</v>
      </c>
      <c r="AG777" s="29">
        <v>7.3321139999999998</v>
      </c>
      <c r="AI777" s="29">
        <v>8.75</v>
      </c>
      <c r="AK777" s="27">
        <v>23.58297</v>
      </c>
      <c r="AM777" s="27">
        <v>30.880302</v>
      </c>
      <c r="AO777" s="29">
        <v>6.7624149999999998</v>
      </c>
      <c r="AP777" s="28"/>
    </row>
    <row r="778" spans="2:42" hidden="1" outlineLevel="1" x14ac:dyDescent="0.25">
      <c r="B778" s="21">
        <v>43116</v>
      </c>
      <c r="C778" s="27">
        <v>18.827013999999998</v>
      </c>
      <c r="E778" s="30">
        <v>0.81648100000000001</v>
      </c>
      <c r="G778" s="27">
        <v>18.791195999999999</v>
      </c>
      <c r="I778" s="29">
        <v>6.9203140000000003</v>
      </c>
      <c r="K778" s="29">
        <v>3.220993</v>
      </c>
      <c r="M778" s="41">
        <v>604.16220799999996</v>
      </c>
      <c r="O778" s="26">
        <v>2861.7041770000001</v>
      </c>
      <c r="Q778" s="26">
        <v>5618.1541820000002</v>
      </c>
      <c r="S778" s="26">
        <v>1744.2389619999999</v>
      </c>
      <c r="U778" s="29">
        <v>3.2114120000000002</v>
      </c>
      <c r="W778" s="14">
        <v>28.603622000000001</v>
      </c>
      <c r="Y778" s="29">
        <v>8.8803940000000008</v>
      </c>
      <c r="AA778" s="41">
        <v>567.84666700000002</v>
      </c>
      <c r="AC778" s="27">
        <v>48.357892</v>
      </c>
      <c r="AE778" s="27">
        <v>1</v>
      </c>
      <c r="AG778" s="29">
        <v>7.3421050000000001</v>
      </c>
      <c r="AI778" s="29">
        <v>8.75</v>
      </c>
      <c r="AK778" s="27">
        <v>23.621514000000001</v>
      </c>
      <c r="AM778" s="27">
        <v>30.923565</v>
      </c>
      <c r="AO778" s="29">
        <v>6.7646059999999997</v>
      </c>
      <c r="AP778" s="28"/>
    </row>
    <row r="779" spans="2:42" hidden="1" outlineLevel="1" x14ac:dyDescent="0.25">
      <c r="B779" s="21">
        <v>43117</v>
      </c>
      <c r="C779" s="27">
        <v>18.735703999999998</v>
      </c>
      <c r="E779" s="30">
        <v>0.81719600000000003</v>
      </c>
      <c r="G779" s="27">
        <v>18.884468999999999</v>
      </c>
      <c r="I779" s="29">
        <v>6.9149200000000004</v>
      </c>
      <c r="K779" s="29">
        <v>3.2251470000000002</v>
      </c>
      <c r="M779" s="41">
        <v>605.01719200000002</v>
      </c>
      <c r="O779" s="26">
        <v>2853.8596980000002</v>
      </c>
      <c r="Q779" s="26">
        <v>5608.9461719999999</v>
      </c>
      <c r="S779" s="26">
        <v>1739.136812</v>
      </c>
      <c r="U779" s="29">
        <v>3.20696</v>
      </c>
      <c r="W779" s="14">
        <v>28.564872999999999</v>
      </c>
      <c r="Y779" s="29">
        <v>8.8569410000000008</v>
      </c>
      <c r="AA779" s="41">
        <v>566.90714000000003</v>
      </c>
      <c r="AC779" s="27">
        <v>48.349775000000001</v>
      </c>
      <c r="AE779" s="27">
        <v>1</v>
      </c>
      <c r="AG779" s="29">
        <v>7.3307690000000001</v>
      </c>
      <c r="AI779" s="29">
        <v>8.75</v>
      </c>
      <c r="AK779" s="27">
        <v>23.589120000000001</v>
      </c>
      <c r="AM779" s="27">
        <v>30.892707999999999</v>
      </c>
      <c r="AO779" s="29">
        <v>6.7275400000000003</v>
      </c>
      <c r="AP779" s="28"/>
    </row>
    <row r="780" spans="2:42" hidden="1" outlineLevel="1" x14ac:dyDescent="0.25">
      <c r="B780" s="21">
        <v>43118</v>
      </c>
      <c r="C780" s="27">
        <v>18.694700999999998</v>
      </c>
      <c r="E780" s="30">
        <v>0.81823199999999996</v>
      </c>
      <c r="G780" s="27">
        <v>18.869852999999999</v>
      </c>
      <c r="I780" s="29">
        <v>6.9236040000000001</v>
      </c>
      <c r="K780" s="29">
        <v>3.2169639999999999</v>
      </c>
      <c r="M780" s="41">
        <v>606.03127400000005</v>
      </c>
      <c r="O780" s="26">
        <v>2845.5881949999998</v>
      </c>
      <c r="Q780" s="26">
        <v>5634.5163839999996</v>
      </c>
      <c r="S780" s="26">
        <v>1751.5114579999999</v>
      </c>
      <c r="U780" s="29">
        <v>3.2111900000000002</v>
      </c>
      <c r="W780" s="14">
        <v>28.608433999999999</v>
      </c>
      <c r="Y780" s="29">
        <v>8.8930170000000004</v>
      </c>
      <c r="AA780" s="41">
        <v>568.23388799999998</v>
      </c>
      <c r="AC780" s="27">
        <v>48.426473999999999</v>
      </c>
      <c r="AE780" s="27">
        <v>1</v>
      </c>
      <c r="AG780" s="29">
        <v>7.3466699999999996</v>
      </c>
      <c r="AI780" s="29">
        <v>8.75</v>
      </c>
      <c r="AK780" s="27">
        <v>23.636528999999999</v>
      </c>
      <c r="AM780" s="27">
        <v>30.959973999999999</v>
      </c>
      <c r="AO780" s="29">
        <v>6.7317159999999996</v>
      </c>
      <c r="AP780" s="28"/>
    </row>
    <row r="781" spans="2:42" hidden="1" outlineLevel="1" x14ac:dyDescent="0.25">
      <c r="B781" s="21">
        <v>43119</v>
      </c>
      <c r="C781" s="27">
        <v>18.601194</v>
      </c>
      <c r="E781" s="30">
        <v>0.81648399999999999</v>
      </c>
      <c r="G781" s="27">
        <v>18.926106000000001</v>
      </c>
      <c r="I781" s="29">
        <v>6.925878</v>
      </c>
      <c r="K781" s="29">
        <v>3.204564</v>
      </c>
      <c r="M781" s="41">
        <v>606.46779600000002</v>
      </c>
      <c r="O781" s="26">
        <v>2845.6364819999999</v>
      </c>
      <c r="Q781" s="26">
        <v>5638.312124</v>
      </c>
      <c r="S781" s="26">
        <v>1759.4749979999999</v>
      </c>
      <c r="U781" s="29">
        <v>3.2142979999999999</v>
      </c>
      <c r="W781" s="14">
        <v>28.607759999999999</v>
      </c>
      <c r="Y781" s="29">
        <v>8.9272189999999991</v>
      </c>
      <c r="AA781" s="41">
        <v>568.33968600000003</v>
      </c>
      <c r="AC781" s="27">
        <v>48.379055999999999</v>
      </c>
      <c r="AE781" s="27">
        <v>1</v>
      </c>
      <c r="AG781" s="29">
        <v>7.3460070000000002</v>
      </c>
      <c r="AI781" s="29">
        <v>8.75</v>
      </c>
      <c r="AK781" s="27">
        <v>23.622958000000001</v>
      </c>
      <c r="AM781" s="27">
        <v>30.961684000000002</v>
      </c>
      <c r="AO781" s="29">
        <v>6.7396960000000004</v>
      </c>
      <c r="AP781" s="28"/>
    </row>
    <row r="782" spans="2:42" hidden="1" outlineLevel="1" x14ac:dyDescent="0.25">
      <c r="B782" s="21">
        <v>43120</v>
      </c>
      <c r="C782" s="27">
        <v>18.629284999999999</v>
      </c>
      <c r="E782" s="30">
        <v>0.81845100000000004</v>
      </c>
      <c r="G782" s="27">
        <v>18.9849</v>
      </c>
      <c r="I782" s="29">
        <v>6.9225000000000003</v>
      </c>
      <c r="K782" s="29">
        <v>3.1962250000000001</v>
      </c>
      <c r="M782" s="41">
        <v>607.995</v>
      </c>
      <c r="O782" s="26">
        <v>2845.8</v>
      </c>
      <c r="Q782" s="26">
        <v>5635.15</v>
      </c>
      <c r="S782" s="26">
        <v>1763.071672</v>
      </c>
      <c r="U782" s="29">
        <v>3.2146499999999998</v>
      </c>
      <c r="W782" s="14">
        <v>28.614999999999998</v>
      </c>
      <c r="Y782" s="29">
        <v>8.9527579999999993</v>
      </c>
      <c r="AA782" s="41">
        <v>568.63499999999999</v>
      </c>
      <c r="AC782" s="27">
        <v>48.195</v>
      </c>
      <c r="AE782" s="27">
        <v>1</v>
      </c>
      <c r="AG782" s="29">
        <v>7.34755</v>
      </c>
      <c r="AI782" s="29">
        <v>8.75</v>
      </c>
      <c r="AK782" s="27">
        <v>23.595500000000001</v>
      </c>
      <c r="AM782" s="27">
        <v>30.96725</v>
      </c>
      <c r="AO782" s="29">
        <v>6.7611999999999997</v>
      </c>
      <c r="AP782" s="28"/>
    </row>
    <row r="783" spans="2:42" hidden="1" outlineLevel="1" x14ac:dyDescent="0.25">
      <c r="B783" s="21">
        <v>43121</v>
      </c>
      <c r="C783" s="27">
        <v>18.627431999999999</v>
      </c>
      <c r="E783" s="30">
        <v>0.81823999999999997</v>
      </c>
      <c r="G783" s="27">
        <v>18.980726000000001</v>
      </c>
      <c r="I783" s="29">
        <v>6.9245700000000001</v>
      </c>
      <c r="K783" s="29">
        <v>3.1962410000000001</v>
      </c>
      <c r="M783" s="41">
        <v>607.99880499999995</v>
      </c>
      <c r="O783" s="26">
        <v>2846.1639270000001</v>
      </c>
      <c r="Q783" s="26">
        <v>5635.8132859999996</v>
      </c>
      <c r="S783" s="26">
        <v>1763.270483</v>
      </c>
      <c r="U783" s="29">
        <v>3.2150699999999999</v>
      </c>
      <c r="W783" s="14">
        <v>28.618521999999999</v>
      </c>
      <c r="Y783" s="29">
        <v>8.9538180000000001</v>
      </c>
      <c r="AA783" s="41">
        <v>568.70132799999999</v>
      </c>
      <c r="AC783" s="27">
        <v>48.222208000000002</v>
      </c>
      <c r="AE783" s="27">
        <v>1</v>
      </c>
      <c r="AG783" s="29">
        <v>7.3484119999999997</v>
      </c>
      <c r="AI783" s="29">
        <v>8.75</v>
      </c>
      <c r="AK783" s="27">
        <v>23.604257</v>
      </c>
      <c r="AM783" s="27">
        <v>30.971359</v>
      </c>
      <c r="AO783" s="29">
        <v>6.7613450000000004</v>
      </c>
      <c r="AP783" s="28"/>
    </row>
    <row r="784" spans="2:42" hidden="1" outlineLevel="1" x14ac:dyDescent="0.25">
      <c r="B784" s="21">
        <v>43122</v>
      </c>
      <c r="C784" s="27">
        <v>18.651465999999999</v>
      </c>
      <c r="E784" s="30">
        <v>0.81672400000000001</v>
      </c>
      <c r="G784" s="27">
        <v>19.038913999999998</v>
      </c>
      <c r="I784" s="29">
        <v>6.937468</v>
      </c>
      <c r="K784" s="29">
        <v>3.19821</v>
      </c>
      <c r="M784" s="41">
        <v>606.65857400000004</v>
      </c>
      <c r="O784" s="26">
        <v>2851.6940519999998</v>
      </c>
      <c r="Q784" s="26">
        <v>5635.8770839999997</v>
      </c>
      <c r="S784" s="26">
        <v>1762.205518</v>
      </c>
      <c r="U784" s="29">
        <v>3.216234</v>
      </c>
      <c r="W784" s="14">
        <v>28.614771999999999</v>
      </c>
      <c r="Y784" s="29">
        <v>8.9471439999999998</v>
      </c>
      <c r="AA784" s="41">
        <v>568.60122699999999</v>
      </c>
      <c r="AC784" s="27">
        <v>48.461499000000003</v>
      </c>
      <c r="AE784" s="27">
        <v>1</v>
      </c>
      <c r="AG784" s="29">
        <v>7.3512519999999997</v>
      </c>
      <c r="AI784" s="29">
        <v>8.75</v>
      </c>
      <c r="AK784" s="27">
        <v>23.633848</v>
      </c>
      <c r="AM784" s="27">
        <v>30.987362000000001</v>
      </c>
      <c r="AO784" s="29">
        <v>6.7569600000000003</v>
      </c>
      <c r="AP784" s="28"/>
    </row>
    <row r="785" spans="2:42" hidden="1" outlineLevel="1" x14ac:dyDescent="0.25">
      <c r="B785" s="21">
        <v>43123</v>
      </c>
      <c r="C785" s="27">
        <v>18.748622000000001</v>
      </c>
      <c r="E785" s="30">
        <v>0.81515400000000005</v>
      </c>
      <c r="G785" s="27">
        <v>19.22533</v>
      </c>
      <c r="I785" s="29">
        <v>6.9245109999999999</v>
      </c>
      <c r="K785" s="29">
        <v>3.2180080000000002</v>
      </c>
      <c r="M785" s="41">
        <v>607.04686200000003</v>
      </c>
      <c r="O785" s="26">
        <v>2854.496948</v>
      </c>
      <c r="Q785" s="26">
        <v>5622.8756370000001</v>
      </c>
      <c r="S785" s="26">
        <v>1747.3240000000001</v>
      </c>
      <c r="U785" s="29">
        <v>3.2145800000000002</v>
      </c>
      <c r="W785" s="14">
        <v>28.557448000000001</v>
      </c>
      <c r="Y785" s="29">
        <v>8.8742800000000006</v>
      </c>
      <c r="AA785" s="41">
        <v>568.01421200000004</v>
      </c>
      <c r="AC785" s="27">
        <v>48.383800000000001</v>
      </c>
      <c r="AE785" s="27">
        <v>1</v>
      </c>
      <c r="AG785" s="29">
        <v>7.3439139999999998</v>
      </c>
      <c r="AI785" s="29">
        <v>8.75</v>
      </c>
      <c r="AK785" s="27">
        <v>23.607258000000002</v>
      </c>
      <c r="AM785" s="27">
        <v>31.000644999999999</v>
      </c>
      <c r="AO785" s="29">
        <v>6.7417980000000002</v>
      </c>
      <c r="AP785" s="28"/>
    </row>
    <row r="786" spans="2:42" hidden="1" outlineLevel="1" x14ac:dyDescent="0.25">
      <c r="B786" s="21">
        <v>43124</v>
      </c>
      <c r="C786" s="27">
        <v>18.591908</v>
      </c>
      <c r="E786" s="30">
        <v>0.80943600000000004</v>
      </c>
      <c r="G786" s="27">
        <v>19.452114000000002</v>
      </c>
      <c r="I786" s="29">
        <v>6.9180529999999996</v>
      </c>
      <c r="K786" s="29">
        <v>3.2058960000000001</v>
      </c>
      <c r="M786" s="41">
        <v>606.54617800000005</v>
      </c>
      <c r="O786" s="26">
        <v>2838.1080379999999</v>
      </c>
      <c r="Q786" s="26">
        <v>5609.5181759999996</v>
      </c>
      <c r="S786" s="26">
        <v>1749.7592380000001</v>
      </c>
      <c r="U786" s="29">
        <v>3.2131120000000002</v>
      </c>
      <c r="W786" s="14">
        <v>28.473127999999999</v>
      </c>
      <c r="Y786" s="29">
        <v>8.8815069999999992</v>
      </c>
      <c r="AA786" s="41">
        <v>567.87166500000001</v>
      </c>
      <c r="AC786" s="27">
        <v>48.240116999999998</v>
      </c>
      <c r="AE786" s="27">
        <v>1</v>
      </c>
      <c r="AG786" s="29">
        <v>7.3385829999999999</v>
      </c>
      <c r="AI786" s="29">
        <v>8.75</v>
      </c>
      <c r="AK786" s="27">
        <v>23.585736000000001</v>
      </c>
      <c r="AM786" s="27">
        <v>30.996773999999998</v>
      </c>
      <c r="AO786" s="29">
        <v>6.7313460000000003</v>
      </c>
      <c r="AP786" s="28"/>
    </row>
    <row r="787" spans="2:42" hidden="1" outlineLevel="1" x14ac:dyDescent="0.25">
      <c r="B787" s="21">
        <v>43125</v>
      </c>
      <c r="C787" s="27">
        <v>18.503874</v>
      </c>
      <c r="E787" s="30">
        <v>0.804454</v>
      </c>
      <c r="G787" s="27">
        <v>19.597797</v>
      </c>
      <c r="I787" s="29">
        <v>6.9176380000000002</v>
      </c>
      <c r="K787" s="29">
        <v>3.1454810000000002</v>
      </c>
      <c r="M787" s="41">
        <v>601.07630800000004</v>
      </c>
      <c r="O787" s="26">
        <v>2801.453966</v>
      </c>
      <c r="Q787" s="26">
        <v>5606.1247059999996</v>
      </c>
      <c r="S787" s="26">
        <v>1782.291604</v>
      </c>
      <c r="U787" s="29">
        <v>3.2105000000000001</v>
      </c>
      <c r="W787" s="14">
        <v>28.449529999999999</v>
      </c>
      <c r="Y787" s="29">
        <v>9.0445980000000006</v>
      </c>
      <c r="AA787" s="41">
        <v>568.391524</v>
      </c>
      <c r="AC787" s="27">
        <v>48.358491999999998</v>
      </c>
      <c r="AE787" s="27">
        <v>1</v>
      </c>
      <c r="AG787" s="29">
        <v>7.3380080000000003</v>
      </c>
      <c r="AI787" s="29">
        <v>8.75</v>
      </c>
      <c r="AK787" s="27">
        <v>23.578727000000001</v>
      </c>
      <c r="AM787" s="27">
        <v>30.975929000000001</v>
      </c>
      <c r="AO787" s="29">
        <v>6.7095919999999998</v>
      </c>
      <c r="AP787" s="28"/>
    </row>
    <row r="788" spans="2:42" hidden="1" outlineLevel="1" x14ac:dyDescent="0.25">
      <c r="B788" s="21">
        <v>43126</v>
      </c>
      <c r="C788" s="27">
        <v>18.540596000000001</v>
      </c>
      <c r="E788" s="30">
        <v>0.80424200000000001</v>
      </c>
      <c r="G788" s="27">
        <v>19.560331000000001</v>
      </c>
      <c r="I788" s="29">
        <v>6.9208759999999998</v>
      </c>
      <c r="K788" s="29">
        <v>3.147875</v>
      </c>
      <c r="M788" s="41">
        <v>600.58065999999997</v>
      </c>
      <c r="O788" s="26">
        <v>2800.8765539999999</v>
      </c>
      <c r="Q788" s="26">
        <v>5616.680394</v>
      </c>
      <c r="S788" s="26">
        <v>1784.2860519999999</v>
      </c>
      <c r="U788" s="29">
        <v>3.2126579999999998</v>
      </c>
      <c r="W788" s="14">
        <v>28.388735</v>
      </c>
      <c r="Y788" s="29">
        <v>9.0183999999999997</v>
      </c>
      <c r="AA788" s="41">
        <v>569.46575600000006</v>
      </c>
      <c r="AC788" s="27">
        <v>48.476349999999996</v>
      </c>
      <c r="AE788" s="27">
        <v>1</v>
      </c>
      <c r="AG788" s="29">
        <v>7.3451490000000002</v>
      </c>
      <c r="AI788" s="29">
        <v>8.75</v>
      </c>
      <c r="AK788" s="27">
        <v>23.601354000000001</v>
      </c>
      <c r="AM788" s="27">
        <v>31.004926000000001</v>
      </c>
      <c r="AO788" s="29">
        <v>6.7441069999999996</v>
      </c>
      <c r="AP788" s="28"/>
    </row>
    <row r="789" spans="2:42" hidden="1" outlineLevel="1" x14ac:dyDescent="0.25">
      <c r="B789" s="21">
        <v>43127</v>
      </c>
      <c r="C789" s="27">
        <v>18.490570000000002</v>
      </c>
      <c r="E789" s="30">
        <v>0.80444000000000004</v>
      </c>
      <c r="G789" s="27">
        <v>19.552</v>
      </c>
      <c r="I789" s="29">
        <v>6.9225000000000003</v>
      </c>
      <c r="K789" s="29">
        <v>3.1524000000000001</v>
      </c>
      <c r="M789" s="41">
        <v>602.79999999999995</v>
      </c>
      <c r="O789" s="26">
        <v>2811.3449999999998</v>
      </c>
      <c r="Q789" s="26">
        <v>5621.1</v>
      </c>
      <c r="S789" s="26">
        <v>1783.1243199999999</v>
      </c>
      <c r="U789" s="29">
        <v>3.21055</v>
      </c>
      <c r="W789" s="14">
        <v>28.33</v>
      </c>
      <c r="Y789" s="29">
        <v>8.9868120000000005</v>
      </c>
      <c r="AA789" s="41">
        <v>569.27</v>
      </c>
      <c r="AC789" s="27">
        <v>48.314999999999998</v>
      </c>
      <c r="AE789" s="27">
        <v>1</v>
      </c>
      <c r="AG789" s="29">
        <v>7.3449249999999999</v>
      </c>
      <c r="AI789" s="29">
        <v>8.75</v>
      </c>
      <c r="AK789" s="27">
        <v>23.590499999999999</v>
      </c>
      <c r="AM789" s="27">
        <v>31.024750000000001</v>
      </c>
      <c r="AO789" s="29">
        <v>6.77095</v>
      </c>
      <c r="AP789" s="28"/>
    </row>
    <row r="790" spans="2:42" hidden="1" outlineLevel="1" x14ac:dyDescent="0.25">
      <c r="B790" s="21">
        <v>43128</v>
      </c>
      <c r="C790" s="27">
        <v>18.490914</v>
      </c>
      <c r="E790" s="30">
        <v>0.80449800000000005</v>
      </c>
      <c r="G790" s="27">
        <v>19.552887999999999</v>
      </c>
      <c r="I790" s="29">
        <v>6.9225000000000003</v>
      </c>
      <c r="K790" s="29">
        <v>3.1525080000000001</v>
      </c>
      <c r="M790" s="41">
        <v>602.79362000000003</v>
      </c>
      <c r="O790" s="26">
        <v>2811.3951120000002</v>
      </c>
      <c r="Q790" s="26">
        <v>5621.1</v>
      </c>
      <c r="S790" s="26">
        <v>1783.06324</v>
      </c>
      <c r="U790" s="29">
        <v>3.210766</v>
      </c>
      <c r="W790" s="14">
        <v>28.33</v>
      </c>
      <c r="Y790" s="29">
        <v>8.9865030000000008</v>
      </c>
      <c r="AA790" s="41">
        <v>569.27</v>
      </c>
      <c r="AC790" s="27">
        <v>48.314472000000002</v>
      </c>
      <c r="AE790" s="27">
        <v>1</v>
      </c>
      <c r="AG790" s="29">
        <v>7.3449249999999999</v>
      </c>
      <c r="AI790" s="29">
        <v>8.75</v>
      </c>
      <c r="AK790" s="27">
        <v>23.590315</v>
      </c>
      <c r="AM790" s="27">
        <v>31.026955000000001</v>
      </c>
      <c r="AO790" s="29">
        <v>6.77095</v>
      </c>
      <c r="AP790" s="28"/>
    </row>
    <row r="791" spans="2:42" hidden="1" outlineLevel="1" x14ac:dyDescent="0.25">
      <c r="B791" s="21">
        <v>43129</v>
      </c>
      <c r="C791" s="27">
        <v>18.569299999999998</v>
      </c>
      <c r="E791" s="30">
        <v>0.80701299999999998</v>
      </c>
      <c r="G791" s="27">
        <v>19.573504</v>
      </c>
      <c r="I791" s="29">
        <v>6.9222260000000002</v>
      </c>
      <c r="K791" s="29">
        <v>3.1582699999999999</v>
      </c>
      <c r="M791" s="41">
        <v>603.20395199999996</v>
      </c>
      <c r="O791" s="26">
        <v>2819.291397</v>
      </c>
      <c r="Q791" s="26">
        <v>5627.8711089999997</v>
      </c>
      <c r="S791" s="26">
        <v>1781.9562040000001</v>
      </c>
      <c r="U791" s="29">
        <v>3.2164450000000002</v>
      </c>
      <c r="W791" s="14">
        <v>28.345428999999999</v>
      </c>
      <c r="Y791" s="29">
        <v>8.9750139999999998</v>
      </c>
      <c r="AA791" s="41">
        <v>569.705826</v>
      </c>
      <c r="AC791" s="27">
        <v>48.683973999999999</v>
      </c>
      <c r="AE791" s="27">
        <v>1</v>
      </c>
      <c r="AG791" s="29">
        <v>7.3476489999999997</v>
      </c>
      <c r="AI791" s="29">
        <v>8.75</v>
      </c>
      <c r="AK791" s="27">
        <v>23.628243999999999</v>
      </c>
      <c r="AM791" s="27">
        <v>31.038160000000001</v>
      </c>
      <c r="AO791" s="29">
        <v>6.7303790000000001</v>
      </c>
      <c r="AP791" s="28"/>
    </row>
    <row r="792" spans="2:42" hidden="1" outlineLevel="1" x14ac:dyDescent="0.25">
      <c r="B792" s="21">
        <v>43130</v>
      </c>
      <c r="C792" s="27">
        <v>18.665037999999999</v>
      </c>
      <c r="E792" s="30">
        <v>0.80683000000000005</v>
      </c>
      <c r="G792" s="27">
        <v>19.588215999999999</v>
      </c>
      <c r="I792" s="29">
        <v>6.9222359999999998</v>
      </c>
      <c r="K792" s="29">
        <v>3.166585</v>
      </c>
      <c r="M792" s="41">
        <v>604.789852</v>
      </c>
      <c r="O792" s="26">
        <v>2837.9055669999998</v>
      </c>
      <c r="Q792" s="26">
        <v>5632.4783319999997</v>
      </c>
      <c r="S792" s="26">
        <v>1778.7317459999999</v>
      </c>
      <c r="U792" s="29">
        <v>3.216018</v>
      </c>
      <c r="W792" s="14">
        <v>28.401312999999998</v>
      </c>
      <c r="Y792" s="29">
        <v>8.9690849999999998</v>
      </c>
      <c r="AA792" s="41">
        <v>569.56194800000003</v>
      </c>
      <c r="AC792" s="27">
        <v>48.756023999999996</v>
      </c>
      <c r="AE792" s="27">
        <v>1</v>
      </c>
      <c r="AG792" s="29">
        <v>7.3501399999999997</v>
      </c>
      <c r="AI792" s="29">
        <v>8.75</v>
      </c>
      <c r="AK792" s="27">
        <v>23.627762000000001</v>
      </c>
      <c r="AM792" s="27">
        <v>31.095124999999999</v>
      </c>
      <c r="AO792" s="29">
        <v>6.7204480000000002</v>
      </c>
      <c r="AP792" s="28"/>
    </row>
    <row r="793" spans="2:42" hidden="1" outlineLevel="1" x14ac:dyDescent="0.25">
      <c r="B793" s="21">
        <v>43131</v>
      </c>
      <c r="C793" s="49">
        <v>18.6982</v>
      </c>
      <c r="E793" s="30">
        <v>0.80441399999999996</v>
      </c>
      <c r="G793" s="27">
        <v>19.634236000000001</v>
      </c>
      <c r="I793" s="29">
        <v>6.9219359999999996</v>
      </c>
      <c r="K793" s="29">
        <v>3.1780840000000001</v>
      </c>
      <c r="M793" s="41">
        <v>604.73058800000001</v>
      </c>
      <c r="O793" s="26">
        <v>2841.311545</v>
      </c>
      <c r="Q793" s="26">
        <v>5625.8377700000001</v>
      </c>
      <c r="S793" s="26">
        <v>1770.2061040000001</v>
      </c>
      <c r="U793" s="29">
        <v>3.216548</v>
      </c>
      <c r="W793" s="14">
        <v>28.436436</v>
      </c>
      <c r="Y793" s="29">
        <v>8.9476849999999999</v>
      </c>
      <c r="AA793" s="41">
        <v>569.28483500000004</v>
      </c>
      <c r="AC793" s="27">
        <v>48.793702000000003</v>
      </c>
      <c r="AE793" s="27">
        <v>1</v>
      </c>
      <c r="AG793" s="29">
        <v>7.3481509999999997</v>
      </c>
      <c r="AI793" s="29">
        <v>8.75</v>
      </c>
      <c r="AK793" s="27">
        <v>23.615696</v>
      </c>
      <c r="AM793" s="27">
        <v>31.122485999999999</v>
      </c>
      <c r="AO793" s="29">
        <v>6.7209820000000002</v>
      </c>
      <c r="AP793" s="28"/>
    </row>
    <row r="794" spans="2:42" ht="13" collapsed="1" x14ac:dyDescent="0.3">
      <c r="B794" s="25" t="s">
        <v>163</v>
      </c>
      <c r="C794" s="19">
        <v>18.9345</v>
      </c>
      <c r="E794" s="24">
        <v>0.82019900000000001</v>
      </c>
      <c r="G794" s="19">
        <v>18.996700000000001</v>
      </c>
      <c r="I794" s="23">
        <v>6.9217000000000004</v>
      </c>
      <c r="J794" s="9"/>
      <c r="K794" s="23">
        <v>3.2113100000000001</v>
      </c>
      <c r="M794" s="42">
        <v>605.721</v>
      </c>
      <c r="O794" s="31">
        <v>2867.53</v>
      </c>
      <c r="Q794" s="31">
        <v>5623.77</v>
      </c>
      <c r="S794" s="31">
        <v>1751.5</v>
      </c>
      <c r="U794" s="23">
        <v>3.21591</v>
      </c>
      <c r="W794" s="23">
        <v>28.590890000000002</v>
      </c>
      <c r="Y794" s="23">
        <v>8.9039999999999999</v>
      </c>
      <c r="AA794" s="42">
        <v>568.34299999999996</v>
      </c>
      <c r="AC794" s="19">
        <v>48.3688</v>
      </c>
      <c r="AE794" s="19">
        <v>1</v>
      </c>
      <c r="AG794" s="23">
        <v>7.3429399999999996</v>
      </c>
      <c r="AI794" s="23">
        <v>8.75</v>
      </c>
      <c r="AK794" s="23">
        <v>23.601089999999999</v>
      </c>
      <c r="AM794" s="23">
        <v>30.931249999999999</v>
      </c>
      <c r="AO794" s="23">
        <v>6.7411000000000003</v>
      </c>
      <c r="AP794" s="10"/>
    </row>
    <row r="795" spans="2:42" hidden="1" outlineLevel="1" x14ac:dyDescent="0.25">
      <c r="B795" s="21">
        <v>43132</v>
      </c>
      <c r="C795" s="27">
        <v>18.516577999999999</v>
      </c>
      <c r="E795" s="30">
        <v>0.803064</v>
      </c>
      <c r="G795" s="27">
        <v>19.533401999999999</v>
      </c>
      <c r="I795" s="29">
        <v>6.9242739999999996</v>
      </c>
      <c r="K795" s="29">
        <v>3.177826</v>
      </c>
      <c r="M795" s="41">
        <v>600.37536399999999</v>
      </c>
      <c r="O795" s="26">
        <v>2822.1425180000001</v>
      </c>
      <c r="Q795" s="26">
        <v>5620.9673839999996</v>
      </c>
      <c r="S795" s="26">
        <v>1768.816961</v>
      </c>
      <c r="U795" s="29">
        <v>3.2155480000000001</v>
      </c>
      <c r="W795" s="14">
        <v>28.441216000000001</v>
      </c>
      <c r="Y795" s="29">
        <v>8.9499119999999994</v>
      </c>
      <c r="AA795" s="41">
        <v>569.76288399999999</v>
      </c>
      <c r="AC795" s="27">
        <v>48.805791999999997</v>
      </c>
      <c r="AE795" s="27">
        <v>1</v>
      </c>
      <c r="AG795" s="29">
        <v>7.3514249999999999</v>
      </c>
      <c r="AI795" s="29">
        <v>8.75</v>
      </c>
      <c r="AK795" s="27">
        <v>23.613992</v>
      </c>
      <c r="AM795" s="27">
        <v>31.179214000000002</v>
      </c>
      <c r="AO795" s="29">
        <v>6.7565879999999998</v>
      </c>
      <c r="AP795" s="28"/>
    </row>
    <row r="796" spans="2:42" hidden="1" outlineLevel="1" x14ac:dyDescent="0.25">
      <c r="B796" s="21">
        <v>43133</v>
      </c>
      <c r="C796" s="27">
        <v>18.459295999999998</v>
      </c>
      <c r="E796" s="30">
        <v>0.80141700000000005</v>
      </c>
      <c r="G796" s="27">
        <v>19.416086</v>
      </c>
      <c r="I796" s="29">
        <v>6.9165179999999999</v>
      </c>
      <c r="K796" s="29">
        <v>3.191732</v>
      </c>
      <c r="M796" s="41">
        <v>599.91853600000002</v>
      </c>
      <c r="O796" s="26">
        <v>2816.03242</v>
      </c>
      <c r="Q796" s="26">
        <v>5604.6313680000003</v>
      </c>
      <c r="S796" s="26">
        <v>1755.992802</v>
      </c>
      <c r="U796" s="29">
        <v>3.2124619999999999</v>
      </c>
      <c r="W796" s="14">
        <v>28.396891</v>
      </c>
      <c r="Y796" s="29">
        <v>8.8970339999999997</v>
      </c>
      <c r="AA796" s="41">
        <v>570.40780199999995</v>
      </c>
      <c r="AC796" s="27">
        <v>48.801780000000001</v>
      </c>
      <c r="AE796" s="27">
        <v>1</v>
      </c>
      <c r="AG796" s="29">
        <v>7.3383229999999999</v>
      </c>
      <c r="AI796" s="29">
        <v>8.75</v>
      </c>
      <c r="AK796" s="27">
        <v>23.570423999999999</v>
      </c>
      <c r="AM796" s="27">
        <v>31.085021999999999</v>
      </c>
      <c r="AO796" s="29">
        <v>6.7413939999999997</v>
      </c>
      <c r="AP796" s="28"/>
    </row>
    <row r="797" spans="2:42" hidden="1" outlineLevel="1" x14ac:dyDescent="0.25">
      <c r="B797" s="21">
        <v>43134</v>
      </c>
      <c r="C797" s="27">
        <v>18.596374999999998</v>
      </c>
      <c r="E797" s="30">
        <v>0.802813</v>
      </c>
      <c r="G797" s="27">
        <v>19.467600000000001</v>
      </c>
      <c r="I797" s="29">
        <v>6.9225000000000003</v>
      </c>
      <c r="K797" s="29">
        <v>3.2183000000000002</v>
      </c>
      <c r="M797" s="41">
        <v>602.80250000000001</v>
      </c>
      <c r="O797" s="26">
        <v>2841</v>
      </c>
      <c r="Q797" s="26">
        <v>5609.05</v>
      </c>
      <c r="S797" s="26">
        <v>1742.867538</v>
      </c>
      <c r="U797" s="29">
        <v>3.2176499999999999</v>
      </c>
      <c r="W797" s="14">
        <v>28.41</v>
      </c>
      <c r="Y797" s="29">
        <v>8.8276500000000002</v>
      </c>
      <c r="AA797" s="41">
        <v>571.78499999999997</v>
      </c>
      <c r="AC797" s="27">
        <v>48.865000000000002</v>
      </c>
      <c r="AE797" s="27">
        <v>1</v>
      </c>
      <c r="AG797" s="29">
        <v>7.3480749999999997</v>
      </c>
      <c r="AI797" s="29">
        <v>8.75</v>
      </c>
      <c r="AK797" s="27">
        <v>23.599</v>
      </c>
      <c r="AM797" s="27">
        <v>31.125</v>
      </c>
      <c r="AO797" s="29">
        <v>6.7380500000000003</v>
      </c>
      <c r="AP797" s="28"/>
    </row>
    <row r="798" spans="2:42" hidden="1" outlineLevel="1" x14ac:dyDescent="0.25">
      <c r="B798" s="21">
        <v>43135</v>
      </c>
      <c r="C798" s="27">
        <v>18.600954999999999</v>
      </c>
      <c r="E798" s="30">
        <v>0.80291000000000001</v>
      </c>
      <c r="G798" s="27">
        <v>19.469567999999999</v>
      </c>
      <c r="I798" s="29">
        <v>6.9225000000000003</v>
      </c>
      <c r="K798" s="29">
        <v>3.2183120000000001</v>
      </c>
      <c r="M798" s="41">
        <v>602.80213800000001</v>
      </c>
      <c r="O798" s="26">
        <v>2840.9670449999999</v>
      </c>
      <c r="Q798" s="26">
        <v>5609.05</v>
      </c>
      <c r="S798" s="26">
        <v>1742.8616500000001</v>
      </c>
      <c r="U798" s="29">
        <v>3.217603</v>
      </c>
      <c r="W798" s="14">
        <v>28.41</v>
      </c>
      <c r="Y798" s="29">
        <v>8.8276190000000003</v>
      </c>
      <c r="AA798" s="41">
        <v>571.78499999999997</v>
      </c>
      <c r="AC798" s="27">
        <v>48.845211999999997</v>
      </c>
      <c r="AE798" s="27">
        <v>1</v>
      </c>
      <c r="AG798" s="29">
        <v>7.3480749999999997</v>
      </c>
      <c r="AI798" s="29">
        <v>8.75</v>
      </c>
      <c r="AK798" s="27">
        <v>23.600397000000001</v>
      </c>
      <c r="AM798" s="27">
        <v>31.12706</v>
      </c>
      <c r="AO798" s="29">
        <v>6.7380500000000003</v>
      </c>
      <c r="AP798" s="28"/>
    </row>
    <row r="799" spans="2:42" hidden="1" outlineLevel="1" x14ac:dyDescent="0.25">
      <c r="B799" s="21">
        <v>43136</v>
      </c>
      <c r="C799" s="27">
        <v>18.631025999999999</v>
      </c>
      <c r="E799" s="30">
        <v>0.80427199999999999</v>
      </c>
      <c r="G799" s="27">
        <v>19.469995999999998</v>
      </c>
      <c r="I799" s="29">
        <v>6.9254759999999997</v>
      </c>
      <c r="K799" s="29">
        <v>3.233228</v>
      </c>
      <c r="M799" s="41">
        <v>602.74725599999999</v>
      </c>
      <c r="O799" s="26">
        <v>2831.3294070000002</v>
      </c>
      <c r="Q799" s="26">
        <v>5611.838823</v>
      </c>
      <c r="S799" s="26">
        <v>1735.68523</v>
      </c>
      <c r="U799" s="29">
        <v>3.2230189999999999</v>
      </c>
      <c r="W799" s="14">
        <v>28.436968</v>
      </c>
      <c r="Y799" s="29">
        <v>8.7952480000000008</v>
      </c>
      <c r="AA799" s="41">
        <v>572.71181999999999</v>
      </c>
      <c r="AC799" s="27">
        <v>48.870576999999997</v>
      </c>
      <c r="AE799" s="27">
        <v>1</v>
      </c>
      <c r="AG799" s="29">
        <v>7.3528950000000002</v>
      </c>
      <c r="AI799" s="29">
        <v>8.75</v>
      </c>
      <c r="AK799" s="27">
        <v>23.598396000000001</v>
      </c>
      <c r="AM799" s="27">
        <v>31.120967</v>
      </c>
      <c r="AO799" s="29">
        <v>6.7190640000000004</v>
      </c>
      <c r="AP799" s="28"/>
    </row>
    <row r="800" spans="2:42" hidden="1" outlineLevel="1" x14ac:dyDescent="0.25">
      <c r="B800" s="21">
        <v>43137</v>
      </c>
      <c r="C800" s="27">
        <v>18.764748999999998</v>
      </c>
      <c r="E800" s="30">
        <v>0.80796000000000001</v>
      </c>
      <c r="G800" s="27">
        <v>19.536923999999999</v>
      </c>
      <c r="I800" s="29">
        <v>6.9253999999999998</v>
      </c>
      <c r="K800" s="29">
        <v>3.2556289999999999</v>
      </c>
      <c r="M800" s="41">
        <v>601.3931</v>
      </c>
      <c r="O800" s="26">
        <v>2842.5264379999999</v>
      </c>
      <c r="Q800" s="26">
        <v>5610.2901080000001</v>
      </c>
      <c r="S800" s="26">
        <v>1723.2667779999999</v>
      </c>
      <c r="U800" s="29">
        <v>3.2415569999999998</v>
      </c>
      <c r="W800" s="14">
        <v>28.451792999999999</v>
      </c>
      <c r="Y800" s="29">
        <v>8.7392780000000005</v>
      </c>
      <c r="AA800" s="41">
        <v>573.29381999999998</v>
      </c>
      <c r="AC800" s="27">
        <v>48.911698000000001</v>
      </c>
      <c r="AE800" s="27">
        <v>1</v>
      </c>
      <c r="AG800" s="29">
        <v>7.3583189999999998</v>
      </c>
      <c r="AI800" s="29">
        <v>8.75</v>
      </c>
      <c r="AK800" s="27">
        <v>23.610468000000001</v>
      </c>
      <c r="AM800" s="27">
        <v>31.141031999999999</v>
      </c>
      <c r="AO800" s="29">
        <v>6.7260479999999996</v>
      </c>
      <c r="AP800" s="28"/>
    </row>
    <row r="801" spans="2:42" hidden="1" outlineLevel="1" x14ac:dyDescent="0.25">
      <c r="B801" s="21">
        <v>43138</v>
      </c>
      <c r="C801" s="27">
        <v>18.678436000000001</v>
      </c>
      <c r="E801" s="30">
        <v>0.81079000000000001</v>
      </c>
      <c r="G801" s="27">
        <v>19.603656000000001</v>
      </c>
      <c r="I801" s="29">
        <v>6.9193670000000003</v>
      </c>
      <c r="K801" s="29">
        <v>3.2494640000000001</v>
      </c>
      <c r="M801" s="41">
        <v>598.56132100000002</v>
      </c>
      <c r="O801" s="26">
        <v>2835.790348</v>
      </c>
      <c r="Q801" s="26">
        <v>5600.2981339999997</v>
      </c>
      <c r="S801" s="26">
        <v>1723.460967</v>
      </c>
      <c r="U801" s="29">
        <v>3.244386</v>
      </c>
      <c r="W801" s="14">
        <v>28.476828999999999</v>
      </c>
      <c r="Y801" s="29">
        <v>8.7635660000000009</v>
      </c>
      <c r="AA801" s="41">
        <v>573.49986799999999</v>
      </c>
      <c r="AC801" s="27">
        <v>48.891762</v>
      </c>
      <c r="AE801" s="27">
        <v>1</v>
      </c>
      <c r="AG801" s="29">
        <v>7.3482000000000003</v>
      </c>
      <c r="AI801" s="29">
        <v>8.75</v>
      </c>
      <c r="AK801" s="27">
        <v>23.567039999999999</v>
      </c>
      <c r="AM801" s="27">
        <v>31.079386</v>
      </c>
      <c r="AO801" s="29">
        <v>6.7223639999999998</v>
      </c>
      <c r="AP801" s="28"/>
    </row>
    <row r="802" spans="2:42" hidden="1" outlineLevel="1" x14ac:dyDescent="0.25">
      <c r="B802" s="21">
        <v>43139</v>
      </c>
      <c r="C802" s="27">
        <v>18.815045999999999</v>
      </c>
      <c r="E802" s="30">
        <v>0.81575200000000003</v>
      </c>
      <c r="G802" s="27">
        <v>19.78651</v>
      </c>
      <c r="I802" s="29">
        <v>6.9267799999999999</v>
      </c>
      <c r="K802" s="29">
        <v>3.2763659999999999</v>
      </c>
      <c r="M802" s="41">
        <v>600.71547799999996</v>
      </c>
      <c r="O802" s="26">
        <v>2858.7076659999998</v>
      </c>
      <c r="Q802" s="26">
        <v>5607.8323979999996</v>
      </c>
      <c r="S802" s="26">
        <v>1711.609418</v>
      </c>
      <c r="U802" s="29">
        <v>3.2557200000000002</v>
      </c>
      <c r="W802" s="14">
        <v>28.530656</v>
      </c>
      <c r="Y802" s="29">
        <v>8.7080400000000004</v>
      </c>
      <c r="AA802" s="41">
        <v>575.072182</v>
      </c>
      <c r="AC802" s="27">
        <v>48.974285000000002</v>
      </c>
      <c r="AE802" s="27">
        <v>1</v>
      </c>
      <c r="AG802" s="29">
        <v>7.3576899999999998</v>
      </c>
      <c r="AI802" s="29">
        <v>8.75</v>
      </c>
      <c r="AK802" s="27">
        <v>23.589862</v>
      </c>
      <c r="AM802" s="27">
        <v>31.130531000000001</v>
      </c>
      <c r="AO802" s="29">
        <v>6.7176179999999999</v>
      </c>
      <c r="AP802" s="28"/>
    </row>
    <row r="803" spans="2:42" hidden="1" outlineLevel="1" x14ac:dyDescent="0.25">
      <c r="B803" s="21">
        <v>43140</v>
      </c>
      <c r="C803" s="27">
        <v>18.820058</v>
      </c>
      <c r="E803" s="30">
        <v>0.81628999999999996</v>
      </c>
      <c r="G803" s="27">
        <v>20.005013000000002</v>
      </c>
      <c r="I803" s="29">
        <v>6.9199700000000002</v>
      </c>
      <c r="K803" s="29">
        <v>3.2899349999999998</v>
      </c>
      <c r="M803" s="41">
        <v>603.46158500000001</v>
      </c>
      <c r="O803" s="26">
        <v>2890.7066150000001</v>
      </c>
      <c r="Q803" s="26">
        <v>5595.5533379999997</v>
      </c>
      <c r="S803" s="26">
        <v>1700.8176860000001</v>
      </c>
      <c r="U803" s="29">
        <v>3.267236</v>
      </c>
      <c r="W803" s="14">
        <v>28.544837999999999</v>
      </c>
      <c r="Y803" s="29">
        <v>8.6764299999999999</v>
      </c>
      <c r="AA803" s="41">
        <v>574.22591499999999</v>
      </c>
      <c r="AC803" s="27">
        <v>48.918596000000001</v>
      </c>
      <c r="AE803" s="27">
        <v>1</v>
      </c>
      <c r="AG803" s="29">
        <v>7.345682</v>
      </c>
      <c r="AI803" s="29">
        <v>8.75</v>
      </c>
      <c r="AK803" s="27">
        <v>23.547512000000001</v>
      </c>
      <c r="AM803" s="27">
        <v>31.069865</v>
      </c>
      <c r="AO803" s="29">
        <v>6.7314579999999999</v>
      </c>
      <c r="AP803" s="28"/>
    </row>
    <row r="804" spans="2:42" hidden="1" outlineLevel="1" x14ac:dyDescent="0.25">
      <c r="B804" s="21">
        <v>43141</v>
      </c>
      <c r="C804" s="27">
        <v>18.710145000000001</v>
      </c>
      <c r="E804" s="30">
        <v>0.81622700000000004</v>
      </c>
      <c r="G804" s="27">
        <v>19.985399999999998</v>
      </c>
      <c r="I804" s="29">
        <v>6.9225000000000003</v>
      </c>
      <c r="K804" s="29">
        <v>3.294975</v>
      </c>
      <c r="M804" s="41">
        <v>604.77499999999998</v>
      </c>
      <c r="O804" s="26">
        <v>2921.2725</v>
      </c>
      <c r="Q804" s="26">
        <v>5593.6750000000002</v>
      </c>
      <c r="S804" s="26">
        <v>1697.645068</v>
      </c>
      <c r="U804" s="29">
        <v>3.2768250000000001</v>
      </c>
      <c r="W804" s="14">
        <v>28.594999999999999</v>
      </c>
      <c r="Y804" s="29">
        <v>8.6783750000000008</v>
      </c>
      <c r="AA804" s="41">
        <v>574.40250000000003</v>
      </c>
      <c r="AC804" s="27">
        <v>48.827500000000001</v>
      </c>
      <c r="AE804" s="27">
        <v>1</v>
      </c>
      <c r="AG804" s="29">
        <v>7.3501250000000002</v>
      </c>
      <c r="AI804" s="29">
        <v>8.75</v>
      </c>
      <c r="AK804" s="27">
        <v>23.541499999999999</v>
      </c>
      <c r="AM804" s="27">
        <v>31.1</v>
      </c>
      <c r="AO804" s="29">
        <v>6.748475</v>
      </c>
      <c r="AP804" s="28"/>
    </row>
    <row r="805" spans="2:42" hidden="1" outlineLevel="1" x14ac:dyDescent="0.25">
      <c r="B805" s="21">
        <v>43142</v>
      </c>
      <c r="C805" s="27">
        <v>18.710789999999999</v>
      </c>
      <c r="E805" s="30">
        <v>0.816245</v>
      </c>
      <c r="G805" s="27">
        <v>19.985040000000001</v>
      </c>
      <c r="I805" s="29">
        <v>6.9225000000000003</v>
      </c>
      <c r="K805" s="29">
        <v>3.2949579999999998</v>
      </c>
      <c r="M805" s="41">
        <v>604.77441699999997</v>
      </c>
      <c r="O805" s="26">
        <v>2921.324619</v>
      </c>
      <c r="Q805" s="26">
        <v>5593.6750000000002</v>
      </c>
      <c r="S805" s="26">
        <v>1697.6544309999999</v>
      </c>
      <c r="U805" s="29">
        <v>3.276446</v>
      </c>
      <c r="W805" s="14">
        <v>28.594999999999999</v>
      </c>
      <c r="Y805" s="29">
        <v>8.6784219999999994</v>
      </c>
      <c r="AA805" s="41">
        <v>574.40250000000003</v>
      </c>
      <c r="AC805" s="27">
        <v>48.829368000000002</v>
      </c>
      <c r="AE805" s="27">
        <v>1</v>
      </c>
      <c r="AG805" s="29">
        <v>7.3501250000000002</v>
      </c>
      <c r="AI805" s="29">
        <v>8.75</v>
      </c>
      <c r="AK805" s="27">
        <v>23.541224</v>
      </c>
      <c r="AM805" s="27">
        <v>31.099983999999999</v>
      </c>
      <c r="AO805" s="29">
        <v>6.748475</v>
      </c>
      <c r="AP805" s="28"/>
    </row>
    <row r="806" spans="2:42" hidden="1" outlineLevel="1" x14ac:dyDescent="0.25">
      <c r="B806" s="21">
        <v>43143</v>
      </c>
      <c r="C806" s="27">
        <v>18.652833999999999</v>
      </c>
      <c r="E806" s="30">
        <v>0.81463399999999997</v>
      </c>
      <c r="G806" s="27">
        <v>19.975268</v>
      </c>
      <c r="I806" s="29">
        <v>6.9213880000000003</v>
      </c>
      <c r="K806" s="29">
        <v>3.2940459999999998</v>
      </c>
      <c r="M806" s="41">
        <v>601.88669300000004</v>
      </c>
      <c r="O806" s="26">
        <v>2907.8882480000002</v>
      </c>
      <c r="Q806" s="26">
        <v>5587.4023660000003</v>
      </c>
      <c r="S806" s="26">
        <v>1696.227226</v>
      </c>
      <c r="U806" s="29">
        <v>3.268786</v>
      </c>
      <c r="W806" s="14">
        <v>28.636177</v>
      </c>
      <c r="Y806" s="29">
        <v>8.6933489999999995</v>
      </c>
      <c r="AA806" s="41">
        <v>573.76754200000005</v>
      </c>
      <c r="AC806" s="27">
        <v>48.935910999999997</v>
      </c>
      <c r="AE806" s="27">
        <v>1</v>
      </c>
      <c r="AG806" s="29">
        <v>7.3467479999999998</v>
      </c>
      <c r="AI806" s="29">
        <v>8.75</v>
      </c>
      <c r="AK806" s="27">
        <v>23.54918</v>
      </c>
      <c r="AM806" s="27">
        <v>31.089801999999999</v>
      </c>
      <c r="AO806" s="29">
        <v>6.711392</v>
      </c>
      <c r="AP806" s="28"/>
    </row>
    <row r="807" spans="2:42" hidden="1" outlineLevel="1" x14ac:dyDescent="0.25">
      <c r="B807" s="21">
        <v>43144</v>
      </c>
      <c r="C807" s="27">
        <v>18.620812000000001</v>
      </c>
      <c r="E807" s="30">
        <v>0.81090399999999996</v>
      </c>
      <c r="G807" s="27">
        <v>19.981742000000001</v>
      </c>
      <c r="I807" s="29">
        <v>6.9270120000000004</v>
      </c>
      <c r="K807" s="29">
        <v>3.2941690000000001</v>
      </c>
      <c r="M807" s="41">
        <v>597.56208600000002</v>
      </c>
      <c r="O807" s="26">
        <v>2901.9575300000001</v>
      </c>
      <c r="Q807" s="26">
        <v>5579.9013770000001</v>
      </c>
      <c r="S807" s="26">
        <v>1693.88669</v>
      </c>
      <c r="U807" s="29">
        <v>3.2697020000000001</v>
      </c>
      <c r="W807" s="14">
        <v>28.740373999999999</v>
      </c>
      <c r="Y807" s="29">
        <v>8.7246520000000007</v>
      </c>
      <c r="AA807" s="41">
        <v>572.45173</v>
      </c>
      <c r="AC807" s="27">
        <v>48.949078</v>
      </c>
      <c r="AE807" s="27">
        <v>1</v>
      </c>
      <c r="AG807" s="29">
        <v>7.3455719999999998</v>
      </c>
      <c r="AI807" s="29">
        <v>8.75</v>
      </c>
      <c r="AK807" s="27">
        <v>23.558045</v>
      </c>
      <c r="AM807" s="27">
        <v>31.068923999999999</v>
      </c>
      <c r="AO807" s="29">
        <v>6.7223569999999997</v>
      </c>
      <c r="AP807" s="28"/>
    </row>
    <row r="808" spans="2:42" hidden="1" outlineLevel="1" x14ac:dyDescent="0.25">
      <c r="B808" s="21">
        <v>43145</v>
      </c>
      <c r="C808" s="27">
        <v>18.615551</v>
      </c>
      <c r="E808" s="30">
        <v>0.807446</v>
      </c>
      <c r="G808" s="27">
        <v>19.976012999999998</v>
      </c>
      <c r="I808" s="29">
        <v>6.9246280000000002</v>
      </c>
      <c r="K808" s="29">
        <v>3.2718980000000002</v>
      </c>
      <c r="M808" s="41">
        <v>596.60424599999999</v>
      </c>
      <c r="O808" s="26">
        <v>2892.4300619999999</v>
      </c>
      <c r="Q808" s="26">
        <v>5575.1135210000002</v>
      </c>
      <c r="S808" s="26">
        <v>1703.9503380000001</v>
      </c>
      <c r="U808" s="29">
        <v>3.2698239999999998</v>
      </c>
      <c r="W808" s="14">
        <v>28.788226000000002</v>
      </c>
      <c r="Y808" s="29">
        <v>8.7986570000000004</v>
      </c>
      <c r="AA808" s="41">
        <v>571.47177299999998</v>
      </c>
      <c r="AC808" s="27">
        <v>48.998558000000003</v>
      </c>
      <c r="AE808" s="27">
        <v>1</v>
      </c>
      <c r="AG808" s="29">
        <v>7.3458600000000001</v>
      </c>
      <c r="AI808" s="29">
        <v>8.75</v>
      </c>
      <c r="AK808" s="27">
        <v>23.561934999999998</v>
      </c>
      <c r="AM808" s="27">
        <v>31.060579000000001</v>
      </c>
      <c r="AO808" s="29">
        <v>6.717657</v>
      </c>
      <c r="AP808" s="28"/>
    </row>
    <row r="809" spans="2:42" hidden="1" outlineLevel="1" x14ac:dyDescent="0.25">
      <c r="B809" s="21">
        <v>43146</v>
      </c>
      <c r="C809" s="27">
        <v>18.516302</v>
      </c>
      <c r="E809" s="30">
        <v>0.80125000000000002</v>
      </c>
      <c r="G809" s="27">
        <v>19.806756</v>
      </c>
      <c r="I809" s="29">
        <v>6.9138200000000003</v>
      </c>
      <c r="K809" s="29">
        <v>3.2229480000000001</v>
      </c>
      <c r="M809" s="41">
        <v>593.40974600000004</v>
      </c>
      <c r="O809" s="26">
        <v>2863.5579029999999</v>
      </c>
      <c r="Q809" s="26">
        <v>5568.7174919999998</v>
      </c>
      <c r="S809" s="26">
        <v>1727.8416500000001</v>
      </c>
      <c r="U809" s="29">
        <v>3.253736</v>
      </c>
      <c r="W809" s="14">
        <v>28.750684</v>
      </c>
      <c r="Y809" s="29">
        <v>8.9206330000000005</v>
      </c>
      <c r="AA809" s="41">
        <v>569.64496599999995</v>
      </c>
      <c r="AC809" s="27">
        <v>48.973258000000001</v>
      </c>
      <c r="AE809" s="27">
        <v>1</v>
      </c>
      <c r="AG809" s="29">
        <v>7.331683</v>
      </c>
      <c r="AI809" s="29">
        <v>8.75</v>
      </c>
      <c r="AK809" s="27">
        <v>23.529727999999999</v>
      </c>
      <c r="AM809" s="27">
        <v>31.078748000000001</v>
      </c>
      <c r="AO809" s="29">
        <v>6.7178120000000003</v>
      </c>
      <c r="AP809" s="28"/>
    </row>
    <row r="810" spans="2:42" hidden="1" outlineLevel="1" x14ac:dyDescent="0.25">
      <c r="B810" s="21">
        <v>43147</v>
      </c>
      <c r="C810" s="27">
        <v>18.501221999999999</v>
      </c>
      <c r="E810" s="30">
        <v>0.80134300000000003</v>
      </c>
      <c r="G810" s="27">
        <v>19.685995999999999</v>
      </c>
      <c r="I810" s="29">
        <v>6.920096</v>
      </c>
      <c r="K810" s="29">
        <v>3.2286299999999999</v>
      </c>
      <c r="M810" s="41">
        <v>593.31506899999999</v>
      </c>
      <c r="O810" s="26">
        <v>2853.1658179999999</v>
      </c>
      <c r="Q810" s="26">
        <v>5576.7235039999996</v>
      </c>
      <c r="S810" s="26">
        <v>1727.2808319999999</v>
      </c>
      <c r="U810" s="29">
        <v>3.2476600000000002</v>
      </c>
      <c r="W810" s="14">
        <v>28.77516</v>
      </c>
      <c r="Y810" s="29">
        <v>8.9125160000000001</v>
      </c>
      <c r="AA810" s="41">
        <v>570.26891000000001</v>
      </c>
      <c r="AC810" s="27">
        <v>49.039087000000002</v>
      </c>
      <c r="AE810" s="27">
        <v>1</v>
      </c>
      <c r="AG810" s="29">
        <v>7.3431220000000001</v>
      </c>
      <c r="AI810" s="29">
        <v>8.75</v>
      </c>
      <c r="AK810" s="27">
        <v>23.564433000000001</v>
      </c>
      <c r="AM810" s="27">
        <v>31.131512000000001</v>
      </c>
      <c r="AO810" s="29">
        <v>6.7354900000000004</v>
      </c>
      <c r="AP810" s="28"/>
    </row>
    <row r="811" spans="2:42" hidden="1" outlineLevel="1" x14ac:dyDescent="0.25">
      <c r="B811" s="21">
        <v>43148</v>
      </c>
      <c r="C811" s="27">
        <v>18.518049999999999</v>
      </c>
      <c r="E811" s="30">
        <v>0.80580799999999997</v>
      </c>
      <c r="G811" s="27">
        <v>19.763999999999999</v>
      </c>
      <c r="I811" s="29">
        <v>6.9225000000000003</v>
      </c>
      <c r="K811" s="29">
        <v>3.2303250000000001</v>
      </c>
      <c r="M811" s="41">
        <v>593.49749999999995</v>
      </c>
      <c r="O811" s="26">
        <v>2844.7325000000001</v>
      </c>
      <c r="Q811" s="26">
        <v>5585.9750000000004</v>
      </c>
      <c r="S811" s="26">
        <v>1729.2405249999999</v>
      </c>
      <c r="U811" s="29">
        <v>3.2505000000000002</v>
      </c>
      <c r="W811" s="14">
        <v>28.704999999999998</v>
      </c>
      <c r="Y811" s="29">
        <v>8.8861159999999995</v>
      </c>
      <c r="AA811" s="41">
        <v>570.63499999999999</v>
      </c>
      <c r="AC811" s="27">
        <v>49.042499999999997</v>
      </c>
      <c r="AE811" s="27">
        <v>1</v>
      </c>
      <c r="AG811" s="29">
        <v>7.3479000000000001</v>
      </c>
      <c r="AI811" s="29">
        <v>8.75</v>
      </c>
      <c r="AK811" s="27">
        <v>23.585000000000001</v>
      </c>
      <c r="AM811" s="27">
        <v>31.22475</v>
      </c>
      <c r="AO811" s="29">
        <v>6.7551249999999996</v>
      </c>
      <c r="AP811" s="28"/>
    </row>
    <row r="812" spans="2:42" hidden="1" outlineLevel="1" x14ac:dyDescent="0.25">
      <c r="B812" s="21">
        <v>43149</v>
      </c>
      <c r="C812" s="27">
        <v>18.51709</v>
      </c>
      <c r="E812" s="30">
        <v>0.80578399999999994</v>
      </c>
      <c r="G812" s="27">
        <v>19.763418000000001</v>
      </c>
      <c r="I812" s="29">
        <v>6.9225000000000003</v>
      </c>
      <c r="K812" s="29">
        <v>3.2303829999999998</v>
      </c>
      <c r="M812" s="41">
        <v>593.48925399999996</v>
      </c>
      <c r="O812" s="26">
        <v>2844.020082</v>
      </c>
      <c r="Q812" s="26">
        <v>5585.9750000000004</v>
      </c>
      <c r="S812" s="26">
        <v>1729.209916</v>
      </c>
      <c r="U812" s="29">
        <v>3.2506119999999998</v>
      </c>
      <c r="W812" s="14">
        <v>28.704999999999998</v>
      </c>
      <c r="Y812" s="29">
        <v>8.8859580000000005</v>
      </c>
      <c r="AA812" s="41">
        <v>570.63499999999999</v>
      </c>
      <c r="AC812" s="27">
        <v>49.037269999999999</v>
      </c>
      <c r="AE812" s="27">
        <v>1</v>
      </c>
      <c r="AG812" s="29">
        <v>7.3479000000000001</v>
      </c>
      <c r="AI812" s="29">
        <v>8.75</v>
      </c>
      <c r="AK812" s="27">
        <v>23.586525999999999</v>
      </c>
      <c r="AM812" s="27">
        <v>31.22475</v>
      </c>
      <c r="AO812" s="29">
        <v>6.7551249999999996</v>
      </c>
      <c r="AP812" s="28"/>
    </row>
    <row r="813" spans="2:42" hidden="1" outlineLevel="1" x14ac:dyDescent="0.25">
      <c r="B813" s="21">
        <v>43150</v>
      </c>
      <c r="C813" s="27">
        <v>18.508230000000001</v>
      </c>
      <c r="E813" s="30">
        <v>0.80585300000000004</v>
      </c>
      <c r="G813" s="27">
        <v>19.806077999999999</v>
      </c>
      <c r="I813" s="29">
        <v>6.9312880000000003</v>
      </c>
      <c r="K813" s="29">
        <v>3.2320180000000001</v>
      </c>
      <c r="M813" s="41">
        <v>594.303673</v>
      </c>
      <c r="O813" s="26">
        <v>2843.3773740000001</v>
      </c>
      <c r="Q813" s="26">
        <v>5592.6163720000004</v>
      </c>
      <c r="S813" s="26">
        <v>1730.3873060000001</v>
      </c>
      <c r="U813" s="29">
        <v>3.253091</v>
      </c>
      <c r="W813" s="14">
        <v>28.636475000000001</v>
      </c>
      <c r="Y813" s="29">
        <v>8.8602720000000001</v>
      </c>
      <c r="AA813" s="41">
        <v>571.43831999999998</v>
      </c>
      <c r="AC813" s="27">
        <v>49.180715999999997</v>
      </c>
      <c r="AE813" s="27">
        <v>1</v>
      </c>
      <c r="AG813" s="29">
        <v>7.3575220000000003</v>
      </c>
      <c r="AI813" s="29">
        <v>8.75</v>
      </c>
      <c r="AK813" s="27">
        <v>23.615369999999999</v>
      </c>
      <c r="AM813" s="27">
        <v>31.125502000000001</v>
      </c>
      <c r="AO813" s="29">
        <v>6.7453219999999998</v>
      </c>
      <c r="AP813" s="28"/>
    </row>
    <row r="814" spans="2:42" hidden="1" outlineLevel="1" x14ac:dyDescent="0.25">
      <c r="B814" s="21">
        <v>43151</v>
      </c>
      <c r="C814" s="27">
        <v>18.615718999999999</v>
      </c>
      <c r="E814" s="30">
        <v>0.80922000000000005</v>
      </c>
      <c r="G814" s="27">
        <v>19.900617</v>
      </c>
      <c r="I814" s="29">
        <v>6.9228550000000002</v>
      </c>
      <c r="K814" s="29">
        <v>3.2429199999999998</v>
      </c>
      <c r="M814" s="41">
        <v>594.93267800000001</v>
      </c>
      <c r="O814" s="26">
        <v>2847.4356720000001</v>
      </c>
      <c r="Q814" s="26">
        <v>5586.4910309999996</v>
      </c>
      <c r="S814" s="26">
        <v>1722.681315</v>
      </c>
      <c r="U814" s="29">
        <v>3.2508349999999999</v>
      </c>
      <c r="W814" s="14">
        <v>28.487995000000002</v>
      </c>
      <c r="Y814" s="29">
        <v>8.7846899999999994</v>
      </c>
      <c r="AA814" s="41">
        <v>570.79294300000004</v>
      </c>
      <c r="AC814" s="27">
        <v>49.137940999999998</v>
      </c>
      <c r="AE814" s="27">
        <v>1</v>
      </c>
      <c r="AG814" s="29">
        <v>7.3503020000000001</v>
      </c>
      <c r="AI814" s="29">
        <v>8.75</v>
      </c>
      <c r="AK814" s="27">
        <v>23.581052</v>
      </c>
      <c r="AM814" s="27">
        <v>31.116970999999999</v>
      </c>
      <c r="AO814" s="29">
        <v>6.719049</v>
      </c>
      <c r="AP814" s="28"/>
    </row>
    <row r="815" spans="2:42" hidden="1" outlineLevel="1" x14ac:dyDescent="0.25">
      <c r="B815" s="21">
        <v>43152</v>
      </c>
      <c r="C815" s="27">
        <v>18.723994999999999</v>
      </c>
      <c r="E815" s="30">
        <v>0.81179699999999999</v>
      </c>
      <c r="G815" s="27">
        <v>19.894563999999999</v>
      </c>
      <c r="I815" s="29">
        <v>6.9260659999999996</v>
      </c>
      <c r="K815" s="29">
        <v>3.2570860000000001</v>
      </c>
      <c r="M815" s="41">
        <v>595.11321399999997</v>
      </c>
      <c r="O815" s="26">
        <v>2865.2824569999998</v>
      </c>
      <c r="Q815" s="26">
        <v>5586.47901</v>
      </c>
      <c r="S815" s="26">
        <v>1715.185086</v>
      </c>
      <c r="U815" s="29">
        <v>3.2498580000000001</v>
      </c>
      <c r="W815" s="14">
        <v>28.507265</v>
      </c>
      <c r="Y815" s="29">
        <v>8.7523999999999997</v>
      </c>
      <c r="AA815" s="41">
        <v>570.94483000000002</v>
      </c>
      <c r="AC815" s="27">
        <v>49.137861999999998</v>
      </c>
      <c r="AE815" s="27">
        <v>1</v>
      </c>
      <c r="AG815" s="29">
        <v>7.3517080000000004</v>
      </c>
      <c r="AI815" s="29">
        <v>8.75</v>
      </c>
      <c r="AK815" s="27">
        <v>23.572979</v>
      </c>
      <c r="AM815" s="27">
        <v>31.187404000000001</v>
      </c>
      <c r="AO815" s="29">
        <v>6.7171469999999998</v>
      </c>
      <c r="AP815" s="28"/>
    </row>
    <row r="816" spans="2:42" hidden="1" outlineLevel="1" x14ac:dyDescent="0.25">
      <c r="B816" s="21">
        <v>43153</v>
      </c>
      <c r="C816" s="27">
        <v>18.741769999999999</v>
      </c>
      <c r="E816" s="30">
        <v>0.81299999999999994</v>
      </c>
      <c r="G816" s="27">
        <v>19.9193</v>
      </c>
      <c r="I816" s="29">
        <v>6.9248380000000003</v>
      </c>
      <c r="K816" s="29">
        <v>3.261698</v>
      </c>
      <c r="M816" s="41">
        <v>594.468658</v>
      </c>
      <c r="O816" s="26">
        <v>2874.1726880000001</v>
      </c>
      <c r="Q816" s="26">
        <v>5591.6045860000004</v>
      </c>
      <c r="S816" s="26">
        <v>1714.331408</v>
      </c>
      <c r="U816" s="29">
        <v>3.2529669999999999</v>
      </c>
      <c r="W816" s="14">
        <v>28.519389</v>
      </c>
      <c r="Y816" s="29">
        <v>8.7437419999999992</v>
      </c>
      <c r="AA816" s="41">
        <v>571.38240699999994</v>
      </c>
      <c r="AC816" s="27">
        <v>49.185077999999997</v>
      </c>
      <c r="AE816" s="27">
        <v>1</v>
      </c>
      <c r="AG816" s="29">
        <v>7.3565620000000003</v>
      </c>
      <c r="AI816" s="29">
        <v>8.75</v>
      </c>
      <c r="AK816" s="27">
        <v>23.599188000000002</v>
      </c>
      <c r="AM816" s="27">
        <v>31.194102000000001</v>
      </c>
      <c r="AO816" s="29">
        <v>6.7335380000000002</v>
      </c>
      <c r="AP816" s="28"/>
    </row>
    <row r="817" spans="2:42" hidden="1" outlineLevel="1" x14ac:dyDescent="0.25">
      <c r="B817" s="21">
        <v>43154</v>
      </c>
      <c r="C817" s="27">
        <v>18.585874</v>
      </c>
      <c r="E817" s="30">
        <v>0.81277500000000003</v>
      </c>
      <c r="G817" s="27">
        <v>19.955524</v>
      </c>
      <c r="I817" s="29">
        <v>6.9193870000000004</v>
      </c>
      <c r="K817" s="29">
        <v>3.2451880000000002</v>
      </c>
      <c r="M817" s="41">
        <v>591.53603399999997</v>
      </c>
      <c r="O817" s="26">
        <v>2855.8998529999999</v>
      </c>
      <c r="Q817" s="26">
        <v>5587.1403959999998</v>
      </c>
      <c r="S817" s="26">
        <v>1721.6773599999999</v>
      </c>
      <c r="U817" s="29">
        <v>3.2474989999999999</v>
      </c>
      <c r="W817" s="14">
        <v>28.500464000000001</v>
      </c>
      <c r="Y817" s="29">
        <v>8.782394</v>
      </c>
      <c r="AA817" s="41">
        <v>570.36975600000005</v>
      </c>
      <c r="AC817" s="27">
        <v>49.186898999999997</v>
      </c>
      <c r="AE817" s="27">
        <v>1</v>
      </c>
      <c r="AG817" s="29">
        <v>7.3459560000000002</v>
      </c>
      <c r="AI817" s="29">
        <v>8.75</v>
      </c>
      <c r="AK817" s="27">
        <v>23.572220999999999</v>
      </c>
      <c r="AM817" s="27">
        <v>31.153326</v>
      </c>
      <c r="AO817" s="29">
        <v>6.7136380000000004</v>
      </c>
      <c r="AP817" s="28"/>
    </row>
    <row r="818" spans="2:42" hidden="1" outlineLevel="1" x14ac:dyDescent="0.25">
      <c r="B818" s="21">
        <v>43155</v>
      </c>
      <c r="C818" s="27">
        <v>18.554970000000001</v>
      </c>
      <c r="E818" s="30">
        <v>0.81336600000000003</v>
      </c>
      <c r="G818" s="27">
        <v>19.965150000000001</v>
      </c>
      <c r="I818" s="29">
        <v>6.9225000000000003</v>
      </c>
      <c r="K818" s="29">
        <v>3.238</v>
      </c>
      <c r="M818" s="41">
        <v>590.5</v>
      </c>
      <c r="O818" s="26">
        <v>2844.5</v>
      </c>
      <c r="Q818" s="26">
        <v>5588.3249999999998</v>
      </c>
      <c r="S818" s="26">
        <v>1725.8634059999999</v>
      </c>
      <c r="U818" s="29">
        <v>3.2487750000000002</v>
      </c>
      <c r="W818" s="14">
        <v>28.51</v>
      </c>
      <c r="Y818" s="29">
        <v>8.8048260000000003</v>
      </c>
      <c r="AA818" s="41">
        <v>570.54</v>
      </c>
      <c r="AC818" s="27">
        <v>49.055</v>
      </c>
      <c r="AE818" s="27">
        <v>1</v>
      </c>
      <c r="AG818" s="29">
        <v>7.3519249999999996</v>
      </c>
      <c r="AI818" s="29">
        <v>8.75</v>
      </c>
      <c r="AK818" s="27">
        <v>23.6</v>
      </c>
      <c r="AM818" s="27">
        <v>31.254750000000001</v>
      </c>
      <c r="AO818" s="29">
        <v>6.7459249999999997</v>
      </c>
      <c r="AP818" s="28"/>
    </row>
    <row r="819" spans="2:42" hidden="1" outlineLevel="1" x14ac:dyDescent="0.25">
      <c r="B819" s="21">
        <v>43156</v>
      </c>
      <c r="C819" s="27">
        <v>18.55641</v>
      </c>
      <c r="E819" s="30">
        <v>0.813392</v>
      </c>
      <c r="G819" s="27">
        <v>19.965423999999999</v>
      </c>
      <c r="I819" s="29">
        <v>6.9227540000000003</v>
      </c>
      <c r="K819" s="29">
        <v>3.2380779999999998</v>
      </c>
      <c r="M819" s="41">
        <v>590.57597799999996</v>
      </c>
      <c r="O819" s="26">
        <v>2845.183262</v>
      </c>
      <c r="Q819" s="26">
        <v>5588.4911419999999</v>
      </c>
      <c r="S819" s="26">
        <v>1725.8734420000001</v>
      </c>
      <c r="U819" s="29">
        <v>3.2488260000000002</v>
      </c>
      <c r="W819" s="14">
        <v>28.510878000000002</v>
      </c>
      <c r="Y819" s="29">
        <v>8.8048870000000008</v>
      </c>
      <c r="AA819" s="41">
        <v>570.55629499999998</v>
      </c>
      <c r="AC819" s="27">
        <v>49.064942000000002</v>
      </c>
      <c r="AE819" s="27">
        <v>1</v>
      </c>
      <c r="AG819" s="29">
        <v>7.352144</v>
      </c>
      <c r="AI819" s="29">
        <v>8.75</v>
      </c>
      <c r="AK819" s="27">
        <v>23.602650000000001</v>
      </c>
      <c r="AM819" s="27">
        <v>31.251141000000001</v>
      </c>
      <c r="AO819" s="29">
        <v>6.7455360000000004</v>
      </c>
      <c r="AP819" s="28"/>
    </row>
    <row r="820" spans="2:42" hidden="1" outlineLevel="1" x14ac:dyDescent="0.25">
      <c r="B820" s="21">
        <v>43157</v>
      </c>
      <c r="C820" s="27">
        <v>18.619049</v>
      </c>
      <c r="E820" s="30">
        <v>0.81201199999999996</v>
      </c>
      <c r="G820" s="27">
        <v>20.025554</v>
      </c>
      <c r="I820" s="29">
        <v>6.922542</v>
      </c>
      <c r="K820" s="29">
        <v>3.2360660000000001</v>
      </c>
      <c r="M820" s="41">
        <v>589.34608400000002</v>
      </c>
      <c r="O820" s="26">
        <v>2848.5031159999999</v>
      </c>
      <c r="Q820" s="26">
        <v>5583.3742389999998</v>
      </c>
      <c r="S820" s="26">
        <v>1725.366984</v>
      </c>
      <c r="U820" s="29">
        <v>3.2497820000000002</v>
      </c>
      <c r="W820" s="14">
        <v>28.491727999999998</v>
      </c>
      <c r="Y820" s="29">
        <v>8.8044580000000003</v>
      </c>
      <c r="AA820" s="41">
        <v>570.20992899999999</v>
      </c>
      <c r="AC820" s="27">
        <v>49.223515999999996</v>
      </c>
      <c r="AE820" s="27">
        <v>1</v>
      </c>
      <c r="AG820" s="29">
        <v>7.3524839999999996</v>
      </c>
      <c r="AI820" s="29">
        <v>8.75</v>
      </c>
      <c r="AK820" s="27">
        <v>23.595526</v>
      </c>
      <c r="AM820" s="27">
        <v>31.172844999999999</v>
      </c>
      <c r="AO820" s="29">
        <v>6.7381419999999999</v>
      </c>
      <c r="AP820" s="28"/>
    </row>
    <row r="821" spans="2:42" hidden="1" outlineLevel="1" x14ac:dyDescent="0.25">
      <c r="B821" s="21">
        <v>43158</v>
      </c>
      <c r="C821" s="27">
        <v>18.725166000000002</v>
      </c>
      <c r="E821" s="30">
        <v>0.81352400000000002</v>
      </c>
      <c r="G821" s="27">
        <v>20.183834000000001</v>
      </c>
      <c r="I821" s="29">
        <v>6.9215679999999997</v>
      </c>
      <c r="K821" s="29">
        <v>3.2340680000000002</v>
      </c>
      <c r="M821" s="41">
        <v>589.27743399999997</v>
      </c>
      <c r="O821" s="26">
        <v>2848.2640620000002</v>
      </c>
      <c r="Q821" s="26">
        <v>5580.5438519999998</v>
      </c>
      <c r="S821" s="26">
        <v>1725.5576980000001</v>
      </c>
      <c r="U821" s="29">
        <v>3.249908</v>
      </c>
      <c r="W821" s="14">
        <v>28.446033</v>
      </c>
      <c r="Y821" s="29">
        <v>8.7957619999999999</v>
      </c>
      <c r="AA821" s="41">
        <v>570.16832799999997</v>
      </c>
      <c r="AC821" s="27">
        <v>49.259923999999998</v>
      </c>
      <c r="AE821" s="27">
        <v>1</v>
      </c>
      <c r="AG821" s="29">
        <v>7.3528260000000003</v>
      </c>
      <c r="AI821" s="29">
        <v>8.75</v>
      </c>
      <c r="AK821" s="27">
        <v>23.6008</v>
      </c>
      <c r="AM821" s="27">
        <v>31.122954</v>
      </c>
      <c r="AO821" s="29">
        <v>6.7394239999999996</v>
      </c>
      <c r="AP821" s="28"/>
    </row>
    <row r="822" spans="2:42" hidden="1" outlineLevel="1" x14ac:dyDescent="0.25">
      <c r="B822" s="21">
        <v>43159</v>
      </c>
      <c r="C822" s="49">
        <v>18.790199999999999</v>
      </c>
      <c r="E822" s="30">
        <v>0.81867199999999996</v>
      </c>
      <c r="G822" s="27">
        <v>20.172867</v>
      </c>
      <c r="I822" s="29">
        <v>6.9287869999999998</v>
      </c>
      <c r="K822" s="29">
        <v>3.2480910000000001</v>
      </c>
      <c r="M822" s="41">
        <v>593.037871</v>
      </c>
      <c r="O822" s="26">
        <v>2862.241356</v>
      </c>
      <c r="Q822" s="26">
        <v>5585.132517</v>
      </c>
      <c r="S822" s="26">
        <v>1719.5209219999999</v>
      </c>
      <c r="U822" s="29">
        <v>3.25956</v>
      </c>
      <c r="W822" s="14">
        <v>28.426874999999999</v>
      </c>
      <c r="Y822" s="29">
        <v>8.7518890000000003</v>
      </c>
      <c r="AA822" s="41">
        <v>571.50724100000002</v>
      </c>
      <c r="AC822" s="27">
        <v>49.309773999999997</v>
      </c>
      <c r="AE822" s="27">
        <v>1</v>
      </c>
      <c r="AG822" s="29">
        <v>7.3645339999999999</v>
      </c>
      <c r="AI822" s="29">
        <v>8.75</v>
      </c>
      <c r="AK822" s="27">
        <v>23.636313000000001</v>
      </c>
      <c r="AM822" s="27">
        <v>31.173534</v>
      </c>
      <c r="AO822" s="29">
        <v>6.7240260000000003</v>
      </c>
      <c r="AP822" s="28"/>
    </row>
    <row r="823" spans="2:42" ht="13" collapsed="1" x14ac:dyDescent="0.3">
      <c r="B823" s="25" t="s">
        <v>164</v>
      </c>
      <c r="C823" s="19">
        <v>18.631</v>
      </c>
      <c r="E823" s="24">
        <v>0.80959000000000003</v>
      </c>
      <c r="G823" s="19">
        <v>19.8215</v>
      </c>
      <c r="I823" s="23">
        <v>6.9229399999999996</v>
      </c>
      <c r="J823" s="9"/>
      <c r="K823" s="23">
        <v>3.2466499999999998</v>
      </c>
      <c r="M823" s="42">
        <v>596.971</v>
      </c>
      <c r="O823" s="31">
        <v>2859.44</v>
      </c>
      <c r="Q823" s="31">
        <v>5592.39</v>
      </c>
      <c r="S823" s="31">
        <v>1722.67</v>
      </c>
      <c r="U823" s="23">
        <v>3.2489400000000002</v>
      </c>
      <c r="W823" s="23">
        <v>28.550999999999998</v>
      </c>
      <c r="Y823" s="23">
        <v>8.7946000000000009</v>
      </c>
      <c r="AA823" s="42">
        <v>571.71900000000005</v>
      </c>
      <c r="AC823" s="19">
        <v>49.0092</v>
      </c>
      <c r="AE823" s="19">
        <v>1</v>
      </c>
      <c r="AG823" s="23">
        <v>7.3497700000000004</v>
      </c>
      <c r="AI823" s="23">
        <v>8.75</v>
      </c>
      <c r="AK823" s="19">
        <v>23.581800000000001</v>
      </c>
      <c r="AM823" s="19">
        <v>31.1389</v>
      </c>
      <c r="AO823" s="23">
        <v>6.7330100000000002</v>
      </c>
      <c r="AP823" s="10"/>
    </row>
    <row r="824" spans="2:42" hidden="1" outlineLevel="1" x14ac:dyDescent="0.25">
      <c r="B824" s="21">
        <v>43160</v>
      </c>
      <c r="C824" s="27">
        <v>18.868086000000002</v>
      </c>
      <c r="E824" s="30">
        <v>0.81935100000000005</v>
      </c>
      <c r="G824" s="27">
        <v>20.134907999999999</v>
      </c>
      <c r="I824" s="29">
        <v>6.9245380000000001</v>
      </c>
      <c r="K824" s="29">
        <v>3.2508780000000002</v>
      </c>
      <c r="M824" s="41">
        <v>595.45510000000002</v>
      </c>
      <c r="O824" s="26">
        <v>2872.045329</v>
      </c>
      <c r="Q824" s="26">
        <v>5574.2766000000001</v>
      </c>
      <c r="S824" s="26">
        <v>1714.706997</v>
      </c>
      <c r="U824" s="29">
        <v>3.2649680000000001</v>
      </c>
      <c r="W824" s="14">
        <v>28.378098000000001</v>
      </c>
      <c r="Y824" s="29">
        <v>8.7293819999999993</v>
      </c>
      <c r="AA824" s="41">
        <v>571.00119199999995</v>
      </c>
      <c r="AC824" s="27">
        <v>49.261901999999999</v>
      </c>
      <c r="AE824" s="27">
        <v>1</v>
      </c>
      <c r="AG824" s="29">
        <v>7.3591340000000001</v>
      </c>
      <c r="AI824" s="29">
        <v>8.75</v>
      </c>
      <c r="AK824" s="27">
        <v>23.605951999999998</v>
      </c>
      <c r="AM824" s="27">
        <v>31.115411999999999</v>
      </c>
      <c r="AO824" s="29">
        <v>6.7130619999999999</v>
      </c>
      <c r="AP824" s="28"/>
    </row>
    <row r="825" spans="2:42" hidden="1" outlineLevel="1" x14ac:dyDescent="0.25">
      <c r="B825" s="21">
        <v>43161</v>
      </c>
      <c r="C825" s="27">
        <v>18.865644</v>
      </c>
      <c r="E825" s="30">
        <v>0.81320000000000003</v>
      </c>
      <c r="G825" s="27">
        <v>20.196503</v>
      </c>
      <c r="I825" s="29">
        <v>6.9154260000000001</v>
      </c>
      <c r="K825" s="29">
        <v>3.2540640000000001</v>
      </c>
      <c r="M825" s="41">
        <v>597.18193599999995</v>
      </c>
      <c r="O825" s="26">
        <v>2872.9474559999999</v>
      </c>
      <c r="Q825" s="26">
        <v>5550.0972819999997</v>
      </c>
      <c r="S825" s="26">
        <v>1705.5974409999999</v>
      </c>
      <c r="U825" s="29">
        <v>3.2577440000000002</v>
      </c>
      <c r="W825" s="14">
        <v>28.340529</v>
      </c>
      <c r="Y825" s="29">
        <v>8.7092899999999993</v>
      </c>
      <c r="AA825" s="41">
        <v>569.638328</v>
      </c>
      <c r="AC825" s="27">
        <v>49.239128999999998</v>
      </c>
      <c r="AE825" s="27">
        <v>1</v>
      </c>
      <c r="AG825" s="29">
        <v>7.3447310000000003</v>
      </c>
      <c r="AI825" s="29">
        <v>8.75</v>
      </c>
      <c r="AK825" s="27">
        <v>23.554358000000001</v>
      </c>
      <c r="AM825" s="27">
        <v>31.039380000000001</v>
      </c>
      <c r="AO825" s="29">
        <v>6.6928919999999996</v>
      </c>
      <c r="AP825" s="28"/>
    </row>
    <row r="826" spans="2:42" hidden="1" outlineLevel="1" x14ac:dyDescent="0.25">
      <c r="B826" s="21">
        <v>43162</v>
      </c>
      <c r="C826" s="27">
        <v>18.82555</v>
      </c>
      <c r="E826" s="30">
        <v>0.81180699999999995</v>
      </c>
      <c r="G826" s="27">
        <v>20.260249999999999</v>
      </c>
      <c r="I826" s="29">
        <v>6.9175000000000004</v>
      </c>
      <c r="K826" s="29">
        <v>3.2528999999999999</v>
      </c>
      <c r="M826" s="41">
        <v>598.77499999999998</v>
      </c>
      <c r="O826" s="26">
        <v>2867</v>
      </c>
      <c r="Q826" s="26">
        <v>5547.7</v>
      </c>
      <c r="S826" s="26">
        <v>1705.4691499999999</v>
      </c>
      <c r="U826" s="29">
        <v>3.2565</v>
      </c>
      <c r="W826" s="14">
        <v>28.375</v>
      </c>
      <c r="Y826" s="29">
        <v>8.7229939999999999</v>
      </c>
      <c r="AA826" s="41">
        <v>570.505</v>
      </c>
      <c r="AC826" s="27">
        <v>49.13</v>
      </c>
      <c r="AE826" s="27">
        <v>1</v>
      </c>
      <c r="AG826" s="29">
        <v>7.3557249999999996</v>
      </c>
      <c r="AI826" s="29">
        <v>8.75</v>
      </c>
      <c r="AK826" s="27">
        <v>23.59975</v>
      </c>
      <c r="AM826" s="27">
        <v>31.085000000000001</v>
      </c>
      <c r="AO826" s="29">
        <v>6.6968249999999996</v>
      </c>
      <c r="AP826" s="28"/>
    </row>
    <row r="827" spans="2:42" hidden="1" outlineLevel="1" x14ac:dyDescent="0.25">
      <c r="B827" s="21">
        <v>43163</v>
      </c>
      <c r="C827" s="27">
        <v>18.826650000000001</v>
      </c>
      <c r="E827" s="30">
        <v>0.81171599999999999</v>
      </c>
      <c r="G827" s="27">
        <v>20.258637</v>
      </c>
      <c r="I827" s="29">
        <v>6.9175000000000004</v>
      </c>
      <c r="K827" s="29">
        <v>3.2529050000000002</v>
      </c>
      <c r="M827" s="41">
        <v>598.77500899999995</v>
      </c>
      <c r="O827" s="26">
        <v>2866.9952539999999</v>
      </c>
      <c r="Q827" s="26">
        <v>5547.7</v>
      </c>
      <c r="S827" s="26">
        <v>1705.467032</v>
      </c>
      <c r="U827" s="29">
        <v>3.2565040000000001</v>
      </c>
      <c r="W827" s="14">
        <v>28.375</v>
      </c>
      <c r="Y827" s="29">
        <v>8.7229810000000008</v>
      </c>
      <c r="AA827" s="41">
        <v>570.47708999999998</v>
      </c>
      <c r="AC827" s="27">
        <v>49.124912000000002</v>
      </c>
      <c r="AE827" s="27">
        <v>1</v>
      </c>
      <c r="AG827" s="29">
        <v>7.3557249999999996</v>
      </c>
      <c r="AI827" s="29">
        <v>8.75</v>
      </c>
      <c r="AK827" s="27">
        <v>23.599245</v>
      </c>
      <c r="AM827" s="27">
        <v>31.085578000000002</v>
      </c>
      <c r="AO827" s="29">
        <v>6.6998449999999998</v>
      </c>
      <c r="AP827" s="28"/>
    </row>
    <row r="828" spans="2:42" hidden="1" outlineLevel="1" x14ac:dyDescent="0.25">
      <c r="B828" s="21">
        <v>43164</v>
      </c>
      <c r="C828" s="27">
        <v>18.868656000000001</v>
      </c>
      <c r="E828" s="30">
        <v>0.81165100000000001</v>
      </c>
      <c r="G828" s="27">
        <v>20.255386000000001</v>
      </c>
      <c r="I828" s="29">
        <v>6.9235480000000003</v>
      </c>
      <c r="K828" s="29">
        <v>3.2519740000000001</v>
      </c>
      <c r="M828" s="41">
        <v>598.89155600000004</v>
      </c>
      <c r="O828" s="26">
        <v>2863.51179</v>
      </c>
      <c r="Q828" s="26">
        <v>5538.8946749999996</v>
      </c>
      <c r="S828" s="26">
        <v>1703.248597</v>
      </c>
      <c r="U828" s="29">
        <v>3.2534339999999999</v>
      </c>
      <c r="W828" s="14">
        <v>28.396730999999999</v>
      </c>
      <c r="Y828" s="29">
        <v>8.7321690000000007</v>
      </c>
      <c r="AA828" s="41">
        <v>570.32930999999996</v>
      </c>
      <c r="AC828" s="27">
        <v>49.302284</v>
      </c>
      <c r="AE828" s="27">
        <v>1</v>
      </c>
      <c r="AG828" s="29">
        <v>7.3561940000000003</v>
      </c>
      <c r="AI828" s="29">
        <v>8.75</v>
      </c>
      <c r="AK828" s="27">
        <v>23.589901999999999</v>
      </c>
      <c r="AM828" s="27">
        <v>31.081194</v>
      </c>
      <c r="AO828" s="29">
        <v>6.721724</v>
      </c>
      <c r="AP828" s="28"/>
    </row>
    <row r="829" spans="2:42" hidden="1" outlineLevel="1" x14ac:dyDescent="0.25">
      <c r="B829" s="21">
        <v>43165</v>
      </c>
      <c r="C829" s="27">
        <v>18.752524000000001</v>
      </c>
      <c r="E829" s="30">
        <v>0.80795799999999995</v>
      </c>
      <c r="G829" s="27">
        <v>20.231385</v>
      </c>
      <c r="I829" s="29">
        <v>6.9194079999999998</v>
      </c>
      <c r="K829" s="29">
        <v>3.230086</v>
      </c>
      <c r="M829" s="41">
        <v>598.23469399999999</v>
      </c>
      <c r="O829" s="26">
        <v>2852.4410440000001</v>
      </c>
      <c r="Q829" s="26">
        <v>5525.0051970000004</v>
      </c>
      <c r="S829" s="26">
        <v>1710.4904140000001</v>
      </c>
      <c r="U829" s="29">
        <v>3.2499920000000002</v>
      </c>
      <c r="W829" s="14">
        <v>28.406144000000001</v>
      </c>
      <c r="Y829" s="29">
        <v>8.7942540000000005</v>
      </c>
      <c r="AA829" s="41">
        <v>569.99655600000006</v>
      </c>
      <c r="AC829" s="27">
        <v>49.357002999999999</v>
      </c>
      <c r="AE829" s="27">
        <v>1</v>
      </c>
      <c r="AG829" s="29">
        <v>7.3523399999999999</v>
      </c>
      <c r="AI829" s="29">
        <v>8.75</v>
      </c>
      <c r="AK829" s="27">
        <v>23.572289999999999</v>
      </c>
      <c r="AM829" s="27">
        <v>31.061364000000001</v>
      </c>
      <c r="AO829" s="29">
        <v>6.7228029999999999</v>
      </c>
      <c r="AP829" s="28"/>
    </row>
    <row r="830" spans="2:42" hidden="1" outlineLevel="1" x14ac:dyDescent="0.25">
      <c r="B830" s="21">
        <v>43166</v>
      </c>
      <c r="C830" s="27">
        <v>18.809128999999999</v>
      </c>
      <c r="E830" s="30">
        <v>0.80557999999999996</v>
      </c>
      <c r="G830" s="27">
        <v>20.331942000000002</v>
      </c>
      <c r="I830" s="29">
        <v>6.9237479999999998</v>
      </c>
      <c r="K830" s="29">
        <v>3.22411</v>
      </c>
      <c r="M830" s="41">
        <v>601.53612599999997</v>
      </c>
      <c r="O830" s="26">
        <v>2855.7046789999999</v>
      </c>
      <c r="Q830" s="26">
        <v>5521.8500020000001</v>
      </c>
      <c r="S830" s="26">
        <v>1712.6818539999999</v>
      </c>
      <c r="U830" s="29">
        <v>3.2510759999999999</v>
      </c>
      <c r="W830" s="14">
        <v>28.389071999999999</v>
      </c>
      <c r="Y830" s="29">
        <v>8.8052580000000003</v>
      </c>
      <c r="AA830" s="41">
        <v>570.262608</v>
      </c>
      <c r="AC830" s="27">
        <v>49.518889999999999</v>
      </c>
      <c r="AE830" s="27">
        <v>1</v>
      </c>
      <c r="AG830" s="29">
        <v>7.3559979999999996</v>
      </c>
      <c r="AI830" s="29">
        <v>8.75</v>
      </c>
      <c r="AK830" s="27">
        <v>23.589583000000001</v>
      </c>
      <c r="AM830" s="27">
        <v>31.065100999999999</v>
      </c>
      <c r="AO830" s="29">
        <v>6.7235259999999997</v>
      </c>
      <c r="AP830" s="28"/>
    </row>
    <row r="831" spans="2:42" hidden="1" outlineLevel="1" x14ac:dyDescent="0.25">
      <c r="B831" s="21">
        <v>43167</v>
      </c>
      <c r="C831" s="27">
        <v>18.698162</v>
      </c>
      <c r="E831" s="30">
        <v>0.80854899999999996</v>
      </c>
      <c r="G831" s="27">
        <v>20.374241999999999</v>
      </c>
      <c r="I831" s="29">
        <v>6.9260979999999996</v>
      </c>
      <c r="K831" s="29">
        <v>3.2519689999999999</v>
      </c>
      <c r="M831" s="41">
        <v>604.57395399999996</v>
      </c>
      <c r="O831" s="26">
        <v>2865.6439479999999</v>
      </c>
      <c r="Q831" s="26">
        <v>5506.4075160000002</v>
      </c>
      <c r="S831" s="26">
        <v>1693.2610540000001</v>
      </c>
      <c r="U831" s="29">
        <v>3.2547459999999999</v>
      </c>
      <c r="W831" s="14">
        <v>28.370096</v>
      </c>
      <c r="Y831" s="29">
        <v>8.7239900000000006</v>
      </c>
      <c r="AA831" s="41">
        <v>570.363426</v>
      </c>
      <c r="AC831" s="27">
        <v>49.642628000000002</v>
      </c>
      <c r="AE831" s="27">
        <v>1</v>
      </c>
      <c r="AG831" s="29">
        <v>7.3581349999999999</v>
      </c>
      <c r="AI831" s="29">
        <v>8.75</v>
      </c>
      <c r="AK831" s="27">
        <v>23.605025999999999</v>
      </c>
      <c r="AM831" s="27">
        <v>31.106366000000001</v>
      </c>
      <c r="AO831" s="29">
        <v>6.7234379999999998</v>
      </c>
      <c r="AP831" s="28"/>
    </row>
    <row r="832" spans="2:42" hidden="1" outlineLevel="1" x14ac:dyDescent="0.25">
      <c r="B832" s="21">
        <v>43168</v>
      </c>
      <c r="C832" s="27">
        <v>18.612639000000001</v>
      </c>
      <c r="E832" s="30">
        <v>0.81242000000000003</v>
      </c>
      <c r="G832" s="27">
        <v>20.299886000000001</v>
      </c>
      <c r="I832" s="29">
        <v>6.9299759999999999</v>
      </c>
      <c r="K832" s="29">
        <v>3.2601939999999998</v>
      </c>
      <c r="M832" s="41">
        <v>604.32305399999996</v>
      </c>
      <c r="O832" s="26">
        <v>2872.861504</v>
      </c>
      <c r="Q832" s="26">
        <v>5522.6003149999997</v>
      </c>
      <c r="S832" s="26">
        <v>1693.957318</v>
      </c>
      <c r="U832" s="29">
        <v>3.2605439999999999</v>
      </c>
      <c r="W832" s="14">
        <v>28.364442</v>
      </c>
      <c r="Y832" s="29">
        <v>8.7002500000000005</v>
      </c>
      <c r="AA832" s="41">
        <v>571.20732799999996</v>
      </c>
      <c r="AC832" s="27">
        <v>49.670988000000001</v>
      </c>
      <c r="AE832" s="27">
        <v>1</v>
      </c>
      <c r="AG832" s="29">
        <v>7.3689840000000002</v>
      </c>
      <c r="AI832" s="29">
        <v>8.75</v>
      </c>
      <c r="AK832" s="27">
        <v>23.636578</v>
      </c>
      <c r="AM832" s="27">
        <v>31.169267999999999</v>
      </c>
      <c r="AO832" s="29">
        <v>6.7186979999999998</v>
      </c>
      <c r="AP832" s="28"/>
    </row>
    <row r="833" spans="2:42" hidden="1" outlineLevel="1" x14ac:dyDescent="0.25">
      <c r="B833" s="21">
        <v>43169</v>
      </c>
      <c r="C833" s="27">
        <v>18.61899</v>
      </c>
      <c r="E833" s="30">
        <v>0.81262500000000004</v>
      </c>
      <c r="G833" s="27">
        <v>20.236000000000001</v>
      </c>
      <c r="I833" s="29">
        <v>6.9225000000000003</v>
      </c>
      <c r="K833" s="29">
        <v>3.2554750000000001</v>
      </c>
      <c r="M833" s="41">
        <v>602.27499999999998</v>
      </c>
      <c r="O833" s="26">
        <v>2868.4</v>
      </c>
      <c r="Q833" s="26">
        <v>5521.4</v>
      </c>
      <c r="S833" s="26">
        <v>1696.0489660000001</v>
      </c>
      <c r="U833" s="29">
        <v>3.2589999999999999</v>
      </c>
      <c r="W833" s="14">
        <v>28.34</v>
      </c>
      <c r="Y833" s="29">
        <v>8.7053539999999998</v>
      </c>
      <c r="AA833" s="41">
        <v>570.255</v>
      </c>
      <c r="AC833" s="27">
        <v>49.54</v>
      </c>
      <c r="AE833" s="27">
        <v>1</v>
      </c>
      <c r="AG833" s="29">
        <v>7.3602249999999998</v>
      </c>
      <c r="AI833" s="29">
        <v>8.75</v>
      </c>
      <c r="AK833" s="27">
        <v>23.601500000000001</v>
      </c>
      <c r="AM833" s="27">
        <v>31.17475</v>
      </c>
      <c r="AO833" s="29">
        <v>6.7100999999999997</v>
      </c>
      <c r="AP833" s="28"/>
    </row>
    <row r="834" spans="2:42" hidden="1" outlineLevel="1" x14ac:dyDescent="0.25">
      <c r="B834" s="21">
        <v>43170</v>
      </c>
      <c r="C834" s="27">
        <v>18.619436</v>
      </c>
      <c r="E834" s="30">
        <v>0.81258600000000003</v>
      </c>
      <c r="G834" s="27">
        <v>20.235119000000001</v>
      </c>
      <c r="I834" s="29">
        <v>6.9225000000000003</v>
      </c>
      <c r="K834" s="29">
        <v>3.2556259999999999</v>
      </c>
      <c r="M834" s="41">
        <v>602.27363000000003</v>
      </c>
      <c r="O834" s="26">
        <v>2868.29619</v>
      </c>
      <c r="Q834" s="26">
        <v>5521.4</v>
      </c>
      <c r="S834" s="26">
        <v>1695.970444</v>
      </c>
      <c r="U834" s="29">
        <v>3.2589000000000001</v>
      </c>
      <c r="W834" s="14">
        <v>28.34</v>
      </c>
      <c r="Y834" s="29">
        <v>8.7049500000000002</v>
      </c>
      <c r="AA834" s="41">
        <v>570.27156600000001</v>
      </c>
      <c r="AC834" s="27">
        <v>49.495486999999997</v>
      </c>
      <c r="AE834" s="27">
        <v>1</v>
      </c>
      <c r="AG834" s="29">
        <v>7.3602249999999998</v>
      </c>
      <c r="AI834" s="29">
        <v>8.75</v>
      </c>
      <c r="AK834" s="27">
        <v>23.601303000000001</v>
      </c>
      <c r="AM834" s="27">
        <v>31.17475</v>
      </c>
      <c r="AO834" s="29">
        <v>6.7136760000000004</v>
      </c>
      <c r="AP834" s="28"/>
    </row>
    <row r="835" spans="2:42" hidden="1" outlineLevel="1" x14ac:dyDescent="0.25">
      <c r="B835" s="21">
        <v>43171</v>
      </c>
      <c r="C835" s="27">
        <v>18.618877999999999</v>
      </c>
      <c r="E835" s="30">
        <v>0.81157999999999997</v>
      </c>
      <c r="G835" s="27">
        <v>20.227793999999999</v>
      </c>
      <c r="I835" s="29">
        <v>6.926088</v>
      </c>
      <c r="K835" s="29">
        <v>3.2579660000000001</v>
      </c>
      <c r="M835" s="41">
        <v>603.126395</v>
      </c>
      <c r="O835" s="26">
        <v>2861.1077380000002</v>
      </c>
      <c r="Q835" s="26">
        <v>5522.1428759999999</v>
      </c>
      <c r="S835" s="26">
        <v>1694.9778659999999</v>
      </c>
      <c r="U835" s="29">
        <v>3.2581720000000001</v>
      </c>
      <c r="W835" s="14">
        <v>28.335826000000001</v>
      </c>
      <c r="Y835" s="29">
        <v>8.6974239999999998</v>
      </c>
      <c r="AA835" s="41">
        <v>570.15069200000005</v>
      </c>
      <c r="AC835" s="27">
        <v>49.624828999999998</v>
      </c>
      <c r="AE835" s="27">
        <v>1</v>
      </c>
      <c r="AG835" s="29">
        <v>7.3640549999999996</v>
      </c>
      <c r="AI835" s="29">
        <v>8.75</v>
      </c>
      <c r="AK835" s="27">
        <v>23.598686000000001</v>
      </c>
      <c r="AM835" s="27">
        <v>31.121451</v>
      </c>
      <c r="AO835" s="29">
        <v>6.7145130000000002</v>
      </c>
      <c r="AP835" s="28"/>
    </row>
    <row r="836" spans="2:42" hidden="1" outlineLevel="1" x14ac:dyDescent="0.25">
      <c r="B836" s="21">
        <v>43172</v>
      </c>
      <c r="C836" s="27">
        <v>18.581292999999999</v>
      </c>
      <c r="E836" s="30">
        <v>0.80913599999999997</v>
      </c>
      <c r="G836" s="27">
        <v>20.192827999999999</v>
      </c>
      <c r="I836" s="29">
        <v>6.9214640000000003</v>
      </c>
      <c r="K836" s="29">
        <v>3.2587440000000001</v>
      </c>
      <c r="M836" s="41">
        <v>603.19185600000003</v>
      </c>
      <c r="O836" s="26">
        <v>2848.6339809999999</v>
      </c>
      <c r="Q836" s="26">
        <v>5515.397226</v>
      </c>
      <c r="S836" s="26">
        <v>1692.5001560000001</v>
      </c>
      <c r="U836" s="29">
        <v>3.2578800000000001</v>
      </c>
      <c r="W836" s="14">
        <v>28.333932000000001</v>
      </c>
      <c r="Y836" s="29">
        <v>8.6947580000000002</v>
      </c>
      <c r="AA836" s="41">
        <v>569.45408399999997</v>
      </c>
      <c r="AC836" s="27">
        <v>49.633366000000002</v>
      </c>
      <c r="AE836" s="27">
        <v>1</v>
      </c>
      <c r="AG836" s="29">
        <v>7.3624219999999996</v>
      </c>
      <c r="AI836" s="29">
        <v>8.75</v>
      </c>
      <c r="AK836" s="27">
        <v>23.586134999999999</v>
      </c>
      <c r="AM836" s="27">
        <v>31.091117000000001</v>
      </c>
      <c r="AO836" s="29">
        <v>6.7524199999999999</v>
      </c>
      <c r="AP836" s="28"/>
    </row>
    <row r="837" spans="2:42" hidden="1" outlineLevel="1" x14ac:dyDescent="0.25">
      <c r="B837" s="21">
        <v>43173</v>
      </c>
      <c r="C837" s="27">
        <v>18.580293000000001</v>
      </c>
      <c r="E837" s="30">
        <v>0.80774699999999999</v>
      </c>
      <c r="G837" s="27">
        <v>20.207891</v>
      </c>
      <c r="I837" s="29">
        <v>6.9169299999999998</v>
      </c>
      <c r="K837" s="29">
        <v>3.2601819999999999</v>
      </c>
      <c r="M837" s="41">
        <v>602.11577</v>
      </c>
      <c r="O837" s="26">
        <v>2845.87599</v>
      </c>
      <c r="Q837" s="26">
        <v>5507.4692759999998</v>
      </c>
      <c r="S837" s="26">
        <v>1689.322316</v>
      </c>
      <c r="U837" s="29">
        <v>3.2581660000000001</v>
      </c>
      <c r="W837" s="14">
        <v>28.345454</v>
      </c>
      <c r="Y837" s="29">
        <v>8.6944579999999991</v>
      </c>
      <c r="AA837" s="41">
        <v>569.09973300000001</v>
      </c>
      <c r="AC837" s="27">
        <v>49.535338000000003</v>
      </c>
      <c r="AE837" s="27">
        <v>1</v>
      </c>
      <c r="AG837" s="29">
        <v>7.3627979999999997</v>
      </c>
      <c r="AI837" s="29">
        <v>8.75</v>
      </c>
      <c r="AK837" s="27">
        <v>23.576665999999999</v>
      </c>
      <c r="AM837" s="27">
        <v>31.073910000000001</v>
      </c>
      <c r="AO837" s="29">
        <v>6.77182</v>
      </c>
      <c r="AP837" s="28"/>
    </row>
    <row r="838" spans="2:42" hidden="1" outlineLevel="1" x14ac:dyDescent="0.25">
      <c r="B838" s="21">
        <v>43174</v>
      </c>
      <c r="C838" s="27">
        <v>18.64781</v>
      </c>
      <c r="E838" s="30">
        <v>0.81001400000000001</v>
      </c>
      <c r="G838" s="27">
        <v>20.255203999999999</v>
      </c>
      <c r="I838" s="29">
        <v>6.9189119999999997</v>
      </c>
      <c r="K838" s="29">
        <v>3.271509</v>
      </c>
      <c r="M838" s="41">
        <v>603.04222100000004</v>
      </c>
      <c r="O838" s="26">
        <v>2845.86994</v>
      </c>
      <c r="Q838" s="26">
        <v>5524.3172219999997</v>
      </c>
      <c r="S838" s="26">
        <v>1688.622678</v>
      </c>
      <c r="U838" s="29">
        <v>3.2577319999999999</v>
      </c>
      <c r="W838" s="14">
        <v>28.334378000000001</v>
      </c>
      <c r="Y838" s="29">
        <v>8.6609680000000004</v>
      </c>
      <c r="AA838" s="41">
        <v>569.63492399999996</v>
      </c>
      <c r="AC838" s="27">
        <v>49.486558000000002</v>
      </c>
      <c r="AE838" s="27">
        <v>1</v>
      </c>
      <c r="AG838" s="29">
        <v>7.3766639999999999</v>
      </c>
      <c r="AI838" s="29">
        <v>8.75</v>
      </c>
      <c r="AK838" s="27">
        <v>23.622699999999998</v>
      </c>
      <c r="AM838" s="27">
        <v>31.167707</v>
      </c>
      <c r="AO838" s="29">
        <v>6.7754500000000002</v>
      </c>
      <c r="AP838" s="28"/>
    </row>
    <row r="839" spans="2:42" hidden="1" outlineLevel="1" x14ac:dyDescent="0.25">
      <c r="B839" s="21">
        <v>43175</v>
      </c>
      <c r="C839" s="27">
        <v>18.718053999999999</v>
      </c>
      <c r="E839" s="30">
        <v>0.812913</v>
      </c>
      <c r="G839" s="27">
        <v>20.279185999999999</v>
      </c>
      <c r="I839" s="29">
        <v>6.9246699999999999</v>
      </c>
      <c r="K839" s="29">
        <v>3.2852079999999999</v>
      </c>
      <c r="M839" s="41">
        <v>606.458842</v>
      </c>
      <c r="O839" s="26">
        <v>2851.6376759999998</v>
      </c>
      <c r="Q839" s="26">
        <v>5538.4513699999998</v>
      </c>
      <c r="S839" s="26">
        <v>1685.883302</v>
      </c>
      <c r="U839" s="29">
        <v>3.2657699999999998</v>
      </c>
      <c r="W839" s="14">
        <v>28.364968000000001</v>
      </c>
      <c r="Y839" s="29">
        <v>8.6341619999999999</v>
      </c>
      <c r="AA839" s="41">
        <v>569.40425800000003</v>
      </c>
      <c r="AC839" s="27">
        <v>49.517516000000001</v>
      </c>
      <c r="AE839" s="27">
        <v>1</v>
      </c>
      <c r="AG839" s="29">
        <v>7.3843740000000002</v>
      </c>
      <c r="AI839" s="29">
        <v>8.75</v>
      </c>
      <c r="AK839" s="27">
        <v>23.638010999999999</v>
      </c>
      <c r="AM839" s="27">
        <v>31.234680999999998</v>
      </c>
      <c r="AO839" s="29">
        <v>6.756399</v>
      </c>
      <c r="AP839" s="28"/>
    </row>
    <row r="840" spans="2:42" hidden="1" outlineLevel="1" x14ac:dyDescent="0.25">
      <c r="B840" s="21">
        <v>43176</v>
      </c>
      <c r="C840" s="27">
        <v>18.691054999999999</v>
      </c>
      <c r="E840" s="30">
        <v>0.81372999999999995</v>
      </c>
      <c r="G840" s="27">
        <v>20.18515</v>
      </c>
      <c r="I840" s="29">
        <v>6.9225000000000003</v>
      </c>
      <c r="K840" s="29">
        <v>3.2805249999999999</v>
      </c>
      <c r="M840" s="41">
        <v>608.33500000000004</v>
      </c>
      <c r="O840" s="26">
        <v>2855.75</v>
      </c>
      <c r="Q840" s="26">
        <v>5537.1</v>
      </c>
      <c r="S840" s="26">
        <v>1687.874875</v>
      </c>
      <c r="U840" s="29">
        <v>3.2703500000000001</v>
      </c>
      <c r="W840" s="14">
        <v>28.39</v>
      </c>
      <c r="Y840" s="29">
        <v>8.6541080000000008</v>
      </c>
      <c r="AA840" s="41">
        <v>568.38</v>
      </c>
      <c r="AC840" s="27">
        <v>49.424999999999997</v>
      </c>
      <c r="AE840" s="27">
        <v>1</v>
      </c>
      <c r="AG840" s="29">
        <v>7.3788499999999999</v>
      </c>
      <c r="AI840" s="29">
        <v>8.75</v>
      </c>
      <c r="AK840" s="27">
        <v>23.6</v>
      </c>
      <c r="AM840" s="27">
        <v>31.25975</v>
      </c>
      <c r="AO840" s="29">
        <v>6.6963749999999997</v>
      </c>
      <c r="AP840" s="28"/>
    </row>
    <row r="841" spans="2:42" hidden="1" outlineLevel="1" x14ac:dyDescent="0.25">
      <c r="B841" s="21">
        <v>43177</v>
      </c>
      <c r="C841" s="27">
        <v>18.691693999999998</v>
      </c>
      <c r="E841" s="30">
        <v>0.81375200000000003</v>
      </c>
      <c r="G841" s="27">
        <v>20.185217999999999</v>
      </c>
      <c r="I841" s="29">
        <v>6.9225000000000003</v>
      </c>
      <c r="K841" s="29">
        <v>3.280494</v>
      </c>
      <c r="M841" s="41">
        <v>608.35382800000002</v>
      </c>
      <c r="O841" s="26">
        <v>2855.6890800000001</v>
      </c>
      <c r="Q841" s="26">
        <v>5537.1</v>
      </c>
      <c r="S841" s="26">
        <v>1687.891198</v>
      </c>
      <c r="U841" s="29">
        <v>3.2701859999999998</v>
      </c>
      <c r="W841" s="14">
        <v>28.389517999999999</v>
      </c>
      <c r="Y841" s="29">
        <v>8.654045</v>
      </c>
      <c r="AA841" s="41">
        <v>568.36478699999998</v>
      </c>
      <c r="AC841" s="27">
        <v>49.437241999999998</v>
      </c>
      <c r="AE841" s="27">
        <v>1</v>
      </c>
      <c r="AG841" s="29">
        <v>7.3788499999999999</v>
      </c>
      <c r="AI841" s="29">
        <v>8.75</v>
      </c>
      <c r="AK841" s="27">
        <v>23.601156</v>
      </c>
      <c r="AM841" s="27">
        <v>31.25975</v>
      </c>
      <c r="AO841" s="29">
        <v>6.7008900000000002</v>
      </c>
      <c r="AP841" s="28"/>
    </row>
    <row r="842" spans="2:42" hidden="1" outlineLevel="1" x14ac:dyDescent="0.25">
      <c r="B842" s="21">
        <v>43178</v>
      </c>
      <c r="C842" s="27">
        <v>18.745695000000001</v>
      </c>
      <c r="E842" s="30">
        <v>0.81286000000000003</v>
      </c>
      <c r="G842" s="27">
        <v>20.210830999999999</v>
      </c>
      <c r="I842" s="29">
        <v>6.9320539999999999</v>
      </c>
      <c r="K842" s="29">
        <v>3.2839100000000001</v>
      </c>
      <c r="M842" s="41">
        <v>608.93602399999997</v>
      </c>
      <c r="O842" s="26">
        <v>2858.941632</v>
      </c>
      <c r="Q842" s="26">
        <v>5545.3229590000001</v>
      </c>
      <c r="S842" s="26">
        <v>1688.642912</v>
      </c>
      <c r="U842" s="29">
        <v>3.2721399999999998</v>
      </c>
      <c r="W842" s="14">
        <v>28.392222</v>
      </c>
      <c r="Y842" s="29">
        <v>8.6458779999999997</v>
      </c>
      <c r="AA842" s="41">
        <v>568.05178000000001</v>
      </c>
      <c r="AC842" s="27">
        <v>49.634183999999998</v>
      </c>
      <c r="AE842" s="27">
        <v>1</v>
      </c>
      <c r="AG842" s="29">
        <v>7.3802880000000002</v>
      </c>
      <c r="AI842" s="29">
        <v>8.75</v>
      </c>
      <c r="AK842" s="27">
        <v>23.646957</v>
      </c>
      <c r="AM842" s="27">
        <v>31.247181999999999</v>
      </c>
      <c r="AO842" s="29">
        <v>6.7332619999999999</v>
      </c>
      <c r="AP842" s="28"/>
    </row>
    <row r="843" spans="2:42" hidden="1" outlineLevel="1" x14ac:dyDescent="0.25">
      <c r="B843" s="21">
        <v>43179</v>
      </c>
      <c r="C843" s="27">
        <v>18.744879000000001</v>
      </c>
      <c r="E843" s="30">
        <v>0.81313400000000002</v>
      </c>
      <c r="G843" s="27">
        <v>20.218931000000001</v>
      </c>
      <c r="I843" s="29">
        <v>6.9160820000000003</v>
      </c>
      <c r="K843" s="29">
        <v>3.2941980000000002</v>
      </c>
      <c r="M843" s="41">
        <v>609.60943899999995</v>
      </c>
      <c r="O843" s="26">
        <v>2859.44553</v>
      </c>
      <c r="Q843" s="26">
        <v>5543.7145460000002</v>
      </c>
      <c r="S843" s="26">
        <v>1682.8798879999999</v>
      </c>
      <c r="U843" s="29">
        <v>3.2657379999999998</v>
      </c>
      <c r="W843" s="14">
        <v>28.402394999999999</v>
      </c>
      <c r="Y843" s="29">
        <v>8.6219599999999996</v>
      </c>
      <c r="AA843" s="41">
        <v>566.84362599999997</v>
      </c>
      <c r="AC843" s="27">
        <v>49.543373000000003</v>
      </c>
      <c r="AE843" s="27">
        <v>1</v>
      </c>
      <c r="AG843" s="29">
        <v>7.3695779999999997</v>
      </c>
      <c r="AI843" s="29">
        <v>8.75</v>
      </c>
      <c r="AK843" s="27">
        <v>23.604706</v>
      </c>
      <c r="AM843" s="27">
        <v>31.136455999999999</v>
      </c>
      <c r="AO843" s="29">
        <v>6.7143220000000001</v>
      </c>
      <c r="AP843" s="28"/>
    </row>
    <row r="844" spans="2:42" hidden="1" outlineLevel="1" x14ac:dyDescent="0.25">
      <c r="B844" s="21">
        <v>43180</v>
      </c>
      <c r="C844" s="27">
        <v>18.576516000000002</v>
      </c>
      <c r="E844" s="30">
        <v>0.81388099999999997</v>
      </c>
      <c r="G844" s="27">
        <v>20.257541</v>
      </c>
      <c r="I844" s="29">
        <v>6.919994</v>
      </c>
      <c r="K844" s="29">
        <v>3.2966199999999999</v>
      </c>
      <c r="M844" s="41">
        <v>607.73915499999998</v>
      </c>
      <c r="O844" s="26">
        <v>2861.3595500000001</v>
      </c>
      <c r="Q844" s="26">
        <v>5546.6962679999997</v>
      </c>
      <c r="S844" s="26">
        <v>1682.5486040000001</v>
      </c>
      <c r="U844" s="29">
        <v>3.2630110000000001</v>
      </c>
      <c r="W844" s="14">
        <v>28.46866</v>
      </c>
      <c r="Y844" s="29">
        <v>8.6357320000000009</v>
      </c>
      <c r="AA844" s="41">
        <v>567.39389800000004</v>
      </c>
      <c r="AC844" s="27">
        <v>49.593482000000002</v>
      </c>
      <c r="AE844" s="27">
        <v>1</v>
      </c>
      <c r="AG844" s="29">
        <v>7.3820649999999999</v>
      </c>
      <c r="AI844" s="29">
        <v>8.75</v>
      </c>
      <c r="AK844" s="27">
        <v>23.652562</v>
      </c>
      <c r="AM844" s="27">
        <v>31.21292</v>
      </c>
      <c r="AO844" s="29">
        <v>6.7271599999999996</v>
      </c>
      <c r="AP844" s="28"/>
    </row>
    <row r="845" spans="2:42" hidden="1" outlineLevel="1" x14ac:dyDescent="0.25">
      <c r="B845" s="21">
        <v>43181</v>
      </c>
      <c r="C845" s="27">
        <v>18.505852999999998</v>
      </c>
      <c r="E845" s="30">
        <v>0.81087200000000004</v>
      </c>
      <c r="G845" s="27">
        <v>20.250758000000001</v>
      </c>
      <c r="I845" s="29">
        <v>6.9126180000000002</v>
      </c>
      <c r="K845" s="29">
        <v>3.2881680000000002</v>
      </c>
      <c r="M845" s="41">
        <v>606.25939900000003</v>
      </c>
      <c r="O845" s="26">
        <v>2855.139952</v>
      </c>
      <c r="Q845" s="26">
        <v>5542.9670839999999</v>
      </c>
      <c r="S845" s="26">
        <v>1685.7393050000001</v>
      </c>
      <c r="U845" s="29">
        <v>3.2462399999999998</v>
      </c>
      <c r="W845" s="14">
        <v>28.448755999999999</v>
      </c>
      <c r="Y845" s="29">
        <v>8.6518719999999991</v>
      </c>
      <c r="AA845" s="41">
        <v>565.954162</v>
      </c>
      <c r="AC845" s="27">
        <v>49.538122999999999</v>
      </c>
      <c r="AE845" s="27">
        <v>1</v>
      </c>
      <c r="AG845" s="29">
        <v>7.3651600000000004</v>
      </c>
      <c r="AI845" s="29">
        <v>8.75</v>
      </c>
      <c r="AK845" s="27">
        <v>23.607678</v>
      </c>
      <c r="AM845" s="27">
        <v>31.122935999999999</v>
      </c>
      <c r="AO845" s="29">
        <v>6.7361899999999997</v>
      </c>
      <c r="AP845" s="28"/>
    </row>
    <row r="846" spans="2:42" hidden="1" outlineLevel="1" x14ac:dyDescent="0.25">
      <c r="B846" s="21">
        <v>43182</v>
      </c>
      <c r="C846" s="27">
        <v>18.590992</v>
      </c>
      <c r="E846" s="30">
        <v>0.81015000000000004</v>
      </c>
      <c r="G846" s="27">
        <v>20.207405999999999</v>
      </c>
      <c r="I846" s="29">
        <v>6.9184700000000001</v>
      </c>
      <c r="K846" s="29">
        <v>3.3119700000000001</v>
      </c>
      <c r="M846" s="41">
        <v>608.51599199999998</v>
      </c>
      <c r="O846" s="26">
        <v>2852.5483559999998</v>
      </c>
      <c r="Q846" s="26">
        <v>5559.981648</v>
      </c>
      <c r="S846" s="26">
        <v>1678.7614739999999</v>
      </c>
      <c r="U846" s="29">
        <v>3.2357879999999999</v>
      </c>
      <c r="W846" s="14">
        <v>28.475562</v>
      </c>
      <c r="Y846" s="29">
        <v>8.5977879999999995</v>
      </c>
      <c r="AA846" s="41">
        <v>566.66331000000002</v>
      </c>
      <c r="AC846" s="27">
        <v>49.544403000000003</v>
      </c>
      <c r="AE846" s="27">
        <v>1</v>
      </c>
      <c r="AG846" s="29">
        <v>7.3741919999999999</v>
      </c>
      <c r="AI846" s="29">
        <v>8.75</v>
      </c>
      <c r="AK846" s="27">
        <v>23.627293999999999</v>
      </c>
      <c r="AM846" s="27">
        <v>31.157074000000001</v>
      </c>
      <c r="AO846" s="29">
        <v>6.7487899999999996</v>
      </c>
      <c r="AP846" s="28"/>
    </row>
    <row r="847" spans="2:42" hidden="1" outlineLevel="1" x14ac:dyDescent="0.25">
      <c r="B847" s="21">
        <v>43183</v>
      </c>
      <c r="C847" s="27">
        <v>18.521100000000001</v>
      </c>
      <c r="E847" s="30">
        <v>0.80946099999999999</v>
      </c>
      <c r="G847" s="27">
        <v>20.183499999999999</v>
      </c>
      <c r="I847" s="29">
        <v>6.9175000000000004</v>
      </c>
      <c r="K847" s="29">
        <v>3.314025</v>
      </c>
      <c r="M847" s="41">
        <v>608.39</v>
      </c>
      <c r="O847" s="26">
        <v>2843.5</v>
      </c>
      <c r="Q847" s="26">
        <v>5567.8</v>
      </c>
      <c r="S847" s="26">
        <v>1680.0743640000001</v>
      </c>
      <c r="U847" s="29">
        <v>3.2229999999999999</v>
      </c>
      <c r="W847" s="14">
        <v>28.48</v>
      </c>
      <c r="Y847" s="29">
        <v>8.5937819999999991</v>
      </c>
      <c r="AA847" s="41">
        <v>566.65499999999997</v>
      </c>
      <c r="AC847" s="27">
        <v>49.45</v>
      </c>
      <c r="AE847" s="27">
        <v>1</v>
      </c>
      <c r="AG847" s="29">
        <v>7.3753500000000001</v>
      </c>
      <c r="AI847" s="29">
        <v>8.75</v>
      </c>
      <c r="AK847" s="27">
        <v>23.613499999999998</v>
      </c>
      <c r="AM847" s="27">
        <v>31.17475</v>
      </c>
      <c r="AO847" s="29">
        <v>6.7802749999999996</v>
      </c>
      <c r="AP847" s="28"/>
    </row>
    <row r="848" spans="2:42" hidden="1" outlineLevel="1" x14ac:dyDescent="0.25">
      <c r="B848" s="21">
        <v>43184</v>
      </c>
      <c r="C848" s="27">
        <v>18.520741999999998</v>
      </c>
      <c r="E848" s="30">
        <v>0.80940599999999996</v>
      </c>
      <c r="G848" s="27">
        <v>20.183897999999999</v>
      </c>
      <c r="I848" s="29">
        <v>6.9170670000000003</v>
      </c>
      <c r="K848" s="29">
        <v>3.314146</v>
      </c>
      <c r="M848" s="41">
        <v>608.38771999999994</v>
      </c>
      <c r="O848" s="26">
        <v>2844.4317420000002</v>
      </c>
      <c r="Q848" s="26">
        <v>5567.5312610000001</v>
      </c>
      <c r="S848" s="26">
        <v>1679.93217</v>
      </c>
      <c r="U848" s="29">
        <v>3.2242220000000001</v>
      </c>
      <c r="W848" s="14">
        <v>28.47794</v>
      </c>
      <c r="Y848" s="29">
        <v>8.592848</v>
      </c>
      <c r="AA848" s="41">
        <v>566.63523799999996</v>
      </c>
      <c r="AC848" s="27">
        <v>49.472935999999997</v>
      </c>
      <c r="AE848" s="27">
        <v>1</v>
      </c>
      <c r="AG848" s="29">
        <v>7.3749950000000002</v>
      </c>
      <c r="AI848" s="29">
        <v>8.75</v>
      </c>
      <c r="AK848" s="27">
        <v>23.616993999999998</v>
      </c>
      <c r="AM848" s="27">
        <v>31.173107999999999</v>
      </c>
      <c r="AO848" s="29">
        <v>6.7769839999999997</v>
      </c>
      <c r="AP848" s="28"/>
    </row>
    <row r="849" spans="2:42" hidden="1" outlineLevel="1" x14ac:dyDescent="0.25">
      <c r="B849" s="21">
        <v>43185</v>
      </c>
      <c r="C849" s="27">
        <v>18.408256000000002</v>
      </c>
      <c r="E849" s="30">
        <v>0.80568200000000001</v>
      </c>
      <c r="G849" s="27">
        <v>20.175319999999999</v>
      </c>
      <c r="I849" s="29">
        <v>6.9182819999999996</v>
      </c>
      <c r="K849" s="29">
        <v>3.3090079999999999</v>
      </c>
      <c r="M849" s="41">
        <v>606.88811999999996</v>
      </c>
      <c r="O849" s="26">
        <v>2831.3978780000002</v>
      </c>
      <c r="Q849" s="26">
        <v>5568.547364</v>
      </c>
      <c r="S849" s="26">
        <v>1682.8531809999999</v>
      </c>
      <c r="U849" s="29">
        <v>3.2225959999999998</v>
      </c>
      <c r="W849" s="14">
        <v>28.430610999999999</v>
      </c>
      <c r="Y849" s="29">
        <v>8.5919089999999994</v>
      </c>
      <c r="AA849" s="41">
        <v>566.36087899999995</v>
      </c>
      <c r="AC849" s="27">
        <v>49.57443</v>
      </c>
      <c r="AE849" s="27">
        <v>1</v>
      </c>
      <c r="AG849" s="29">
        <v>7.372954</v>
      </c>
      <c r="AI849" s="29">
        <v>8.75</v>
      </c>
      <c r="AK849" s="27">
        <v>23.630134999999999</v>
      </c>
      <c r="AM849" s="27">
        <v>31.173155999999999</v>
      </c>
      <c r="AO849" s="29">
        <v>6.7743669999999998</v>
      </c>
      <c r="AP849" s="28"/>
    </row>
    <row r="850" spans="2:42" hidden="1" outlineLevel="1" x14ac:dyDescent="0.25">
      <c r="B850" s="21">
        <v>43186</v>
      </c>
      <c r="C850" s="27">
        <v>18.355913000000001</v>
      </c>
      <c r="E850" s="30">
        <v>0.80505599999999999</v>
      </c>
      <c r="G850" s="27">
        <v>20.164649000000001</v>
      </c>
      <c r="I850" s="29">
        <v>6.9156959999999996</v>
      </c>
      <c r="K850" s="29">
        <v>3.3193260000000002</v>
      </c>
      <c r="M850" s="41">
        <v>605.33614299999999</v>
      </c>
      <c r="O850" s="26">
        <v>2795.573684</v>
      </c>
      <c r="Q850" s="26">
        <v>5562.4402739999996</v>
      </c>
      <c r="S850" s="26">
        <v>1675.782747</v>
      </c>
      <c r="U850" s="29">
        <v>3.2183760000000001</v>
      </c>
      <c r="W850" s="14">
        <v>28.341825</v>
      </c>
      <c r="Y850" s="29">
        <v>8.5384480000000007</v>
      </c>
      <c r="AA850" s="41">
        <v>566.09937600000001</v>
      </c>
      <c r="AC850" s="27">
        <v>49.497072000000003</v>
      </c>
      <c r="AE850" s="27">
        <v>1</v>
      </c>
      <c r="AG850" s="29">
        <v>7.3696429999999999</v>
      </c>
      <c r="AI850" s="29">
        <v>8.75</v>
      </c>
      <c r="AK850" s="27">
        <v>23.608764000000001</v>
      </c>
      <c r="AM850" s="27">
        <v>31.172664000000001</v>
      </c>
      <c r="AO850" s="29">
        <v>6.7958259999999999</v>
      </c>
      <c r="AP850" s="28"/>
    </row>
    <row r="851" spans="2:42" hidden="1" outlineLevel="1" x14ac:dyDescent="0.25">
      <c r="B851" s="21">
        <v>43187</v>
      </c>
      <c r="C851" s="27">
        <v>18.353345999999998</v>
      </c>
      <c r="E851" s="30">
        <v>0.80855200000000005</v>
      </c>
      <c r="G851" s="27">
        <v>20.150763999999999</v>
      </c>
      <c r="I851" s="29">
        <v>6.9217750000000002</v>
      </c>
      <c r="K851" s="29">
        <v>3.3293200000000001</v>
      </c>
      <c r="M851" s="41">
        <v>605.59576000000004</v>
      </c>
      <c r="O851" s="26">
        <v>2787.4682590000002</v>
      </c>
      <c r="Q851" s="26">
        <v>5556.0152479999997</v>
      </c>
      <c r="S851" s="26">
        <v>1668.8223499999999</v>
      </c>
      <c r="U851" s="29">
        <v>3.2260300000000002</v>
      </c>
      <c r="W851" s="14">
        <v>28.334664</v>
      </c>
      <c r="Y851" s="29">
        <v>8.5106660000000005</v>
      </c>
      <c r="AA851" s="41">
        <v>566.94480599999997</v>
      </c>
      <c r="AC851" s="27">
        <v>49.571505000000002</v>
      </c>
      <c r="AE851" s="27">
        <v>1</v>
      </c>
      <c r="AG851" s="29">
        <v>7.3761380000000001</v>
      </c>
      <c r="AI851" s="29">
        <v>8.75</v>
      </c>
      <c r="AK851" s="27">
        <v>23.633800000000001</v>
      </c>
      <c r="AM851" s="27">
        <v>31.083269999999999</v>
      </c>
      <c r="AO851" s="29">
        <v>6.8020620000000003</v>
      </c>
      <c r="AP851" s="28"/>
    </row>
    <row r="852" spans="2:42" hidden="1" outlineLevel="1" x14ac:dyDescent="0.25">
      <c r="B852" s="21">
        <v>43188</v>
      </c>
      <c r="C852" s="27">
        <v>18.263297000000001</v>
      </c>
      <c r="E852" s="30">
        <v>0.81226799999999999</v>
      </c>
      <c r="G852" s="27">
        <v>20.138172000000001</v>
      </c>
      <c r="I852" s="29">
        <v>6.9324779999999997</v>
      </c>
      <c r="K852" s="29">
        <v>3.3153579999999998</v>
      </c>
      <c r="M852" s="41">
        <v>604.17260399999998</v>
      </c>
      <c r="O852" s="26">
        <v>2793.7705860000001</v>
      </c>
      <c r="Q852" s="26">
        <v>5553.5083240000004</v>
      </c>
      <c r="S852" s="26">
        <v>1675.0943159999999</v>
      </c>
      <c r="U852" s="29">
        <v>3.2297060000000002</v>
      </c>
      <c r="W852" s="14">
        <v>28.41085</v>
      </c>
      <c r="Y852" s="29">
        <v>8.5694859999999995</v>
      </c>
      <c r="AA852" s="41">
        <v>567.90078700000004</v>
      </c>
      <c r="AC852" s="27">
        <v>49.618892000000002</v>
      </c>
      <c r="AE852" s="27">
        <v>1</v>
      </c>
      <c r="AG852" s="29">
        <v>7.3878789999999999</v>
      </c>
      <c r="AI852" s="29">
        <v>8.75</v>
      </c>
      <c r="AK852" s="27">
        <v>23.67173</v>
      </c>
      <c r="AM852" s="27">
        <v>31.155639999999998</v>
      </c>
      <c r="AO852" s="29">
        <v>6.7930679999999999</v>
      </c>
      <c r="AP852" s="28"/>
    </row>
    <row r="853" spans="2:42" hidden="1" outlineLevel="1" x14ac:dyDescent="0.25">
      <c r="B853" s="21">
        <v>43189</v>
      </c>
      <c r="C853" s="27">
        <v>18.176718000000001</v>
      </c>
      <c r="E853" s="30">
        <v>0.81167400000000001</v>
      </c>
      <c r="G853" s="27">
        <v>20.136766000000001</v>
      </c>
      <c r="I853" s="29">
        <v>6.9246499999999997</v>
      </c>
      <c r="K853" s="29">
        <v>3.3032339999999998</v>
      </c>
      <c r="M853" s="41">
        <v>603.971948</v>
      </c>
      <c r="O853" s="26">
        <v>2792.1928579999999</v>
      </c>
      <c r="Q853" s="26">
        <v>5557.8208999999997</v>
      </c>
      <c r="S853" s="26">
        <v>1682.548567</v>
      </c>
      <c r="U853" s="29">
        <v>3.2274569999999998</v>
      </c>
      <c r="W853" s="14">
        <v>28.391558</v>
      </c>
      <c r="Y853" s="29">
        <v>8.5951000000000004</v>
      </c>
      <c r="AA853" s="41">
        <v>567.28574600000002</v>
      </c>
      <c r="AC853" s="27">
        <v>49.524994</v>
      </c>
      <c r="AE853" s="27">
        <v>1</v>
      </c>
      <c r="AG853" s="29">
        <v>7.3788260000000001</v>
      </c>
      <c r="AI853" s="29">
        <v>8.75</v>
      </c>
      <c r="AK853" s="27">
        <v>23.640906000000001</v>
      </c>
      <c r="AM853" s="27">
        <v>31.209714000000002</v>
      </c>
      <c r="AO853" s="29">
        <v>6.7743419999999999</v>
      </c>
      <c r="AP853" s="28"/>
    </row>
    <row r="854" spans="2:42" hidden="1" outlineLevel="1" x14ac:dyDescent="0.25">
      <c r="B854" s="21">
        <v>43190</v>
      </c>
      <c r="C854" s="49">
        <v>18.3445</v>
      </c>
      <c r="E854" s="30">
        <v>0.81144400000000005</v>
      </c>
      <c r="G854" s="27">
        <v>20.125499999999999</v>
      </c>
      <c r="I854" s="29">
        <v>6.9233500000000001</v>
      </c>
      <c r="K854" s="29">
        <v>3.30525</v>
      </c>
      <c r="M854" s="41">
        <v>603.9</v>
      </c>
      <c r="O854" s="26">
        <v>2790.75</v>
      </c>
      <c r="Q854" s="26">
        <v>5563.95</v>
      </c>
      <c r="S854" s="26">
        <v>1683.3750769999999</v>
      </c>
      <c r="U854" s="29">
        <v>3.2271000000000001</v>
      </c>
      <c r="W854" s="14">
        <v>28.385000000000002</v>
      </c>
      <c r="Y854" s="29">
        <v>8.5878619999999994</v>
      </c>
      <c r="AA854" s="41">
        <v>567.1825</v>
      </c>
      <c r="AC854" s="27">
        <v>49.465000000000003</v>
      </c>
      <c r="AE854" s="27">
        <v>1</v>
      </c>
      <c r="AG854" s="29">
        <v>7.3771750000000003</v>
      </c>
      <c r="AI854" s="29">
        <v>8.75</v>
      </c>
      <c r="AK854" s="27">
        <v>23.624500000000001</v>
      </c>
      <c r="AM854" s="27">
        <v>31.222249999999999</v>
      </c>
      <c r="AO854" s="29">
        <v>6.7373750000000001</v>
      </c>
      <c r="AP854" s="28"/>
    </row>
    <row r="855" spans="2:42" ht="13" collapsed="1" x14ac:dyDescent="0.3">
      <c r="B855" s="25" t="s">
        <v>165</v>
      </c>
      <c r="C855" s="19">
        <v>18.613</v>
      </c>
      <c r="E855" s="24">
        <v>0.81099200000000005</v>
      </c>
      <c r="G855" s="19">
        <v>20.2178</v>
      </c>
      <c r="I855" s="23">
        <v>6.9214799999999999</v>
      </c>
      <c r="J855" s="9"/>
      <c r="K855" s="23">
        <v>3.2780399999999998</v>
      </c>
      <c r="M855" s="42">
        <v>604.02</v>
      </c>
      <c r="O855" s="31">
        <v>2847</v>
      </c>
      <c r="Q855" s="31">
        <v>5541.79</v>
      </c>
      <c r="S855" s="31">
        <v>1690.68</v>
      </c>
      <c r="U855" s="23">
        <v>3.2497799999999999</v>
      </c>
      <c r="W855" s="23">
        <v>28.38739</v>
      </c>
      <c r="Y855" s="23">
        <v>8.6604600000000005</v>
      </c>
      <c r="AA855" s="42">
        <v>568.66999999999996</v>
      </c>
      <c r="AC855" s="19">
        <v>49.482999999999997</v>
      </c>
      <c r="AE855" s="19">
        <v>1</v>
      </c>
      <c r="AG855" s="23">
        <v>7.3683800000000002</v>
      </c>
      <c r="AI855" s="23">
        <v>8.75</v>
      </c>
      <c r="AK855" s="23">
        <v>23.611560000000001</v>
      </c>
      <c r="AM855" s="23">
        <v>31.148630000000001</v>
      </c>
      <c r="AO855" s="23">
        <v>6.7386600000000003</v>
      </c>
      <c r="AP855" s="10"/>
    </row>
    <row r="856" spans="2:42" hidden="1" outlineLevel="1" x14ac:dyDescent="0.25">
      <c r="B856" s="21">
        <v>43191</v>
      </c>
      <c r="C856" s="27">
        <v>18.188029</v>
      </c>
      <c r="E856" s="30">
        <v>0.81148799999999999</v>
      </c>
      <c r="G856" s="27">
        <v>20.126398999999999</v>
      </c>
      <c r="I856" s="29">
        <v>6.9230109999999998</v>
      </c>
      <c r="K856" s="29">
        <v>3.3051300000000001</v>
      </c>
      <c r="M856" s="41">
        <v>603.90218800000002</v>
      </c>
      <c r="O856" s="26">
        <v>2790.9297409999999</v>
      </c>
      <c r="Q856" s="26">
        <v>5563.6804700000002</v>
      </c>
      <c r="S856" s="26">
        <v>1683.3548330000001</v>
      </c>
      <c r="U856" s="29">
        <v>3.2271139999999998</v>
      </c>
      <c r="W856" s="14">
        <v>28.383721999999999</v>
      </c>
      <c r="Y856" s="29">
        <v>8.5877909999999993</v>
      </c>
      <c r="AA856" s="41">
        <v>567.12844199999995</v>
      </c>
      <c r="AC856" s="27">
        <v>49.484034000000001</v>
      </c>
      <c r="AE856" s="27">
        <v>1</v>
      </c>
      <c r="AG856" s="29">
        <v>7.376811</v>
      </c>
      <c r="AI856" s="29">
        <v>8.75</v>
      </c>
      <c r="AK856" s="27">
        <v>23.627694000000002</v>
      </c>
      <c r="AM856" s="27">
        <v>31.218109999999999</v>
      </c>
      <c r="AO856" s="29">
        <v>6.7399040000000001</v>
      </c>
      <c r="AP856" s="11"/>
    </row>
    <row r="857" spans="2:42" hidden="1" outlineLevel="1" x14ac:dyDescent="0.25">
      <c r="B857" s="21">
        <v>43192</v>
      </c>
      <c r="C857" s="27">
        <v>18.237815999999999</v>
      </c>
      <c r="E857" s="30">
        <v>0.81199399999999999</v>
      </c>
      <c r="G857" s="27">
        <v>20.13747</v>
      </c>
      <c r="I857" s="29">
        <v>6.9250100000000003</v>
      </c>
      <c r="K857" s="29">
        <v>3.3094269999999999</v>
      </c>
      <c r="M857" s="41">
        <v>604.679438</v>
      </c>
      <c r="O857" s="26">
        <v>2795.7280049999999</v>
      </c>
      <c r="Q857" s="26">
        <v>5559.8663919999999</v>
      </c>
      <c r="S857" s="26">
        <v>1680.0210500000001</v>
      </c>
      <c r="U857" s="29">
        <v>3.2284099999999998</v>
      </c>
      <c r="W857" s="14">
        <v>28.393885999999998</v>
      </c>
      <c r="Y857" s="29">
        <v>8.5797500000000007</v>
      </c>
      <c r="AA857" s="41">
        <v>567.26484500000004</v>
      </c>
      <c r="AC857" s="27">
        <v>49.540340999999998</v>
      </c>
      <c r="AE857" s="27">
        <v>1</v>
      </c>
      <c r="AG857" s="29">
        <v>7.3793559999999996</v>
      </c>
      <c r="AI857" s="29">
        <v>8.75</v>
      </c>
      <c r="AK857" s="27">
        <v>23.642641000000001</v>
      </c>
      <c r="AM857" s="27">
        <v>31.211811999999998</v>
      </c>
      <c r="AO857" s="29">
        <v>6.7408169999999998</v>
      </c>
      <c r="AP857" s="11"/>
    </row>
    <row r="858" spans="2:42" hidden="1" outlineLevel="1" x14ac:dyDescent="0.25">
      <c r="B858" s="21">
        <v>43193</v>
      </c>
      <c r="C858" s="27">
        <v>18.216542</v>
      </c>
      <c r="E858" s="30">
        <v>0.813662</v>
      </c>
      <c r="G858" s="27">
        <v>20.153791999999999</v>
      </c>
      <c r="I858" s="29">
        <v>6.9236579999999996</v>
      </c>
      <c r="K858" s="29">
        <v>3.3193269999999999</v>
      </c>
      <c r="M858" s="41">
        <v>604.46338000000003</v>
      </c>
      <c r="O858" s="26">
        <v>2792.314875</v>
      </c>
      <c r="Q858" s="26">
        <v>5550.6086939999996</v>
      </c>
      <c r="S858" s="26">
        <v>1672.216772</v>
      </c>
      <c r="U858" s="29">
        <v>3.227592</v>
      </c>
      <c r="W858" s="14">
        <v>28.380208</v>
      </c>
      <c r="Y858" s="29">
        <v>8.5500100000000003</v>
      </c>
      <c r="AA858" s="41">
        <v>567.46745199999998</v>
      </c>
      <c r="AC858" s="27">
        <v>49.565474000000002</v>
      </c>
      <c r="AE858" s="27">
        <v>1</v>
      </c>
      <c r="AG858" s="29">
        <v>7.3801170000000003</v>
      </c>
      <c r="AI858" s="29">
        <v>8.75</v>
      </c>
      <c r="AK858" s="27">
        <v>23.648439</v>
      </c>
      <c r="AM858" s="27">
        <v>31.219044</v>
      </c>
      <c r="AO858" s="29">
        <v>6.7184619999999997</v>
      </c>
      <c r="AP858" s="11"/>
    </row>
    <row r="859" spans="2:42" hidden="1" outlineLevel="1" x14ac:dyDescent="0.25">
      <c r="B859" s="21">
        <v>43194</v>
      </c>
      <c r="C859" s="27">
        <v>18.219909999999999</v>
      </c>
      <c r="E859" s="30">
        <v>0.814056</v>
      </c>
      <c r="G859" s="27">
        <v>20.178985999999998</v>
      </c>
      <c r="I859" s="29">
        <v>6.9208530000000001</v>
      </c>
      <c r="K859" s="29">
        <v>3.341434</v>
      </c>
      <c r="M859" s="41">
        <v>603.42657399999996</v>
      </c>
      <c r="O859" s="26">
        <v>2791.3980740000002</v>
      </c>
      <c r="Q859" s="26">
        <v>5543.5753960000002</v>
      </c>
      <c r="S859" s="26">
        <v>1659.0486980000001</v>
      </c>
      <c r="U859" s="29">
        <v>3.2256499999999999</v>
      </c>
      <c r="W859" s="14">
        <v>28.359946000000001</v>
      </c>
      <c r="Y859" s="29">
        <v>8.4873750000000001</v>
      </c>
      <c r="AA859" s="41">
        <v>567.45260499999995</v>
      </c>
      <c r="AC859" s="27">
        <v>49.549289999999999</v>
      </c>
      <c r="AE859" s="27">
        <v>1</v>
      </c>
      <c r="AG859" s="29">
        <v>7.378317</v>
      </c>
      <c r="AI859" s="29">
        <v>8.75</v>
      </c>
      <c r="AK859" s="27">
        <v>23.651230000000002</v>
      </c>
      <c r="AM859" s="27">
        <v>31.190961000000001</v>
      </c>
      <c r="AO859" s="29">
        <v>6.6986720000000002</v>
      </c>
      <c r="AP859" s="11"/>
    </row>
    <row r="860" spans="2:42" hidden="1" outlineLevel="1" x14ac:dyDescent="0.25">
      <c r="B860" s="21">
        <v>43195</v>
      </c>
      <c r="C860" s="27">
        <v>18.137391999999998</v>
      </c>
      <c r="E860" s="30">
        <v>0.81584199999999996</v>
      </c>
      <c r="G860" s="27">
        <v>20.177382000000001</v>
      </c>
      <c r="I860" s="29">
        <v>6.9205810000000003</v>
      </c>
      <c r="K860" s="29">
        <v>3.3311359999999999</v>
      </c>
      <c r="M860" s="41">
        <v>602.96362599999998</v>
      </c>
      <c r="O860" s="26">
        <v>2795.9668660000002</v>
      </c>
      <c r="Q860" s="26">
        <v>5554.2395839999999</v>
      </c>
      <c r="S860" s="26">
        <v>1667.379901</v>
      </c>
      <c r="U860" s="29">
        <v>3.2250920000000001</v>
      </c>
      <c r="W860" s="14">
        <v>28.314321</v>
      </c>
      <c r="Y860" s="29">
        <v>8.4999199999999995</v>
      </c>
      <c r="AA860" s="41">
        <v>567.70977400000004</v>
      </c>
      <c r="AC860" s="27">
        <v>49.518576000000003</v>
      </c>
      <c r="AE860" s="27">
        <v>1</v>
      </c>
      <c r="AG860" s="29">
        <v>7.3779440000000003</v>
      </c>
      <c r="AI860" s="29">
        <v>8.75</v>
      </c>
      <c r="AK860" s="27">
        <v>23.652252000000001</v>
      </c>
      <c r="AM860" s="27">
        <v>31.185846000000002</v>
      </c>
      <c r="AO860" s="29">
        <v>6.7011079999999996</v>
      </c>
      <c r="AP860" s="11"/>
    </row>
    <row r="861" spans="2:42" hidden="1" outlineLevel="1" x14ac:dyDescent="0.25">
      <c r="B861" s="21">
        <v>43196</v>
      </c>
      <c r="C861" s="27">
        <v>18.265097999999998</v>
      </c>
      <c r="E861" s="30">
        <v>0.81581000000000004</v>
      </c>
      <c r="G861" s="27">
        <v>20.191109999999998</v>
      </c>
      <c r="I861" s="29">
        <v>6.9261689999999998</v>
      </c>
      <c r="K861" s="29">
        <v>3.3556279999999998</v>
      </c>
      <c r="M861" s="41">
        <v>604.53486199999998</v>
      </c>
      <c r="O861" s="26">
        <v>2797.4807559999999</v>
      </c>
      <c r="Q861" s="26">
        <v>5560.8783560000002</v>
      </c>
      <c r="S861" s="26">
        <v>1657.1876810000001</v>
      </c>
      <c r="U861" s="29">
        <v>3.2305649999999999</v>
      </c>
      <c r="W861" s="14">
        <v>28.32423</v>
      </c>
      <c r="Y861" s="29">
        <v>8.4408320000000003</v>
      </c>
      <c r="AA861" s="41">
        <v>568.48328800000002</v>
      </c>
      <c r="AC861" s="27">
        <v>49.573478999999999</v>
      </c>
      <c r="AE861" s="27">
        <v>1</v>
      </c>
      <c r="AG861" s="29">
        <v>7.3813500000000003</v>
      </c>
      <c r="AI861" s="29">
        <v>8.75</v>
      </c>
      <c r="AK861" s="27">
        <v>23.659103999999999</v>
      </c>
      <c r="AM861" s="27">
        <v>31.211044000000001</v>
      </c>
      <c r="AO861" s="29">
        <v>6.702566</v>
      </c>
      <c r="AP861" s="11"/>
    </row>
    <row r="862" spans="2:42" hidden="1" outlineLevel="1" x14ac:dyDescent="0.25">
      <c r="B862" s="21">
        <v>43197</v>
      </c>
      <c r="C862" s="27">
        <v>18.289175</v>
      </c>
      <c r="E862" s="30">
        <v>0.81423299999999998</v>
      </c>
      <c r="G862" s="27">
        <v>20.176649999999999</v>
      </c>
      <c r="I862" s="29">
        <v>6.9225000000000003</v>
      </c>
      <c r="K862" s="29">
        <v>3.3712</v>
      </c>
      <c r="M862" s="41">
        <v>604.77499999999998</v>
      </c>
      <c r="O862" s="26">
        <v>2817</v>
      </c>
      <c r="Q862" s="26">
        <v>5555.4</v>
      </c>
      <c r="S862" s="26">
        <v>1647.9073000000001</v>
      </c>
      <c r="U862" s="29">
        <v>3.2349749999999999</v>
      </c>
      <c r="W862" s="14">
        <v>28.295000000000002</v>
      </c>
      <c r="Y862" s="29">
        <v>8.3931640000000005</v>
      </c>
      <c r="AA862" s="41">
        <v>568.65</v>
      </c>
      <c r="AC862" s="27">
        <v>49.545000000000002</v>
      </c>
      <c r="AE862" s="27">
        <v>1</v>
      </c>
      <c r="AG862" s="29">
        <v>7.3766999999999996</v>
      </c>
      <c r="AI862" s="29">
        <v>8.75</v>
      </c>
      <c r="AK862" s="27">
        <v>23.645250000000001</v>
      </c>
      <c r="AM862" s="27">
        <v>31.21125</v>
      </c>
      <c r="AO862" s="29">
        <v>6.6986999999999997</v>
      </c>
      <c r="AP862" s="11"/>
    </row>
    <row r="863" spans="2:42" hidden="1" outlineLevel="1" x14ac:dyDescent="0.25">
      <c r="B863" s="21">
        <v>43198</v>
      </c>
      <c r="C863" s="27">
        <v>18.291084000000001</v>
      </c>
      <c r="E863" s="30">
        <v>0.81428199999999995</v>
      </c>
      <c r="G863" s="27">
        <v>20.177571</v>
      </c>
      <c r="I863" s="29">
        <v>6.9225000000000003</v>
      </c>
      <c r="K863" s="29">
        <v>3.3710040000000001</v>
      </c>
      <c r="M863" s="41">
        <v>604.77499</v>
      </c>
      <c r="O863" s="26">
        <v>2816.9872399999999</v>
      </c>
      <c r="Q863" s="26">
        <v>5555.7537910000001</v>
      </c>
      <c r="S863" s="26">
        <v>1648.107878</v>
      </c>
      <c r="U863" s="29">
        <v>3.2347320000000002</v>
      </c>
      <c r="W863" s="14">
        <v>28.295000000000002</v>
      </c>
      <c r="Y863" s="29">
        <v>8.3936519999999994</v>
      </c>
      <c r="AA863" s="41">
        <v>568.64783699999998</v>
      </c>
      <c r="AC863" s="27">
        <v>49.543148000000002</v>
      </c>
      <c r="AE863" s="27">
        <v>1</v>
      </c>
      <c r="AG863" s="29">
        <v>7.3766999999999996</v>
      </c>
      <c r="AI863" s="29">
        <v>8.75</v>
      </c>
      <c r="AK863" s="27">
        <v>23.646591999999998</v>
      </c>
      <c r="AM863" s="27">
        <v>31.208124000000002</v>
      </c>
      <c r="AO863" s="29">
        <v>6.6994530000000001</v>
      </c>
      <c r="AP863" s="11"/>
    </row>
    <row r="864" spans="2:42" hidden="1" outlineLevel="1" x14ac:dyDescent="0.25">
      <c r="B864" s="21">
        <v>43199</v>
      </c>
      <c r="C864" s="27">
        <v>18.306467000000001</v>
      </c>
      <c r="E864" s="30">
        <v>0.81323999999999996</v>
      </c>
      <c r="G864" s="27">
        <v>20.17774</v>
      </c>
      <c r="I864" s="29">
        <v>6.9156639999999996</v>
      </c>
      <c r="K864" s="29">
        <v>3.3859159999999999</v>
      </c>
      <c r="M864" s="41">
        <v>604.21522600000003</v>
      </c>
      <c r="O864" s="26">
        <v>2784.945984</v>
      </c>
      <c r="Q864" s="26">
        <v>5547.9157439999999</v>
      </c>
      <c r="S864" s="26">
        <v>1638.5347180000001</v>
      </c>
      <c r="U864" s="29">
        <v>3.2326419999999998</v>
      </c>
      <c r="W864" s="14">
        <v>28.269220000000001</v>
      </c>
      <c r="Y864" s="29">
        <v>8.3490839999999995</v>
      </c>
      <c r="AA864" s="41">
        <v>568.13947599999995</v>
      </c>
      <c r="AC864" s="27">
        <v>49.494861999999998</v>
      </c>
      <c r="AE864" s="27">
        <v>1</v>
      </c>
      <c r="AG864" s="29">
        <v>7.3705999999999996</v>
      </c>
      <c r="AI864" s="29">
        <v>8.75</v>
      </c>
      <c r="AK864" s="27">
        <v>23.639498</v>
      </c>
      <c r="AM864" s="27">
        <v>31.159265999999999</v>
      </c>
      <c r="AO864" s="29">
        <v>6.6877940000000002</v>
      </c>
      <c r="AP864" s="11"/>
    </row>
    <row r="865" spans="2:42" hidden="1" outlineLevel="1" x14ac:dyDescent="0.25">
      <c r="B865" s="21">
        <v>43200</v>
      </c>
      <c r="C865" s="27">
        <v>18.288024</v>
      </c>
      <c r="E865" s="30">
        <v>0.81054999999999999</v>
      </c>
      <c r="G865" s="27">
        <v>20.179469999999998</v>
      </c>
      <c r="I865" s="29">
        <v>6.9160919999999999</v>
      </c>
      <c r="K865" s="29">
        <v>3.4175840000000002</v>
      </c>
      <c r="M865" s="41">
        <v>602.61328600000002</v>
      </c>
      <c r="O865" s="26">
        <v>2774.209593</v>
      </c>
      <c r="Q865" s="26">
        <v>5539.2668119999998</v>
      </c>
      <c r="S865" s="26">
        <v>1620.8216560000001</v>
      </c>
      <c r="U865" s="29">
        <v>3.2363819999999999</v>
      </c>
      <c r="W865" s="14">
        <v>28.282205999999999</v>
      </c>
      <c r="Y865" s="29">
        <v>8.2755189999999992</v>
      </c>
      <c r="AA865" s="41">
        <v>567.75993400000004</v>
      </c>
      <c r="AC865" s="27">
        <v>49.492289999999997</v>
      </c>
      <c r="AE865" s="27">
        <v>1</v>
      </c>
      <c r="AG865" s="29">
        <v>7.3711520000000004</v>
      </c>
      <c r="AI865" s="29">
        <v>8.75</v>
      </c>
      <c r="AK865" s="27">
        <v>23.626059999999999</v>
      </c>
      <c r="AM865" s="27">
        <v>31.164966</v>
      </c>
      <c r="AO865" s="29">
        <v>6.6927789999999998</v>
      </c>
      <c r="AP865" s="11"/>
    </row>
    <row r="866" spans="2:42" hidden="1" outlineLevel="1" x14ac:dyDescent="0.25">
      <c r="B866" s="21">
        <v>43201</v>
      </c>
      <c r="C866" s="27">
        <v>18.245190000000001</v>
      </c>
      <c r="E866" s="30">
        <v>0.80837899999999996</v>
      </c>
      <c r="G866" s="27">
        <v>20.153285</v>
      </c>
      <c r="I866" s="29">
        <v>6.9184929999999998</v>
      </c>
      <c r="K866" s="29">
        <v>3.3992339999999999</v>
      </c>
      <c r="M866" s="41">
        <v>599.57750799999997</v>
      </c>
      <c r="O866" s="26">
        <v>2750.8550190000001</v>
      </c>
      <c r="Q866" s="26">
        <v>5533.9103340000001</v>
      </c>
      <c r="S866" s="26">
        <v>1627.9949610000001</v>
      </c>
      <c r="U866" s="29">
        <v>3.2357529999999999</v>
      </c>
      <c r="W866" s="14">
        <v>28.274906000000001</v>
      </c>
      <c r="Y866" s="29">
        <v>8.3180440000000004</v>
      </c>
      <c r="AA866" s="41">
        <v>567.32657400000005</v>
      </c>
      <c r="AC866" s="27">
        <v>49.494833</v>
      </c>
      <c r="AE866" s="27">
        <v>1</v>
      </c>
      <c r="AG866" s="29">
        <v>7.3680240000000001</v>
      </c>
      <c r="AI866" s="29">
        <v>8.75</v>
      </c>
      <c r="AK866" s="27">
        <v>23.628599999999999</v>
      </c>
      <c r="AM866" s="27">
        <v>31.167183000000001</v>
      </c>
      <c r="AO866" s="29">
        <v>6.7179339999999996</v>
      </c>
      <c r="AP866" s="11"/>
    </row>
    <row r="867" spans="2:42" hidden="1" outlineLevel="1" x14ac:dyDescent="0.25">
      <c r="B867" s="21">
        <v>43202</v>
      </c>
      <c r="C867" s="27">
        <v>18.193769</v>
      </c>
      <c r="E867" s="30">
        <v>0.81027199999999999</v>
      </c>
      <c r="G867" s="27">
        <v>20.173173999999999</v>
      </c>
      <c r="I867" s="29">
        <v>6.9261059999999999</v>
      </c>
      <c r="K867" s="29">
        <v>3.3861539999999999</v>
      </c>
      <c r="M867" s="41">
        <v>597.252162</v>
      </c>
      <c r="O867" s="26">
        <v>2722.9856599999998</v>
      </c>
      <c r="Q867" s="26">
        <v>5549.5836859999999</v>
      </c>
      <c r="S867" s="26">
        <v>1638.9124119999999</v>
      </c>
      <c r="U867" s="29">
        <v>3.2312620000000001</v>
      </c>
      <c r="W867" s="14">
        <v>28.273876000000001</v>
      </c>
      <c r="Y867" s="29">
        <v>8.3498660000000005</v>
      </c>
      <c r="AA867" s="41">
        <v>567.59574799999996</v>
      </c>
      <c r="AC867" s="27">
        <v>49.527096</v>
      </c>
      <c r="AE867" s="27">
        <v>1</v>
      </c>
      <c r="AG867" s="29">
        <v>7.3742279999999996</v>
      </c>
      <c r="AI867" s="29">
        <v>8.75</v>
      </c>
      <c r="AK867" s="27">
        <v>23.645433000000001</v>
      </c>
      <c r="AM867" s="27">
        <v>31.206948000000001</v>
      </c>
      <c r="AO867" s="29">
        <v>6.7029120000000004</v>
      </c>
      <c r="AP867" s="11"/>
    </row>
    <row r="868" spans="2:42" hidden="1" outlineLevel="1" x14ac:dyDescent="0.25">
      <c r="B868" s="21">
        <v>43203</v>
      </c>
      <c r="C868" s="27">
        <v>18.113327999999999</v>
      </c>
      <c r="E868" s="30">
        <v>0.81106500000000004</v>
      </c>
      <c r="G868" s="27">
        <v>20.204719999999998</v>
      </c>
      <c r="I868" s="29">
        <v>6.9219929999999996</v>
      </c>
      <c r="K868" s="29">
        <v>3.4150680000000002</v>
      </c>
      <c r="M868" s="41">
        <v>596.123378</v>
      </c>
      <c r="O868" s="26">
        <v>2709.9237760000001</v>
      </c>
      <c r="Q868" s="26">
        <v>5552.0968039999998</v>
      </c>
      <c r="S868" s="26">
        <v>1625.7728500000001</v>
      </c>
      <c r="U868" s="29">
        <v>3.226559</v>
      </c>
      <c r="W868" s="14">
        <v>28.287088000000001</v>
      </c>
      <c r="Y868" s="29">
        <v>8.2830460000000006</v>
      </c>
      <c r="AA868" s="41">
        <v>567.27087400000005</v>
      </c>
      <c r="AC868" s="27">
        <v>49.532851999999998</v>
      </c>
      <c r="AE868" s="27">
        <v>1</v>
      </c>
      <c r="AG868" s="29">
        <v>7.3790120000000003</v>
      </c>
      <c r="AI868" s="29">
        <v>8.75</v>
      </c>
      <c r="AK868" s="27">
        <v>23.648692</v>
      </c>
      <c r="AM868" s="27">
        <v>31.223756000000002</v>
      </c>
      <c r="AO868" s="29">
        <v>6.7001379999999999</v>
      </c>
      <c r="AP868" s="11"/>
    </row>
    <row r="869" spans="2:42" hidden="1" outlineLevel="1" x14ac:dyDescent="0.25">
      <c r="B869" s="21">
        <v>43204</v>
      </c>
      <c r="C869" s="27">
        <v>18.04496</v>
      </c>
      <c r="E869" s="30">
        <v>0.81098999999999999</v>
      </c>
      <c r="G869" s="27">
        <v>20.2089</v>
      </c>
      <c r="I869" s="29">
        <v>6.9225000000000003</v>
      </c>
      <c r="K869" s="29">
        <v>3.4243999999999999</v>
      </c>
      <c r="M869" s="41">
        <v>596.08000000000004</v>
      </c>
      <c r="O869" s="26">
        <v>2711.75</v>
      </c>
      <c r="Q869" s="26">
        <v>5549.8</v>
      </c>
      <c r="S869" s="26">
        <v>1620.67065</v>
      </c>
      <c r="U869" s="29">
        <v>3.2248250000000001</v>
      </c>
      <c r="W869" s="14">
        <v>28.3</v>
      </c>
      <c r="Y869" s="29">
        <v>8.2642299999999995</v>
      </c>
      <c r="AA869" s="41">
        <v>567.13250000000005</v>
      </c>
      <c r="AC869" s="27">
        <v>49.49</v>
      </c>
      <c r="AE869" s="27">
        <v>1</v>
      </c>
      <c r="AG869" s="29">
        <v>7.3789499999999997</v>
      </c>
      <c r="AI869" s="29">
        <v>8.75</v>
      </c>
      <c r="AK869" s="27">
        <v>23.631</v>
      </c>
      <c r="AM869" s="27">
        <v>31.269749999999998</v>
      </c>
      <c r="AO869" s="29">
        <v>6.7004999999999999</v>
      </c>
      <c r="AP869" s="11"/>
    </row>
    <row r="870" spans="2:42" hidden="1" outlineLevel="1" x14ac:dyDescent="0.25">
      <c r="B870" s="21">
        <v>43205</v>
      </c>
      <c r="C870" s="27">
        <v>18.046925999999999</v>
      </c>
      <c r="E870" s="30">
        <v>0.81099200000000005</v>
      </c>
      <c r="G870" s="27">
        <v>20.208870000000001</v>
      </c>
      <c r="I870" s="29">
        <v>6.9225000000000003</v>
      </c>
      <c r="K870" s="29">
        <v>3.42456</v>
      </c>
      <c r="M870" s="41">
        <v>596.07924000000003</v>
      </c>
      <c r="O870" s="26">
        <v>2711.7256659999998</v>
      </c>
      <c r="Q870" s="26">
        <v>5549.8</v>
      </c>
      <c r="S870" s="26">
        <v>1620.5951729999999</v>
      </c>
      <c r="U870" s="29">
        <v>3.2247189999999999</v>
      </c>
      <c r="W870" s="14">
        <v>28.3</v>
      </c>
      <c r="Y870" s="29">
        <v>8.2638459999999991</v>
      </c>
      <c r="AA870" s="41">
        <v>567.11417400000005</v>
      </c>
      <c r="AC870" s="27">
        <v>49.480192000000002</v>
      </c>
      <c r="AE870" s="27">
        <v>1</v>
      </c>
      <c r="AG870" s="29">
        <v>7.3789499999999997</v>
      </c>
      <c r="AI870" s="29">
        <v>8.75</v>
      </c>
      <c r="AK870" s="27">
        <v>23.633454</v>
      </c>
      <c r="AM870" s="27">
        <v>31.269749999999998</v>
      </c>
      <c r="AO870" s="29">
        <v>6.7063959999999998</v>
      </c>
      <c r="AP870" s="11"/>
    </row>
    <row r="871" spans="2:42" hidden="1" outlineLevel="1" x14ac:dyDescent="0.25">
      <c r="B871" s="21">
        <v>43206</v>
      </c>
      <c r="C871" s="27">
        <v>18.041723999999999</v>
      </c>
      <c r="E871" s="30">
        <v>0.80894299999999997</v>
      </c>
      <c r="G871" s="27">
        <v>20.206928000000001</v>
      </c>
      <c r="I871" s="29">
        <v>6.9193449999999999</v>
      </c>
      <c r="K871" s="29">
        <v>3.4240249999999999</v>
      </c>
      <c r="M871" s="41">
        <v>596.04140700000005</v>
      </c>
      <c r="O871" s="26">
        <v>2716.9513499999998</v>
      </c>
      <c r="Q871" s="26">
        <v>5546.0041499999998</v>
      </c>
      <c r="S871" s="26">
        <v>1619.7461040000001</v>
      </c>
      <c r="U871" s="29">
        <v>3.2228859999999999</v>
      </c>
      <c r="W871" s="14">
        <v>28.28359</v>
      </c>
      <c r="Y871" s="29">
        <v>8.26037</v>
      </c>
      <c r="AA871" s="41">
        <v>566.21591799999999</v>
      </c>
      <c r="AC871" s="27">
        <v>49.483110000000003</v>
      </c>
      <c r="AE871" s="27">
        <v>1</v>
      </c>
      <c r="AG871" s="29">
        <v>7.3745580000000004</v>
      </c>
      <c r="AI871" s="29">
        <v>8.75</v>
      </c>
      <c r="AK871" s="27">
        <v>23.648502000000001</v>
      </c>
      <c r="AM871" s="27">
        <v>31.210305999999999</v>
      </c>
      <c r="AO871" s="29">
        <v>6.7180499999999999</v>
      </c>
      <c r="AP871" s="11"/>
    </row>
    <row r="872" spans="2:42" hidden="1" outlineLevel="1" x14ac:dyDescent="0.25">
      <c r="B872" s="21">
        <v>43207</v>
      </c>
      <c r="C872" s="27">
        <v>18.005714000000001</v>
      </c>
      <c r="E872" s="30">
        <v>0.80821200000000004</v>
      </c>
      <c r="G872" s="27">
        <v>20.199117999999999</v>
      </c>
      <c r="I872" s="29">
        <v>6.9182880000000004</v>
      </c>
      <c r="K872" s="29">
        <v>3.4118179999999998</v>
      </c>
      <c r="M872" s="41">
        <v>595.94647299999997</v>
      </c>
      <c r="O872" s="26">
        <v>2724.0183980000002</v>
      </c>
      <c r="Q872" s="26">
        <v>5540.6377940000002</v>
      </c>
      <c r="S872" s="26">
        <v>1623.967488</v>
      </c>
      <c r="U872" s="29">
        <v>3.2213560000000001</v>
      </c>
      <c r="W872" s="14">
        <v>28.271674000000001</v>
      </c>
      <c r="Y872" s="29">
        <v>8.2864319999999996</v>
      </c>
      <c r="AA872" s="41">
        <v>565.99325599999997</v>
      </c>
      <c r="AC872" s="27">
        <v>49.521281999999999</v>
      </c>
      <c r="AE872" s="27">
        <v>1</v>
      </c>
      <c r="AG872" s="29">
        <v>7.3732879999999996</v>
      </c>
      <c r="AI872" s="29">
        <v>8.75</v>
      </c>
      <c r="AK872" s="27">
        <v>23.641414000000001</v>
      </c>
      <c r="AM872" s="27">
        <v>31.187525999999998</v>
      </c>
      <c r="AO872" s="29">
        <v>6.7036389999999999</v>
      </c>
      <c r="AP872" s="11"/>
    </row>
    <row r="873" spans="2:42" hidden="1" outlineLevel="1" x14ac:dyDescent="0.25">
      <c r="B873" s="21">
        <v>43208</v>
      </c>
      <c r="C873" s="27">
        <v>18.038101000000001</v>
      </c>
      <c r="E873" s="30">
        <v>0.80798499999999995</v>
      </c>
      <c r="G873" s="27">
        <v>20.155839</v>
      </c>
      <c r="I873" s="29">
        <v>6.9210760000000002</v>
      </c>
      <c r="K873" s="29">
        <v>3.394774</v>
      </c>
      <c r="M873" s="41">
        <v>595.20994099999996</v>
      </c>
      <c r="O873" s="26">
        <v>2717.4967139999999</v>
      </c>
      <c r="Q873" s="26">
        <v>5527.5236679999998</v>
      </c>
      <c r="S873" s="26">
        <v>1628.2530819999999</v>
      </c>
      <c r="U873" s="29">
        <v>3.218188</v>
      </c>
      <c r="W873" s="14">
        <v>28.277543999999999</v>
      </c>
      <c r="Y873" s="29">
        <v>8.3297539999999994</v>
      </c>
      <c r="AA873" s="41">
        <v>565.70660199999998</v>
      </c>
      <c r="AC873" s="27">
        <v>49.545549999999999</v>
      </c>
      <c r="AE873" s="27">
        <v>1</v>
      </c>
      <c r="AG873" s="29">
        <v>7.3752550000000001</v>
      </c>
      <c r="AI873" s="29">
        <v>8.75</v>
      </c>
      <c r="AK873" s="27">
        <v>23.649180000000001</v>
      </c>
      <c r="AM873" s="27">
        <v>31.182151999999999</v>
      </c>
      <c r="AO873" s="29">
        <v>6.7190289999999999</v>
      </c>
      <c r="AP873" s="11"/>
    </row>
    <row r="874" spans="2:42" hidden="1" outlineLevel="1" x14ac:dyDescent="0.25">
      <c r="B874" s="21">
        <v>43209</v>
      </c>
      <c r="C874" s="27">
        <v>18.230782000000001</v>
      </c>
      <c r="E874" s="30">
        <v>0.80876800000000004</v>
      </c>
      <c r="G874" s="27">
        <v>20.138316</v>
      </c>
      <c r="I874" s="29">
        <v>6.919467</v>
      </c>
      <c r="K874" s="29">
        <v>3.3867319999999999</v>
      </c>
      <c r="M874" s="41">
        <v>594.702225</v>
      </c>
      <c r="O874" s="26">
        <v>2720.994565</v>
      </c>
      <c r="Q874" s="26">
        <v>5533.36654</v>
      </c>
      <c r="S874" s="26">
        <v>1633.8448719999999</v>
      </c>
      <c r="U874" s="29">
        <v>3.2180879999999998</v>
      </c>
      <c r="W874" s="14">
        <v>28.270489999999999</v>
      </c>
      <c r="Y874" s="29">
        <v>8.3474439999999994</v>
      </c>
      <c r="AA874" s="41">
        <v>565.57953699999996</v>
      </c>
      <c r="AC874" s="27">
        <v>49.528123999999998</v>
      </c>
      <c r="AE874" s="27">
        <v>1</v>
      </c>
      <c r="AG874" s="29">
        <v>7.3762860000000003</v>
      </c>
      <c r="AI874" s="29">
        <v>8.75</v>
      </c>
      <c r="AK874" s="27">
        <v>23.642689000000001</v>
      </c>
      <c r="AM874" s="27">
        <v>31.188002000000001</v>
      </c>
      <c r="AO874" s="29">
        <v>6.7585699999999997</v>
      </c>
      <c r="AP874" s="11"/>
    </row>
    <row r="875" spans="2:42" hidden="1" outlineLevel="1" x14ac:dyDescent="0.25">
      <c r="B875" s="21">
        <v>43210</v>
      </c>
      <c r="C875" s="27">
        <v>18.511106999999999</v>
      </c>
      <c r="E875" s="30">
        <v>0.81246600000000002</v>
      </c>
      <c r="G875" s="27">
        <v>20.172124</v>
      </c>
      <c r="I875" s="29">
        <v>6.9232180000000003</v>
      </c>
      <c r="K875" s="29">
        <v>3.3975529999999998</v>
      </c>
      <c r="M875" s="41">
        <v>595.85322599999995</v>
      </c>
      <c r="O875" s="26">
        <v>2740.331874</v>
      </c>
      <c r="Q875" s="26">
        <v>5541.4171480000005</v>
      </c>
      <c r="S875" s="26">
        <v>1631.0097659999999</v>
      </c>
      <c r="U875" s="29">
        <v>3.2208420000000002</v>
      </c>
      <c r="W875" s="14">
        <v>28.2713</v>
      </c>
      <c r="Y875" s="29">
        <v>8.3210940000000004</v>
      </c>
      <c r="AA875" s="41">
        <v>566.02103399999999</v>
      </c>
      <c r="AC875" s="27">
        <v>49.561981000000003</v>
      </c>
      <c r="AE875" s="27">
        <v>1</v>
      </c>
      <c r="AG875" s="29">
        <v>7.3803039999999998</v>
      </c>
      <c r="AI875" s="29">
        <v>8.75</v>
      </c>
      <c r="AK875" s="27">
        <v>23.654969999999999</v>
      </c>
      <c r="AM875" s="27">
        <v>31.232078000000001</v>
      </c>
      <c r="AO875" s="29">
        <v>6.776465</v>
      </c>
      <c r="AP875" s="11"/>
    </row>
    <row r="876" spans="2:42" hidden="1" outlineLevel="1" x14ac:dyDescent="0.25">
      <c r="B876" s="21">
        <v>43211</v>
      </c>
      <c r="C876" s="27">
        <v>18.529965000000001</v>
      </c>
      <c r="E876" s="30">
        <v>0.81386199999999997</v>
      </c>
      <c r="G876" s="27">
        <v>20.189250000000001</v>
      </c>
      <c r="I876" s="29">
        <v>6.9225000000000003</v>
      </c>
      <c r="K876" s="29">
        <v>3.4143249999999998</v>
      </c>
      <c r="M876" s="41">
        <v>596.1825</v>
      </c>
      <c r="O876" s="26">
        <v>2758.3</v>
      </c>
      <c r="Q876" s="26">
        <v>5538.8</v>
      </c>
      <c r="S876" s="26">
        <v>1622.2284400000001</v>
      </c>
      <c r="U876" s="29">
        <v>3.2188500000000002</v>
      </c>
      <c r="W876" s="14">
        <v>28.25</v>
      </c>
      <c r="Y876" s="29">
        <v>8.273968</v>
      </c>
      <c r="AA876" s="41">
        <v>565.875</v>
      </c>
      <c r="AC876" s="27">
        <v>49.512500000000003</v>
      </c>
      <c r="AE876" s="27">
        <v>1</v>
      </c>
      <c r="AG876" s="29">
        <v>7.3765999999999998</v>
      </c>
      <c r="AI876" s="29">
        <v>8.75</v>
      </c>
      <c r="AK876" s="27">
        <v>23.631</v>
      </c>
      <c r="AM876" s="27">
        <v>31.25</v>
      </c>
      <c r="AO876" s="29">
        <v>6.7646750000000004</v>
      </c>
      <c r="AP876" s="11"/>
    </row>
    <row r="877" spans="2:42" hidden="1" outlineLevel="1" x14ac:dyDescent="0.25">
      <c r="B877" s="21">
        <v>43212</v>
      </c>
      <c r="C877" s="27">
        <v>18.530134</v>
      </c>
      <c r="E877" s="30">
        <v>0.81390899999999999</v>
      </c>
      <c r="G877" s="27">
        <v>20.189540000000001</v>
      </c>
      <c r="I877" s="29">
        <v>6.9221659999999998</v>
      </c>
      <c r="K877" s="29">
        <v>3.4139819999999999</v>
      </c>
      <c r="M877" s="41">
        <v>596.19937400000003</v>
      </c>
      <c r="O877" s="26">
        <v>2756.272121</v>
      </c>
      <c r="Q877" s="26">
        <v>5538.4682119999998</v>
      </c>
      <c r="S877" s="26">
        <v>1622.294928</v>
      </c>
      <c r="U877" s="29">
        <v>3.2187100000000002</v>
      </c>
      <c r="W877" s="14">
        <v>28.246417999999998</v>
      </c>
      <c r="Y877" s="29">
        <v>8.2737549999999995</v>
      </c>
      <c r="AA877" s="41">
        <v>565.84423400000003</v>
      </c>
      <c r="AC877" s="27">
        <v>49.513691999999999</v>
      </c>
      <c r="AE877" s="27">
        <v>1</v>
      </c>
      <c r="AG877" s="29">
        <v>7.3761989999999997</v>
      </c>
      <c r="AI877" s="29">
        <v>8.75</v>
      </c>
      <c r="AK877" s="27">
        <v>23.632998000000001</v>
      </c>
      <c r="AM877" s="27">
        <v>31.242225999999999</v>
      </c>
      <c r="AO877" s="29">
        <v>6.7656660000000004</v>
      </c>
      <c r="AP877" s="11"/>
    </row>
    <row r="878" spans="2:42" hidden="1" outlineLevel="1" x14ac:dyDescent="0.25">
      <c r="B878" s="21">
        <v>43213</v>
      </c>
      <c r="C878" s="27">
        <v>18.735835999999999</v>
      </c>
      <c r="E878" s="30">
        <v>0.817079</v>
      </c>
      <c r="G878" s="27">
        <v>20.218554000000001</v>
      </c>
      <c r="I878" s="29">
        <v>6.9275399999999996</v>
      </c>
      <c r="K878" s="29">
        <v>3.4280620000000002</v>
      </c>
      <c r="M878" s="41">
        <v>599.412328</v>
      </c>
      <c r="O878" s="26">
        <v>2774.2359620000002</v>
      </c>
      <c r="Q878" s="26">
        <v>5543.7353549999998</v>
      </c>
      <c r="S878" s="26">
        <v>1617.1710639999999</v>
      </c>
      <c r="U878" s="29">
        <v>3.2262840000000002</v>
      </c>
      <c r="W878" s="14">
        <v>28.237687999999999</v>
      </c>
      <c r="Y878" s="29">
        <v>8.2372420000000002</v>
      </c>
      <c r="AA878" s="41">
        <v>566.21759399999996</v>
      </c>
      <c r="AC878" s="27">
        <v>49.561346999999998</v>
      </c>
      <c r="AE878" s="27">
        <v>1</v>
      </c>
      <c r="AG878" s="29">
        <v>7.3770680000000004</v>
      </c>
      <c r="AI878" s="29">
        <v>8.75</v>
      </c>
      <c r="AK878" s="27">
        <v>23.66282</v>
      </c>
      <c r="AM878" s="27">
        <v>31.238541999999999</v>
      </c>
      <c r="AO878" s="29">
        <v>6.7789650000000004</v>
      </c>
      <c r="AP878" s="11"/>
    </row>
    <row r="879" spans="2:42" hidden="1" outlineLevel="1" x14ac:dyDescent="0.25">
      <c r="B879" s="21">
        <v>43214</v>
      </c>
      <c r="C879" s="27">
        <v>18.871230000000001</v>
      </c>
      <c r="E879" s="30">
        <v>0.81843600000000005</v>
      </c>
      <c r="G879" s="27">
        <v>20.245677000000001</v>
      </c>
      <c r="I879" s="29">
        <v>6.9296150000000001</v>
      </c>
      <c r="K879" s="29">
        <v>3.4595579999999999</v>
      </c>
      <c r="M879" s="41">
        <v>600.97060599999998</v>
      </c>
      <c r="O879" s="26">
        <v>2793.8424300000001</v>
      </c>
      <c r="Q879" s="26">
        <v>5547.454146</v>
      </c>
      <c r="S879" s="26">
        <v>1603.5235499999999</v>
      </c>
      <c r="U879" s="29">
        <v>3.2313429999999999</v>
      </c>
      <c r="W879" s="14">
        <v>28.195585000000001</v>
      </c>
      <c r="Y879" s="29">
        <v>8.150074</v>
      </c>
      <c r="AA879" s="41">
        <v>566.34994400000005</v>
      </c>
      <c r="AC879" s="27">
        <v>49.563816000000003</v>
      </c>
      <c r="AE879" s="27">
        <v>1</v>
      </c>
      <c r="AG879" s="29">
        <v>7.3754280000000003</v>
      </c>
      <c r="AI879" s="29">
        <v>8.75</v>
      </c>
      <c r="AK879" s="27">
        <v>23.656994000000001</v>
      </c>
      <c r="AM879" s="27">
        <v>31.230546</v>
      </c>
      <c r="AO879" s="29">
        <v>6.782978</v>
      </c>
      <c r="AP879" s="11"/>
    </row>
    <row r="880" spans="2:42" hidden="1" outlineLevel="1" x14ac:dyDescent="0.25">
      <c r="B880" s="21">
        <v>43215</v>
      </c>
      <c r="C880" s="27">
        <v>18.911079000000001</v>
      </c>
      <c r="E880" s="30">
        <v>0.82007799999999997</v>
      </c>
      <c r="G880" s="27">
        <v>20.257193999999998</v>
      </c>
      <c r="I880" s="29">
        <v>6.9178290000000002</v>
      </c>
      <c r="K880" s="29">
        <v>3.4843980000000001</v>
      </c>
      <c r="M880" s="41">
        <v>601.70721500000002</v>
      </c>
      <c r="O880" s="26">
        <v>2801.8796130000001</v>
      </c>
      <c r="Q880" s="26">
        <v>5553.4670379999998</v>
      </c>
      <c r="S880" s="26">
        <v>1593.8173400000001</v>
      </c>
      <c r="U880" s="29">
        <v>3.2340990000000001</v>
      </c>
      <c r="W880" s="14">
        <v>28.183595</v>
      </c>
      <c r="Y880" s="29">
        <v>8.0885300000000004</v>
      </c>
      <c r="AA880" s="41">
        <v>565.81072600000005</v>
      </c>
      <c r="AC880" s="27">
        <v>49.550800000000002</v>
      </c>
      <c r="AE880" s="27">
        <v>1</v>
      </c>
      <c r="AG880" s="29">
        <v>7.3722339999999997</v>
      </c>
      <c r="AI880" s="29">
        <v>8.75</v>
      </c>
      <c r="AK880" s="27">
        <v>23.635919000000001</v>
      </c>
      <c r="AM880" s="27">
        <v>31.212081999999999</v>
      </c>
      <c r="AO880" s="29">
        <v>6.7797650000000003</v>
      </c>
      <c r="AP880" s="11"/>
    </row>
    <row r="881" spans="2:42" hidden="1" outlineLevel="1" x14ac:dyDescent="0.25">
      <c r="B881" s="21">
        <v>43216</v>
      </c>
      <c r="C881" s="27">
        <v>18.842210000000001</v>
      </c>
      <c r="E881" s="30">
        <v>0.82310799999999995</v>
      </c>
      <c r="G881" s="27">
        <v>20.367856</v>
      </c>
      <c r="I881" s="29">
        <v>6.9236880000000003</v>
      </c>
      <c r="K881" s="29">
        <v>3.4863219999999999</v>
      </c>
      <c r="M881" s="41">
        <v>603.28186900000003</v>
      </c>
      <c r="O881" s="26">
        <v>2810.3736439999998</v>
      </c>
      <c r="Q881" s="26">
        <v>5565.641912</v>
      </c>
      <c r="S881" s="26">
        <v>1596.4304749999999</v>
      </c>
      <c r="U881" s="29">
        <v>3.2363110000000002</v>
      </c>
      <c r="W881" s="14">
        <v>28.306404000000001</v>
      </c>
      <c r="Y881" s="29">
        <v>8.1192930000000008</v>
      </c>
      <c r="AA881" s="41">
        <v>566.35975800000006</v>
      </c>
      <c r="AC881" s="27">
        <v>49.601694999999999</v>
      </c>
      <c r="AE881" s="27">
        <v>1</v>
      </c>
      <c r="AG881" s="29">
        <v>7.3811939999999998</v>
      </c>
      <c r="AI881" s="29">
        <v>8.75</v>
      </c>
      <c r="AK881" s="27">
        <v>23.662913</v>
      </c>
      <c r="AM881" s="27">
        <v>31.252459000000002</v>
      </c>
      <c r="AO881" s="29">
        <v>6.784446</v>
      </c>
      <c r="AP881" s="11"/>
    </row>
    <row r="882" spans="2:42" hidden="1" outlineLevel="1" x14ac:dyDescent="0.25">
      <c r="B882" s="21">
        <v>43217</v>
      </c>
      <c r="C882" s="27">
        <v>18.728144</v>
      </c>
      <c r="E882" s="30">
        <v>0.82623199999999997</v>
      </c>
      <c r="G882" s="27">
        <v>20.573425</v>
      </c>
      <c r="I882" s="29">
        <v>6.9302760000000001</v>
      </c>
      <c r="K882" s="29">
        <v>3.4704120000000001</v>
      </c>
      <c r="M882" s="41">
        <v>604.65827100000001</v>
      </c>
      <c r="O882" s="26">
        <v>2813.929443</v>
      </c>
      <c r="Q882" s="26">
        <v>5564.915446</v>
      </c>
      <c r="S882" s="26">
        <v>1603.5407339999999</v>
      </c>
      <c r="U882" s="29">
        <v>3.240049</v>
      </c>
      <c r="W882" s="14">
        <v>28.419955000000002</v>
      </c>
      <c r="Y882" s="29">
        <v>8.1892370000000003</v>
      </c>
      <c r="AA882" s="41">
        <v>566.99228100000005</v>
      </c>
      <c r="AC882" s="27">
        <v>49.646619999999999</v>
      </c>
      <c r="AE882" s="27">
        <v>1</v>
      </c>
      <c r="AG882" s="29">
        <v>7.3869920000000002</v>
      </c>
      <c r="AI882" s="29">
        <v>8.75</v>
      </c>
      <c r="AK882" s="27">
        <v>23.681152000000001</v>
      </c>
      <c r="AM882" s="27">
        <v>31.294076</v>
      </c>
      <c r="AO882" s="29">
        <v>6.779884</v>
      </c>
      <c r="AP882" s="11"/>
    </row>
    <row r="883" spans="2:42" hidden="1" outlineLevel="1" x14ac:dyDescent="0.25">
      <c r="B883" s="21">
        <v>43218</v>
      </c>
      <c r="C883" s="27">
        <v>18.617010000000001</v>
      </c>
      <c r="E883" s="30">
        <v>0.82436799999999999</v>
      </c>
      <c r="G883" s="27">
        <v>20.5229</v>
      </c>
      <c r="I883" s="29">
        <v>6.9225000000000003</v>
      </c>
      <c r="K883" s="29">
        <v>3.4585249999999998</v>
      </c>
      <c r="M883" s="41">
        <v>606.83500000000004</v>
      </c>
      <c r="O883" s="26">
        <v>2805.6</v>
      </c>
      <c r="Q883" s="26">
        <v>5557.0249999999996</v>
      </c>
      <c r="S883" s="26">
        <v>1606.7721120000001</v>
      </c>
      <c r="U883" s="29">
        <v>3.2342</v>
      </c>
      <c r="W883" s="14">
        <v>28.414999999999999</v>
      </c>
      <c r="Y883" s="29">
        <v>8.2159440000000004</v>
      </c>
      <c r="AA883" s="41">
        <v>566.26499999999999</v>
      </c>
      <c r="AC883" s="27">
        <v>49.555</v>
      </c>
      <c r="AE883" s="27">
        <v>1</v>
      </c>
      <c r="AG883" s="29">
        <v>7.3765749999999999</v>
      </c>
      <c r="AI883" s="29">
        <v>8.75</v>
      </c>
      <c r="AK883" s="27">
        <v>23.648</v>
      </c>
      <c r="AM883" s="27">
        <v>31.23</v>
      </c>
      <c r="AO883" s="29">
        <v>6.7618</v>
      </c>
      <c r="AP883" s="11"/>
    </row>
    <row r="884" spans="2:42" hidden="1" outlineLevel="1" x14ac:dyDescent="0.25">
      <c r="B884" s="21">
        <v>43219</v>
      </c>
      <c r="C884" s="27">
        <v>18.619910999999998</v>
      </c>
      <c r="E884" s="30">
        <v>0.82442400000000005</v>
      </c>
      <c r="G884" s="27">
        <v>20.524791</v>
      </c>
      <c r="I884" s="29">
        <v>6.9225000000000003</v>
      </c>
      <c r="K884" s="29">
        <v>3.4585110000000001</v>
      </c>
      <c r="M884" s="41">
        <v>606.755987</v>
      </c>
      <c r="O884" s="26">
        <v>2805.542637</v>
      </c>
      <c r="Q884" s="26">
        <v>5557.0249999999996</v>
      </c>
      <c r="S884" s="26">
        <v>1606.7781649999999</v>
      </c>
      <c r="U884" s="29">
        <v>3.2342089999999999</v>
      </c>
      <c r="W884" s="14">
        <v>28.414999999999999</v>
      </c>
      <c r="Y884" s="29">
        <v>8.2159759999999995</v>
      </c>
      <c r="AA884" s="41">
        <v>566.26271299999996</v>
      </c>
      <c r="AC884" s="27">
        <v>49.554141999999999</v>
      </c>
      <c r="AE884" s="27">
        <v>1</v>
      </c>
      <c r="AG884" s="29">
        <v>7.3765749999999999</v>
      </c>
      <c r="AI884" s="29">
        <v>8.75</v>
      </c>
      <c r="AK884" s="27">
        <v>23.648023999999999</v>
      </c>
      <c r="AM884" s="27">
        <v>31.23</v>
      </c>
      <c r="AO884" s="29">
        <v>6.7618260000000001</v>
      </c>
      <c r="AP884" s="12"/>
    </row>
    <row r="885" spans="2:42" hidden="1" outlineLevel="1" x14ac:dyDescent="0.25">
      <c r="B885" s="21">
        <v>43220</v>
      </c>
      <c r="C885" s="49">
        <v>18.684699999999999</v>
      </c>
      <c r="E885" s="30">
        <v>0.82643999999999995</v>
      </c>
      <c r="G885" s="27">
        <v>20.516185</v>
      </c>
      <c r="I885" s="29">
        <v>6.9191589999999996</v>
      </c>
      <c r="K885" s="29">
        <v>3.474513</v>
      </c>
      <c r="M885" s="41">
        <v>609.329252</v>
      </c>
      <c r="O885" s="26">
        <v>2808.0974500000002</v>
      </c>
      <c r="Q885" s="26">
        <v>5555.0033050000002</v>
      </c>
      <c r="S885" s="26">
        <v>1598.7942599999999</v>
      </c>
      <c r="U885" s="29">
        <v>3.2401800000000001</v>
      </c>
      <c r="W885" s="14">
        <v>28.421033999999999</v>
      </c>
      <c r="Y885" s="29">
        <v>8.1798819999999992</v>
      </c>
      <c r="AA885" s="41">
        <v>566.10611600000004</v>
      </c>
      <c r="AC885" s="27">
        <v>49.521633000000001</v>
      </c>
      <c r="AE885" s="27">
        <v>1</v>
      </c>
      <c r="AG885" s="29">
        <v>7.3732300000000004</v>
      </c>
      <c r="AI885" s="29">
        <v>8.75</v>
      </c>
      <c r="AK885" s="27">
        <v>23.639938000000001</v>
      </c>
      <c r="AM885" s="27">
        <v>31.260110999999998</v>
      </c>
      <c r="AO885" s="29">
        <v>6.754372</v>
      </c>
      <c r="AP885" s="12"/>
    </row>
    <row r="886" spans="2:42" ht="13" collapsed="1" x14ac:dyDescent="0.3">
      <c r="B886" s="25" t="s">
        <v>166</v>
      </c>
      <c r="C886" s="19">
        <v>18.366</v>
      </c>
      <c r="E886" s="24">
        <v>0.81470600000000004</v>
      </c>
      <c r="G886" s="19">
        <v>20.236799999999999</v>
      </c>
      <c r="I886" s="23">
        <v>6.9222299999999999</v>
      </c>
      <c r="J886" s="9"/>
      <c r="K886" s="23">
        <v>3.40402</v>
      </c>
      <c r="M886" s="42">
        <v>600.952</v>
      </c>
      <c r="O886" s="31">
        <v>2770.4</v>
      </c>
      <c r="Q886" s="31">
        <v>5549.23</v>
      </c>
      <c r="S886" s="31">
        <v>1630.56</v>
      </c>
      <c r="U886" s="23">
        <v>3.2287300000000001</v>
      </c>
      <c r="W886" s="23">
        <v>28.3066</v>
      </c>
      <c r="Y886" s="23">
        <v>8.3175000000000008</v>
      </c>
      <c r="AA886" s="42">
        <v>566.89099999999996</v>
      </c>
      <c r="AC886" s="19">
        <v>49.5351</v>
      </c>
      <c r="AE886" s="19">
        <v>1</v>
      </c>
      <c r="AG886" s="23">
        <v>7.3766699999999998</v>
      </c>
      <c r="AI886" s="23">
        <v>8.75</v>
      </c>
      <c r="AK886" s="23">
        <v>23.645420000000001</v>
      </c>
      <c r="AM886" s="23">
        <v>31.218599999999999</v>
      </c>
      <c r="AO886" s="23">
        <v>6.7332799999999997</v>
      </c>
      <c r="AP886" s="10"/>
    </row>
    <row r="887" spans="2:42" hidden="1" outlineLevel="1" x14ac:dyDescent="0.25">
      <c r="B887" s="21">
        <v>43221</v>
      </c>
      <c r="C887" s="27">
        <v>18.816516</v>
      </c>
      <c r="E887" s="30">
        <v>0.83124799999999999</v>
      </c>
      <c r="G887" s="27">
        <v>20.629024999999999</v>
      </c>
      <c r="I887" s="29">
        <v>6.9275840000000004</v>
      </c>
      <c r="K887" s="29">
        <v>3.5056780000000001</v>
      </c>
      <c r="M887" s="41">
        <v>613.289894</v>
      </c>
      <c r="O887" s="26">
        <v>2809.1482120000001</v>
      </c>
      <c r="Q887" s="26">
        <v>5560.8175019999999</v>
      </c>
      <c r="S887" s="26">
        <v>1586.2399439999999</v>
      </c>
      <c r="U887" s="29">
        <v>3.250324</v>
      </c>
      <c r="W887" s="14">
        <v>28.516698000000002</v>
      </c>
      <c r="Y887" s="29">
        <v>8.1344499999999993</v>
      </c>
      <c r="AA887" s="41">
        <v>566.72981200000004</v>
      </c>
      <c r="AC887" s="27">
        <v>49.602567999999998</v>
      </c>
      <c r="AE887" s="27">
        <v>1</v>
      </c>
      <c r="AG887" s="29">
        <v>7.3858199999999998</v>
      </c>
      <c r="AI887" s="29">
        <v>8.75</v>
      </c>
      <c r="AK887" s="27">
        <v>23.688856000000001</v>
      </c>
      <c r="AM887" s="27">
        <v>31.243312</v>
      </c>
      <c r="AO887" s="29">
        <v>6.7403139999999997</v>
      </c>
      <c r="AP887" s="11"/>
    </row>
    <row r="888" spans="2:42" hidden="1" outlineLevel="1" x14ac:dyDescent="0.25">
      <c r="B888" s="21">
        <v>43222</v>
      </c>
      <c r="C888" s="27">
        <v>19.001363999999999</v>
      </c>
      <c r="E888" s="30">
        <v>0.83428199999999997</v>
      </c>
      <c r="G888" s="27">
        <v>20.815004999999999</v>
      </c>
      <c r="I888" s="29">
        <v>6.9352650000000002</v>
      </c>
      <c r="K888" s="29">
        <v>3.5252599999999998</v>
      </c>
      <c r="M888" s="41">
        <v>615.77635299999997</v>
      </c>
      <c r="O888" s="26">
        <v>2820.1592089999999</v>
      </c>
      <c r="Q888" s="26">
        <v>5567.0306780000001</v>
      </c>
      <c r="S888" s="26">
        <v>1579.191223</v>
      </c>
      <c r="U888" s="29">
        <v>3.2622840000000002</v>
      </c>
      <c r="W888" s="14">
        <v>28.633984000000002</v>
      </c>
      <c r="Y888" s="29">
        <v>8.1225349999999992</v>
      </c>
      <c r="AA888" s="41">
        <v>567.41965600000003</v>
      </c>
      <c r="AC888" s="27">
        <v>49.692318</v>
      </c>
      <c r="AE888" s="27">
        <v>1</v>
      </c>
      <c r="AG888" s="29">
        <v>7.3930490000000004</v>
      </c>
      <c r="AI888" s="29">
        <v>8.75</v>
      </c>
      <c r="AK888" s="27">
        <v>23.716885999999999</v>
      </c>
      <c r="AM888" s="27">
        <v>31.346716000000001</v>
      </c>
      <c r="AO888" s="29">
        <v>6.731573</v>
      </c>
      <c r="AP888" s="11"/>
    </row>
    <row r="889" spans="2:42" hidden="1" outlineLevel="1" x14ac:dyDescent="0.25">
      <c r="B889" s="21">
        <v>43223</v>
      </c>
      <c r="C889" s="27">
        <v>19.047868000000001</v>
      </c>
      <c r="E889" s="30">
        <v>0.83457800000000004</v>
      </c>
      <c r="G889" s="27">
        <v>21.569666000000002</v>
      </c>
      <c r="I889" s="29">
        <v>6.928884</v>
      </c>
      <c r="K889" s="29">
        <v>3.5427200000000001</v>
      </c>
      <c r="M889" s="41">
        <v>617.92401199999995</v>
      </c>
      <c r="O889" s="26">
        <v>2840.2450389999999</v>
      </c>
      <c r="Q889" s="26">
        <v>5558.7394240000003</v>
      </c>
      <c r="S889" s="26">
        <v>1569.067904</v>
      </c>
      <c r="U889" s="29">
        <v>3.2723100000000001</v>
      </c>
      <c r="W889" s="14">
        <v>28.730004999999998</v>
      </c>
      <c r="Y889" s="29">
        <v>8.1096079999999997</v>
      </c>
      <c r="AA889" s="41">
        <v>567.18319199999996</v>
      </c>
      <c r="AC889" s="27">
        <v>49.641362000000001</v>
      </c>
      <c r="AE889" s="27">
        <v>1</v>
      </c>
      <c r="AG889" s="29">
        <v>7.3872660000000003</v>
      </c>
      <c r="AI889" s="29">
        <v>8.75</v>
      </c>
      <c r="AK889" s="27">
        <v>23.704712000000001</v>
      </c>
      <c r="AM889" s="27">
        <v>31.319606</v>
      </c>
      <c r="AO889" s="29">
        <v>6.7153080000000003</v>
      </c>
      <c r="AP889" s="11"/>
    </row>
    <row r="890" spans="2:42" hidden="1" outlineLevel="1" x14ac:dyDescent="0.25">
      <c r="B890" s="21">
        <v>43224</v>
      </c>
      <c r="C890" s="27">
        <v>19.159320000000001</v>
      </c>
      <c r="E890" s="30">
        <v>0.83572999999999997</v>
      </c>
      <c r="G890" s="27">
        <v>22.058768000000001</v>
      </c>
      <c r="I890" s="29">
        <v>6.9262680000000003</v>
      </c>
      <c r="K890" s="29">
        <v>3.5274939999999999</v>
      </c>
      <c r="M890" s="41">
        <v>619.88724400000001</v>
      </c>
      <c r="O890" s="26">
        <v>2844.0951519999999</v>
      </c>
      <c r="Q890" s="26">
        <v>5570.7689399999999</v>
      </c>
      <c r="S890" s="26">
        <v>1579.2510850000001</v>
      </c>
      <c r="U890" s="29">
        <v>3.271525</v>
      </c>
      <c r="W890" s="14">
        <v>28.943211999999999</v>
      </c>
      <c r="Y890" s="29">
        <v>8.2050590000000003</v>
      </c>
      <c r="AA890" s="41">
        <v>566.94761200000005</v>
      </c>
      <c r="AC890" s="27">
        <v>49.586829999999999</v>
      </c>
      <c r="AE890" s="27">
        <v>1</v>
      </c>
      <c r="AG890" s="29">
        <v>7.3799390000000002</v>
      </c>
      <c r="AI890" s="29">
        <v>8.75</v>
      </c>
      <c r="AK890" s="27">
        <v>23.674302000000001</v>
      </c>
      <c r="AM890" s="27">
        <v>31.291184999999999</v>
      </c>
      <c r="AO890" s="29">
        <v>6.7124259999999998</v>
      </c>
      <c r="AP890" s="11"/>
    </row>
    <row r="891" spans="2:42" hidden="1" outlineLevel="1" x14ac:dyDescent="0.25">
      <c r="B891" s="21">
        <v>43225</v>
      </c>
      <c r="C891" s="27">
        <v>19.266020000000001</v>
      </c>
      <c r="E891" s="30">
        <v>0.83597999999999995</v>
      </c>
      <c r="G891" s="27">
        <v>21.854749999999999</v>
      </c>
      <c r="I891" s="29">
        <v>6.9229750000000001</v>
      </c>
      <c r="K891" s="29">
        <v>3.5286</v>
      </c>
      <c r="M891" s="41">
        <v>622.27499999999998</v>
      </c>
      <c r="O891" s="26">
        <v>2828.9074999999998</v>
      </c>
      <c r="Q891" s="26">
        <v>5582.95</v>
      </c>
      <c r="S891" s="26">
        <v>1582.2066440000001</v>
      </c>
      <c r="U891" s="29">
        <v>3.270575</v>
      </c>
      <c r="W891" s="14">
        <v>29.08</v>
      </c>
      <c r="Y891" s="29">
        <v>8.2412379999999992</v>
      </c>
      <c r="AA891" s="41">
        <v>567.17999999999995</v>
      </c>
      <c r="AC891" s="27">
        <v>49.612499999999997</v>
      </c>
      <c r="AE891" s="27">
        <v>1</v>
      </c>
      <c r="AG891" s="29">
        <v>7.3818250000000001</v>
      </c>
      <c r="AI891" s="29">
        <v>8.75</v>
      </c>
      <c r="AK891" s="27">
        <v>23.664750000000002</v>
      </c>
      <c r="AM891" s="27">
        <v>31.394749999999998</v>
      </c>
      <c r="AO891" s="29">
        <v>6.7413249999999998</v>
      </c>
      <c r="AP891" s="11"/>
    </row>
    <row r="892" spans="2:42" hidden="1" outlineLevel="1" x14ac:dyDescent="0.25">
      <c r="B892" s="21">
        <v>43226</v>
      </c>
      <c r="C892" s="27">
        <v>19.266362000000001</v>
      </c>
      <c r="E892" s="30">
        <v>0.83599699999999999</v>
      </c>
      <c r="G892" s="27">
        <v>21.855046000000002</v>
      </c>
      <c r="I892" s="29">
        <v>6.9225919999999999</v>
      </c>
      <c r="K892" s="29">
        <v>3.5283120000000001</v>
      </c>
      <c r="M892" s="41">
        <v>622.03260399999999</v>
      </c>
      <c r="O892" s="26">
        <v>2830.3436000000002</v>
      </c>
      <c r="Q892" s="26">
        <v>5582.6349440000004</v>
      </c>
      <c r="S892" s="26">
        <v>1582.2464580000001</v>
      </c>
      <c r="U892" s="29">
        <v>3.2705160000000002</v>
      </c>
      <c r="W892" s="14">
        <v>29.078351999999999</v>
      </c>
      <c r="Y892" s="29">
        <v>8.2414450000000006</v>
      </c>
      <c r="AA892" s="41">
        <v>567.14155300000004</v>
      </c>
      <c r="AC892" s="27">
        <v>49.609400000000001</v>
      </c>
      <c r="AE892" s="27">
        <v>1</v>
      </c>
      <c r="AG892" s="29">
        <v>7.3814039999999999</v>
      </c>
      <c r="AI892" s="29">
        <v>8.75</v>
      </c>
      <c r="AK892" s="27">
        <v>23.666176</v>
      </c>
      <c r="AM892" s="27">
        <v>31.373259999999998</v>
      </c>
      <c r="AO892" s="29">
        <v>6.7359159999999996</v>
      </c>
      <c r="AP892" s="11"/>
    </row>
    <row r="893" spans="2:42" hidden="1" outlineLevel="1" x14ac:dyDescent="0.25">
      <c r="B893" s="21">
        <v>43227</v>
      </c>
      <c r="C893" s="27">
        <v>19.345829999999999</v>
      </c>
      <c r="E893" s="30">
        <v>0.83789800000000003</v>
      </c>
      <c r="G893" s="27">
        <v>21.869782000000001</v>
      </c>
      <c r="I893" s="29">
        <v>6.9234720000000003</v>
      </c>
      <c r="K893" s="29">
        <v>3.538656</v>
      </c>
      <c r="M893" s="41">
        <v>624.44181500000002</v>
      </c>
      <c r="O893" s="26">
        <v>2829.3688699999998</v>
      </c>
      <c r="Q893" s="26">
        <v>5588.9975039999999</v>
      </c>
      <c r="S893" s="26">
        <v>1579.420398</v>
      </c>
      <c r="U893" s="29">
        <v>3.2742040000000001</v>
      </c>
      <c r="W893" s="14">
        <v>29.13485</v>
      </c>
      <c r="Y893" s="29">
        <v>8.2333339999999993</v>
      </c>
      <c r="AA893" s="41">
        <v>567.38408600000002</v>
      </c>
      <c r="AC893" s="27">
        <v>49.592972000000003</v>
      </c>
      <c r="AE893" s="27">
        <v>1</v>
      </c>
      <c r="AG893" s="29">
        <v>7.3821620000000001</v>
      </c>
      <c r="AI893" s="29">
        <v>8.75</v>
      </c>
      <c r="AK893" s="27">
        <v>23.687449999999998</v>
      </c>
      <c r="AM893" s="27">
        <v>31.249455999999999</v>
      </c>
      <c r="AO893" s="29">
        <v>6.7061479999999998</v>
      </c>
      <c r="AP893" s="11"/>
    </row>
    <row r="894" spans="2:42" hidden="1" outlineLevel="1" x14ac:dyDescent="0.25">
      <c r="B894" s="21">
        <v>43228</v>
      </c>
      <c r="C894" s="27">
        <v>19.537244000000001</v>
      </c>
      <c r="E894" s="30">
        <v>0.84129299999999996</v>
      </c>
      <c r="G894" s="27">
        <v>22.212855999999999</v>
      </c>
      <c r="I894" s="29">
        <v>6.9188499999999999</v>
      </c>
      <c r="K894" s="29">
        <v>3.560403</v>
      </c>
      <c r="M894" s="41">
        <v>632.29694199999994</v>
      </c>
      <c r="O894" s="26">
        <v>2843.7978739999999</v>
      </c>
      <c r="Q894" s="26">
        <v>5587.987607</v>
      </c>
      <c r="S894" s="26">
        <v>1569.4899190000001</v>
      </c>
      <c r="U894" s="29">
        <v>3.2800910000000001</v>
      </c>
      <c r="W894" s="14">
        <v>29.143457999999999</v>
      </c>
      <c r="Y894" s="29">
        <v>8.1854560000000003</v>
      </c>
      <c r="AA894" s="41">
        <v>567.48262399999999</v>
      </c>
      <c r="AC894" s="27">
        <v>49.568840999999999</v>
      </c>
      <c r="AE894" s="27">
        <v>1</v>
      </c>
      <c r="AG894" s="29">
        <v>7.3772200000000003</v>
      </c>
      <c r="AI894" s="29">
        <v>8.75</v>
      </c>
      <c r="AK894" s="27">
        <v>23.675947000000001</v>
      </c>
      <c r="AM894" s="27">
        <v>31.250648000000002</v>
      </c>
      <c r="AO894" s="29">
        <v>6.6944980000000003</v>
      </c>
      <c r="AP894" s="11"/>
    </row>
    <row r="895" spans="2:42" hidden="1" outlineLevel="1" x14ac:dyDescent="0.25">
      <c r="B895" s="21">
        <v>43229</v>
      </c>
      <c r="C895" s="27">
        <v>19.58999</v>
      </c>
      <c r="E895" s="30">
        <v>0.84338000000000002</v>
      </c>
      <c r="G895" s="27">
        <v>22.485437000000001</v>
      </c>
      <c r="I895" s="29">
        <v>6.9228339999999999</v>
      </c>
      <c r="K895" s="29">
        <v>3.5791469999999999</v>
      </c>
      <c r="M895" s="41">
        <v>633.92618800000002</v>
      </c>
      <c r="O895" s="26">
        <v>2859.478873</v>
      </c>
      <c r="Q895" s="26">
        <v>5584.28532</v>
      </c>
      <c r="S895" s="26">
        <v>1560.2359530000001</v>
      </c>
      <c r="U895" s="29">
        <v>3.2892190000000001</v>
      </c>
      <c r="W895" s="14">
        <v>29.075382000000001</v>
      </c>
      <c r="Y895" s="29">
        <v>8.1235680000000006</v>
      </c>
      <c r="AA895" s="41">
        <v>567.63220799999999</v>
      </c>
      <c r="AC895" s="27">
        <v>49.607204000000003</v>
      </c>
      <c r="AE895" s="27">
        <v>1</v>
      </c>
      <c r="AG895" s="29">
        <v>7.3793049999999996</v>
      </c>
      <c r="AI895" s="29">
        <v>8.75</v>
      </c>
      <c r="AK895" s="27">
        <v>23.696705999999999</v>
      </c>
      <c r="AM895" s="27">
        <v>31.287481</v>
      </c>
      <c r="AO895" s="29">
        <v>6.706772</v>
      </c>
      <c r="AP895" s="11"/>
    </row>
    <row r="896" spans="2:42" hidden="1" outlineLevel="1" x14ac:dyDescent="0.25">
      <c r="B896" s="21">
        <v>43230</v>
      </c>
      <c r="C896" s="27">
        <v>19.397938</v>
      </c>
      <c r="E896" s="30">
        <v>0.84102399999999999</v>
      </c>
      <c r="G896" s="27">
        <v>22.679666000000001</v>
      </c>
      <c r="I896" s="29">
        <v>6.9274300000000002</v>
      </c>
      <c r="K896" s="29">
        <v>3.5722040000000002</v>
      </c>
      <c r="M896" s="41">
        <v>629.39800300000002</v>
      </c>
      <c r="O896" s="26">
        <v>2849.4729189999998</v>
      </c>
      <c r="Q896" s="26">
        <v>5609.7469719999999</v>
      </c>
      <c r="S896" s="26">
        <v>1570.3966230000001</v>
      </c>
      <c r="U896" s="29">
        <v>3.2849020000000002</v>
      </c>
      <c r="W896" s="14">
        <v>29.064285000000002</v>
      </c>
      <c r="Y896" s="29">
        <v>8.1362520000000007</v>
      </c>
      <c r="AA896" s="41">
        <v>567.94876599999998</v>
      </c>
      <c r="AC896" s="27">
        <v>49.61063</v>
      </c>
      <c r="AE896" s="27">
        <v>1</v>
      </c>
      <c r="AG896" s="29">
        <v>7.3856080000000004</v>
      </c>
      <c r="AI896" s="29">
        <v>8.75</v>
      </c>
      <c r="AK896" s="27">
        <v>23.719566</v>
      </c>
      <c r="AM896" s="27">
        <v>31.340342</v>
      </c>
      <c r="AO896" s="29">
        <v>6.7128579999999998</v>
      </c>
      <c r="AP896" s="11"/>
    </row>
    <row r="897" spans="2:42" hidden="1" outlineLevel="1" x14ac:dyDescent="0.25">
      <c r="B897" s="21">
        <v>43231</v>
      </c>
      <c r="C897" s="27">
        <v>19.300744999999999</v>
      </c>
      <c r="E897" s="30">
        <v>0.83807200000000004</v>
      </c>
      <c r="G897" s="27">
        <v>22.923862</v>
      </c>
      <c r="I897" s="29">
        <v>6.9158340000000003</v>
      </c>
      <c r="K897" s="29">
        <v>3.569512</v>
      </c>
      <c r="M897" s="41">
        <v>621.08867599999996</v>
      </c>
      <c r="O897" s="26">
        <v>2833.2873420000001</v>
      </c>
      <c r="Q897" s="26">
        <v>5610.2332070000002</v>
      </c>
      <c r="S897" s="26">
        <v>1571.7160779999999</v>
      </c>
      <c r="U897" s="29">
        <v>3.267595</v>
      </c>
      <c r="W897" s="14">
        <v>29.371925999999998</v>
      </c>
      <c r="Y897" s="29">
        <v>8.2285660000000007</v>
      </c>
      <c r="AA897" s="41">
        <v>567.24538099999995</v>
      </c>
      <c r="AC897" s="27">
        <v>49.527329999999999</v>
      </c>
      <c r="AE897" s="27">
        <v>1</v>
      </c>
      <c r="AG897" s="29">
        <v>7.3785540000000003</v>
      </c>
      <c r="AI897" s="29">
        <v>8.75</v>
      </c>
      <c r="AK897" s="27">
        <v>23.711231999999999</v>
      </c>
      <c r="AM897" s="27">
        <v>31.284272999999999</v>
      </c>
      <c r="AO897" s="29">
        <v>6.7098459999999998</v>
      </c>
      <c r="AP897" s="11"/>
    </row>
    <row r="898" spans="2:42" hidden="1" outlineLevel="1" x14ac:dyDescent="0.25">
      <c r="B898" s="21">
        <v>43232</v>
      </c>
      <c r="C898" s="27">
        <v>19.425625</v>
      </c>
      <c r="E898" s="30">
        <v>0.83743599999999996</v>
      </c>
      <c r="G898" s="27">
        <v>23.01135</v>
      </c>
      <c r="I898" s="29">
        <v>6.9188749999999999</v>
      </c>
      <c r="K898" s="29">
        <v>3.6022249999999998</v>
      </c>
      <c r="M898" s="41">
        <v>619</v>
      </c>
      <c r="O898" s="26">
        <v>2836.8074999999999</v>
      </c>
      <c r="Q898" s="26">
        <v>5609.05</v>
      </c>
      <c r="S898" s="26">
        <v>1557.111136</v>
      </c>
      <c r="U898" s="29">
        <v>3.2595749999999999</v>
      </c>
      <c r="W898" s="14">
        <v>29.47</v>
      </c>
      <c r="Y898" s="29">
        <v>8.1810600000000004</v>
      </c>
      <c r="AA898" s="41">
        <v>567.67250000000001</v>
      </c>
      <c r="AC898" s="27">
        <v>49.542499999999997</v>
      </c>
      <c r="AE898" s="27">
        <v>1</v>
      </c>
      <c r="AG898" s="29">
        <v>7.3839750000000004</v>
      </c>
      <c r="AI898" s="29">
        <v>8.75</v>
      </c>
      <c r="AK898" s="27">
        <v>23.742000000000001</v>
      </c>
      <c r="AM898" s="27">
        <v>31.27975</v>
      </c>
      <c r="AO898" s="29">
        <v>6.7085249999999998</v>
      </c>
      <c r="AP898" s="11"/>
    </row>
    <row r="899" spans="2:42" hidden="1" outlineLevel="1" x14ac:dyDescent="0.25">
      <c r="B899" s="21">
        <v>43233</v>
      </c>
      <c r="C899" s="27">
        <v>19.421009999999999</v>
      </c>
      <c r="E899" s="30">
        <v>0.83738999999999997</v>
      </c>
      <c r="G899" s="27">
        <v>23.010774000000001</v>
      </c>
      <c r="I899" s="29">
        <v>6.9180229999999998</v>
      </c>
      <c r="K899" s="29">
        <v>3.6022500000000002</v>
      </c>
      <c r="M899" s="41">
        <v>619.01047200000005</v>
      </c>
      <c r="O899" s="26">
        <v>2835.6091820000001</v>
      </c>
      <c r="Q899" s="26">
        <v>5608.3633380000001</v>
      </c>
      <c r="S899" s="26">
        <v>1556.9104339999999</v>
      </c>
      <c r="U899" s="29">
        <v>3.2596240000000001</v>
      </c>
      <c r="W899" s="14">
        <v>29.532693999999999</v>
      </c>
      <c r="Y899" s="29">
        <v>8.1984100000000009</v>
      </c>
      <c r="AA899" s="41">
        <v>567.60293000000001</v>
      </c>
      <c r="AC899" s="27">
        <v>49.542895999999999</v>
      </c>
      <c r="AE899" s="27">
        <v>1</v>
      </c>
      <c r="AG899" s="29">
        <v>7.3830619999999998</v>
      </c>
      <c r="AI899" s="29">
        <v>8.75</v>
      </c>
      <c r="AK899" s="27">
        <v>23.738838000000001</v>
      </c>
      <c r="AM899" s="27">
        <v>31.280239999999999</v>
      </c>
      <c r="AO899" s="29">
        <v>6.7077030000000004</v>
      </c>
      <c r="AP899" s="11"/>
    </row>
    <row r="900" spans="2:42" hidden="1" outlineLevel="1" x14ac:dyDescent="0.25">
      <c r="B900" s="21">
        <v>43234</v>
      </c>
      <c r="C900" s="27">
        <v>19.448008000000002</v>
      </c>
      <c r="E900" s="30">
        <v>0.83596599999999999</v>
      </c>
      <c r="G900" s="27">
        <v>23.846530000000001</v>
      </c>
      <c r="I900" s="29">
        <v>6.9164019999999997</v>
      </c>
      <c r="K900" s="29">
        <v>3.6078749999999999</v>
      </c>
      <c r="M900" s="41">
        <v>621.12077699999998</v>
      </c>
      <c r="O900" s="26">
        <v>2833.3707100000001</v>
      </c>
      <c r="Q900" s="26">
        <v>5602.4582680000003</v>
      </c>
      <c r="S900" s="26">
        <v>1552.8501759999999</v>
      </c>
      <c r="U900" s="29">
        <v>3.2589779999999999</v>
      </c>
      <c r="W900" s="14">
        <v>30.078817000000001</v>
      </c>
      <c r="Y900" s="29">
        <v>8.3370169999999995</v>
      </c>
      <c r="AA900" s="41">
        <v>566.74761799999999</v>
      </c>
      <c r="AC900" s="27">
        <v>49.541241999999997</v>
      </c>
      <c r="AE900" s="27">
        <v>1</v>
      </c>
      <c r="AG900" s="29">
        <v>7.3798500000000002</v>
      </c>
      <c r="AI900" s="29">
        <v>8.75</v>
      </c>
      <c r="AK900" s="27">
        <v>23.737894000000001</v>
      </c>
      <c r="AM900" s="27">
        <v>31.295756000000001</v>
      </c>
      <c r="AO900" s="29">
        <v>6.7176720000000003</v>
      </c>
      <c r="AP900" s="11"/>
    </row>
    <row r="901" spans="2:42" hidden="1" outlineLevel="1" x14ac:dyDescent="0.25">
      <c r="B901" s="21">
        <v>43235</v>
      </c>
      <c r="C901" s="27">
        <v>19.683302000000001</v>
      </c>
      <c r="E901" s="30">
        <v>0.84133599999999997</v>
      </c>
      <c r="G901" s="27">
        <v>24.716199</v>
      </c>
      <c r="I901" s="29">
        <v>6.9268900000000002</v>
      </c>
      <c r="K901" s="29">
        <v>3.6424780000000001</v>
      </c>
      <c r="M901" s="41">
        <v>628.98886200000004</v>
      </c>
      <c r="O901" s="26">
        <v>2858.688838</v>
      </c>
      <c r="Q901" s="26">
        <v>5597.3371260000004</v>
      </c>
      <c r="S901" s="26">
        <v>1536.693833</v>
      </c>
      <c r="U901" s="29">
        <v>3.2673939999999999</v>
      </c>
      <c r="W901" s="14">
        <v>30.266482</v>
      </c>
      <c r="Y901" s="29">
        <v>8.3093339999999998</v>
      </c>
      <c r="AA901" s="41">
        <v>567.58600000000001</v>
      </c>
      <c r="AC901" s="27">
        <v>49.614842000000003</v>
      </c>
      <c r="AE901" s="27">
        <v>1</v>
      </c>
      <c r="AG901" s="29">
        <v>7.3905000000000003</v>
      </c>
      <c r="AI901" s="29">
        <v>8.75</v>
      </c>
      <c r="AK901" s="27">
        <v>23.778576000000001</v>
      </c>
      <c r="AM901" s="27">
        <v>31.390832</v>
      </c>
      <c r="AO901" s="29">
        <v>6.7271780000000003</v>
      </c>
      <c r="AP901" s="11"/>
    </row>
    <row r="902" spans="2:42" hidden="1" outlineLevel="1" x14ac:dyDescent="0.25">
      <c r="B902" s="21">
        <v>43236</v>
      </c>
      <c r="C902" s="27">
        <v>19.675656</v>
      </c>
      <c r="E902" s="30">
        <v>0.84653999999999996</v>
      </c>
      <c r="G902" s="27">
        <v>24.096185999999999</v>
      </c>
      <c r="I902" s="29">
        <v>6.9349100000000004</v>
      </c>
      <c r="K902" s="29">
        <v>3.6663920000000001</v>
      </c>
      <c r="M902" s="41">
        <v>631.45556599999998</v>
      </c>
      <c r="O902" s="26">
        <v>2869.1140019999998</v>
      </c>
      <c r="Q902" s="26">
        <v>5613.8553920000004</v>
      </c>
      <c r="S902" s="26">
        <v>1531.17508</v>
      </c>
      <c r="U902" s="29">
        <v>3.274502</v>
      </c>
      <c r="W902" s="14">
        <v>30.666425</v>
      </c>
      <c r="Y902" s="29">
        <v>8.3642230000000009</v>
      </c>
      <c r="AA902" s="41">
        <v>567.82529799999998</v>
      </c>
      <c r="AC902" s="27">
        <v>49.697783000000001</v>
      </c>
      <c r="AE902" s="27">
        <v>1</v>
      </c>
      <c r="AG902" s="29">
        <v>7.3972879999999996</v>
      </c>
      <c r="AI902" s="29">
        <v>8.75</v>
      </c>
      <c r="AK902" s="27">
        <v>23.822908000000002</v>
      </c>
      <c r="AM902" s="27">
        <v>31.460191999999999</v>
      </c>
      <c r="AO902" s="29">
        <v>6.7290640000000002</v>
      </c>
      <c r="AP902" s="11"/>
    </row>
    <row r="903" spans="2:42" hidden="1" outlineLevel="1" x14ac:dyDescent="0.25">
      <c r="B903" s="21">
        <v>43237</v>
      </c>
      <c r="C903" s="27">
        <v>19.639060000000001</v>
      </c>
      <c r="E903" s="30">
        <v>0.84710600000000003</v>
      </c>
      <c r="G903" s="27">
        <v>24.294518</v>
      </c>
      <c r="I903" s="29">
        <v>6.9181559999999998</v>
      </c>
      <c r="K903" s="29">
        <v>3.6856620000000002</v>
      </c>
      <c r="M903" s="41">
        <v>631.763193</v>
      </c>
      <c r="O903" s="26">
        <v>2876.5640100000001</v>
      </c>
      <c r="Q903" s="26">
        <v>5617.1063720000002</v>
      </c>
      <c r="S903" s="26">
        <v>1524.0511899999999</v>
      </c>
      <c r="U903" s="29">
        <v>3.2690399999999999</v>
      </c>
      <c r="W903" s="14">
        <v>30.922761999999999</v>
      </c>
      <c r="Y903" s="29">
        <v>8.3900400000000008</v>
      </c>
      <c r="AA903" s="41">
        <v>566.38762999999994</v>
      </c>
      <c r="AC903" s="27">
        <v>49.577979999999997</v>
      </c>
      <c r="AE903" s="27">
        <v>1</v>
      </c>
      <c r="AG903" s="29">
        <v>7.3802490000000001</v>
      </c>
      <c r="AI903" s="29">
        <v>8.75</v>
      </c>
      <c r="AK903" s="27">
        <v>23.781955</v>
      </c>
      <c r="AM903" s="27">
        <v>31.363634000000001</v>
      </c>
      <c r="AO903" s="29">
        <v>6.7052240000000003</v>
      </c>
      <c r="AP903" s="11"/>
    </row>
    <row r="904" spans="2:42" hidden="1" outlineLevel="1" x14ac:dyDescent="0.25">
      <c r="B904" s="21">
        <v>43238</v>
      </c>
      <c r="C904" s="27">
        <v>19.831610000000001</v>
      </c>
      <c r="E904" s="30">
        <v>0.84841999999999995</v>
      </c>
      <c r="G904" s="27">
        <v>24.382370000000002</v>
      </c>
      <c r="I904" s="29">
        <v>6.9220519999999999</v>
      </c>
      <c r="K904" s="29">
        <v>3.7183619999999999</v>
      </c>
      <c r="M904" s="41">
        <v>634.42105400000003</v>
      </c>
      <c r="O904" s="26">
        <v>2905.9838949999998</v>
      </c>
      <c r="Q904" s="26">
        <v>5631.0691960000004</v>
      </c>
      <c r="S904" s="26">
        <v>1514.4036679999999</v>
      </c>
      <c r="U904" s="29">
        <v>3.2788279999999999</v>
      </c>
      <c r="W904" s="14">
        <v>30.968330000000002</v>
      </c>
      <c r="Y904" s="29">
        <v>8.3285140000000002</v>
      </c>
      <c r="AA904" s="41">
        <v>566.13173200000006</v>
      </c>
      <c r="AC904" s="27">
        <v>49.611257999999999</v>
      </c>
      <c r="AE904" s="27">
        <v>1</v>
      </c>
      <c r="AG904" s="29">
        <v>7.3856250000000001</v>
      </c>
      <c r="AI904" s="29">
        <v>8.75</v>
      </c>
      <c r="AK904" s="27">
        <v>23.806168</v>
      </c>
      <c r="AM904" s="27">
        <v>31.387554999999999</v>
      </c>
      <c r="AO904" s="29">
        <v>6.7078980000000001</v>
      </c>
      <c r="AP904" s="11"/>
    </row>
    <row r="905" spans="2:42" hidden="1" outlineLevel="1" x14ac:dyDescent="0.25">
      <c r="B905" s="21">
        <v>43239</v>
      </c>
      <c r="C905" s="27">
        <v>19.950455000000002</v>
      </c>
      <c r="E905" s="30">
        <v>0.84956799999999999</v>
      </c>
      <c r="G905" s="27">
        <v>24.400500000000001</v>
      </c>
      <c r="I905" s="29">
        <v>6.9227749999999997</v>
      </c>
      <c r="K905" s="29">
        <v>3.737025</v>
      </c>
      <c r="M905" s="41">
        <v>636.625</v>
      </c>
      <c r="O905" s="26">
        <v>2921.7049999999999</v>
      </c>
      <c r="Q905" s="26">
        <v>5638.0249999999996</v>
      </c>
      <c r="S905" s="26">
        <v>1508.702616</v>
      </c>
      <c r="U905" s="29">
        <v>3.2885749999999998</v>
      </c>
      <c r="W905" s="14">
        <v>31.074999999999999</v>
      </c>
      <c r="Y905" s="29">
        <v>8.3154500000000002</v>
      </c>
      <c r="AA905" s="41">
        <v>565.9375</v>
      </c>
      <c r="AC905" s="27">
        <v>49.6175</v>
      </c>
      <c r="AE905" s="27">
        <v>1</v>
      </c>
      <c r="AG905" s="29">
        <v>7.3865749999999997</v>
      </c>
      <c r="AI905" s="29">
        <v>8.75</v>
      </c>
      <c r="AK905" s="27">
        <v>23.81175</v>
      </c>
      <c r="AM905" s="27">
        <v>31.393249999999998</v>
      </c>
      <c r="AO905" s="29">
        <v>6.7077249999999999</v>
      </c>
      <c r="AP905" s="11"/>
    </row>
    <row r="906" spans="2:42" hidden="1" outlineLevel="1" x14ac:dyDescent="0.25">
      <c r="B906" s="21">
        <v>43240</v>
      </c>
      <c r="C906" s="27">
        <v>19.944935999999998</v>
      </c>
      <c r="E906" s="30">
        <v>0.84958999999999996</v>
      </c>
      <c r="G906" s="27">
        <v>24.401323999999999</v>
      </c>
      <c r="I906" s="29">
        <v>6.9224269999999999</v>
      </c>
      <c r="K906" s="29">
        <v>3.7372670000000001</v>
      </c>
      <c r="M906" s="41">
        <v>636.62505099999998</v>
      </c>
      <c r="O906" s="26">
        <v>2920.4956520000001</v>
      </c>
      <c r="Q906" s="26">
        <v>5637.7417560000004</v>
      </c>
      <c r="S906" s="26">
        <v>1508.5287860000001</v>
      </c>
      <c r="U906" s="29">
        <v>3.2875869999999998</v>
      </c>
      <c r="W906" s="14">
        <v>31.060877999999999</v>
      </c>
      <c r="Y906" s="29">
        <v>8.3111359999999994</v>
      </c>
      <c r="AA906" s="41">
        <v>565.86741900000004</v>
      </c>
      <c r="AC906" s="27">
        <v>49.609521000000001</v>
      </c>
      <c r="AE906" s="27">
        <v>1</v>
      </c>
      <c r="AG906" s="29">
        <v>7.3861939999999997</v>
      </c>
      <c r="AI906" s="29">
        <v>8.75</v>
      </c>
      <c r="AK906" s="27">
        <v>23.810714999999998</v>
      </c>
      <c r="AM906" s="27">
        <v>31.389797000000002</v>
      </c>
      <c r="AO906" s="29">
        <v>6.7126330000000003</v>
      </c>
      <c r="AP906" s="11"/>
    </row>
    <row r="907" spans="2:42" hidden="1" outlineLevel="1" x14ac:dyDescent="0.25">
      <c r="B907" s="21">
        <v>43241</v>
      </c>
      <c r="C907" s="27">
        <v>19.910875000000001</v>
      </c>
      <c r="E907" s="30">
        <v>0.850271</v>
      </c>
      <c r="G907" s="27">
        <v>24.363983999999999</v>
      </c>
      <c r="I907" s="29">
        <v>6.9241000000000001</v>
      </c>
      <c r="K907" s="29">
        <v>3.717133</v>
      </c>
      <c r="M907" s="41">
        <v>636.67336799999998</v>
      </c>
      <c r="O907" s="26">
        <v>2904.0437310000002</v>
      </c>
      <c r="Q907" s="26">
        <v>5642.87399</v>
      </c>
      <c r="S907" s="26">
        <v>1518.0790689999999</v>
      </c>
      <c r="U907" s="29">
        <v>3.2849560000000002</v>
      </c>
      <c r="W907" s="14">
        <v>31.14105</v>
      </c>
      <c r="Y907" s="29">
        <v>8.3777299999999997</v>
      </c>
      <c r="AA907" s="41">
        <v>565.957134</v>
      </c>
      <c r="AC907" s="27">
        <v>49.585369999999998</v>
      </c>
      <c r="AE907" s="27">
        <v>1</v>
      </c>
      <c r="AG907" s="29">
        <v>7.3899340000000002</v>
      </c>
      <c r="AI907" s="29">
        <v>8.75</v>
      </c>
      <c r="AK907" s="27">
        <v>23.820633999999998</v>
      </c>
      <c r="AM907" s="27">
        <v>31.391535000000001</v>
      </c>
      <c r="AO907" s="29">
        <v>6.7317099999999996</v>
      </c>
      <c r="AP907" s="11"/>
    </row>
    <row r="908" spans="2:42" hidden="1" outlineLevel="1" x14ac:dyDescent="0.25">
      <c r="B908" s="21">
        <v>43242</v>
      </c>
      <c r="C908" s="27">
        <v>19.778607000000001</v>
      </c>
      <c r="E908" s="30">
        <v>0.84833800000000004</v>
      </c>
      <c r="G908" s="27">
        <v>24.343966000000002</v>
      </c>
      <c r="I908" s="29">
        <v>6.9150520000000002</v>
      </c>
      <c r="K908" s="29">
        <v>3.6624620000000001</v>
      </c>
      <c r="M908" s="41">
        <v>631.63062600000001</v>
      </c>
      <c r="O908" s="26">
        <v>2870.8436280000001</v>
      </c>
      <c r="Q908" s="26">
        <v>5635.848027</v>
      </c>
      <c r="S908" s="26">
        <v>1538.821537</v>
      </c>
      <c r="U908" s="29">
        <v>3.276843</v>
      </c>
      <c r="W908" s="14">
        <v>31.32056</v>
      </c>
      <c r="Y908" s="29">
        <v>8.5517939999999992</v>
      </c>
      <c r="AA908" s="41">
        <v>565.15339300000005</v>
      </c>
      <c r="AC908" s="27">
        <v>49.530768000000002</v>
      </c>
      <c r="AE908" s="27">
        <v>1</v>
      </c>
      <c r="AG908" s="29">
        <v>7.3824719999999999</v>
      </c>
      <c r="AI908" s="29">
        <v>8.75</v>
      </c>
      <c r="AK908" s="27">
        <v>23.808921999999999</v>
      </c>
      <c r="AM908" s="27">
        <v>31.396656</v>
      </c>
      <c r="AO908" s="29">
        <v>6.714486</v>
      </c>
      <c r="AP908" s="11"/>
    </row>
    <row r="909" spans="2:42" hidden="1" outlineLevel="1" x14ac:dyDescent="0.25">
      <c r="B909" s="21">
        <v>43243</v>
      </c>
      <c r="C909" s="27">
        <v>19.777276000000001</v>
      </c>
      <c r="E909" s="30">
        <v>0.85292199999999996</v>
      </c>
      <c r="G909" s="27">
        <v>24.358080999999999</v>
      </c>
      <c r="I909" s="29">
        <v>6.9234600000000004</v>
      </c>
      <c r="K909" s="29">
        <v>3.6422750000000002</v>
      </c>
      <c r="M909" s="41">
        <v>624.34915100000001</v>
      </c>
      <c r="O909" s="26">
        <v>2863.8744219999999</v>
      </c>
      <c r="Q909" s="26">
        <v>5652.3936679999997</v>
      </c>
      <c r="S909" s="26">
        <v>1551.8939399999999</v>
      </c>
      <c r="U909" s="29">
        <v>3.2736540000000001</v>
      </c>
      <c r="W909" s="14">
        <v>31.401574</v>
      </c>
      <c r="Y909" s="29">
        <v>8.6214359999999992</v>
      </c>
      <c r="AA909" s="41">
        <v>565.85540700000001</v>
      </c>
      <c r="AC909" s="27">
        <v>49.591146000000002</v>
      </c>
      <c r="AE909" s="27">
        <v>1</v>
      </c>
      <c r="AG909" s="29">
        <v>7.3973990000000001</v>
      </c>
      <c r="AI909" s="29">
        <v>8.75</v>
      </c>
      <c r="AK909" s="27">
        <v>23.848455999999999</v>
      </c>
      <c r="AM909" s="27">
        <v>31.432072000000002</v>
      </c>
      <c r="AO909" s="29">
        <v>6.7301719999999996</v>
      </c>
      <c r="AP909" s="11"/>
    </row>
    <row r="910" spans="2:42" hidden="1" outlineLevel="1" x14ac:dyDescent="0.25">
      <c r="B910" s="21">
        <v>43244</v>
      </c>
      <c r="C910" s="27">
        <v>19.662112</v>
      </c>
      <c r="E910" s="30">
        <v>0.85319699999999998</v>
      </c>
      <c r="G910" s="27">
        <v>24.518522000000001</v>
      </c>
      <c r="I910" s="29">
        <v>6.9135960000000001</v>
      </c>
      <c r="K910" s="29">
        <v>3.6363310000000002</v>
      </c>
      <c r="M910" s="41">
        <v>624.19747600000005</v>
      </c>
      <c r="O910" s="26">
        <v>2866.0148600000002</v>
      </c>
      <c r="Q910" s="26">
        <v>5669.4417990000002</v>
      </c>
      <c r="S910" s="26">
        <v>1559.118776</v>
      </c>
      <c r="U910" s="29">
        <v>3.2673610000000002</v>
      </c>
      <c r="W910" s="14">
        <v>31.311395000000001</v>
      </c>
      <c r="Y910" s="29">
        <v>8.6107320000000005</v>
      </c>
      <c r="AA910" s="41">
        <v>565.05795599999999</v>
      </c>
      <c r="AC910" s="27">
        <v>49.570017999999997</v>
      </c>
      <c r="AE910" s="27">
        <v>1</v>
      </c>
      <c r="AG910" s="29">
        <v>7.3978859999999997</v>
      </c>
      <c r="AI910" s="29">
        <v>8.75</v>
      </c>
      <c r="AK910" s="27">
        <v>23.845596</v>
      </c>
      <c r="AM910" s="27">
        <v>31.405747999999999</v>
      </c>
      <c r="AO910" s="29">
        <v>6.7480799999999999</v>
      </c>
      <c r="AP910" s="11"/>
    </row>
    <row r="911" spans="2:42" hidden="1" outlineLevel="1" x14ac:dyDescent="0.25">
      <c r="B911" s="21">
        <v>43245</v>
      </c>
      <c r="C911" s="27">
        <v>19.574062000000001</v>
      </c>
      <c r="E911" s="30">
        <v>0.85589199999999999</v>
      </c>
      <c r="G911" s="27">
        <v>24.589928</v>
      </c>
      <c r="I911" s="29">
        <v>6.9224480000000002</v>
      </c>
      <c r="K911" s="29">
        <v>3.654973</v>
      </c>
      <c r="M911" s="41">
        <v>625.86323800000002</v>
      </c>
      <c r="O911" s="26">
        <v>2870.1408799999999</v>
      </c>
      <c r="Q911" s="26">
        <v>5692.258734</v>
      </c>
      <c r="S911" s="26">
        <v>1557.4084519999999</v>
      </c>
      <c r="U911" s="29">
        <v>3.2668879999999998</v>
      </c>
      <c r="W911" s="14">
        <v>31.263771999999999</v>
      </c>
      <c r="Y911" s="29">
        <v>8.5537799999999997</v>
      </c>
      <c r="AA911" s="41">
        <v>566.15697</v>
      </c>
      <c r="AC911" s="27">
        <v>49.578994000000002</v>
      </c>
      <c r="AE911" s="27">
        <v>1</v>
      </c>
      <c r="AG911" s="29">
        <v>7.4025080000000001</v>
      </c>
      <c r="AI911" s="29">
        <v>8.75</v>
      </c>
      <c r="AK911" s="27">
        <v>23.861321</v>
      </c>
      <c r="AM911" s="27">
        <v>31.412638000000001</v>
      </c>
      <c r="AO911" s="29">
        <v>6.7428910000000002</v>
      </c>
      <c r="AP911" s="11"/>
    </row>
    <row r="912" spans="2:42" hidden="1" outlineLevel="1" x14ac:dyDescent="0.25">
      <c r="B912" s="21">
        <v>43246</v>
      </c>
      <c r="C912" s="27">
        <v>19.55087</v>
      </c>
      <c r="E912" s="30">
        <v>0.85851599999999995</v>
      </c>
      <c r="G912" s="27">
        <v>24.600999999999999</v>
      </c>
      <c r="I912" s="29">
        <v>6.9236750000000002</v>
      </c>
      <c r="K912" s="29">
        <v>3.6551749999999998</v>
      </c>
      <c r="M912" s="41">
        <v>624.78</v>
      </c>
      <c r="O912" s="26">
        <v>2880.56</v>
      </c>
      <c r="Q912" s="26">
        <v>5698.9750000000004</v>
      </c>
      <c r="S912" s="26">
        <v>1559.1580429999999</v>
      </c>
      <c r="U912" s="29">
        <v>3.2702499999999999</v>
      </c>
      <c r="W912" s="14">
        <v>31.274999999999999</v>
      </c>
      <c r="Y912" s="29">
        <v>8.5563680000000009</v>
      </c>
      <c r="AA912" s="41">
        <v>565.37</v>
      </c>
      <c r="AC912" s="27">
        <v>49.552500000000002</v>
      </c>
      <c r="AE912" s="27">
        <v>1</v>
      </c>
      <c r="AG912" s="29">
        <v>7.4075249999999997</v>
      </c>
      <c r="AI912" s="29">
        <v>8.75</v>
      </c>
      <c r="AK912" s="27">
        <v>23.875499999999999</v>
      </c>
      <c r="AM912" s="27">
        <v>31.434750000000001</v>
      </c>
      <c r="AO912" s="29">
        <v>6.7520749999999996</v>
      </c>
      <c r="AP912" s="11"/>
    </row>
    <row r="913" spans="2:42" hidden="1" outlineLevel="1" x14ac:dyDescent="0.25">
      <c r="B913" s="21">
        <v>43247</v>
      </c>
      <c r="C913" s="27">
        <v>19.550407</v>
      </c>
      <c r="E913" s="30">
        <v>0.85817399999999999</v>
      </c>
      <c r="G913" s="27">
        <v>24.592171</v>
      </c>
      <c r="I913" s="29">
        <v>6.9236750000000002</v>
      </c>
      <c r="K913" s="29">
        <v>3.6546820000000002</v>
      </c>
      <c r="M913" s="41">
        <v>624.71317499999998</v>
      </c>
      <c r="O913" s="26">
        <v>2880.3092459999998</v>
      </c>
      <c r="Q913" s="26">
        <v>5698.9750000000004</v>
      </c>
      <c r="S913" s="26">
        <v>1559.3683450000001</v>
      </c>
      <c r="U913" s="29">
        <v>3.2700979999999999</v>
      </c>
      <c r="W913" s="14">
        <v>31.274999999999999</v>
      </c>
      <c r="Y913" s="29">
        <v>8.5575229999999998</v>
      </c>
      <c r="AA913" s="41">
        <v>565.419759</v>
      </c>
      <c r="AC913" s="27">
        <v>49.544158000000003</v>
      </c>
      <c r="AE913" s="27">
        <v>1</v>
      </c>
      <c r="AG913" s="29">
        <v>7.4075249999999997</v>
      </c>
      <c r="AI913" s="29">
        <v>8.75</v>
      </c>
      <c r="AK913" s="27">
        <v>23.874676000000001</v>
      </c>
      <c r="AM913" s="27">
        <v>31.433788</v>
      </c>
      <c r="AO913" s="29">
        <v>6.7520749999999996</v>
      </c>
      <c r="AP913" s="11"/>
    </row>
    <row r="914" spans="2:42" hidden="1" outlineLevel="1" x14ac:dyDescent="0.25">
      <c r="B914" s="21">
        <v>43248</v>
      </c>
      <c r="C914" s="27">
        <v>19.542584999999999</v>
      </c>
      <c r="E914" s="30">
        <v>0.85765400000000003</v>
      </c>
      <c r="G914" s="27">
        <v>24.64255</v>
      </c>
      <c r="I914" s="29">
        <v>6.9269930000000004</v>
      </c>
      <c r="K914" s="29">
        <v>3.6829190000000001</v>
      </c>
      <c r="M914" s="41">
        <v>624.45941200000004</v>
      </c>
      <c r="O914" s="26">
        <v>2873.5831720000001</v>
      </c>
      <c r="Q914" s="26">
        <v>5705.1746620000004</v>
      </c>
      <c r="S914" s="26">
        <v>1549.0988910000001</v>
      </c>
      <c r="U914" s="29">
        <v>3.2710650000000001</v>
      </c>
      <c r="W914" s="14">
        <v>31.264444999999998</v>
      </c>
      <c r="Y914" s="29">
        <v>8.4890620000000006</v>
      </c>
      <c r="AA914" s="41">
        <v>566.80312000000004</v>
      </c>
      <c r="AC914" s="27">
        <v>49.652203999999998</v>
      </c>
      <c r="AE914" s="27">
        <v>1</v>
      </c>
      <c r="AG914" s="29">
        <v>7.4105270000000001</v>
      </c>
      <c r="AI914" s="29">
        <v>8.75</v>
      </c>
      <c r="AK914" s="27">
        <v>23.872166</v>
      </c>
      <c r="AM914" s="27">
        <v>31.48968</v>
      </c>
      <c r="AO914" s="29">
        <v>6.7182040000000001</v>
      </c>
      <c r="AP914" s="11"/>
    </row>
    <row r="915" spans="2:42" hidden="1" outlineLevel="1" x14ac:dyDescent="0.25">
      <c r="B915" s="21">
        <v>43249</v>
      </c>
      <c r="C915" s="27">
        <v>19.716899999999999</v>
      </c>
      <c r="E915" s="30">
        <v>0.86415600000000004</v>
      </c>
      <c r="G915" s="27">
        <v>24.804410000000001</v>
      </c>
      <c r="I915" s="29">
        <v>6.9243119999999996</v>
      </c>
      <c r="K915" s="29">
        <v>3.734143</v>
      </c>
      <c r="M915" s="41">
        <v>627.00179600000001</v>
      </c>
      <c r="O915" s="26">
        <v>2887.6938770000002</v>
      </c>
      <c r="Q915" s="26">
        <v>5718.4394689999999</v>
      </c>
      <c r="S915" s="26">
        <v>1531.4013540000001</v>
      </c>
      <c r="U915" s="29">
        <v>3.2777759999999998</v>
      </c>
      <c r="W915" s="14">
        <v>31.275086999999999</v>
      </c>
      <c r="Y915" s="29">
        <v>8.3754580000000001</v>
      </c>
      <c r="AA915" s="41">
        <v>566.98679600000003</v>
      </c>
      <c r="AC915" s="27">
        <v>49.615037999999998</v>
      </c>
      <c r="AE915" s="27">
        <v>1</v>
      </c>
      <c r="AG915" s="29">
        <v>7.4124639999999999</v>
      </c>
      <c r="AI915" s="29">
        <v>8.75</v>
      </c>
      <c r="AK915" s="27">
        <v>23.881591</v>
      </c>
      <c r="AM915" s="27">
        <v>31.478960000000001</v>
      </c>
      <c r="AO915" s="29">
        <v>6.7164219999999997</v>
      </c>
      <c r="AP915" s="12"/>
    </row>
    <row r="916" spans="2:42" hidden="1" outlineLevel="1" x14ac:dyDescent="0.25">
      <c r="B916" s="21">
        <v>43250</v>
      </c>
      <c r="C916" s="27">
        <v>19.766734</v>
      </c>
      <c r="E916" s="30">
        <v>0.861452</v>
      </c>
      <c r="G916" s="27">
        <v>24.885190000000001</v>
      </c>
      <c r="I916" s="29">
        <v>6.9206139999999996</v>
      </c>
      <c r="K916" s="29">
        <v>3.7286459999999999</v>
      </c>
      <c r="M916" s="41">
        <v>628.70328099999995</v>
      </c>
      <c r="O916" s="26">
        <v>2893.5329919999999</v>
      </c>
      <c r="Q916" s="26">
        <v>5737.8522560000001</v>
      </c>
      <c r="S916" s="26">
        <v>1538.864951</v>
      </c>
      <c r="U916" s="29">
        <v>3.2740900000000002</v>
      </c>
      <c r="W916" s="14">
        <v>31.192777</v>
      </c>
      <c r="Y916" s="29">
        <v>8.3657299999999992</v>
      </c>
      <c r="AA916" s="41">
        <v>567.16921000000002</v>
      </c>
      <c r="AC916" s="27">
        <v>49.598165000000002</v>
      </c>
      <c r="AE916" s="27">
        <v>1</v>
      </c>
      <c r="AG916" s="29">
        <v>7.40998</v>
      </c>
      <c r="AI916" s="29">
        <v>8.75</v>
      </c>
      <c r="AK916" s="27">
        <v>23.883285000000001</v>
      </c>
      <c r="AM916" s="27">
        <v>31.479448000000001</v>
      </c>
      <c r="AO916" s="29">
        <v>6.709562</v>
      </c>
      <c r="AP916" s="12"/>
    </row>
    <row r="917" spans="2:42" hidden="1" outlineLevel="1" x14ac:dyDescent="0.25">
      <c r="B917" s="21">
        <v>43251</v>
      </c>
      <c r="C917" s="49">
        <v>19.732199999999999</v>
      </c>
      <c r="E917" s="30">
        <v>0.85610600000000003</v>
      </c>
      <c r="G917" s="27">
        <v>24.939554000000001</v>
      </c>
      <c r="I917" s="29">
        <v>6.9218859999999998</v>
      </c>
      <c r="K917" s="29">
        <v>3.72498</v>
      </c>
      <c r="M917" s="41">
        <v>629.27978700000006</v>
      </c>
      <c r="O917" s="26">
        <v>2885.815928</v>
      </c>
      <c r="Q917" s="26">
        <v>5750.1819299999997</v>
      </c>
      <c r="S917" s="26">
        <v>1543.69058</v>
      </c>
      <c r="U917" s="29">
        <v>3.2709069999999998</v>
      </c>
      <c r="W917" s="14">
        <v>31.116671</v>
      </c>
      <c r="Y917" s="29">
        <v>8.3535350000000008</v>
      </c>
      <c r="AA917" s="41">
        <v>566.91826900000001</v>
      </c>
      <c r="AC917" s="27">
        <v>49.534925999999999</v>
      </c>
      <c r="AE917" s="27">
        <v>1</v>
      </c>
      <c r="AG917" s="29">
        <v>7.4056759999999997</v>
      </c>
      <c r="AI917" s="29">
        <v>8.75</v>
      </c>
      <c r="AK917" s="27">
        <v>23.870895999999998</v>
      </c>
      <c r="AM917" s="27">
        <v>31.503844000000001</v>
      </c>
      <c r="AO917" s="29">
        <v>6.7034719999999997</v>
      </c>
      <c r="AP917" s="11"/>
    </row>
    <row r="918" spans="2:42" ht="13" collapsed="1" x14ac:dyDescent="0.3">
      <c r="B918" s="25" t="s">
        <v>167</v>
      </c>
      <c r="C918" s="19">
        <v>19.526199999999999</v>
      </c>
      <c r="E918" s="24">
        <v>0.84579099999999996</v>
      </c>
      <c r="G918" s="19">
        <v>23.475899999999999</v>
      </c>
      <c r="I918" s="23">
        <v>6.9229799999999999</v>
      </c>
      <c r="J918" s="9"/>
      <c r="K918" s="23">
        <v>3.6280999999999999</v>
      </c>
      <c r="M918" s="42">
        <v>626.226</v>
      </c>
      <c r="O918" s="31">
        <v>2862.03</v>
      </c>
      <c r="Q918" s="31">
        <v>5631.02</v>
      </c>
      <c r="S918" s="31">
        <v>1552.48</v>
      </c>
      <c r="U918" s="23">
        <v>3.2723100000000001</v>
      </c>
      <c r="W918" s="23">
        <v>30.21454</v>
      </c>
      <c r="Y918" s="23">
        <v>8.3261199999999995</v>
      </c>
      <c r="AA918" s="42">
        <v>566.73900000000003</v>
      </c>
      <c r="AC918" s="19">
        <v>49.592300000000002</v>
      </c>
      <c r="AE918" s="19">
        <v>1</v>
      </c>
      <c r="AG918" s="23">
        <v>7.3906200000000002</v>
      </c>
      <c r="AI918" s="23">
        <v>8.75</v>
      </c>
      <c r="AK918" s="23">
        <v>23.776789999999998</v>
      </c>
      <c r="AM918" s="23">
        <v>31.370360000000002</v>
      </c>
      <c r="AO918" s="23">
        <v>6.7209599999999998</v>
      </c>
      <c r="AP918" s="10"/>
    </row>
    <row r="919" spans="2:42" hidden="1" outlineLevel="1" x14ac:dyDescent="0.25">
      <c r="B919" s="21">
        <v>43252</v>
      </c>
      <c r="C919" s="27">
        <v>19.913751999999999</v>
      </c>
      <c r="E919" s="30">
        <v>0.85646900000000004</v>
      </c>
      <c r="G919" s="27">
        <v>24.964274</v>
      </c>
      <c r="I919" s="29">
        <v>6.9245409999999996</v>
      </c>
      <c r="K919" s="29">
        <v>3.7397589999999998</v>
      </c>
      <c r="M919" s="41">
        <v>631.15561700000001</v>
      </c>
      <c r="O919" s="26">
        <v>2878.9485759999998</v>
      </c>
      <c r="Q919" s="26">
        <v>5739.8555120000001</v>
      </c>
      <c r="S919" s="26">
        <v>1534.8272400000001</v>
      </c>
      <c r="U919" s="29">
        <v>3.2703000000000002</v>
      </c>
      <c r="W919" s="14">
        <v>31.197085999999999</v>
      </c>
      <c r="Y919" s="29">
        <v>8.3420260000000006</v>
      </c>
      <c r="AA919" s="41">
        <v>567.33124799999996</v>
      </c>
      <c r="AC919" s="27">
        <v>49.553345</v>
      </c>
      <c r="AE919" s="27">
        <v>1</v>
      </c>
      <c r="AG919" s="29">
        <v>7.4065000000000003</v>
      </c>
      <c r="AI919" s="29">
        <v>8.75</v>
      </c>
      <c r="AK919" s="27">
        <v>23.879624</v>
      </c>
      <c r="AM919" s="27">
        <v>31.530898000000001</v>
      </c>
      <c r="AO919" s="29">
        <v>6.7057700000000002</v>
      </c>
      <c r="AP919" s="11"/>
    </row>
    <row r="920" spans="2:42" hidden="1" outlineLevel="1" x14ac:dyDescent="0.25">
      <c r="B920" s="21">
        <v>43253</v>
      </c>
      <c r="C920" s="27">
        <v>19.940380000000001</v>
      </c>
      <c r="E920" s="30">
        <v>0.85769200000000001</v>
      </c>
      <c r="G920" s="27">
        <v>24.966999999999999</v>
      </c>
      <c r="I920" s="29">
        <v>6.9234249999999999</v>
      </c>
      <c r="K920" s="29">
        <v>3.7643499999999999</v>
      </c>
      <c r="M920" s="41">
        <v>631.495</v>
      </c>
      <c r="O920" s="26">
        <v>2868.375</v>
      </c>
      <c r="Q920" s="26">
        <v>5733.7250000000004</v>
      </c>
      <c r="S920" s="26">
        <v>1523.1683499999999</v>
      </c>
      <c r="U920" s="29">
        <v>3.2712500000000002</v>
      </c>
      <c r="W920" s="14">
        <v>31.25</v>
      </c>
      <c r="Y920" s="29">
        <v>8.3015699999999999</v>
      </c>
      <c r="AA920" s="41">
        <v>568.5</v>
      </c>
      <c r="AC920" s="27">
        <v>49.552500000000002</v>
      </c>
      <c r="AE920" s="27">
        <v>1</v>
      </c>
      <c r="AG920" s="29">
        <v>7.4069250000000002</v>
      </c>
      <c r="AI920" s="29">
        <v>8.75</v>
      </c>
      <c r="AK920" s="27">
        <v>23.8995</v>
      </c>
      <c r="AM920" s="27">
        <v>31.50975</v>
      </c>
      <c r="AO920" s="29">
        <v>6.7080250000000001</v>
      </c>
      <c r="AP920" s="11"/>
    </row>
    <row r="921" spans="2:42" hidden="1" outlineLevel="1" x14ac:dyDescent="0.25">
      <c r="B921" s="21">
        <v>43254</v>
      </c>
      <c r="C921" s="27">
        <v>19.940245999999998</v>
      </c>
      <c r="E921" s="30">
        <v>0.85764899999999999</v>
      </c>
      <c r="G921" s="27">
        <v>24.976824000000001</v>
      </c>
      <c r="I921" s="29">
        <v>6.9248010000000004</v>
      </c>
      <c r="K921" s="29">
        <v>3.7643909999999998</v>
      </c>
      <c r="M921" s="41">
        <v>631.495</v>
      </c>
      <c r="O921" s="26">
        <v>2870.44004</v>
      </c>
      <c r="Q921" s="26">
        <v>5734.5896119999998</v>
      </c>
      <c r="S921" s="26">
        <v>1523.381754</v>
      </c>
      <c r="U921" s="29">
        <v>3.271998</v>
      </c>
      <c r="W921" s="14">
        <v>31.256457999999999</v>
      </c>
      <c r="Y921" s="29">
        <v>8.3031980000000001</v>
      </c>
      <c r="AA921" s="41">
        <v>568.50900999999999</v>
      </c>
      <c r="AC921" s="27">
        <v>49.566215999999997</v>
      </c>
      <c r="AE921" s="27">
        <v>1</v>
      </c>
      <c r="AG921" s="29">
        <v>7.4084199999999996</v>
      </c>
      <c r="AI921" s="29">
        <v>8.75</v>
      </c>
      <c r="AK921" s="27">
        <v>23.903696</v>
      </c>
      <c r="AM921" s="27">
        <v>31.534264</v>
      </c>
      <c r="AO921" s="29">
        <v>6.71312</v>
      </c>
      <c r="AP921" s="11"/>
    </row>
    <row r="922" spans="2:42" hidden="1" outlineLevel="1" x14ac:dyDescent="0.25">
      <c r="B922" s="21">
        <v>43255</v>
      </c>
      <c r="C922" s="27">
        <v>19.963923999999999</v>
      </c>
      <c r="E922" s="30">
        <v>0.85470800000000002</v>
      </c>
      <c r="G922" s="27">
        <v>24.973911999999999</v>
      </c>
      <c r="I922" s="29">
        <v>6.9296519999999999</v>
      </c>
      <c r="K922" s="29">
        <v>3.7532899999999998</v>
      </c>
      <c r="M922" s="41">
        <v>631.48802799999999</v>
      </c>
      <c r="O922" s="26">
        <v>2873.9356339999999</v>
      </c>
      <c r="Q922" s="26">
        <v>5728.2240460000003</v>
      </c>
      <c r="S922" s="26">
        <v>1526.1948809999999</v>
      </c>
      <c r="U922" s="29">
        <v>3.2734830000000001</v>
      </c>
      <c r="W922" s="14">
        <v>31.258337999999998</v>
      </c>
      <c r="Y922" s="29">
        <v>8.3282740000000004</v>
      </c>
      <c r="AA922" s="41">
        <v>568.91782899999998</v>
      </c>
      <c r="AC922" s="27">
        <v>49.666012000000002</v>
      </c>
      <c r="AE922" s="27">
        <v>1</v>
      </c>
      <c r="AG922" s="29">
        <v>7.418418</v>
      </c>
      <c r="AI922" s="29">
        <v>8.75</v>
      </c>
      <c r="AK922" s="27">
        <v>23.923036</v>
      </c>
      <c r="AM922" s="27">
        <v>31.601338999999999</v>
      </c>
      <c r="AO922" s="29">
        <v>6.7272559999999997</v>
      </c>
      <c r="AP922" s="11"/>
    </row>
    <row r="923" spans="2:42" hidden="1" outlineLevel="1" x14ac:dyDescent="0.25">
      <c r="B923" s="21">
        <v>43256</v>
      </c>
      <c r="C923" s="27">
        <v>20.268884</v>
      </c>
      <c r="E923" s="30">
        <v>0.85488600000000003</v>
      </c>
      <c r="G923" s="27">
        <v>24.953980000000001</v>
      </c>
      <c r="I923" s="29">
        <v>6.9250499999999997</v>
      </c>
      <c r="K923" s="29">
        <v>3.767217</v>
      </c>
      <c r="M923" s="41">
        <v>632.79999299999997</v>
      </c>
      <c r="O923" s="26">
        <v>2864.2704840000001</v>
      </c>
      <c r="Q923" s="26">
        <v>5702.4102439999997</v>
      </c>
      <c r="S923" s="26">
        <v>1513.70009</v>
      </c>
      <c r="U923" s="29">
        <v>3.2702439999999999</v>
      </c>
      <c r="W923" s="14">
        <v>31.188126</v>
      </c>
      <c r="Y923" s="29">
        <v>8.2788400000000006</v>
      </c>
      <c r="AA923" s="41">
        <v>568.654808</v>
      </c>
      <c r="AC923" s="27">
        <v>49.612416000000003</v>
      </c>
      <c r="AE923" s="27">
        <v>1</v>
      </c>
      <c r="AG923" s="29">
        <v>7.4199599999999997</v>
      </c>
      <c r="AI923" s="29">
        <v>8.75</v>
      </c>
      <c r="AK923" s="27">
        <v>23.919125000000001</v>
      </c>
      <c r="AM923" s="27">
        <v>31.591002</v>
      </c>
      <c r="AO923" s="29">
        <v>6.7279669999999996</v>
      </c>
      <c r="AP923" s="11"/>
    </row>
    <row r="924" spans="2:42" hidden="1" outlineLevel="1" x14ac:dyDescent="0.25">
      <c r="B924" s="21">
        <v>43257</v>
      </c>
      <c r="C924" s="27">
        <v>20.361422999999998</v>
      </c>
      <c r="E924" s="30">
        <v>0.85053199999999995</v>
      </c>
      <c r="G924" s="27">
        <v>24.915969</v>
      </c>
      <c r="I924" s="29">
        <v>6.9159059999999997</v>
      </c>
      <c r="K924" s="29">
        <v>3.817704</v>
      </c>
      <c r="M924" s="41">
        <v>631.22774400000003</v>
      </c>
      <c r="O924" s="26">
        <v>2843.034502</v>
      </c>
      <c r="Q924" s="26">
        <v>5677.8723289999998</v>
      </c>
      <c r="S924" s="26">
        <v>1487.255101</v>
      </c>
      <c r="U924" s="29">
        <v>3.2624119999999999</v>
      </c>
      <c r="W924" s="14">
        <v>31.111038000000001</v>
      </c>
      <c r="Y924" s="29">
        <v>8.149165</v>
      </c>
      <c r="AA924" s="41">
        <v>567.47573499999999</v>
      </c>
      <c r="AC924" s="27">
        <v>49.508048000000002</v>
      </c>
      <c r="AE924" s="27">
        <v>1</v>
      </c>
      <c r="AG924" s="29">
        <v>7.4085919999999996</v>
      </c>
      <c r="AI924" s="29">
        <v>8.75</v>
      </c>
      <c r="AK924" s="27">
        <v>23.88439</v>
      </c>
      <c r="AM924" s="27">
        <v>31.502627</v>
      </c>
      <c r="AO924" s="29">
        <v>6.7043739999999996</v>
      </c>
      <c r="AP924" s="11"/>
    </row>
    <row r="925" spans="2:42" hidden="1" outlineLevel="1" x14ac:dyDescent="0.25">
      <c r="B925" s="21">
        <v>43258</v>
      </c>
      <c r="C925" s="27">
        <v>20.406089999999999</v>
      </c>
      <c r="E925" s="30">
        <v>0.84685200000000005</v>
      </c>
      <c r="G925" s="27">
        <v>24.930606000000001</v>
      </c>
      <c r="I925" s="29">
        <v>6.9184780000000003</v>
      </c>
      <c r="K925" s="29">
        <v>3.8741430000000001</v>
      </c>
      <c r="M925" s="41">
        <v>628.98642800000005</v>
      </c>
      <c r="O925" s="26">
        <v>2836.0103800000002</v>
      </c>
      <c r="Q925" s="26">
        <v>5676.5029299999997</v>
      </c>
      <c r="S925" s="26">
        <v>1465.235788</v>
      </c>
      <c r="U925" s="29">
        <v>3.2626019999999998</v>
      </c>
      <c r="W925" s="14">
        <v>31.108554999999999</v>
      </c>
      <c r="Y925" s="29">
        <v>8.0298189999999998</v>
      </c>
      <c r="AA925" s="41">
        <v>568.08182599999998</v>
      </c>
      <c r="AC925" s="27">
        <v>49.566467000000003</v>
      </c>
      <c r="AE925" s="27">
        <v>1</v>
      </c>
      <c r="AG925" s="29">
        <v>7.4123200000000002</v>
      </c>
      <c r="AI925" s="29">
        <v>8.75</v>
      </c>
      <c r="AK925" s="27">
        <v>23.907364000000001</v>
      </c>
      <c r="AM925" s="27">
        <v>31.537123000000001</v>
      </c>
      <c r="AO925" s="29">
        <v>6.705819</v>
      </c>
      <c r="AP925" s="11"/>
    </row>
    <row r="926" spans="2:42" hidden="1" outlineLevel="1" x14ac:dyDescent="0.25">
      <c r="B926" s="21">
        <v>43259</v>
      </c>
      <c r="C926" s="27">
        <v>20.444275999999999</v>
      </c>
      <c r="E926" s="30">
        <v>0.849298</v>
      </c>
      <c r="G926" s="27">
        <v>25.160212000000001</v>
      </c>
      <c r="I926" s="29">
        <v>6.9261980000000003</v>
      </c>
      <c r="K926" s="29">
        <v>3.8243879999999999</v>
      </c>
      <c r="M926" s="41">
        <v>630.73029799999995</v>
      </c>
      <c r="O926" s="26">
        <v>2850.31675</v>
      </c>
      <c r="Q926" s="26">
        <v>5665.3134229999996</v>
      </c>
      <c r="S926" s="26">
        <v>1481.3722640000001</v>
      </c>
      <c r="U926" s="29">
        <v>3.2642259999999998</v>
      </c>
      <c r="W926" s="14">
        <v>31.179442999999999</v>
      </c>
      <c r="Y926" s="29">
        <v>8.1528100000000006</v>
      </c>
      <c r="AA926" s="41">
        <v>569.02479600000004</v>
      </c>
      <c r="AC926" s="27">
        <v>49.621070000000003</v>
      </c>
      <c r="AE926" s="27">
        <v>1</v>
      </c>
      <c r="AG926" s="29">
        <v>7.419791</v>
      </c>
      <c r="AI926" s="29">
        <v>8.75</v>
      </c>
      <c r="AK926" s="27">
        <v>23.933637000000001</v>
      </c>
      <c r="AM926" s="27">
        <v>31.636773999999999</v>
      </c>
      <c r="AO926" s="29">
        <v>6.7277719999999999</v>
      </c>
      <c r="AP926" s="11"/>
    </row>
    <row r="927" spans="2:42" hidden="1" outlineLevel="1" x14ac:dyDescent="0.25">
      <c r="B927" s="21">
        <v>43260</v>
      </c>
      <c r="C927" s="27">
        <v>20.290980000000001</v>
      </c>
      <c r="E927" s="30">
        <v>0.84968299999999997</v>
      </c>
      <c r="G927" s="27">
        <v>25.294650000000001</v>
      </c>
      <c r="I927" s="29">
        <v>6.919575</v>
      </c>
      <c r="K927" s="29">
        <v>3.7077499999999999</v>
      </c>
      <c r="M927" s="41">
        <v>630.07749999999999</v>
      </c>
      <c r="O927" s="26">
        <v>2858.55</v>
      </c>
      <c r="Q927" s="26">
        <v>5651.4750000000004</v>
      </c>
      <c r="S927" s="26">
        <v>1524.2393750000001</v>
      </c>
      <c r="U927" s="29">
        <v>3.2610999999999999</v>
      </c>
      <c r="W927" s="14">
        <v>31.225000000000001</v>
      </c>
      <c r="Y927" s="29">
        <v>8.421557</v>
      </c>
      <c r="AA927" s="41">
        <v>569.00750000000005</v>
      </c>
      <c r="AC927" s="27">
        <v>49.44</v>
      </c>
      <c r="AE927" s="27">
        <v>1</v>
      </c>
      <c r="AG927" s="29">
        <v>7.4160750000000002</v>
      </c>
      <c r="AI927" s="29">
        <v>8.75</v>
      </c>
      <c r="AK927" s="27">
        <v>23.950500000000002</v>
      </c>
      <c r="AM927" s="27">
        <v>31.50975</v>
      </c>
      <c r="AO927" s="29">
        <v>6.7622249999999999</v>
      </c>
      <c r="AP927" s="11"/>
    </row>
    <row r="928" spans="2:42" hidden="1" outlineLevel="1" x14ac:dyDescent="0.25">
      <c r="B928" s="21">
        <v>43261</v>
      </c>
      <c r="C928" s="27">
        <v>20.295781999999999</v>
      </c>
      <c r="E928" s="30">
        <v>0.84962700000000002</v>
      </c>
      <c r="G928" s="27">
        <v>25.293263</v>
      </c>
      <c r="I928" s="29">
        <v>6.9177150000000003</v>
      </c>
      <c r="K928" s="29">
        <v>3.7075140000000002</v>
      </c>
      <c r="M928" s="41">
        <v>630.02181599999994</v>
      </c>
      <c r="O928" s="26">
        <v>2857.1547890000002</v>
      </c>
      <c r="Q928" s="26">
        <v>5649.9501280000004</v>
      </c>
      <c r="S928" s="26">
        <v>1523.9261509999999</v>
      </c>
      <c r="U928" s="29">
        <v>3.2600699999999998</v>
      </c>
      <c r="W928" s="14">
        <v>31.216826999999999</v>
      </c>
      <c r="Y928" s="29">
        <v>8.4198920000000008</v>
      </c>
      <c r="AA928" s="41">
        <v>568.83387600000003</v>
      </c>
      <c r="AC928" s="27">
        <v>49.436838000000002</v>
      </c>
      <c r="AE928" s="27">
        <v>1</v>
      </c>
      <c r="AG928" s="29">
        <v>7.4140499999999996</v>
      </c>
      <c r="AI928" s="29">
        <v>8.75</v>
      </c>
      <c r="AK928" s="27">
        <v>23.935074</v>
      </c>
      <c r="AM928" s="27">
        <v>31.509720000000002</v>
      </c>
      <c r="AO928" s="29">
        <v>6.7604139999999999</v>
      </c>
      <c r="AP928" s="11"/>
    </row>
    <row r="929" spans="2:42" hidden="1" outlineLevel="1" x14ac:dyDescent="0.25">
      <c r="B929" s="21">
        <v>43262</v>
      </c>
      <c r="C929" s="27">
        <v>20.434763</v>
      </c>
      <c r="E929" s="30">
        <v>0.84799500000000005</v>
      </c>
      <c r="G929" s="27">
        <v>25.426480000000002</v>
      </c>
      <c r="I929" s="29">
        <v>6.912312</v>
      </c>
      <c r="K929" s="29">
        <v>3.7073200000000002</v>
      </c>
      <c r="M929" s="41">
        <v>631.15156000000002</v>
      </c>
      <c r="O929" s="26">
        <v>2854.136364</v>
      </c>
      <c r="Q929" s="26">
        <v>5650.8022799999999</v>
      </c>
      <c r="S929" s="26">
        <v>1524.2378530000001</v>
      </c>
      <c r="U929" s="29">
        <v>3.260866</v>
      </c>
      <c r="W929" s="14">
        <v>31.251857000000001</v>
      </c>
      <c r="Y929" s="29">
        <v>8.4298000000000002</v>
      </c>
      <c r="AA929" s="41">
        <v>568.18959900000004</v>
      </c>
      <c r="AC929" s="27">
        <v>49.562139000000002</v>
      </c>
      <c r="AE929" s="27">
        <v>1</v>
      </c>
      <c r="AG929" s="29">
        <v>7.4059999999999997</v>
      </c>
      <c r="AI929" s="29">
        <v>8.75</v>
      </c>
      <c r="AK929" s="27">
        <v>23.883292000000001</v>
      </c>
      <c r="AM929" s="27">
        <v>31.542964000000001</v>
      </c>
      <c r="AO929" s="29">
        <v>6.7300409999999999</v>
      </c>
      <c r="AP929" s="11"/>
    </row>
    <row r="930" spans="2:42" hidden="1" outlineLevel="1" x14ac:dyDescent="0.25">
      <c r="B930" s="21">
        <v>43263</v>
      </c>
      <c r="C930" s="27">
        <v>20.624234000000001</v>
      </c>
      <c r="E930" s="30">
        <v>0.84963</v>
      </c>
      <c r="G930" s="27">
        <v>25.947626</v>
      </c>
      <c r="I930" s="29">
        <v>6.9225120000000002</v>
      </c>
      <c r="K930" s="29">
        <v>3.707662</v>
      </c>
      <c r="M930" s="41">
        <v>634.00743599999998</v>
      </c>
      <c r="O930" s="26">
        <v>2859.3172829999999</v>
      </c>
      <c r="Q930" s="26">
        <v>5653.0009099999997</v>
      </c>
      <c r="S930" s="26">
        <v>1524.6881619999999</v>
      </c>
      <c r="U930" s="29">
        <v>3.2667380000000001</v>
      </c>
      <c r="W930" s="14">
        <v>31.320609000000001</v>
      </c>
      <c r="Y930" s="29">
        <v>8.4475560000000005</v>
      </c>
      <c r="AA930" s="41">
        <v>569.15019400000006</v>
      </c>
      <c r="AC930" s="27">
        <v>49.621476000000001</v>
      </c>
      <c r="AE930" s="27">
        <v>1</v>
      </c>
      <c r="AG930" s="29">
        <v>7.4157219999999997</v>
      </c>
      <c r="AI930" s="29">
        <v>8.75</v>
      </c>
      <c r="AK930" s="27">
        <v>23.921122</v>
      </c>
      <c r="AM930" s="27">
        <v>31.618579</v>
      </c>
      <c r="AO930" s="29">
        <v>6.7121139999999997</v>
      </c>
      <c r="AP930" s="11"/>
    </row>
    <row r="931" spans="2:42" hidden="1" outlineLevel="1" x14ac:dyDescent="0.25">
      <c r="B931" s="21">
        <v>43264</v>
      </c>
      <c r="C931" s="27">
        <v>20.683526000000001</v>
      </c>
      <c r="E931" s="30">
        <v>0.84999400000000003</v>
      </c>
      <c r="G931" s="27">
        <v>25.850832</v>
      </c>
      <c r="I931" s="29">
        <v>6.9271719999999997</v>
      </c>
      <c r="K931" s="29">
        <v>3.7140870000000001</v>
      </c>
      <c r="M931" s="41">
        <v>636.281881</v>
      </c>
      <c r="O931" s="26">
        <v>2861.6710189999999</v>
      </c>
      <c r="Q931" s="26">
        <v>5673.2745640000003</v>
      </c>
      <c r="S931" s="26">
        <v>1527.5095140000001</v>
      </c>
      <c r="U931" s="29">
        <v>3.2695850000000002</v>
      </c>
      <c r="W931" s="14">
        <v>31.335594</v>
      </c>
      <c r="Y931" s="29">
        <v>8.4369739999999993</v>
      </c>
      <c r="AA931" s="41">
        <v>569.46274800000003</v>
      </c>
      <c r="AC931" s="27">
        <v>49.629781999999999</v>
      </c>
      <c r="AE931" s="27">
        <v>1</v>
      </c>
      <c r="AG931" s="29">
        <v>7.4208439999999998</v>
      </c>
      <c r="AI931" s="29">
        <v>8.75</v>
      </c>
      <c r="AK931" s="27">
        <v>23.967998999999999</v>
      </c>
      <c r="AM931" s="27">
        <v>31.619447000000001</v>
      </c>
      <c r="AO931" s="29">
        <v>6.7136849999999999</v>
      </c>
      <c r="AP931" s="11"/>
    </row>
    <row r="932" spans="2:42" hidden="1" outlineLevel="1" x14ac:dyDescent="0.25">
      <c r="B932" s="21">
        <v>43265</v>
      </c>
      <c r="C932" s="27">
        <v>20.700198</v>
      </c>
      <c r="E932" s="30">
        <v>0.85368900000000003</v>
      </c>
      <c r="G932" s="27">
        <v>26.787008</v>
      </c>
      <c r="I932" s="29">
        <v>6.9133100000000001</v>
      </c>
      <c r="K932" s="29">
        <v>3.7380719999999998</v>
      </c>
      <c r="M932" s="41">
        <v>635.16823599999998</v>
      </c>
      <c r="O932" s="26">
        <v>2859.507576</v>
      </c>
      <c r="Q932" s="26">
        <v>5660.2589600000001</v>
      </c>
      <c r="S932" s="26">
        <v>1514.22657</v>
      </c>
      <c r="U932" s="29">
        <v>3.2703060000000002</v>
      </c>
      <c r="W932" s="14">
        <v>31.303902000000001</v>
      </c>
      <c r="Y932" s="29">
        <v>8.3743619999999996</v>
      </c>
      <c r="AA932" s="41">
        <v>568.28484200000003</v>
      </c>
      <c r="AC932" s="27">
        <v>49.552092000000002</v>
      </c>
      <c r="AE932" s="27">
        <v>1</v>
      </c>
      <c r="AG932" s="29">
        <v>7.4088659999999997</v>
      </c>
      <c r="AI932" s="29">
        <v>8.75</v>
      </c>
      <c r="AK932" s="27">
        <v>23.933157000000001</v>
      </c>
      <c r="AM932" s="27">
        <v>31.538050999999999</v>
      </c>
      <c r="AO932" s="29">
        <v>6.7073390000000002</v>
      </c>
      <c r="AP932" s="11"/>
    </row>
    <row r="933" spans="2:42" hidden="1" outlineLevel="1" x14ac:dyDescent="0.25">
      <c r="B933" s="21">
        <v>43266</v>
      </c>
      <c r="C933" s="27">
        <v>20.777899999999999</v>
      </c>
      <c r="E933" s="30">
        <v>0.86263599999999996</v>
      </c>
      <c r="G933" s="27">
        <v>27.818256000000002</v>
      </c>
      <c r="I933" s="29">
        <v>6.9542840000000004</v>
      </c>
      <c r="K933" s="29">
        <v>3.7774200000000002</v>
      </c>
      <c r="M933" s="41">
        <v>636.11431000000005</v>
      </c>
      <c r="O933" s="26">
        <v>2885.0519199999999</v>
      </c>
      <c r="Q933" s="26">
        <v>5689.2531499999996</v>
      </c>
      <c r="S933" s="26">
        <v>1506.1290630000001</v>
      </c>
      <c r="U933" s="29">
        <v>3.2942339999999999</v>
      </c>
      <c r="W933" s="14">
        <v>31.538732</v>
      </c>
      <c r="Y933" s="29">
        <v>8.3492999999999995</v>
      </c>
      <c r="AA933" s="41">
        <v>571.41253400000005</v>
      </c>
      <c r="AC933" s="27">
        <v>49.912894000000001</v>
      </c>
      <c r="AE933" s="27">
        <v>1</v>
      </c>
      <c r="AG933" s="29">
        <v>7.454072</v>
      </c>
      <c r="AI933" s="29">
        <v>8.75</v>
      </c>
      <c r="AK933" s="27">
        <v>24.120048000000001</v>
      </c>
      <c r="AM933" s="27">
        <v>31.947278000000001</v>
      </c>
      <c r="AO933" s="29">
        <v>6.7637400000000003</v>
      </c>
      <c r="AP933" s="11"/>
    </row>
    <row r="934" spans="2:42" hidden="1" outlineLevel="1" x14ac:dyDescent="0.25">
      <c r="B934" s="21">
        <v>43267</v>
      </c>
      <c r="C934" s="27">
        <v>20.62773</v>
      </c>
      <c r="E934" s="30">
        <v>0.86143800000000004</v>
      </c>
      <c r="G934" s="27">
        <v>28.054849999999998</v>
      </c>
      <c r="I934" s="29">
        <v>6.9192749999999998</v>
      </c>
      <c r="K934" s="29">
        <v>3.7302499999999998</v>
      </c>
      <c r="M934" s="41">
        <v>632.70000000000005</v>
      </c>
      <c r="O934" s="26">
        <v>2895</v>
      </c>
      <c r="Q934" s="26">
        <v>5666.9750000000004</v>
      </c>
      <c r="S934" s="26">
        <v>1519.199977</v>
      </c>
      <c r="U934" s="29">
        <v>3.2790750000000002</v>
      </c>
      <c r="W934" s="14">
        <v>31.44</v>
      </c>
      <c r="Y934" s="29">
        <v>8.4283959999999993</v>
      </c>
      <c r="AA934" s="41">
        <v>568.52499999999998</v>
      </c>
      <c r="AC934" s="27">
        <v>49.552500000000002</v>
      </c>
      <c r="AE934" s="27">
        <v>1</v>
      </c>
      <c r="AG934" s="29">
        <v>7.4169749999999999</v>
      </c>
      <c r="AI934" s="29">
        <v>8.75</v>
      </c>
      <c r="AK934" s="27">
        <v>23.981000000000002</v>
      </c>
      <c r="AM934" s="27">
        <v>31.514749999999999</v>
      </c>
      <c r="AO934" s="29">
        <v>6.7090249999999996</v>
      </c>
      <c r="AP934" s="11"/>
    </row>
    <row r="935" spans="2:42" hidden="1" outlineLevel="1" x14ac:dyDescent="0.25">
      <c r="B935" s="21">
        <v>43268</v>
      </c>
      <c r="C935" s="27">
        <v>20.631485999999999</v>
      </c>
      <c r="E935" s="30">
        <v>0.86155400000000004</v>
      </c>
      <c r="G935" s="27">
        <v>28.058485999999998</v>
      </c>
      <c r="I935" s="29">
        <v>6.9192749999999998</v>
      </c>
      <c r="K935" s="29">
        <v>3.72994</v>
      </c>
      <c r="M935" s="41">
        <v>632.70000000000005</v>
      </c>
      <c r="O935" s="26">
        <v>2894.9932640000002</v>
      </c>
      <c r="Q935" s="26">
        <v>5666.9750000000004</v>
      </c>
      <c r="S935" s="26">
        <v>1519.326446</v>
      </c>
      <c r="U935" s="29">
        <v>3.2789700000000002</v>
      </c>
      <c r="W935" s="14">
        <v>31.44</v>
      </c>
      <c r="Y935" s="29">
        <v>8.4290979999999998</v>
      </c>
      <c r="AA935" s="41">
        <v>568.52482999999995</v>
      </c>
      <c r="AC935" s="27">
        <v>49.546987999999999</v>
      </c>
      <c r="AE935" s="27">
        <v>1</v>
      </c>
      <c r="AG935" s="29">
        <v>7.4169749999999999</v>
      </c>
      <c r="AI935" s="29">
        <v>8.75</v>
      </c>
      <c r="AK935" s="27">
        <v>23.983464000000001</v>
      </c>
      <c r="AM935" s="27">
        <v>31.514749999999999</v>
      </c>
      <c r="AO935" s="29">
        <v>6.7090540000000001</v>
      </c>
      <c r="AP935" s="11"/>
    </row>
    <row r="936" spans="2:42" hidden="1" outlineLevel="1" x14ac:dyDescent="0.25">
      <c r="B936" s="21">
        <v>43269</v>
      </c>
      <c r="C936" s="27">
        <v>20.653369999999999</v>
      </c>
      <c r="E936" s="30">
        <v>0.86184400000000005</v>
      </c>
      <c r="G936" s="27">
        <v>27.892391</v>
      </c>
      <c r="I936" s="29">
        <v>6.9195840000000004</v>
      </c>
      <c r="K936" s="29">
        <v>3.7412999999999998</v>
      </c>
      <c r="M936" s="41">
        <v>634.51410799999996</v>
      </c>
      <c r="O936" s="26">
        <v>2892.7237610000002</v>
      </c>
      <c r="Q936" s="26">
        <v>5671.7941339999998</v>
      </c>
      <c r="S936" s="26">
        <v>1516.0023169999999</v>
      </c>
      <c r="U936" s="29">
        <v>3.2804540000000002</v>
      </c>
      <c r="W936" s="14">
        <v>31.510528000000001</v>
      </c>
      <c r="Y936" s="29">
        <v>8.422364</v>
      </c>
      <c r="AA936" s="41">
        <v>568.27925200000004</v>
      </c>
      <c r="AC936" s="27">
        <v>49.582051</v>
      </c>
      <c r="AE936" s="27">
        <v>1</v>
      </c>
      <c r="AG936" s="29">
        <v>7.4365769999999998</v>
      </c>
      <c r="AI936" s="29">
        <v>8.75</v>
      </c>
      <c r="AK936" s="27">
        <v>23.954456</v>
      </c>
      <c r="AM936" s="27">
        <v>31.580606</v>
      </c>
      <c r="AO936" s="29">
        <v>6.7115229999999997</v>
      </c>
      <c r="AP936" s="11"/>
    </row>
    <row r="937" spans="2:42" hidden="1" outlineLevel="1" x14ac:dyDescent="0.25">
      <c r="B937" s="21">
        <v>43270</v>
      </c>
      <c r="C937" s="27">
        <v>20.587821000000002</v>
      </c>
      <c r="E937" s="30">
        <v>0.86304199999999998</v>
      </c>
      <c r="G937" s="27">
        <v>27.675611</v>
      </c>
      <c r="I937" s="29">
        <v>6.9203479999999997</v>
      </c>
      <c r="K937" s="29">
        <v>3.7474959999999999</v>
      </c>
      <c r="M937" s="41">
        <v>638.71318299999996</v>
      </c>
      <c r="O937" s="26">
        <v>2920.980059</v>
      </c>
      <c r="Q937" s="26">
        <v>5683.8897219999999</v>
      </c>
      <c r="S937" s="26">
        <v>1516.724549</v>
      </c>
      <c r="U937" s="29">
        <v>3.279992</v>
      </c>
      <c r="W937" s="14">
        <v>31.591915</v>
      </c>
      <c r="Y937" s="29">
        <v>8.4301580000000005</v>
      </c>
      <c r="AA937" s="41">
        <v>568.19673999999998</v>
      </c>
      <c r="AC937" s="27">
        <v>49.580606000000003</v>
      </c>
      <c r="AE937" s="27">
        <v>1</v>
      </c>
      <c r="AG937" s="29">
        <v>7.4852860000000003</v>
      </c>
      <c r="AI937" s="29">
        <v>8.75</v>
      </c>
      <c r="AK937" s="27">
        <v>23.939906000000001</v>
      </c>
      <c r="AM937" s="27">
        <v>31.595569999999999</v>
      </c>
      <c r="AO937" s="29">
        <v>6.7066800000000004</v>
      </c>
      <c r="AP937" s="11"/>
    </row>
    <row r="938" spans="2:42" hidden="1" outlineLevel="1" x14ac:dyDescent="0.25">
      <c r="B938" s="21">
        <v>43271</v>
      </c>
      <c r="C938" s="27">
        <v>20.450422</v>
      </c>
      <c r="E938" s="30">
        <v>0.86376600000000003</v>
      </c>
      <c r="G938" s="27">
        <v>27.743642000000001</v>
      </c>
      <c r="I938" s="29">
        <v>6.9164219999999998</v>
      </c>
      <c r="K938" s="29">
        <v>3.7505459999999999</v>
      </c>
      <c r="M938" s="41">
        <v>639.87679800000001</v>
      </c>
      <c r="O938" s="26">
        <v>2920.5957170000001</v>
      </c>
      <c r="Q938" s="26">
        <v>5694.8691440000002</v>
      </c>
      <c r="S938" s="26">
        <v>1518.4184359999999</v>
      </c>
      <c r="U938" s="29">
        <v>3.2818779999999999</v>
      </c>
      <c r="W938" s="14">
        <v>31.573018000000001</v>
      </c>
      <c r="Y938" s="29">
        <v>8.4182629999999996</v>
      </c>
      <c r="AA938" s="41">
        <v>567.80257099999994</v>
      </c>
      <c r="AC938" s="27">
        <v>49.550691999999998</v>
      </c>
      <c r="AE938" s="27">
        <v>1</v>
      </c>
      <c r="AG938" s="29">
        <v>7.4830160000000001</v>
      </c>
      <c r="AI938" s="29">
        <v>8.75</v>
      </c>
      <c r="AK938" s="27">
        <v>23.970789</v>
      </c>
      <c r="AM938" s="27">
        <v>31.594968000000001</v>
      </c>
      <c r="AO938" s="29">
        <v>6.7051749999999997</v>
      </c>
      <c r="AP938" s="11"/>
    </row>
    <row r="939" spans="2:42" hidden="1" outlineLevel="1" x14ac:dyDescent="0.25">
      <c r="B939" s="21">
        <v>43272</v>
      </c>
      <c r="C939" s="27">
        <v>20.369783999999999</v>
      </c>
      <c r="E939" s="30">
        <v>0.86371799999999999</v>
      </c>
      <c r="G939" s="27">
        <v>27.630023000000001</v>
      </c>
      <c r="I939" s="29">
        <v>6.9261359999999996</v>
      </c>
      <c r="K939" s="29">
        <v>3.773504</v>
      </c>
      <c r="M939" s="41">
        <v>640.34214399999996</v>
      </c>
      <c r="O939" s="26">
        <v>2934.4946140000002</v>
      </c>
      <c r="Q939" s="26">
        <v>5701.6409439999998</v>
      </c>
      <c r="S939" s="26">
        <v>1510.9747560000001</v>
      </c>
      <c r="U939" s="29">
        <v>3.277406</v>
      </c>
      <c r="W939" s="14">
        <v>31.594025999999999</v>
      </c>
      <c r="Y939" s="29">
        <v>8.3726120000000002</v>
      </c>
      <c r="AA939" s="41">
        <v>568.00599199999999</v>
      </c>
      <c r="AC939" s="27">
        <v>49.584136000000001</v>
      </c>
      <c r="AE939" s="27">
        <v>1</v>
      </c>
      <c r="AG939" s="29">
        <v>7.4872909999999999</v>
      </c>
      <c r="AI939" s="29">
        <v>8.75</v>
      </c>
      <c r="AK939" s="27">
        <v>23.934540999999999</v>
      </c>
      <c r="AM939" s="27">
        <v>31.649504</v>
      </c>
      <c r="AO939" s="29">
        <v>6.7068159999999999</v>
      </c>
      <c r="AP939" s="11"/>
    </row>
    <row r="940" spans="2:42" hidden="1" outlineLevel="1" x14ac:dyDescent="0.25">
      <c r="B940" s="21">
        <v>43273</v>
      </c>
      <c r="C940" s="27">
        <v>20.177455999999999</v>
      </c>
      <c r="E940" s="30">
        <v>0.85898600000000003</v>
      </c>
      <c r="G940" s="27">
        <v>27.316780999999999</v>
      </c>
      <c r="I940" s="29">
        <v>6.9179380000000004</v>
      </c>
      <c r="K940" s="29">
        <v>3.7684980000000001</v>
      </c>
      <c r="M940" s="41">
        <v>638.83643500000005</v>
      </c>
      <c r="O940" s="26">
        <v>2930.2195839999999</v>
      </c>
      <c r="Q940" s="26">
        <v>5695.0270689999998</v>
      </c>
      <c r="S940" s="26">
        <v>1511.2271720000001</v>
      </c>
      <c r="U940" s="29">
        <v>3.2697829999999999</v>
      </c>
      <c r="W940" s="14">
        <v>31.644846999999999</v>
      </c>
      <c r="Y940" s="29">
        <v>8.3972219999999993</v>
      </c>
      <c r="AA940" s="41">
        <v>567.48121800000001</v>
      </c>
      <c r="AC940" s="27">
        <v>49.525962</v>
      </c>
      <c r="AE940" s="27">
        <v>1</v>
      </c>
      <c r="AG940" s="29">
        <v>7.4815820000000004</v>
      </c>
      <c r="AI940" s="29">
        <v>8.75</v>
      </c>
      <c r="AK940" s="27">
        <v>23.905443999999999</v>
      </c>
      <c r="AM940" s="27">
        <v>31.595649999999999</v>
      </c>
      <c r="AO940" s="29">
        <v>6.6998579999999999</v>
      </c>
      <c r="AP940" s="11"/>
    </row>
    <row r="941" spans="2:42" hidden="1" outlineLevel="1" x14ac:dyDescent="0.25">
      <c r="B941" s="21">
        <v>43274</v>
      </c>
      <c r="C941" s="27">
        <v>20.008675</v>
      </c>
      <c r="E941" s="30">
        <v>0.85780999999999996</v>
      </c>
      <c r="G941" s="27">
        <v>27.018000000000001</v>
      </c>
      <c r="I941" s="29">
        <v>6.9220750000000004</v>
      </c>
      <c r="K941" s="29">
        <v>3.7844500000000001</v>
      </c>
      <c r="M941" s="41">
        <v>638.27750000000003</v>
      </c>
      <c r="O941" s="26">
        <v>2916.5</v>
      </c>
      <c r="Q941" s="26">
        <v>5696.1750000000002</v>
      </c>
      <c r="S941" s="26">
        <v>1505.1575399999999</v>
      </c>
      <c r="U941" s="29">
        <v>3.2675999999999998</v>
      </c>
      <c r="W941" s="14">
        <v>31.71</v>
      </c>
      <c r="Y941" s="29">
        <v>8.3790309999999995</v>
      </c>
      <c r="AA941" s="41">
        <v>567.63</v>
      </c>
      <c r="AC941" s="27">
        <v>49.585000000000001</v>
      </c>
      <c r="AE941" s="27">
        <v>1</v>
      </c>
      <c r="AG941" s="29">
        <v>7.492375</v>
      </c>
      <c r="AI941" s="29">
        <v>8.75</v>
      </c>
      <c r="AK941" s="27">
        <v>23.936</v>
      </c>
      <c r="AM941" s="27">
        <v>31.704750000000001</v>
      </c>
      <c r="AO941" s="29">
        <v>6.7068250000000003</v>
      </c>
      <c r="AP941" s="11"/>
    </row>
    <row r="942" spans="2:42" hidden="1" outlineLevel="1" x14ac:dyDescent="0.25">
      <c r="B942" s="21">
        <v>43275</v>
      </c>
      <c r="C942" s="27">
        <v>20.010460999999999</v>
      </c>
      <c r="E942" s="30">
        <v>0.85773600000000005</v>
      </c>
      <c r="G942" s="27">
        <v>27.016064</v>
      </c>
      <c r="I942" s="29">
        <v>6.9220750000000004</v>
      </c>
      <c r="K942" s="29">
        <v>3.7846129999999998</v>
      </c>
      <c r="M942" s="41">
        <v>638.27750000000003</v>
      </c>
      <c r="O942" s="26">
        <v>2916.4564679999999</v>
      </c>
      <c r="Q942" s="26">
        <v>5696.1750000000002</v>
      </c>
      <c r="S942" s="26">
        <v>1505.0928699999999</v>
      </c>
      <c r="U942" s="29">
        <v>3.2676180000000001</v>
      </c>
      <c r="W942" s="14">
        <v>31.71</v>
      </c>
      <c r="Y942" s="29">
        <v>8.3786699999999996</v>
      </c>
      <c r="AA942" s="41">
        <v>567.62649599999997</v>
      </c>
      <c r="AC942" s="27">
        <v>49.570321999999997</v>
      </c>
      <c r="AE942" s="27">
        <v>1</v>
      </c>
      <c r="AG942" s="29">
        <v>7.492375</v>
      </c>
      <c r="AI942" s="29">
        <v>8.75</v>
      </c>
      <c r="AK942" s="27">
        <v>23.935254</v>
      </c>
      <c r="AM942" s="27">
        <v>31.704750000000001</v>
      </c>
      <c r="AO942" s="29">
        <v>6.7103289999999998</v>
      </c>
      <c r="AP942" s="11"/>
    </row>
    <row r="943" spans="2:42" hidden="1" outlineLevel="1" x14ac:dyDescent="0.25">
      <c r="B943" s="21">
        <v>43276</v>
      </c>
      <c r="C943" s="27">
        <v>20.043544000000001</v>
      </c>
      <c r="E943" s="30">
        <v>0.85654399999999997</v>
      </c>
      <c r="G943" s="27">
        <v>27.038146000000001</v>
      </c>
      <c r="I943" s="29">
        <v>6.9167310000000004</v>
      </c>
      <c r="K943" s="29">
        <v>3.7810899999999998</v>
      </c>
      <c r="M943" s="41">
        <v>638.67161999999996</v>
      </c>
      <c r="O943" s="26">
        <v>2927.4106339999998</v>
      </c>
      <c r="Q943" s="26">
        <v>5695.7502000000004</v>
      </c>
      <c r="S943" s="26">
        <v>1506.3855799999999</v>
      </c>
      <c r="U943" s="29">
        <v>3.2703549999999999</v>
      </c>
      <c r="W943" s="14">
        <v>31.626034000000001</v>
      </c>
      <c r="Y943" s="29">
        <v>8.3642880000000002</v>
      </c>
      <c r="AA943" s="41">
        <v>567.17243900000005</v>
      </c>
      <c r="AC943" s="27">
        <v>49.580075999999998</v>
      </c>
      <c r="AE943" s="27">
        <v>1</v>
      </c>
      <c r="AG943" s="29">
        <v>7.487355</v>
      </c>
      <c r="AI943" s="29">
        <v>8.75</v>
      </c>
      <c r="AK943" s="27">
        <v>23.927199999999999</v>
      </c>
      <c r="AM943" s="27">
        <v>31.625122000000001</v>
      </c>
      <c r="AO943" s="29">
        <v>6.7037620000000002</v>
      </c>
      <c r="AP943" s="11"/>
    </row>
    <row r="944" spans="2:42" hidden="1" outlineLevel="1" x14ac:dyDescent="0.25">
      <c r="B944" s="21">
        <v>43277</v>
      </c>
      <c r="C944" s="27">
        <v>19.917763999999998</v>
      </c>
      <c r="E944" s="30">
        <v>0.856487</v>
      </c>
      <c r="G944" s="27">
        <v>27.088546000000001</v>
      </c>
      <c r="I944" s="29">
        <v>6.90998</v>
      </c>
      <c r="K944" s="29">
        <v>3.7807719999999998</v>
      </c>
      <c r="M944" s="41">
        <v>639.559665</v>
      </c>
      <c r="O944" s="26">
        <v>2919.6808879999999</v>
      </c>
      <c r="Q944" s="26">
        <v>5692.7622170000004</v>
      </c>
      <c r="S944" s="26">
        <v>1505.7228070000001</v>
      </c>
      <c r="U944" s="29">
        <v>3.2673800000000002</v>
      </c>
      <c r="W944" s="14">
        <v>31.474698</v>
      </c>
      <c r="Y944" s="29">
        <v>8.3249580000000005</v>
      </c>
      <c r="AA944" s="41">
        <v>567.90435000000002</v>
      </c>
      <c r="AC944" s="27">
        <v>49.535491999999998</v>
      </c>
      <c r="AE944" s="27">
        <v>1</v>
      </c>
      <c r="AG944" s="29">
        <v>7.4869459999999997</v>
      </c>
      <c r="AI944" s="29">
        <v>8.75</v>
      </c>
      <c r="AK944" s="27">
        <v>23.915156</v>
      </c>
      <c r="AM944" s="27">
        <v>31.527926000000001</v>
      </c>
      <c r="AO944" s="29">
        <v>6.7011900000000004</v>
      </c>
      <c r="AP944" s="11"/>
    </row>
    <row r="945" spans="2:42" hidden="1" outlineLevel="1" x14ac:dyDescent="0.25">
      <c r="B945" s="21">
        <v>43278</v>
      </c>
      <c r="C945" s="27">
        <v>20.033666</v>
      </c>
      <c r="E945" s="30">
        <v>0.861124</v>
      </c>
      <c r="G945" s="27">
        <v>27.214191</v>
      </c>
      <c r="I945" s="29">
        <v>6.9248450000000004</v>
      </c>
      <c r="K945" s="29">
        <v>3.8240419999999999</v>
      </c>
      <c r="M945" s="41">
        <v>643.37667899999997</v>
      </c>
      <c r="O945" s="26">
        <v>2934.0854239999999</v>
      </c>
      <c r="Q945" s="26">
        <v>5692.7887099999998</v>
      </c>
      <c r="S945" s="26">
        <v>1488.6911700000001</v>
      </c>
      <c r="U945" s="29">
        <v>3.2713770000000002</v>
      </c>
      <c r="W945" s="14">
        <v>31.403749999999999</v>
      </c>
      <c r="Y945" s="29">
        <v>8.2122039999999998</v>
      </c>
      <c r="AA945" s="41">
        <v>569.09928100000002</v>
      </c>
      <c r="AC945" s="27">
        <v>49.640954000000001</v>
      </c>
      <c r="AE945" s="27">
        <v>1</v>
      </c>
      <c r="AG945" s="29">
        <v>7.4990259999999997</v>
      </c>
      <c r="AI945" s="29">
        <v>8.75</v>
      </c>
      <c r="AK945" s="27">
        <v>23.970320000000001</v>
      </c>
      <c r="AM945" s="27">
        <v>31.627412</v>
      </c>
      <c r="AO945" s="29">
        <v>6.7134749999999999</v>
      </c>
      <c r="AP945" s="11"/>
    </row>
    <row r="946" spans="2:42" hidden="1" outlineLevel="1" x14ac:dyDescent="0.25">
      <c r="B946" s="21">
        <v>43279</v>
      </c>
      <c r="C946" s="27">
        <v>19.983378999999999</v>
      </c>
      <c r="E946" s="30">
        <v>0.86451999999999996</v>
      </c>
      <c r="G946" s="27">
        <v>27.656323</v>
      </c>
      <c r="I946" s="29">
        <v>6.9319800000000003</v>
      </c>
      <c r="K946" s="29">
        <v>3.8585029999999998</v>
      </c>
      <c r="M946" s="41">
        <v>647.21494399999995</v>
      </c>
      <c r="O946" s="26">
        <v>2946.543815</v>
      </c>
      <c r="Q946" s="26">
        <v>5702.0870439999999</v>
      </c>
      <c r="S946" s="26">
        <v>1477.8049570000001</v>
      </c>
      <c r="U946" s="29">
        <v>3.2754219999999998</v>
      </c>
      <c r="W946" s="14">
        <v>31.379019</v>
      </c>
      <c r="Y946" s="29">
        <v>8.1324500000000004</v>
      </c>
      <c r="AA946" s="41">
        <v>569.60816599999998</v>
      </c>
      <c r="AC946" s="27">
        <v>49.716037</v>
      </c>
      <c r="AE946" s="27">
        <v>1</v>
      </c>
      <c r="AG946" s="29">
        <v>7.5072900000000002</v>
      </c>
      <c r="AI946" s="29">
        <v>8.75</v>
      </c>
      <c r="AK946" s="27">
        <v>24.003746</v>
      </c>
      <c r="AM946" s="27">
        <v>31.670957999999999</v>
      </c>
      <c r="AO946" s="29">
        <v>6.7177239999999996</v>
      </c>
      <c r="AP946" s="11"/>
    </row>
    <row r="947" spans="2:42" hidden="1" outlineLevel="1" x14ac:dyDescent="0.25">
      <c r="B947" s="21">
        <v>43280</v>
      </c>
      <c r="C947" s="27">
        <v>19.749402</v>
      </c>
      <c r="E947" s="30">
        <v>0.85846</v>
      </c>
      <c r="G947" s="27">
        <v>28.445996999999998</v>
      </c>
      <c r="I947" s="29">
        <v>6.9239519999999999</v>
      </c>
      <c r="K947" s="29">
        <v>3.8640479999999999</v>
      </c>
      <c r="M947" s="41">
        <v>650.68070499999999</v>
      </c>
      <c r="O947" s="26">
        <v>2941.2069740000002</v>
      </c>
      <c r="Q947" s="26">
        <v>5694.8804</v>
      </c>
      <c r="S947" s="26">
        <v>1473.8193759999999</v>
      </c>
      <c r="U947" s="29">
        <v>3.277406</v>
      </c>
      <c r="W947" s="14">
        <v>31.364246999999999</v>
      </c>
      <c r="Y947" s="29">
        <v>8.1169580000000003</v>
      </c>
      <c r="AA947" s="41">
        <v>568.68386799999996</v>
      </c>
      <c r="AC947" s="27">
        <v>49.668861999999997</v>
      </c>
      <c r="AE947" s="27">
        <v>1</v>
      </c>
      <c r="AG947" s="29">
        <v>7.4987339999999998</v>
      </c>
      <c r="AI947" s="29">
        <v>8.75</v>
      </c>
      <c r="AK947" s="27">
        <v>23.986709999999999</v>
      </c>
      <c r="AM947" s="27">
        <v>31.594851999999999</v>
      </c>
      <c r="AO947" s="29">
        <v>6.7125139999999996</v>
      </c>
      <c r="AP947" s="11"/>
    </row>
    <row r="948" spans="2:42" hidden="1" outlineLevel="1" x14ac:dyDescent="0.25">
      <c r="B948" s="21">
        <v>43281</v>
      </c>
      <c r="C948" s="49">
        <v>19.863299999999999</v>
      </c>
      <c r="E948" s="30">
        <v>0.85589999999999999</v>
      </c>
      <c r="G948" s="27">
        <v>28.936900000000001</v>
      </c>
      <c r="I948" s="29">
        <v>6.9202750000000002</v>
      </c>
      <c r="K948" s="29">
        <v>3.8777499999999998</v>
      </c>
      <c r="M948" s="41">
        <v>653.91999999999996</v>
      </c>
      <c r="O948" s="26">
        <v>2931.05</v>
      </c>
      <c r="Q948" s="26">
        <v>5692.2</v>
      </c>
      <c r="S948" s="26">
        <v>1467.9189240000001</v>
      </c>
      <c r="U948" s="29">
        <v>3.2790499999999998</v>
      </c>
      <c r="W948" s="14">
        <v>31.35</v>
      </c>
      <c r="Y948" s="29">
        <v>8.0845920000000007</v>
      </c>
      <c r="AA948" s="41">
        <v>568.22</v>
      </c>
      <c r="AC948" s="27">
        <v>49.602499999999999</v>
      </c>
      <c r="AE948" s="27">
        <v>1</v>
      </c>
      <c r="AG948" s="29">
        <v>7.4934000000000003</v>
      </c>
      <c r="AI948" s="29">
        <v>8.75</v>
      </c>
      <c r="AK948" s="27">
        <v>23.9985</v>
      </c>
      <c r="AM948" s="27">
        <v>31.52</v>
      </c>
      <c r="AO948" s="29">
        <v>6.7051249999999998</v>
      </c>
      <c r="AP948" s="11"/>
    </row>
    <row r="949" spans="2:42" ht="13" collapsed="1" x14ac:dyDescent="0.3">
      <c r="B949" s="25" t="s">
        <v>168</v>
      </c>
      <c r="C949" s="19">
        <v>20.271799999999999</v>
      </c>
      <c r="E949" s="24">
        <v>0.85647600000000002</v>
      </c>
      <c r="G949" s="19">
        <v>26.568200000000001</v>
      </c>
      <c r="I949" s="23">
        <v>6.9221899999999996</v>
      </c>
      <c r="J949" s="9"/>
      <c r="K949" s="23">
        <v>3.7720600000000002</v>
      </c>
      <c r="M949" s="42">
        <v>636.32899999999995</v>
      </c>
      <c r="O949" s="31">
        <v>2891.42</v>
      </c>
      <c r="Q949" s="31">
        <v>5687.68</v>
      </c>
      <c r="S949" s="31">
        <v>1508.09</v>
      </c>
      <c r="U949" s="23">
        <v>3.2717700000000001</v>
      </c>
      <c r="W949" s="23">
        <v>31.385100000000001</v>
      </c>
      <c r="Y949" s="23">
        <v>8.3218800000000002</v>
      </c>
      <c r="AA949" s="42">
        <v>568.45299999999997</v>
      </c>
      <c r="AC949" s="19">
        <v>49.587400000000002</v>
      </c>
      <c r="AE949" s="19">
        <v>1</v>
      </c>
      <c r="AG949" s="23">
        <v>7.4467299999999996</v>
      </c>
      <c r="AI949" s="23">
        <v>8.75</v>
      </c>
      <c r="AK949" s="23">
        <v>23.9435</v>
      </c>
      <c r="AM949" s="23">
        <v>31.591699999999999</v>
      </c>
      <c r="AO949" s="23">
        <v>6.7162899999999999</v>
      </c>
      <c r="AP949" s="10"/>
    </row>
    <row r="950" spans="2:42" ht="11.5" hidden="1" customHeight="1" outlineLevel="1" x14ac:dyDescent="0.25">
      <c r="B950" s="21">
        <v>43282</v>
      </c>
      <c r="C950" s="27">
        <v>19.900855</v>
      </c>
      <c r="E950" s="30">
        <v>0.85599800000000004</v>
      </c>
      <c r="G950" s="27">
        <v>28.940068</v>
      </c>
      <c r="I950" s="29">
        <v>6.9202750000000002</v>
      </c>
      <c r="K950" s="29">
        <v>3.877437</v>
      </c>
      <c r="M950" s="41">
        <v>653.91999999999996</v>
      </c>
      <c r="O950" s="26">
        <v>2931.0363200000002</v>
      </c>
      <c r="Q950" s="26">
        <v>5692.2</v>
      </c>
      <c r="S950" s="26">
        <v>1468.0374710000001</v>
      </c>
      <c r="U950" s="29">
        <v>3.2789640000000002</v>
      </c>
      <c r="W950" s="14">
        <v>31.35</v>
      </c>
      <c r="Y950" s="29">
        <v>8.0852439999999994</v>
      </c>
      <c r="AA950" s="41">
        <v>568.21693800000003</v>
      </c>
      <c r="AC950" s="27">
        <v>49.600496</v>
      </c>
      <c r="AE950" s="27">
        <v>1</v>
      </c>
      <c r="AG950" s="29">
        <v>7.4934000000000003</v>
      </c>
      <c r="AI950" s="29">
        <v>8.75</v>
      </c>
      <c r="AK950" s="27">
        <v>23.998504000000001</v>
      </c>
      <c r="AM950" s="27">
        <v>31.519458</v>
      </c>
      <c r="AO950" s="29">
        <v>6.7051249999999998</v>
      </c>
      <c r="AP950" s="11"/>
    </row>
    <row r="951" spans="2:42" ht="11.5" hidden="1" customHeight="1" outlineLevel="1" x14ac:dyDescent="0.25">
      <c r="B951" s="21">
        <v>43283</v>
      </c>
      <c r="C951" s="27">
        <v>19.991900000000001</v>
      </c>
      <c r="E951" s="30">
        <v>0.85952600000000001</v>
      </c>
      <c r="G951" s="27">
        <v>28.757048000000001</v>
      </c>
      <c r="I951" s="29">
        <v>6.9114579999999997</v>
      </c>
      <c r="K951" s="29">
        <v>3.8921739999999998</v>
      </c>
      <c r="M951" s="41">
        <v>655.51549</v>
      </c>
      <c r="O951" s="26">
        <v>2932.177025</v>
      </c>
      <c r="Q951" s="26">
        <v>5689.5925820000002</v>
      </c>
      <c r="S951" s="26">
        <v>1461.810471</v>
      </c>
      <c r="U951" s="29">
        <v>3.2822149999999999</v>
      </c>
      <c r="W951" s="14">
        <v>31.349892000000001</v>
      </c>
      <c r="Y951" s="29">
        <v>8.0546159999999993</v>
      </c>
      <c r="AA951" s="41">
        <v>567.82795199999998</v>
      </c>
      <c r="AC951" s="27">
        <v>49.600318000000001</v>
      </c>
      <c r="AE951" s="27">
        <v>1</v>
      </c>
      <c r="AG951" s="29">
        <v>7.4899820000000004</v>
      </c>
      <c r="AI951" s="29">
        <v>8.75</v>
      </c>
      <c r="AK951" s="27">
        <v>23.956831000000001</v>
      </c>
      <c r="AM951" s="27">
        <v>31.570682999999999</v>
      </c>
      <c r="AO951" s="29">
        <v>6.6999459999999997</v>
      </c>
      <c r="AP951" s="11"/>
    </row>
    <row r="952" spans="2:42" ht="11.5" hidden="1" customHeight="1" outlineLevel="1" x14ac:dyDescent="0.25">
      <c r="B952" s="21">
        <v>43284</v>
      </c>
      <c r="C952" s="27">
        <v>19.727504</v>
      </c>
      <c r="E952" s="30">
        <v>0.85836400000000002</v>
      </c>
      <c r="G952" s="27">
        <v>28.136703000000001</v>
      </c>
      <c r="I952" s="29">
        <v>6.9164009999999996</v>
      </c>
      <c r="K952" s="29">
        <v>3.9035419999999998</v>
      </c>
      <c r="M952" s="41">
        <v>654.46667400000001</v>
      </c>
      <c r="O952" s="26">
        <v>2921.0173599999998</v>
      </c>
      <c r="Q952" s="26">
        <v>5687.5965859999997</v>
      </c>
      <c r="S952" s="26">
        <v>1457.041804</v>
      </c>
      <c r="U952" s="29">
        <v>3.2860619999999998</v>
      </c>
      <c r="W952" s="14">
        <v>31.471363</v>
      </c>
      <c r="Y952" s="29">
        <v>8.0622740000000004</v>
      </c>
      <c r="AA952" s="41">
        <v>567.97633800000006</v>
      </c>
      <c r="AC952" s="27">
        <v>49.636584999999997</v>
      </c>
      <c r="AE952" s="27">
        <v>1</v>
      </c>
      <c r="AG952" s="29">
        <v>7.4958179999999999</v>
      </c>
      <c r="AI952" s="29">
        <v>8.75</v>
      </c>
      <c r="AK952" s="27">
        <v>23.971043999999999</v>
      </c>
      <c r="AM952" s="27">
        <v>31.626611</v>
      </c>
      <c r="AO952" s="29">
        <v>6.7075699999999996</v>
      </c>
      <c r="AP952" s="11"/>
    </row>
    <row r="953" spans="2:42" ht="11.5" hidden="1" customHeight="1" outlineLevel="1" x14ac:dyDescent="0.25">
      <c r="B953" s="21">
        <v>43285</v>
      </c>
      <c r="C953" s="27">
        <v>19.4605</v>
      </c>
      <c r="E953" s="30">
        <v>0.85788600000000004</v>
      </c>
      <c r="G953" s="27">
        <v>27.988482999999999</v>
      </c>
      <c r="I953" s="29">
        <v>6.913824</v>
      </c>
      <c r="K953" s="29">
        <v>3.9031950000000002</v>
      </c>
      <c r="M953" s="41">
        <v>651.11743200000001</v>
      </c>
      <c r="O953" s="26">
        <v>2908.9099500000002</v>
      </c>
      <c r="Q953" s="26">
        <v>5704.4680969999999</v>
      </c>
      <c r="S953" s="26">
        <v>1461.4941690000001</v>
      </c>
      <c r="U953" s="29">
        <v>3.2881420000000001</v>
      </c>
      <c r="W953" s="14">
        <v>31.566516</v>
      </c>
      <c r="Y953" s="29">
        <v>8.0873699999999999</v>
      </c>
      <c r="AA953" s="41">
        <v>568.05677200000002</v>
      </c>
      <c r="AC953" s="27">
        <v>49.672246000000001</v>
      </c>
      <c r="AE953" s="27">
        <v>1</v>
      </c>
      <c r="AG953" s="29">
        <v>7.4953640000000004</v>
      </c>
      <c r="AI953" s="29">
        <v>8.75</v>
      </c>
      <c r="AK953" s="27">
        <v>23.954443999999999</v>
      </c>
      <c r="AM953" s="27">
        <v>31.677237999999999</v>
      </c>
      <c r="AO953" s="29">
        <v>6.7062799999999996</v>
      </c>
      <c r="AP953" s="11"/>
    </row>
    <row r="954" spans="2:42" ht="11.5" hidden="1" customHeight="1" outlineLevel="1" x14ac:dyDescent="0.25">
      <c r="B954" s="21">
        <v>43286</v>
      </c>
      <c r="C954" s="27">
        <v>19.335097999999999</v>
      </c>
      <c r="E954" s="30">
        <v>0.85579300000000003</v>
      </c>
      <c r="G954" s="27">
        <v>28.089428000000002</v>
      </c>
      <c r="I954" s="29">
        <v>6.9164320000000004</v>
      </c>
      <c r="K954" s="29">
        <v>3.9187120000000002</v>
      </c>
      <c r="M954" s="41">
        <v>653.62706600000001</v>
      </c>
      <c r="O954" s="26">
        <v>2896.0206459999999</v>
      </c>
      <c r="Q954" s="26">
        <v>5710.4030329999996</v>
      </c>
      <c r="S954" s="26">
        <v>1457.2214509999999</v>
      </c>
      <c r="U954" s="29">
        <v>3.288802</v>
      </c>
      <c r="W954" s="14">
        <v>31.569198</v>
      </c>
      <c r="Y954" s="29">
        <v>8.0560299999999998</v>
      </c>
      <c r="AA954" s="41">
        <v>567.94954600000005</v>
      </c>
      <c r="AC954" s="27">
        <v>49.616897999999999</v>
      </c>
      <c r="AE954" s="27">
        <v>1</v>
      </c>
      <c r="AG954" s="29">
        <v>7.4923279999999997</v>
      </c>
      <c r="AI954" s="29">
        <v>8.75</v>
      </c>
      <c r="AK954" s="27">
        <v>23.965606000000001</v>
      </c>
      <c r="AM954" s="27">
        <v>31.614920000000001</v>
      </c>
      <c r="AO954" s="29">
        <v>6.7047540000000003</v>
      </c>
      <c r="AP954" s="11"/>
    </row>
    <row r="955" spans="2:42" ht="11.5" hidden="1" customHeight="1" outlineLevel="1" x14ac:dyDescent="0.25">
      <c r="B955" s="21">
        <v>43287</v>
      </c>
      <c r="C955" s="27">
        <v>19.152916000000001</v>
      </c>
      <c r="E955" s="30">
        <v>0.85307200000000005</v>
      </c>
      <c r="G955" s="27">
        <v>28.038502000000001</v>
      </c>
      <c r="I955" s="29">
        <v>6.9196759999999999</v>
      </c>
      <c r="K955" s="29">
        <v>3.9124599999999998</v>
      </c>
      <c r="M955" s="41">
        <v>656.76796999999999</v>
      </c>
      <c r="O955" s="26">
        <v>2874.4562340000002</v>
      </c>
      <c r="Q955" s="26">
        <v>5715.2103710000001</v>
      </c>
      <c r="S955" s="26">
        <v>1460.7782319999999</v>
      </c>
      <c r="U955" s="29">
        <v>3.2863099999999998</v>
      </c>
      <c r="W955" s="14">
        <v>31.488023999999999</v>
      </c>
      <c r="Y955" s="29">
        <v>8.0481599999999993</v>
      </c>
      <c r="AA955" s="41">
        <v>568.27361199999996</v>
      </c>
      <c r="AC955" s="27">
        <v>49.649155</v>
      </c>
      <c r="AE955" s="27">
        <v>1</v>
      </c>
      <c r="AG955" s="29">
        <v>7.4925639999999998</v>
      </c>
      <c r="AI955" s="29">
        <v>8.75</v>
      </c>
      <c r="AK955" s="27">
        <v>23.978231999999998</v>
      </c>
      <c r="AM955" s="27">
        <v>31.610997999999999</v>
      </c>
      <c r="AO955" s="29">
        <v>6.705946</v>
      </c>
      <c r="AP955" s="11"/>
    </row>
    <row r="956" spans="2:42" ht="11.5" hidden="1" customHeight="1" outlineLevel="1" x14ac:dyDescent="0.25">
      <c r="B956" s="21">
        <v>43288</v>
      </c>
      <c r="C956" s="27">
        <v>19.0444</v>
      </c>
      <c r="E956" s="30">
        <v>0.85149200000000003</v>
      </c>
      <c r="G956" s="27">
        <v>27.920249999999999</v>
      </c>
      <c r="I956" s="29">
        <v>6.9210750000000001</v>
      </c>
      <c r="K956" s="29">
        <v>3.8654000000000002</v>
      </c>
      <c r="M956" s="41">
        <v>656.92250000000001</v>
      </c>
      <c r="O956" s="26">
        <v>2873.9250000000002</v>
      </c>
      <c r="Q956" s="26">
        <v>5719.1</v>
      </c>
      <c r="S956" s="26">
        <v>1479.566446</v>
      </c>
      <c r="U956" s="29">
        <v>3.2825000000000002</v>
      </c>
      <c r="W956" s="14">
        <v>31.47</v>
      </c>
      <c r="Y956" s="29">
        <v>8.1414659999999994</v>
      </c>
      <c r="AA956" s="41">
        <v>568.49749999999995</v>
      </c>
      <c r="AC956" s="27">
        <v>49.62</v>
      </c>
      <c r="AE956" s="27">
        <v>1</v>
      </c>
      <c r="AG956" s="29">
        <v>7.4921499999999996</v>
      </c>
      <c r="AI956" s="29">
        <v>8.75</v>
      </c>
      <c r="AK956" s="27">
        <v>24.007750000000001</v>
      </c>
      <c r="AM956" s="27">
        <v>31.53</v>
      </c>
      <c r="AO956" s="29">
        <v>6.7058249999999999</v>
      </c>
      <c r="AP956" s="11"/>
    </row>
    <row r="957" spans="2:42" ht="11.5" hidden="1" customHeight="1" outlineLevel="1" x14ac:dyDescent="0.25">
      <c r="B957" s="21">
        <v>43289</v>
      </c>
      <c r="C957" s="27">
        <v>19.047013</v>
      </c>
      <c r="E957" s="30">
        <v>0.85144799999999998</v>
      </c>
      <c r="G957" s="27">
        <v>27.925972000000002</v>
      </c>
      <c r="I957" s="29">
        <v>6.9195159999999998</v>
      </c>
      <c r="K957" s="29">
        <v>3.8654280000000001</v>
      </c>
      <c r="M957" s="41">
        <v>656.92250000000001</v>
      </c>
      <c r="O957" s="26">
        <v>2873.8514700000001</v>
      </c>
      <c r="Q957" s="26">
        <v>5717.7451979999996</v>
      </c>
      <c r="S957" s="26">
        <v>1479.2055640000001</v>
      </c>
      <c r="U957" s="29">
        <v>3.2819590000000001</v>
      </c>
      <c r="W957" s="14">
        <v>31.458455000000001</v>
      </c>
      <c r="Y957" s="29">
        <v>8.1384220000000003</v>
      </c>
      <c r="AA957" s="41">
        <v>568.32842100000005</v>
      </c>
      <c r="AC957" s="27">
        <v>49.600873999999997</v>
      </c>
      <c r="AE957" s="27">
        <v>1</v>
      </c>
      <c r="AG957" s="29">
        <v>7.4903740000000001</v>
      </c>
      <c r="AI957" s="29">
        <v>8.75</v>
      </c>
      <c r="AK957" s="27">
        <v>23.994900000000001</v>
      </c>
      <c r="AM957" s="27">
        <v>31.538115999999999</v>
      </c>
      <c r="AO957" s="29">
        <v>6.708081</v>
      </c>
      <c r="AP957" s="11"/>
    </row>
    <row r="958" spans="2:42" ht="11.5" hidden="1" customHeight="1" outlineLevel="1" x14ac:dyDescent="0.25">
      <c r="B958" s="21">
        <v>43290</v>
      </c>
      <c r="C958" s="27">
        <v>19.095832000000001</v>
      </c>
      <c r="E958" s="30">
        <v>0.85036800000000001</v>
      </c>
      <c r="G958" s="27">
        <v>27.924977999999999</v>
      </c>
      <c r="I958" s="29">
        <v>6.91059</v>
      </c>
      <c r="K958" s="29">
        <v>3.8661180000000002</v>
      </c>
      <c r="M958" s="41">
        <v>653.46308599999998</v>
      </c>
      <c r="O958" s="26">
        <v>2877.6417900000001</v>
      </c>
      <c r="Q958" s="26">
        <v>5711.8408589999999</v>
      </c>
      <c r="S958" s="26">
        <v>1477.4210459999999</v>
      </c>
      <c r="U958" s="29">
        <v>3.2810899999999998</v>
      </c>
      <c r="W958" s="14">
        <v>31.403047999999998</v>
      </c>
      <c r="Y958" s="29">
        <v>8.1226599999999998</v>
      </c>
      <c r="AA958" s="41">
        <v>567.23307599999998</v>
      </c>
      <c r="AC958" s="27">
        <v>49.575912000000002</v>
      </c>
      <c r="AE958" s="27">
        <v>1</v>
      </c>
      <c r="AG958" s="29">
        <v>7.484998</v>
      </c>
      <c r="AI958" s="29">
        <v>8.75</v>
      </c>
      <c r="AK958" s="27">
        <v>23.921294</v>
      </c>
      <c r="AM958" s="27">
        <v>31.62255</v>
      </c>
      <c r="AO958" s="29">
        <v>6.72403</v>
      </c>
      <c r="AP958" s="11"/>
    </row>
    <row r="959" spans="2:42" ht="11.5" hidden="1" customHeight="1" outlineLevel="1" x14ac:dyDescent="0.25">
      <c r="B959" s="21">
        <v>43291</v>
      </c>
      <c r="C959" s="27">
        <v>19.098454</v>
      </c>
      <c r="E959" s="30">
        <v>0.85212399999999999</v>
      </c>
      <c r="G959" s="27">
        <v>27.727906999999998</v>
      </c>
      <c r="I959" s="29">
        <v>6.9226520000000002</v>
      </c>
      <c r="K959" s="29">
        <v>3.849062</v>
      </c>
      <c r="M959" s="41">
        <v>649.70468700000004</v>
      </c>
      <c r="O959" s="26">
        <v>2878.6275289999999</v>
      </c>
      <c r="Q959" s="26">
        <v>5701.787198</v>
      </c>
      <c r="S959" s="26">
        <v>1481.3526409999999</v>
      </c>
      <c r="U959" s="29">
        <v>3.2766839999999999</v>
      </c>
      <c r="W959" s="14">
        <v>31.469802000000001</v>
      </c>
      <c r="Y959" s="29">
        <v>8.1759839999999997</v>
      </c>
      <c r="AA959" s="41">
        <v>568.69585099999995</v>
      </c>
      <c r="AC959" s="27">
        <v>49.695292000000002</v>
      </c>
      <c r="AE959" s="27">
        <v>1</v>
      </c>
      <c r="AG959" s="29">
        <v>7.4952519999999998</v>
      </c>
      <c r="AI959" s="29">
        <v>8.75</v>
      </c>
      <c r="AK959" s="27">
        <v>23.978166000000002</v>
      </c>
      <c r="AM959" s="27">
        <v>31.644998000000001</v>
      </c>
      <c r="AO959" s="29">
        <v>6.7253350000000003</v>
      </c>
      <c r="AP959" s="11"/>
    </row>
    <row r="960" spans="2:42" ht="11.5" hidden="1" customHeight="1" outlineLevel="1" x14ac:dyDescent="0.25">
      <c r="B960" s="21">
        <v>43292</v>
      </c>
      <c r="C960" s="27">
        <v>19.025894000000001</v>
      </c>
      <c r="E960" s="30">
        <v>0.85389800000000005</v>
      </c>
      <c r="G960" s="27">
        <v>27.436912</v>
      </c>
      <c r="I960" s="29">
        <v>6.9207400000000003</v>
      </c>
      <c r="K960" s="29">
        <v>3.838184</v>
      </c>
      <c r="M960" s="41">
        <v>650.52587400000004</v>
      </c>
      <c r="O960" s="26">
        <v>2879.4272080000001</v>
      </c>
      <c r="Q960" s="26">
        <v>5691.2440040000001</v>
      </c>
      <c r="S960" s="26">
        <v>1482.803488</v>
      </c>
      <c r="U960" s="29">
        <v>3.2755040000000002</v>
      </c>
      <c r="W960" s="14">
        <v>31.402058</v>
      </c>
      <c r="Y960" s="29">
        <v>8.1815060000000006</v>
      </c>
      <c r="AA960" s="41">
        <v>568.31656599999997</v>
      </c>
      <c r="AC960" s="27">
        <v>49.698452000000003</v>
      </c>
      <c r="AE960" s="27">
        <v>1</v>
      </c>
      <c r="AG960" s="29">
        <v>7.4906550000000003</v>
      </c>
      <c r="AI960" s="29">
        <v>8.75</v>
      </c>
      <c r="AK960" s="27">
        <v>23.958970000000001</v>
      </c>
      <c r="AM960" s="27">
        <v>31.679243</v>
      </c>
      <c r="AO960" s="29">
        <v>6.7246649999999999</v>
      </c>
      <c r="AP960" s="11"/>
    </row>
    <row r="961" spans="2:42" ht="11.5" hidden="1" customHeight="1" outlineLevel="1" x14ac:dyDescent="0.25">
      <c r="B961" s="21">
        <v>43293</v>
      </c>
      <c r="C961" s="27">
        <v>18.965734000000001</v>
      </c>
      <c r="E961" s="30">
        <v>0.85653000000000001</v>
      </c>
      <c r="G961" s="27">
        <v>27.306699999999999</v>
      </c>
      <c r="I961" s="29">
        <v>6.9268780000000003</v>
      </c>
      <c r="K961" s="29">
        <v>3.874485</v>
      </c>
      <c r="M961" s="41">
        <v>650.56833600000004</v>
      </c>
      <c r="O961" s="26">
        <v>2887.0468300000002</v>
      </c>
      <c r="Q961" s="26">
        <v>5706.6260860000002</v>
      </c>
      <c r="S961" s="26">
        <v>1472.8805299999999</v>
      </c>
      <c r="U961" s="29">
        <v>3.2773089999999998</v>
      </c>
      <c r="W961" s="14">
        <v>31.370878000000001</v>
      </c>
      <c r="Y961" s="29">
        <v>8.0968060000000008</v>
      </c>
      <c r="AA961" s="41">
        <v>568.66692899999998</v>
      </c>
      <c r="AC961" s="27">
        <v>49.696564000000002</v>
      </c>
      <c r="AE961" s="27">
        <v>1</v>
      </c>
      <c r="AG961" s="29">
        <v>7.4963360000000003</v>
      </c>
      <c r="AI961" s="29">
        <v>8.75</v>
      </c>
      <c r="AK961" s="27">
        <v>23.989152000000001</v>
      </c>
      <c r="AM961" s="27">
        <v>31.712351999999999</v>
      </c>
      <c r="AO961" s="29">
        <v>6.7144500000000003</v>
      </c>
      <c r="AP961" s="11"/>
    </row>
    <row r="962" spans="2:42" ht="11.5" hidden="1" customHeight="1" outlineLevel="1" x14ac:dyDescent="0.25">
      <c r="B962" s="21">
        <v>43294</v>
      </c>
      <c r="C962" s="27">
        <v>18.952732000000001</v>
      </c>
      <c r="E962" s="30">
        <v>0.85767400000000005</v>
      </c>
      <c r="G962" s="27">
        <v>27.218912</v>
      </c>
      <c r="I962" s="29">
        <v>6.920668</v>
      </c>
      <c r="K962" s="29">
        <v>3.87269</v>
      </c>
      <c r="M962" s="41">
        <v>649.43038999999999</v>
      </c>
      <c r="O962" s="26">
        <v>2868.6171939999999</v>
      </c>
      <c r="Q962" s="26">
        <v>5705.3784800000003</v>
      </c>
      <c r="S962" s="26">
        <v>1473.2408170000001</v>
      </c>
      <c r="U962" s="29">
        <v>3.271925</v>
      </c>
      <c r="W962" s="14">
        <v>31.364930000000001</v>
      </c>
      <c r="Y962" s="29">
        <v>8.0990199999999994</v>
      </c>
      <c r="AA962" s="41">
        <v>568.15288599999997</v>
      </c>
      <c r="AC962" s="27">
        <v>49.684910000000002</v>
      </c>
      <c r="AE962" s="27">
        <v>1</v>
      </c>
      <c r="AG962" s="29">
        <v>7.4903389999999996</v>
      </c>
      <c r="AI962" s="29">
        <v>8.75</v>
      </c>
      <c r="AK962" s="27">
        <v>23.969484000000001</v>
      </c>
      <c r="AM962" s="27">
        <v>31.663689999999999</v>
      </c>
      <c r="AO962" s="29">
        <v>6.7317039999999997</v>
      </c>
      <c r="AP962" s="11"/>
    </row>
    <row r="963" spans="2:42" ht="11.5" hidden="1" customHeight="1" outlineLevel="1" x14ac:dyDescent="0.25">
      <c r="B963" s="21">
        <v>43295</v>
      </c>
      <c r="C963" s="27">
        <v>18.886810000000001</v>
      </c>
      <c r="E963" s="30">
        <v>0.85572499999999996</v>
      </c>
      <c r="G963" s="27">
        <v>27.2544</v>
      </c>
      <c r="I963" s="29">
        <v>6.9213750000000003</v>
      </c>
      <c r="K963" s="29">
        <v>3.851575</v>
      </c>
      <c r="M963" s="41">
        <v>650.41</v>
      </c>
      <c r="O963" s="26">
        <v>2859.11</v>
      </c>
      <c r="Q963" s="26">
        <v>5716.3</v>
      </c>
      <c r="S963" s="26">
        <v>1484.1502069999999</v>
      </c>
      <c r="U963" s="29">
        <v>3.2681249999999999</v>
      </c>
      <c r="W963" s="14">
        <v>31.385000000000002</v>
      </c>
      <c r="Y963" s="29">
        <v>8.1486199999999993</v>
      </c>
      <c r="AA963" s="41">
        <v>567.95500000000004</v>
      </c>
      <c r="AC963" s="27">
        <v>49.685000000000002</v>
      </c>
      <c r="AE963" s="27">
        <v>1</v>
      </c>
      <c r="AG963" s="29">
        <v>7.4904500000000001</v>
      </c>
      <c r="AI963" s="29">
        <v>8.75</v>
      </c>
      <c r="AK963" s="27">
        <v>23.9785</v>
      </c>
      <c r="AM963" s="27">
        <v>31.614750000000001</v>
      </c>
      <c r="AO963" s="29">
        <v>6.7579750000000001</v>
      </c>
      <c r="AP963" s="11"/>
    </row>
    <row r="964" spans="2:42" ht="11.5" hidden="1" customHeight="1" outlineLevel="1" x14ac:dyDescent="0.25">
      <c r="B964" s="21">
        <v>43296</v>
      </c>
      <c r="C964" s="27">
        <v>18.887820999999999</v>
      </c>
      <c r="E964" s="30">
        <v>0.85575100000000004</v>
      </c>
      <c r="G964" s="27">
        <v>27.254778000000002</v>
      </c>
      <c r="I964" s="29">
        <v>6.9213750000000003</v>
      </c>
      <c r="K964" s="29">
        <v>3.851928</v>
      </c>
      <c r="M964" s="41">
        <v>650.41</v>
      </c>
      <c r="O964" s="26">
        <v>2859.110662</v>
      </c>
      <c r="Q964" s="26">
        <v>5716.3</v>
      </c>
      <c r="S964" s="26">
        <v>1484.014518</v>
      </c>
      <c r="U964" s="29">
        <v>3.2681680000000002</v>
      </c>
      <c r="W964" s="14">
        <v>31.385000000000002</v>
      </c>
      <c r="Y964" s="29">
        <v>8.1478739999999998</v>
      </c>
      <c r="AA964" s="41">
        <v>567.93572800000004</v>
      </c>
      <c r="AC964" s="27">
        <v>49.669238999999997</v>
      </c>
      <c r="AE964" s="27">
        <v>1</v>
      </c>
      <c r="AG964" s="29">
        <v>7.4904500000000001</v>
      </c>
      <c r="AI964" s="29">
        <v>8.75</v>
      </c>
      <c r="AK964" s="27">
        <v>23.978542000000001</v>
      </c>
      <c r="AM964" s="27">
        <v>31.614750000000001</v>
      </c>
      <c r="AO964" s="29">
        <v>6.7579750000000001</v>
      </c>
      <c r="AP964" s="11"/>
    </row>
    <row r="965" spans="2:42" ht="11.5" hidden="1" customHeight="1" outlineLevel="1" x14ac:dyDescent="0.25">
      <c r="B965" s="21">
        <v>43297</v>
      </c>
      <c r="C965" s="27">
        <v>18.849506000000002</v>
      </c>
      <c r="E965" s="30">
        <v>0.85450700000000002</v>
      </c>
      <c r="G965" s="27">
        <v>27.282308</v>
      </c>
      <c r="I965" s="29">
        <v>6.912064</v>
      </c>
      <c r="K965" s="29">
        <v>3.8561399999999999</v>
      </c>
      <c r="M965" s="41">
        <v>649.54460600000004</v>
      </c>
      <c r="O965" s="26">
        <v>2863.9075330000001</v>
      </c>
      <c r="Q965" s="26">
        <v>5714.1202620000004</v>
      </c>
      <c r="S965" s="26">
        <v>1481.8310220000001</v>
      </c>
      <c r="U965" s="29">
        <v>3.2654540000000001</v>
      </c>
      <c r="W965" s="14">
        <v>31.344994</v>
      </c>
      <c r="Y965" s="29">
        <v>8.1286120000000004</v>
      </c>
      <c r="AA965" s="41">
        <v>567.22044800000003</v>
      </c>
      <c r="AC965" s="27">
        <v>49.640168000000003</v>
      </c>
      <c r="AE965" s="27">
        <v>1</v>
      </c>
      <c r="AG965" s="29">
        <v>7.4824979999999996</v>
      </c>
      <c r="AI965" s="29">
        <v>8.75</v>
      </c>
      <c r="AK965" s="27">
        <v>23.955473000000001</v>
      </c>
      <c r="AM965" s="27">
        <v>31.613503000000001</v>
      </c>
      <c r="AO965" s="29">
        <v>6.74472</v>
      </c>
      <c r="AP965" s="11"/>
    </row>
    <row r="966" spans="2:42" ht="11.5" hidden="1" customHeight="1" outlineLevel="1" x14ac:dyDescent="0.25">
      <c r="B966" s="21">
        <v>43298</v>
      </c>
      <c r="C966" s="27">
        <v>18.873540999999999</v>
      </c>
      <c r="E966" s="30">
        <v>0.85505399999999998</v>
      </c>
      <c r="G966" s="27">
        <v>27.415569000000001</v>
      </c>
      <c r="I966" s="29">
        <v>6.9282360000000001</v>
      </c>
      <c r="K966" s="29">
        <v>3.8564940000000001</v>
      </c>
      <c r="M966" s="41">
        <v>652.20505000000003</v>
      </c>
      <c r="O966" s="26">
        <v>2874.0934699999998</v>
      </c>
      <c r="Q966" s="26">
        <v>5726.4693440000001</v>
      </c>
      <c r="S966" s="26">
        <v>1484.897234</v>
      </c>
      <c r="U966" s="29">
        <v>3.2684160000000002</v>
      </c>
      <c r="W966" s="14">
        <v>31.359966</v>
      </c>
      <c r="Y966" s="29">
        <v>8.1317459999999997</v>
      </c>
      <c r="AA966" s="41">
        <v>567.83148800000004</v>
      </c>
      <c r="AC966" s="27">
        <v>49.760902000000002</v>
      </c>
      <c r="AE966" s="27">
        <v>1</v>
      </c>
      <c r="AG966" s="29">
        <v>7.4906899999999998</v>
      </c>
      <c r="AI966" s="29">
        <v>8.75</v>
      </c>
      <c r="AK966" s="27">
        <v>23.983172</v>
      </c>
      <c r="AM966" s="27">
        <v>31.711735999999998</v>
      </c>
      <c r="AO966" s="29">
        <v>6.7453329999999996</v>
      </c>
      <c r="AP966" s="11"/>
    </row>
    <row r="967" spans="2:42" ht="11.5" hidden="1" customHeight="1" outlineLevel="1" x14ac:dyDescent="0.25">
      <c r="B967" s="21">
        <v>43299</v>
      </c>
      <c r="C967" s="27">
        <v>18.923206</v>
      </c>
      <c r="E967" s="30">
        <v>0.85912599999999995</v>
      </c>
      <c r="G967" s="27">
        <v>27.569302</v>
      </c>
      <c r="I967" s="29">
        <v>6.928966</v>
      </c>
      <c r="K967" s="29">
        <v>3.8408500000000001</v>
      </c>
      <c r="M967" s="41">
        <v>654.16348100000005</v>
      </c>
      <c r="O967" s="26">
        <v>2872.9954520000001</v>
      </c>
      <c r="Q967" s="26">
        <v>5736.606546</v>
      </c>
      <c r="S967" s="26">
        <v>1493.5843139999999</v>
      </c>
      <c r="U967" s="29">
        <v>3.2744499999999999</v>
      </c>
      <c r="W967" s="14">
        <v>31.33689</v>
      </c>
      <c r="Y967" s="29">
        <v>8.1588580000000004</v>
      </c>
      <c r="AA967" s="41">
        <v>568.65262099999995</v>
      </c>
      <c r="AC967" s="27">
        <v>49.895108</v>
      </c>
      <c r="AE967" s="27">
        <v>1</v>
      </c>
      <c r="AG967" s="29">
        <v>7.4997100000000003</v>
      </c>
      <c r="AI967" s="29">
        <v>8.75</v>
      </c>
      <c r="AK967" s="27">
        <v>24.021782000000002</v>
      </c>
      <c r="AM967" s="27">
        <v>31.784791999999999</v>
      </c>
      <c r="AO967" s="29">
        <v>6.7500359999999997</v>
      </c>
      <c r="AP967" s="11"/>
    </row>
    <row r="968" spans="2:42" ht="11.5" hidden="1" customHeight="1" outlineLevel="1" x14ac:dyDescent="0.25">
      <c r="B968" s="21">
        <v>43300</v>
      </c>
      <c r="C968" s="27">
        <v>19.006710000000002</v>
      </c>
      <c r="E968" s="30">
        <v>0.85996300000000003</v>
      </c>
      <c r="G968" s="27">
        <v>27.673746999999999</v>
      </c>
      <c r="I968" s="29">
        <v>6.9194610000000001</v>
      </c>
      <c r="K968" s="29">
        <v>3.8552909999999998</v>
      </c>
      <c r="M968" s="41">
        <v>657.842128</v>
      </c>
      <c r="O968" s="26">
        <v>2872.9852329999999</v>
      </c>
      <c r="Q968" s="26">
        <v>5733.1154999999999</v>
      </c>
      <c r="S968" s="26">
        <v>1487.084591</v>
      </c>
      <c r="U968" s="29">
        <v>3.272268</v>
      </c>
      <c r="W968" s="14">
        <v>31.220245999999999</v>
      </c>
      <c r="Y968" s="29">
        <v>8.0980419999999995</v>
      </c>
      <c r="AA968" s="41">
        <v>568.04169899999999</v>
      </c>
      <c r="AC968" s="27">
        <v>49.846899000000001</v>
      </c>
      <c r="AE968" s="27">
        <v>1</v>
      </c>
      <c r="AG968" s="29">
        <v>7.487673</v>
      </c>
      <c r="AI968" s="29">
        <v>8.75</v>
      </c>
      <c r="AK968" s="27">
        <v>23.968048</v>
      </c>
      <c r="AM968" s="27">
        <v>31.694241999999999</v>
      </c>
      <c r="AO968" s="29">
        <v>6.7445300000000001</v>
      </c>
      <c r="AP968" s="11"/>
    </row>
    <row r="969" spans="2:42" ht="11.5" hidden="1" customHeight="1" outlineLevel="1" x14ac:dyDescent="0.25">
      <c r="B969" s="21">
        <v>43301</v>
      </c>
      <c r="C969" s="27">
        <v>19.041421</v>
      </c>
      <c r="E969" s="30">
        <v>0.85595399999999999</v>
      </c>
      <c r="G969" s="27">
        <v>27.681124000000001</v>
      </c>
      <c r="I969" s="29">
        <v>6.9097359999999997</v>
      </c>
      <c r="K969" s="29">
        <v>3.8040400000000001</v>
      </c>
      <c r="M969" s="41">
        <v>661.81028200000003</v>
      </c>
      <c r="O969" s="26">
        <v>2878.930738</v>
      </c>
      <c r="Q969" s="26">
        <v>5732.1459569999997</v>
      </c>
      <c r="S969" s="26">
        <v>1506.8639000000001</v>
      </c>
      <c r="U969" s="29">
        <v>3.2698520000000002</v>
      </c>
      <c r="W969" s="14">
        <v>31.15962</v>
      </c>
      <c r="Y969" s="29">
        <v>8.1912059999999993</v>
      </c>
      <c r="AA969" s="41">
        <v>567.57001400000001</v>
      </c>
      <c r="AC969" s="27">
        <v>49.806511</v>
      </c>
      <c r="AE969" s="27">
        <v>1</v>
      </c>
      <c r="AG969" s="29">
        <v>7.4799179999999996</v>
      </c>
      <c r="AI969" s="29">
        <v>8.75</v>
      </c>
      <c r="AK969" s="27">
        <v>23.946186000000001</v>
      </c>
      <c r="AM969" s="27">
        <v>31.649609999999999</v>
      </c>
      <c r="AO969" s="29">
        <v>6.7365279999999998</v>
      </c>
      <c r="AP969" s="11"/>
    </row>
    <row r="970" spans="2:42" ht="11.5" hidden="1" customHeight="1" outlineLevel="1" x14ac:dyDescent="0.25">
      <c r="B970" s="21">
        <v>43302</v>
      </c>
      <c r="C970" s="27">
        <v>19.025765</v>
      </c>
      <c r="E970" s="30">
        <v>0.85313399999999995</v>
      </c>
      <c r="G970" s="27">
        <v>27.600999999999999</v>
      </c>
      <c r="I970" s="29">
        <v>6.919975</v>
      </c>
      <c r="K970" s="29">
        <v>3.7706499999999998</v>
      </c>
      <c r="M970" s="41">
        <v>660.69</v>
      </c>
      <c r="O970" s="26">
        <v>2872</v>
      </c>
      <c r="Q970" s="26">
        <v>5742.4</v>
      </c>
      <c r="S970" s="26">
        <v>1522.9241119999999</v>
      </c>
      <c r="U970" s="29">
        <v>3.2757499999999999</v>
      </c>
      <c r="W970" s="14">
        <v>31.204999999999998</v>
      </c>
      <c r="Y970" s="29">
        <v>8.2757660000000008</v>
      </c>
      <c r="AA970" s="41">
        <v>567.95500000000004</v>
      </c>
      <c r="AC970" s="27">
        <v>49.76</v>
      </c>
      <c r="AE970" s="27">
        <v>1</v>
      </c>
      <c r="AG970" s="29">
        <v>7.4876250000000004</v>
      </c>
      <c r="AI970" s="29">
        <v>8.75</v>
      </c>
      <c r="AK970" s="27">
        <v>23.997</v>
      </c>
      <c r="AM970" s="27">
        <v>31.679749999999999</v>
      </c>
      <c r="AO970" s="29">
        <v>6.7433750000000003</v>
      </c>
      <c r="AP970" s="11"/>
    </row>
    <row r="971" spans="2:42" ht="11.5" hidden="1" customHeight="1" outlineLevel="1" x14ac:dyDescent="0.25">
      <c r="B971" s="21">
        <v>43303</v>
      </c>
      <c r="C971" s="27">
        <v>19.026489999999999</v>
      </c>
      <c r="E971" s="30">
        <v>0.85304400000000002</v>
      </c>
      <c r="G971" s="27">
        <v>27.593983000000001</v>
      </c>
      <c r="I971" s="29">
        <v>6.9173840000000002</v>
      </c>
      <c r="K971" s="29">
        <v>3.770842</v>
      </c>
      <c r="M971" s="41">
        <v>660.69</v>
      </c>
      <c r="O971" s="26">
        <v>2871.9396280000001</v>
      </c>
      <c r="Q971" s="26">
        <v>5740.258186</v>
      </c>
      <c r="S971" s="26">
        <v>1522.2791769999999</v>
      </c>
      <c r="U971" s="29">
        <v>3.2739639999999999</v>
      </c>
      <c r="W971" s="14">
        <v>31.193477000000001</v>
      </c>
      <c r="Y971" s="29">
        <v>8.2722920000000002</v>
      </c>
      <c r="AA971" s="41">
        <v>567.74244199999998</v>
      </c>
      <c r="AC971" s="27">
        <v>49.750238000000003</v>
      </c>
      <c r="AE971" s="27">
        <v>1</v>
      </c>
      <c r="AG971" s="29">
        <v>7.4848379999999999</v>
      </c>
      <c r="AI971" s="29">
        <v>8.75</v>
      </c>
      <c r="AK971" s="27">
        <v>23.979403999999999</v>
      </c>
      <c r="AM971" s="27">
        <v>31.667082000000001</v>
      </c>
      <c r="AO971" s="29">
        <v>6.7408580000000002</v>
      </c>
      <c r="AP971" s="11"/>
    </row>
    <row r="972" spans="2:42" ht="11.5" hidden="1" customHeight="1" outlineLevel="1" x14ac:dyDescent="0.25">
      <c r="B972" s="21">
        <v>43304</v>
      </c>
      <c r="C972" s="27">
        <v>19.036470000000001</v>
      </c>
      <c r="E972" s="30">
        <v>0.85372999999999999</v>
      </c>
      <c r="G972" s="27">
        <v>27.583658</v>
      </c>
      <c r="I972" s="29">
        <v>6.8994669999999996</v>
      </c>
      <c r="K972" s="29">
        <v>3.7781549999999999</v>
      </c>
      <c r="M972" s="41">
        <v>661.21510899999998</v>
      </c>
      <c r="O972" s="26">
        <v>2880.07483</v>
      </c>
      <c r="Q972" s="26">
        <v>5733.6210339999998</v>
      </c>
      <c r="S972" s="26">
        <v>1517.579066</v>
      </c>
      <c r="U972" s="29">
        <v>3.2713899999999998</v>
      </c>
      <c r="W972" s="14">
        <v>31.134668999999999</v>
      </c>
      <c r="Y972" s="29">
        <v>8.2407299999999992</v>
      </c>
      <c r="AA972" s="41">
        <v>567.19063100000005</v>
      </c>
      <c r="AC972" s="27">
        <v>49.726607999999999</v>
      </c>
      <c r="AE972" s="27">
        <v>1</v>
      </c>
      <c r="AG972" s="29">
        <v>7.4768359999999996</v>
      </c>
      <c r="AI972" s="29">
        <v>8.75</v>
      </c>
      <c r="AK972" s="27">
        <v>23.904978</v>
      </c>
      <c r="AM972" s="27">
        <v>31.647005</v>
      </c>
      <c r="AO972" s="29">
        <v>6.729571</v>
      </c>
      <c r="AP972" s="11"/>
    </row>
    <row r="973" spans="2:42" ht="11.5" hidden="1" customHeight="1" outlineLevel="1" x14ac:dyDescent="0.25">
      <c r="B973" s="21">
        <v>43305</v>
      </c>
      <c r="C973" s="27">
        <v>18.884295000000002</v>
      </c>
      <c r="E973" s="30">
        <v>0.85551699999999997</v>
      </c>
      <c r="G973" s="27">
        <v>27.555513999999999</v>
      </c>
      <c r="I973" s="29">
        <v>6.9218820000000001</v>
      </c>
      <c r="K973" s="29">
        <v>3.7652960000000002</v>
      </c>
      <c r="M973" s="41">
        <v>658.78378499999997</v>
      </c>
      <c r="O973" s="26">
        <v>2902.4661099999998</v>
      </c>
      <c r="Q973" s="26">
        <v>5748.5641139999998</v>
      </c>
      <c r="S973" s="26">
        <v>1526.730161</v>
      </c>
      <c r="U973" s="29">
        <v>3.2774960000000002</v>
      </c>
      <c r="W973" s="14">
        <v>31.120151</v>
      </c>
      <c r="Y973" s="29">
        <v>8.2650100000000002</v>
      </c>
      <c r="AA973" s="41">
        <v>568.87729999999999</v>
      </c>
      <c r="AC973" s="27">
        <v>49.856833999999999</v>
      </c>
      <c r="AE973" s="27">
        <v>1</v>
      </c>
      <c r="AG973" s="29">
        <v>7.4924999999999997</v>
      </c>
      <c r="AI973" s="29">
        <v>8.75</v>
      </c>
      <c r="AK973" s="27">
        <v>23.962412</v>
      </c>
      <c r="AM973" s="27">
        <v>31.753916</v>
      </c>
      <c r="AO973" s="29">
        <v>6.7561479999999996</v>
      </c>
      <c r="AP973" s="11"/>
    </row>
    <row r="974" spans="2:42" ht="11.5" hidden="1" customHeight="1" outlineLevel="1" x14ac:dyDescent="0.25">
      <c r="B974" s="21">
        <v>43306</v>
      </c>
      <c r="C974" s="27">
        <v>18.785855000000002</v>
      </c>
      <c r="E974" s="30">
        <v>0.85491399999999995</v>
      </c>
      <c r="G974" s="27">
        <v>27.429273999999999</v>
      </c>
      <c r="I974" s="29">
        <v>6.9237120000000001</v>
      </c>
      <c r="K974" s="29">
        <v>3.7257859999999998</v>
      </c>
      <c r="M974" s="41">
        <v>651.50584300000003</v>
      </c>
      <c r="O974" s="26">
        <v>2890.051641</v>
      </c>
      <c r="Q974" s="26">
        <v>5747.0255440000001</v>
      </c>
      <c r="S974" s="26">
        <v>1542.50812</v>
      </c>
      <c r="U974" s="29">
        <v>3.276348</v>
      </c>
      <c r="W974" s="14">
        <v>31.063590000000001</v>
      </c>
      <c r="Y974" s="29">
        <v>8.3374780000000008</v>
      </c>
      <c r="AA974" s="41">
        <v>569.00875199999996</v>
      </c>
      <c r="AC974" s="27">
        <v>49.826732</v>
      </c>
      <c r="AE974" s="27">
        <v>1</v>
      </c>
      <c r="AG974" s="29">
        <v>7.4930380000000003</v>
      </c>
      <c r="AI974" s="29">
        <v>8.75</v>
      </c>
      <c r="AK974" s="27">
        <v>23.962125</v>
      </c>
      <c r="AM974" s="27">
        <v>31.780908</v>
      </c>
      <c r="AO974" s="29">
        <v>6.7576499999999999</v>
      </c>
      <c r="AP974" s="11"/>
    </row>
    <row r="975" spans="2:42" ht="11.5" hidden="1" customHeight="1" outlineLevel="1" x14ac:dyDescent="0.25">
      <c r="B975" s="21">
        <v>43307</v>
      </c>
      <c r="C975" s="27">
        <v>18.671700000000001</v>
      </c>
      <c r="E975" s="30">
        <v>0.85522799999999999</v>
      </c>
      <c r="G975" s="27">
        <v>27.390805</v>
      </c>
      <c r="I975" s="29">
        <v>6.9087259999999997</v>
      </c>
      <c r="K975" s="29">
        <v>3.710486</v>
      </c>
      <c r="M975" s="41">
        <v>646.941642</v>
      </c>
      <c r="O975" s="26">
        <v>2884.5894280000002</v>
      </c>
      <c r="Q975" s="26">
        <v>5739.6447630000002</v>
      </c>
      <c r="S975" s="26">
        <v>1546.879332</v>
      </c>
      <c r="U975" s="29">
        <v>3.2713299999999998</v>
      </c>
      <c r="W975" s="14">
        <v>30.903573999999999</v>
      </c>
      <c r="Y975" s="29">
        <v>8.3287320000000005</v>
      </c>
      <c r="AA975" s="41">
        <v>568.05420800000002</v>
      </c>
      <c r="AC975" s="27">
        <v>49.760928</v>
      </c>
      <c r="AE975" s="27">
        <v>1</v>
      </c>
      <c r="AG975" s="29">
        <v>7.4839000000000002</v>
      </c>
      <c r="AI975" s="29">
        <v>8.75</v>
      </c>
      <c r="AK975" s="27">
        <v>23.926680999999999</v>
      </c>
      <c r="AM975" s="27">
        <v>31.746483999999999</v>
      </c>
      <c r="AO975" s="29">
        <v>6.7508879999999998</v>
      </c>
      <c r="AP975" s="11"/>
    </row>
    <row r="976" spans="2:42" ht="11.5" hidden="1" customHeight="1" outlineLevel="1" x14ac:dyDescent="0.25">
      <c r="B976" s="21">
        <v>43308</v>
      </c>
      <c r="C976" s="27">
        <v>18.622411</v>
      </c>
      <c r="E976" s="30">
        <v>0.85855000000000004</v>
      </c>
      <c r="G976" s="27">
        <v>27.368941</v>
      </c>
      <c r="I976" s="29">
        <v>6.9291340000000003</v>
      </c>
      <c r="K976" s="29">
        <v>3.7314780000000001</v>
      </c>
      <c r="M976" s="41">
        <v>645.77501700000005</v>
      </c>
      <c r="O976" s="26">
        <v>2883.414538</v>
      </c>
      <c r="Q976" s="26">
        <v>5755.4932179999996</v>
      </c>
      <c r="S976" s="26">
        <v>1542.4238379999999</v>
      </c>
      <c r="U976" s="29">
        <v>3.2739440000000002</v>
      </c>
      <c r="W976" s="14">
        <v>30.832249999999998</v>
      </c>
      <c r="Y976" s="29">
        <v>8.2627620000000004</v>
      </c>
      <c r="AA976" s="41">
        <v>568.876172</v>
      </c>
      <c r="AC976" s="27">
        <v>49.891123999999998</v>
      </c>
      <c r="AE976" s="27">
        <v>1</v>
      </c>
      <c r="AG976" s="29">
        <v>7.5032690000000004</v>
      </c>
      <c r="AI976" s="29">
        <v>8.75</v>
      </c>
      <c r="AK976" s="27">
        <v>23.979949999999999</v>
      </c>
      <c r="AM976" s="27">
        <v>31.868369999999999</v>
      </c>
      <c r="AO976" s="29">
        <v>6.7685380000000004</v>
      </c>
      <c r="AP976" s="11"/>
    </row>
    <row r="977" spans="2:42" ht="11.5" hidden="1" customHeight="1" outlineLevel="1" x14ac:dyDescent="0.25">
      <c r="B977" s="21">
        <v>43309</v>
      </c>
      <c r="C977" s="27">
        <v>18.630870000000002</v>
      </c>
      <c r="E977" s="30">
        <v>0.85786099999999998</v>
      </c>
      <c r="G977" s="27">
        <v>27.322600000000001</v>
      </c>
      <c r="I977" s="29">
        <v>6.9175750000000003</v>
      </c>
      <c r="K977" s="29">
        <v>3.7129750000000001</v>
      </c>
      <c r="M977" s="41">
        <v>643.37750000000005</v>
      </c>
      <c r="O977" s="26">
        <v>2887</v>
      </c>
      <c r="Q977" s="26">
        <v>5739.9250000000002</v>
      </c>
      <c r="S977" s="26">
        <v>1545.9141219999999</v>
      </c>
      <c r="U977" s="29">
        <v>3.2688999999999999</v>
      </c>
      <c r="W977" s="14">
        <v>30.745000000000001</v>
      </c>
      <c r="Y977" s="29">
        <v>8.2804269999999995</v>
      </c>
      <c r="AA977" s="41">
        <v>568.08500000000004</v>
      </c>
      <c r="AC977" s="27">
        <v>49.817500000000003</v>
      </c>
      <c r="AE977" s="27">
        <v>1</v>
      </c>
      <c r="AG977" s="29">
        <v>7.494675</v>
      </c>
      <c r="AI977" s="29">
        <v>8.75</v>
      </c>
      <c r="AK977" s="27">
        <v>23.94875</v>
      </c>
      <c r="AM977" s="27">
        <v>31.873249999999999</v>
      </c>
      <c r="AO977" s="29">
        <v>6.759525</v>
      </c>
      <c r="AP977" s="11"/>
    </row>
    <row r="978" spans="2:42" ht="11.5" hidden="1" customHeight="1" outlineLevel="1" x14ac:dyDescent="0.25">
      <c r="B978" s="21">
        <v>43310</v>
      </c>
      <c r="C978" s="27">
        <v>18.62959</v>
      </c>
      <c r="E978" s="30">
        <v>0.85784199999999999</v>
      </c>
      <c r="G978" s="27">
        <v>27.321930999999999</v>
      </c>
      <c r="I978" s="29">
        <v>6.9175750000000003</v>
      </c>
      <c r="K978" s="29">
        <v>3.7130580000000002</v>
      </c>
      <c r="M978" s="41">
        <v>643.37750000000005</v>
      </c>
      <c r="O978" s="26">
        <v>2886.9995640000002</v>
      </c>
      <c r="Q978" s="26">
        <v>5739.9250000000002</v>
      </c>
      <c r="S978" s="26">
        <v>1545.879672</v>
      </c>
      <c r="U978" s="29">
        <v>3.2689300000000001</v>
      </c>
      <c r="W978" s="14">
        <v>30.745000000000001</v>
      </c>
      <c r="Y978" s="29">
        <v>8.2802410000000002</v>
      </c>
      <c r="AA978" s="41">
        <v>568.08346100000006</v>
      </c>
      <c r="AC978" s="27">
        <v>49.815784000000001</v>
      </c>
      <c r="AE978" s="27">
        <v>1</v>
      </c>
      <c r="AG978" s="29">
        <v>7.494675</v>
      </c>
      <c r="AI978" s="29">
        <v>8.75</v>
      </c>
      <c r="AK978" s="27">
        <v>23.948647000000001</v>
      </c>
      <c r="AM978" s="27">
        <v>31.871597999999999</v>
      </c>
      <c r="AO978" s="29">
        <v>6.759525</v>
      </c>
      <c r="AP978" s="11"/>
    </row>
    <row r="979" spans="2:42" ht="11.5" hidden="1" customHeight="1" outlineLevel="1" x14ac:dyDescent="0.25">
      <c r="B979" s="21">
        <v>43311</v>
      </c>
      <c r="C979" s="27">
        <v>18.587810999999999</v>
      </c>
      <c r="E979" s="30">
        <v>0.85575199999999996</v>
      </c>
      <c r="G979" s="27">
        <v>27.306664999999999</v>
      </c>
      <c r="I979" s="29">
        <v>6.910342</v>
      </c>
      <c r="K979" s="29">
        <v>3.718518</v>
      </c>
      <c r="M979" s="41">
        <v>641.56003399999997</v>
      </c>
      <c r="O979" s="26">
        <v>2880.6380140000001</v>
      </c>
      <c r="Q979" s="26">
        <v>5734.9815790000002</v>
      </c>
      <c r="S979" s="26">
        <v>1542.2831659999999</v>
      </c>
      <c r="U979" s="29">
        <v>3.2674919999999998</v>
      </c>
      <c r="W979" s="14">
        <v>30.711171</v>
      </c>
      <c r="Y979" s="29">
        <v>8.2589989999999993</v>
      </c>
      <c r="AA979" s="41">
        <v>567.52952400000004</v>
      </c>
      <c r="AC979" s="27">
        <v>49.738256</v>
      </c>
      <c r="AE979" s="27">
        <v>1</v>
      </c>
      <c r="AG979" s="29">
        <v>7.4878390000000001</v>
      </c>
      <c r="AI979" s="29">
        <v>8.75</v>
      </c>
      <c r="AK979" s="27">
        <v>23.934176000000001</v>
      </c>
      <c r="AM979" s="27">
        <v>31.760145999999999</v>
      </c>
      <c r="AO979" s="29">
        <v>6.74634</v>
      </c>
      <c r="AP979" s="12"/>
    </row>
    <row r="980" spans="2:42" ht="11.5" hidden="1" customHeight="1" outlineLevel="1" x14ac:dyDescent="0.25">
      <c r="B980" s="21">
        <v>43312</v>
      </c>
      <c r="C980" s="49">
        <v>18.5413</v>
      </c>
      <c r="E980" s="30">
        <v>0.85402699999999998</v>
      </c>
      <c r="G980" s="27">
        <v>27.314592000000001</v>
      </c>
      <c r="I980" s="29">
        <v>6.9109680000000004</v>
      </c>
      <c r="K980" s="29">
        <v>3.740853</v>
      </c>
      <c r="M980" s="41">
        <v>638.37670300000002</v>
      </c>
      <c r="O980" s="26">
        <v>2879.9331339999999</v>
      </c>
      <c r="Q980" s="26">
        <v>5731.9302260000004</v>
      </c>
      <c r="S980" s="26">
        <v>1532.2599660000001</v>
      </c>
      <c r="U980" s="29">
        <v>3.2690009999999998</v>
      </c>
      <c r="W980" s="14">
        <v>30.668935999999999</v>
      </c>
      <c r="Y980" s="29">
        <v>8.1984019999999997</v>
      </c>
      <c r="AA980" s="41">
        <v>567.84389399999998</v>
      </c>
      <c r="AC980" s="27">
        <v>49.742696000000002</v>
      </c>
      <c r="AE980" s="27">
        <v>1</v>
      </c>
      <c r="AG980" s="29">
        <v>7.4889809999999999</v>
      </c>
      <c r="AI980" s="29">
        <v>8.75</v>
      </c>
      <c r="AK980" s="27">
        <v>23.941582</v>
      </c>
      <c r="AM980" s="27">
        <v>31.750982</v>
      </c>
      <c r="AO980" s="29">
        <v>6.7414719999999999</v>
      </c>
      <c r="AP980" s="12"/>
    </row>
    <row r="981" spans="2:42" ht="13" collapsed="1" x14ac:dyDescent="0.3">
      <c r="B981" s="25" t="s">
        <v>169</v>
      </c>
      <c r="C981" s="19">
        <v>19.0229</v>
      </c>
      <c r="E981" s="24">
        <v>0.85547899999999999</v>
      </c>
      <c r="G981" s="19">
        <v>27.655899999999999</v>
      </c>
      <c r="I981" s="23">
        <v>6.9180000000000001</v>
      </c>
      <c r="J981" s="9"/>
      <c r="K981" s="23">
        <v>3.8223600000000002</v>
      </c>
      <c r="M981" s="42">
        <v>652.31100000000004</v>
      </c>
      <c r="O981" s="31">
        <v>2883.97</v>
      </c>
      <c r="Q981" s="31">
        <v>5722</v>
      </c>
      <c r="S981" s="31">
        <v>1497.51</v>
      </c>
      <c r="U981" s="23">
        <v>3.2754400000000001</v>
      </c>
      <c r="W981" s="23">
        <v>31.233830000000001</v>
      </c>
      <c r="Y981" s="23">
        <v>8.1727500000000006</v>
      </c>
      <c r="AA981" s="42">
        <v>568.08500000000004</v>
      </c>
      <c r="AC981" s="19">
        <v>49.720599999999997</v>
      </c>
      <c r="AE981" s="19">
        <v>1</v>
      </c>
      <c r="AG981" s="23">
        <v>7.4906199999999998</v>
      </c>
      <c r="AI981" s="23">
        <v>8.75</v>
      </c>
      <c r="AK981" s="23">
        <v>23.96651</v>
      </c>
      <c r="AM981" s="23">
        <v>31.680440000000001</v>
      </c>
      <c r="AO981" s="23">
        <v>6.7340200000000001</v>
      </c>
      <c r="AP981" s="10"/>
    </row>
    <row r="982" spans="2:42" hidden="1" outlineLevel="1" x14ac:dyDescent="0.25">
      <c r="B982" s="21">
        <v>43313</v>
      </c>
      <c r="C982" s="27">
        <v>18.636742000000002</v>
      </c>
      <c r="E982" s="30">
        <v>0.85641199999999995</v>
      </c>
      <c r="G982" s="27">
        <v>27.475884000000001</v>
      </c>
      <c r="I982" s="29">
        <v>6.9226330000000003</v>
      </c>
      <c r="K982" s="29">
        <v>3.7526329999999999</v>
      </c>
      <c r="M982" s="41">
        <v>639.58569599999998</v>
      </c>
      <c r="O982" s="26">
        <v>2892.0397280000002</v>
      </c>
      <c r="Q982" s="26">
        <v>5749.1436180000001</v>
      </c>
      <c r="S982" s="26">
        <v>1532.036445</v>
      </c>
      <c r="U982" s="29">
        <v>3.2730480000000002</v>
      </c>
      <c r="W982" s="14">
        <v>30.631045</v>
      </c>
      <c r="Y982" s="29">
        <v>8.1625639999999997</v>
      </c>
      <c r="AA982" s="41">
        <v>568.91206799999998</v>
      </c>
      <c r="AC982" s="27">
        <v>49.449984000000001</v>
      </c>
      <c r="AE982" s="27">
        <v>1</v>
      </c>
      <c r="AG982" s="29">
        <v>7.5005160000000002</v>
      </c>
      <c r="AI982" s="29">
        <v>8.75</v>
      </c>
      <c r="AK982" s="27">
        <v>23.995398000000002</v>
      </c>
      <c r="AM982" s="27">
        <v>31.840337999999999</v>
      </c>
      <c r="AO982" s="29">
        <v>6.7529459999999997</v>
      </c>
      <c r="AP982" s="11"/>
    </row>
    <row r="983" spans="2:42" hidden="1" outlineLevel="1" x14ac:dyDescent="0.25">
      <c r="B983" s="21">
        <v>43314</v>
      </c>
      <c r="C983" s="27">
        <v>18.648056</v>
      </c>
      <c r="E983" s="30">
        <v>0.86051</v>
      </c>
      <c r="G983" s="27">
        <v>27.509785999999998</v>
      </c>
      <c r="I983" s="29">
        <v>6.9255259999999996</v>
      </c>
      <c r="K983" s="29">
        <v>3.754178</v>
      </c>
      <c r="M983" s="41">
        <v>643.88840900000002</v>
      </c>
      <c r="O983" s="26">
        <v>2900.218719</v>
      </c>
      <c r="Q983" s="26">
        <v>5752.6357239999998</v>
      </c>
      <c r="S983" s="26">
        <v>1532.336456</v>
      </c>
      <c r="U983" s="29">
        <v>3.2718500000000001</v>
      </c>
      <c r="W983" s="14">
        <v>30.583106000000001</v>
      </c>
      <c r="Y983" s="29">
        <v>8.1464379999999998</v>
      </c>
      <c r="AA983" s="41">
        <v>569.00598200000002</v>
      </c>
      <c r="AC983" s="27">
        <v>49.884188000000002</v>
      </c>
      <c r="AE983" s="27">
        <v>1</v>
      </c>
      <c r="AG983" s="29">
        <v>7.4988799999999998</v>
      </c>
      <c r="AI983" s="29">
        <v>8.75</v>
      </c>
      <c r="AK983" s="27">
        <v>23.988218</v>
      </c>
      <c r="AM983" s="27">
        <v>31.820381000000001</v>
      </c>
      <c r="AO983" s="29">
        <v>6.7516080000000001</v>
      </c>
      <c r="AP983" s="11"/>
    </row>
    <row r="984" spans="2:42" hidden="1" outlineLevel="1" x14ac:dyDescent="0.25">
      <c r="B984" s="21">
        <v>43315</v>
      </c>
      <c r="C984" s="27">
        <v>18.622665999999999</v>
      </c>
      <c r="E984" s="30">
        <v>0.86335200000000001</v>
      </c>
      <c r="G984" s="27">
        <v>27.388186999999999</v>
      </c>
      <c r="I984" s="29">
        <v>6.9219569999999999</v>
      </c>
      <c r="K984" s="29">
        <v>3.7321260000000001</v>
      </c>
      <c r="M984" s="41">
        <v>644.52994200000001</v>
      </c>
      <c r="O984" s="26">
        <v>2900.785554</v>
      </c>
      <c r="Q984" s="26">
        <v>5752.585298</v>
      </c>
      <c r="S984" s="26">
        <v>1541.376882</v>
      </c>
      <c r="U984" s="29">
        <v>3.2721680000000002</v>
      </c>
      <c r="W984" s="14">
        <v>30.606859</v>
      </c>
      <c r="Y984" s="29">
        <v>8.2009349999999994</v>
      </c>
      <c r="AA984" s="41">
        <v>568.83871999999997</v>
      </c>
      <c r="AC984" s="27">
        <v>49.898724999999999</v>
      </c>
      <c r="AE984" s="27">
        <v>1</v>
      </c>
      <c r="AG984" s="29">
        <v>7.4988159999999997</v>
      </c>
      <c r="AI984" s="29">
        <v>8.75</v>
      </c>
      <c r="AK984" s="27">
        <v>23.998049999999999</v>
      </c>
      <c r="AM984" s="27">
        <v>31.834057000000001</v>
      </c>
      <c r="AO984" s="29">
        <v>6.7450580000000002</v>
      </c>
      <c r="AP984" s="11"/>
    </row>
    <row r="985" spans="2:42" hidden="1" outlineLevel="1" x14ac:dyDescent="0.25">
      <c r="B985" s="21">
        <v>43316</v>
      </c>
      <c r="C985" s="27">
        <v>18.561675000000001</v>
      </c>
      <c r="E985" s="30">
        <v>0.86440899999999998</v>
      </c>
      <c r="G985" s="27">
        <v>27.29</v>
      </c>
      <c r="I985" s="29">
        <v>6.915775</v>
      </c>
      <c r="K985" s="29">
        <v>3.705975</v>
      </c>
      <c r="M985" s="41">
        <v>643.98749999999995</v>
      </c>
      <c r="O985" s="26">
        <v>2892.5749999999998</v>
      </c>
      <c r="Q985" s="26">
        <v>5747.85</v>
      </c>
      <c r="S985" s="26">
        <v>1550.9757159999999</v>
      </c>
      <c r="U985" s="29">
        <v>3.2671999999999999</v>
      </c>
      <c r="W985" s="14">
        <v>30.627500000000001</v>
      </c>
      <c r="Y985" s="29">
        <v>8.2643660000000008</v>
      </c>
      <c r="AA985" s="41">
        <v>568.48749999999995</v>
      </c>
      <c r="AC985" s="27">
        <v>49.832500000000003</v>
      </c>
      <c r="AE985" s="27">
        <v>1</v>
      </c>
      <c r="AG985" s="29">
        <v>7.4919250000000002</v>
      </c>
      <c r="AI985" s="29">
        <v>8.75</v>
      </c>
      <c r="AK985" s="27">
        <v>23.997499999999999</v>
      </c>
      <c r="AM985" s="27">
        <v>31.73</v>
      </c>
      <c r="AO985" s="29">
        <v>6.7335250000000002</v>
      </c>
      <c r="AP985" s="11"/>
    </row>
    <row r="986" spans="2:42" hidden="1" outlineLevel="1" x14ac:dyDescent="0.25">
      <c r="B986" s="21">
        <v>43317</v>
      </c>
      <c r="C986" s="27">
        <v>18.561677</v>
      </c>
      <c r="E986" s="30">
        <v>0.86443199999999998</v>
      </c>
      <c r="G986" s="27">
        <v>27.290645999999999</v>
      </c>
      <c r="I986" s="29">
        <v>6.915775</v>
      </c>
      <c r="K986" s="29">
        <v>3.7059280000000001</v>
      </c>
      <c r="M986" s="41">
        <v>643.98725000000002</v>
      </c>
      <c r="O986" s="26">
        <v>2892.5677919999998</v>
      </c>
      <c r="Q986" s="26">
        <v>5747.85</v>
      </c>
      <c r="S986" s="26">
        <v>1550.995772</v>
      </c>
      <c r="U986" s="29">
        <v>3.2672699999999999</v>
      </c>
      <c r="W986" s="14">
        <v>30.627500000000001</v>
      </c>
      <c r="Y986" s="29">
        <v>8.2644719999999996</v>
      </c>
      <c r="AA986" s="41">
        <v>568.48636599999998</v>
      </c>
      <c r="AC986" s="27">
        <v>49.830793999999997</v>
      </c>
      <c r="AE986" s="27">
        <v>1</v>
      </c>
      <c r="AG986" s="29">
        <v>7.4919250000000002</v>
      </c>
      <c r="AI986" s="29">
        <v>8.75</v>
      </c>
      <c r="AK986" s="27">
        <v>23.997707999999999</v>
      </c>
      <c r="AM986" s="27">
        <v>31.729973999999999</v>
      </c>
      <c r="AO986" s="29">
        <v>6.7335250000000002</v>
      </c>
      <c r="AP986" s="11"/>
    </row>
    <row r="987" spans="2:42" hidden="1" outlineLevel="1" x14ac:dyDescent="0.25">
      <c r="B987" s="21">
        <v>43318</v>
      </c>
      <c r="C987" s="27">
        <v>18.555712</v>
      </c>
      <c r="E987" s="30">
        <v>0.865367</v>
      </c>
      <c r="G987" s="27">
        <v>27.357310999999999</v>
      </c>
      <c r="I987" s="29">
        <v>6.9248380000000003</v>
      </c>
      <c r="K987" s="29">
        <v>3.7158199999999999</v>
      </c>
      <c r="M987" s="41">
        <v>645.18708000000004</v>
      </c>
      <c r="O987" s="26">
        <v>2895.062664</v>
      </c>
      <c r="Q987" s="26">
        <v>5751.4490349999996</v>
      </c>
      <c r="S987" s="26">
        <v>1547.8351740000001</v>
      </c>
      <c r="U987" s="29">
        <v>3.2699259999999999</v>
      </c>
      <c r="W987" s="14">
        <v>30.701934000000001</v>
      </c>
      <c r="Y987" s="29">
        <v>8.2625119999999992</v>
      </c>
      <c r="AA987" s="41">
        <v>568.71825200000001</v>
      </c>
      <c r="AC987" s="27">
        <v>49.893237999999997</v>
      </c>
      <c r="AE987" s="27">
        <v>1</v>
      </c>
      <c r="AG987" s="29">
        <v>7.4960269999999998</v>
      </c>
      <c r="AI987" s="29">
        <v>8.75</v>
      </c>
      <c r="AK987" s="27">
        <v>23.987635999999998</v>
      </c>
      <c r="AM987" s="27">
        <v>31.833701999999999</v>
      </c>
      <c r="AO987" s="29">
        <v>6.7411019999999997</v>
      </c>
      <c r="AP987" s="11"/>
    </row>
    <row r="988" spans="2:42" hidden="1" outlineLevel="1" x14ac:dyDescent="0.25">
      <c r="B988" s="21">
        <v>43319</v>
      </c>
      <c r="C988" s="27">
        <v>18.483233999999999</v>
      </c>
      <c r="E988" s="30">
        <v>0.86330600000000002</v>
      </c>
      <c r="G988" s="27">
        <v>27.310708000000002</v>
      </c>
      <c r="I988" s="29">
        <v>6.9199099999999998</v>
      </c>
      <c r="K988" s="29">
        <v>3.7325599999999999</v>
      </c>
      <c r="M988" s="41">
        <v>643.93328499999996</v>
      </c>
      <c r="O988" s="26">
        <v>2897.73425</v>
      </c>
      <c r="Q988" s="26">
        <v>5740.4830540000003</v>
      </c>
      <c r="S988" s="26">
        <v>1537.955119</v>
      </c>
      <c r="U988" s="29">
        <v>3.2671619999999999</v>
      </c>
      <c r="W988" s="14">
        <v>30.660191000000001</v>
      </c>
      <c r="Y988" s="29">
        <v>8.2142700000000008</v>
      </c>
      <c r="AA988" s="41">
        <v>568.24679800000001</v>
      </c>
      <c r="AC988" s="27">
        <v>49.853344</v>
      </c>
      <c r="AE988" s="27">
        <v>1</v>
      </c>
      <c r="AG988" s="29">
        <v>7.4876719999999999</v>
      </c>
      <c r="AI988" s="29">
        <v>8.75</v>
      </c>
      <c r="AK988" s="27">
        <v>23.963314</v>
      </c>
      <c r="AM988" s="27">
        <v>31.856549999999999</v>
      </c>
      <c r="AO988" s="29">
        <v>6.7361969999999998</v>
      </c>
      <c r="AP988" s="11"/>
    </row>
    <row r="989" spans="2:42" hidden="1" outlineLevel="1" x14ac:dyDescent="0.25">
      <c r="B989" s="21">
        <v>43320</v>
      </c>
      <c r="C989" s="27">
        <v>18.463609999999999</v>
      </c>
      <c r="E989" s="30">
        <v>0.86165400000000003</v>
      </c>
      <c r="G989" s="27">
        <v>27.458487999999999</v>
      </c>
      <c r="I989" s="29">
        <v>6.9184549999999998</v>
      </c>
      <c r="K989" s="29">
        <v>3.754534</v>
      </c>
      <c r="M989" s="41">
        <v>643.76217699999995</v>
      </c>
      <c r="O989" s="26">
        <v>2901.8249599999999</v>
      </c>
      <c r="Q989" s="26">
        <v>5743.4892419999996</v>
      </c>
      <c r="S989" s="26">
        <v>1529.755339</v>
      </c>
      <c r="U989" s="29">
        <v>3.2674280000000002</v>
      </c>
      <c r="W989" s="14">
        <v>30.409002000000001</v>
      </c>
      <c r="Y989" s="29">
        <v>8.0993040000000001</v>
      </c>
      <c r="AA989" s="41">
        <v>568.44703200000004</v>
      </c>
      <c r="AC989" s="27">
        <v>49.859703000000003</v>
      </c>
      <c r="AE989" s="27">
        <v>1</v>
      </c>
      <c r="AG989" s="29">
        <v>7.4887240000000004</v>
      </c>
      <c r="AI989" s="29">
        <v>8.75</v>
      </c>
      <c r="AK989" s="27">
        <v>23.975511999999998</v>
      </c>
      <c r="AM989" s="27">
        <v>31.874692</v>
      </c>
      <c r="AO989" s="29">
        <v>6.7395699999999996</v>
      </c>
      <c r="AP989" s="11"/>
    </row>
    <row r="990" spans="2:42" hidden="1" outlineLevel="1" x14ac:dyDescent="0.25">
      <c r="B990" s="21">
        <v>43321</v>
      </c>
      <c r="C990" s="27">
        <v>18.573937999999998</v>
      </c>
      <c r="E990" s="30">
        <v>0.86368800000000001</v>
      </c>
      <c r="G990" s="27">
        <v>27.780875999999999</v>
      </c>
      <c r="I990" s="29">
        <v>6.921144</v>
      </c>
      <c r="K990" s="29">
        <v>3.7835519999999998</v>
      </c>
      <c r="M990" s="41">
        <v>645.13024199999995</v>
      </c>
      <c r="O990" s="26">
        <v>2911.6177600000001</v>
      </c>
      <c r="Q990" s="26">
        <v>5744.0732070000004</v>
      </c>
      <c r="S990" s="26">
        <v>1518.176346</v>
      </c>
      <c r="U990" s="29">
        <v>3.2679040000000001</v>
      </c>
      <c r="W990" s="14">
        <v>30.174992</v>
      </c>
      <c r="Y990" s="29">
        <v>7.9753340000000001</v>
      </c>
      <c r="AA990" s="41">
        <v>568.23655199999996</v>
      </c>
      <c r="AC990" s="27">
        <v>49.85812</v>
      </c>
      <c r="AE990" s="27">
        <v>1</v>
      </c>
      <c r="AG990" s="29">
        <v>7.4881320000000002</v>
      </c>
      <c r="AI990" s="29">
        <v>8.75</v>
      </c>
      <c r="AK990" s="27">
        <v>23.969382</v>
      </c>
      <c r="AM990" s="27">
        <v>31.867981</v>
      </c>
      <c r="AO990" s="29">
        <v>6.7470879999999998</v>
      </c>
      <c r="AP990" s="11"/>
    </row>
    <row r="991" spans="2:42" hidden="1" outlineLevel="1" x14ac:dyDescent="0.25">
      <c r="B991" s="21">
        <v>43322</v>
      </c>
      <c r="C991" s="27">
        <v>18.860406000000001</v>
      </c>
      <c r="E991" s="30">
        <v>0.87314099999999994</v>
      </c>
      <c r="G991" s="27">
        <v>28.617412999999999</v>
      </c>
      <c r="I991" s="29">
        <v>6.9294640000000003</v>
      </c>
      <c r="K991" s="29">
        <v>3.8304399999999998</v>
      </c>
      <c r="M991" s="41">
        <v>650.80896399999995</v>
      </c>
      <c r="O991" s="26">
        <v>2919.545572</v>
      </c>
      <c r="Q991" s="26">
        <v>5758.9302399999997</v>
      </c>
      <c r="S991" s="26">
        <v>1503.4721509999999</v>
      </c>
      <c r="U991" s="29">
        <v>3.2770600000000001</v>
      </c>
      <c r="W991" s="14">
        <v>30.325761</v>
      </c>
      <c r="Y991" s="29">
        <v>7.9170619999999996</v>
      </c>
      <c r="AA991" s="41">
        <v>569.07615799999996</v>
      </c>
      <c r="AC991" s="27">
        <v>49.983747999999999</v>
      </c>
      <c r="AE991" s="27">
        <v>1</v>
      </c>
      <c r="AG991" s="29">
        <v>7.5000039999999997</v>
      </c>
      <c r="AI991" s="29">
        <v>8.75</v>
      </c>
      <c r="AK991" s="27">
        <v>24.026816</v>
      </c>
      <c r="AM991" s="27">
        <v>31.970554</v>
      </c>
      <c r="AO991" s="29">
        <v>6.7629539999999997</v>
      </c>
      <c r="AP991" s="11"/>
    </row>
    <row r="992" spans="2:42" hidden="1" outlineLevel="1" x14ac:dyDescent="0.25">
      <c r="B992" s="21">
        <v>43323</v>
      </c>
      <c r="C992" s="27">
        <v>18.902635</v>
      </c>
      <c r="E992" s="30">
        <v>0.87636999999999998</v>
      </c>
      <c r="G992" s="27">
        <v>29.314</v>
      </c>
      <c r="I992" s="29">
        <v>6.9171750000000003</v>
      </c>
      <c r="K992" s="29">
        <v>3.865075</v>
      </c>
      <c r="M992" s="41">
        <v>654.75</v>
      </c>
      <c r="O992" s="26">
        <v>2928.5</v>
      </c>
      <c r="Q992" s="26">
        <v>5754.8</v>
      </c>
      <c r="S992" s="26">
        <v>1488.9312809999999</v>
      </c>
      <c r="U992" s="29">
        <v>3.2767249999999999</v>
      </c>
      <c r="W992" s="14">
        <v>30.452500000000001</v>
      </c>
      <c r="Y992" s="29">
        <v>7.8788999999999998</v>
      </c>
      <c r="AA992" s="41">
        <v>568.53</v>
      </c>
      <c r="AC992" s="27">
        <v>49.8675</v>
      </c>
      <c r="AE992" s="27">
        <v>1</v>
      </c>
      <c r="AG992" s="29">
        <v>7.4888250000000003</v>
      </c>
      <c r="AI992" s="29">
        <v>8.75</v>
      </c>
      <c r="AK992" s="27">
        <v>24.034749999999999</v>
      </c>
      <c r="AM992" s="27">
        <v>31.954750000000001</v>
      </c>
      <c r="AO992" s="29">
        <v>6.7565249999999999</v>
      </c>
      <c r="AP992" s="11"/>
    </row>
    <row r="993" spans="2:42" hidden="1" outlineLevel="1" x14ac:dyDescent="0.25">
      <c r="B993" s="21">
        <v>43324</v>
      </c>
      <c r="C993" s="27">
        <v>18.920110000000001</v>
      </c>
      <c r="E993" s="30">
        <v>0.87655099999999997</v>
      </c>
      <c r="G993" s="27">
        <v>29.307853000000001</v>
      </c>
      <c r="I993" s="29">
        <v>6.9171750000000003</v>
      </c>
      <c r="K993" s="29">
        <v>3.865456</v>
      </c>
      <c r="M993" s="41">
        <v>654.68438400000002</v>
      </c>
      <c r="O993" s="26">
        <v>2930.3457090000002</v>
      </c>
      <c r="Q993" s="26">
        <v>5754.8</v>
      </c>
      <c r="S993" s="26">
        <v>1488.7847019999999</v>
      </c>
      <c r="U993" s="29">
        <v>3.2771439999999998</v>
      </c>
      <c r="W993" s="14">
        <v>30.452500000000001</v>
      </c>
      <c r="Y993" s="29">
        <v>7.8781239999999997</v>
      </c>
      <c r="AA993" s="41">
        <v>568.528232</v>
      </c>
      <c r="AC993" s="27">
        <v>49.863619</v>
      </c>
      <c r="AE993" s="27">
        <v>1</v>
      </c>
      <c r="AG993" s="29">
        <v>7.4888250000000003</v>
      </c>
      <c r="AI993" s="29">
        <v>8.75</v>
      </c>
      <c r="AK993" s="27">
        <v>24.031777999999999</v>
      </c>
      <c r="AM993" s="27">
        <v>31.956547</v>
      </c>
      <c r="AO993" s="29">
        <v>6.7565249999999999</v>
      </c>
      <c r="AP993" s="11"/>
    </row>
    <row r="994" spans="2:42" hidden="1" outlineLevel="1" x14ac:dyDescent="0.25">
      <c r="B994" s="21">
        <v>43325</v>
      </c>
      <c r="C994" s="27">
        <v>19.195388000000001</v>
      </c>
      <c r="E994" s="30">
        <v>0.87765599999999999</v>
      </c>
      <c r="G994" s="27">
        <v>29.587213999999999</v>
      </c>
      <c r="I994" s="29">
        <v>6.9246239999999997</v>
      </c>
      <c r="K994" s="29">
        <v>3.8794599999999999</v>
      </c>
      <c r="M994" s="41">
        <v>657.16669999999999</v>
      </c>
      <c r="O994" s="26">
        <v>2962.4413960000002</v>
      </c>
      <c r="Q994" s="26">
        <v>5763.6949670000004</v>
      </c>
      <c r="S994" s="26">
        <v>1485.704268</v>
      </c>
      <c r="U994" s="29">
        <v>3.2854000000000001</v>
      </c>
      <c r="W994" s="14">
        <v>30.739972000000002</v>
      </c>
      <c r="Y994" s="29">
        <v>7.9238039999999996</v>
      </c>
      <c r="AA994" s="41">
        <v>569.26648599999999</v>
      </c>
      <c r="AC994" s="27">
        <v>49.956705999999997</v>
      </c>
      <c r="AE994" s="27">
        <v>1</v>
      </c>
      <c r="AG994" s="29">
        <v>7.4993660000000002</v>
      </c>
      <c r="AI994" s="29">
        <v>8.75</v>
      </c>
      <c r="AK994" s="27">
        <v>24.013739000000001</v>
      </c>
      <c r="AM994" s="27">
        <v>31.973932999999999</v>
      </c>
      <c r="AO994" s="29">
        <v>6.767989</v>
      </c>
      <c r="AP994" s="11"/>
    </row>
    <row r="995" spans="2:42" hidden="1" outlineLevel="1" x14ac:dyDescent="0.25">
      <c r="B995" s="21">
        <v>43326</v>
      </c>
      <c r="C995" s="27">
        <v>18.980076</v>
      </c>
      <c r="E995" s="30">
        <v>0.87858000000000003</v>
      </c>
      <c r="G995" s="27">
        <v>29.778431000000001</v>
      </c>
      <c r="I995" s="29">
        <v>6.9117629999999997</v>
      </c>
      <c r="K995" s="29">
        <v>3.8794400000000002</v>
      </c>
      <c r="M995" s="41">
        <v>661.74580800000001</v>
      </c>
      <c r="O995" s="26">
        <v>2999.5159039999999</v>
      </c>
      <c r="Q995" s="26">
        <v>5755.9596199999996</v>
      </c>
      <c r="S995" s="26">
        <v>1483.7154</v>
      </c>
      <c r="U995" s="29">
        <v>3.287995</v>
      </c>
      <c r="W995" s="14">
        <v>31.115043</v>
      </c>
      <c r="Y995" s="29">
        <v>8.0205160000000006</v>
      </c>
      <c r="AA995" s="41">
        <v>568.29789000000005</v>
      </c>
      <c r="AC995" s="27">
        <v>49.872678000000001</v>
      </c>
      <c r="AE995" s="27">
        <v>1</v>
      </c>
      <c r="AG995" s="29">
        <v>7.4850139999999996</v>
      </c>
      <c r="AI995" s="29">
        <v>8.75</v>
      </c>
      <c r="AK995" s="27">
        <v>23.957211999999998</v>
      </c>
      <c r="AM995" s="27">
        <v>31.916031</v>
      </c>
      <c r="AO995" s="29">
        <v>6.7596220000000002</v>
      </c>
      <c r="AP995" s="11"/>
    </row>
    <row r="996" spans="2:42" hidden="1" outlineLevel="1" x14ac:dyDescent="0.25">
      <c r="B996" s="21">
        <v>43327</v>
      </c>
      <c r="C996" s="27">
        <v>19.068269999999998</v>
      </c>
      <c r="E996" s="30">
        <v>0.882386</v>
      </c>
      <c r="G996" s="27">
        <v>29.855423999999999</v>
      </c>
      <c r="I996" s="29">
        <v>6.9255420000000001</v>
      </c>
      <c r="K996" s="29">
        <v>3.8851089999999999</v>
      </c>
      <c r="M996" s="41">
        <v>666.029268</v>
      </c>
      <c r="O996" s="26">
        <v>3029.9413970000001</v>
      </c>
      <c r="Q996" s="26">
        <v>5759.0833570000004</v>
      </c>
      <c r="S996" s="26">
        <v>1482.354566</v>
      </c>
      <c r="U996" s="29">
        <v>3.3086530000000001</v>
      </c>
      <c r="W996" s="14">
        <v>31.402895999999998</v>
      </c>
      <c r="Y996" s="29">
        <v>8.0829050000000002</v>
      </c>
      <c r="AA996" s="41">
        <v>569.35707300000001</v>
      </c>
      <c r="AC996" s="27">
        <v>49.924376000000002</v>
      </c>
      <c r="AE996" s="27">
        <v>1</v>
      </c>
      <c r="AG996" s="29">
        <v>7.4971180000000004</v>
      </c>
      <c r="AI996" s="29">
        <v>8.75</v>
      </c>
      <c r="AK996" s="27">
        <v>23.991990999999999</v>
      </c>
      <c r="AM996" s="27">
        <v>31.982645999999999</v>
      </c>
      <c r="AO996" s="29">
        <v>6.7726579999999998</v>
      </c>
      <c r="AP996" s="11"/>
    </row>
    <row r="997" spans="2:42" hidden="1" outlineLevel="1" x14ac:dyDescent="0.25">
      <c r="B997" s="21">
        <v>43328</v>
      </c>
      <c r="C997" s="27">
        <v>19.055357999999998</v>
      </c>
      <c r="E997" s="30">
        <v>0.87919899999999995</v>
      </c>
      <c r="G997" s="27">
        <v>29.820844000000001</v>
      </c>
      <c r="I997" s="29">
        <v>6.9135350000000004</v>
      </c>
      <c r="K997" s="29">
        <v>3.8991129999999998</v>
      </c>
      <c r="M997" s="41">
        <v>668.60813399999995</v>
      </c>
      <c r="O997" s="26">
        <v>3036.7695389999999</v>
      </c>
      <c r="Q997" s="26">
        <v>5753.2279079999998</v>
      </c>
      <c r="S997" s="26">
        <v>1475.5288459999999</v>
      </c>
      <c r="U997" s="29">
        <v>3.310584</v>
      </c>
      <c r="W997" s="14">
        <v>31.400511000000002</v>
      </c>
      <c r="Y997" s="29">
        <v>8.0532599999999999</v>
      </c>
      <c r="AA997" s="41">
        <v>568.211409</v>
      </c>
      <c r="AC997" s="27">
        <v>49.884928000000002</v>
      </c>
      <c r="AE997" s="27">
        <v>1</v>
      </c>
      <c r="AG997" s="29">
        <v>7.4830379999999996</v>
      </c>
      <c r="AI997" s="29">
        <v>8.75</v>
      </c>
      <c r="AK997" s="27">
        <v>23.955164</v>
      </c>
      <c r="AM997" s="27">
        <v>31.876601999999998</v>
      </c>
      <c r="AO997" s="29">
        <v>6.7522820000000001</v>
      </c>
      <c r="AP997" s="11"/>
    </row>
    <row r="998" spans="2:42" hidden="1" outlineLevel="1" x14ac:dyDescent="0.25">
      <c r="B998" s="21">
        <v>43329</v>
      </c>
      <c r="C998" s="27">
        <v>19.007739999999998</v>
      </c>
      <c r="E998" s="30">
        <v>0.87691799999999998</v>
      </c>
      <c r="G998" s="27">
        <v>29.769382</v>
      </c>
      <c r="I998" s="29">
        <v>6.9188280000000004</v>
      </c>
      <c r="K998" s="29">
        <v>3.9163030000000001</v>
      </c>
      <c r="M998" s="41">
        <v>668.67672000000005</v>
      </c>
      <c r="O998" s="26">
        <v>3024.7304800000002</v>
      </c>
      <c r="Q998" s="26">
        <v>5760.7764900000002</v>
      </c>
      <c r="S998" s="26">
        <v>1470.979576</v>
      </c>
      <c r="U998" s="29">
        <v>3.3150900000000001</v>
      </c>
      <c r="W998" s="14">
        <v>31.494312000000001</v>
      </c>
      <c r="Y998" s="29">
        <v>8.0418620000000001</v>
      </c>
      <c r="AA998" s="41">
        <v>567.98933599999998</v>
      </c>
      <c r="AC998" s="27">
        <v>49.811065999999997</v>
      </c>
      <c r="AE998" s="27">
        <v>1</v>
      </c>
      <c r="AG998" s="29">
        <v>7.4851809999999999</v>
      </c>
      <c r="AI998" s="29">
        <v>8.75</v>
      </c>
      <c r="AK998" s="27">
        <v>23.964642000000001</v>
      </c>
      <c r="AM998" s="27">
        <v>31.890091999999999</v>
      </c>
      <c r="AO998" s="29">
        <v>6.7391030000000001</v>
      </c>
      <c r="AP998" s="11"/>
    </row>
    <row r="999" spans="2:42" hidden="1" outlineLevel="1" x14ac:dyDescent="0.25">
      <c r="B999" s="21">
        <v>43330</v>
      </c>
      <c r="C999" s="27">
        <v>18.890495000000001</v>
      </c>
      <c r="E999" s="30">
        <v>0.87423300000000004</v>
      </c>
      <c r="G999" s="27">
        <v>29.859500000000001</v>
      </c>
      <c r="I999" s="29">
        <v>6.9221750000000002</v>
      </c>
      <c r="K999" s="29">
        <v>3.9108499999999999</v>
      </c>
      <c r="M999" s="41">
        <v>667.7</v>
      </c>
      <c r="O999" s="26">
        <v>3033.5</v>
      </c>
      <c r="Q999" s="26">
        <v>5761.5</v>
      </c>
      <c r="S999" s="26">
        <v>1473.214984</v>
      </c>
      <c r="U999" s="29">
        <v>3.3162750000000001</v>
      </c>
      <c r="W999" s="14">
        <v>31.532499999999999</v>
      </c>
      <c r="Y999" s="29">
        <v>8.0628320000000002</v>
      </c>
      <c r="AA999" s="41">
        <v>567.75</v>
      </c>
      <c r="AC999" s="27">
        <v>49.732500000000002</v>
      </c>
      <c r="AE999" s="27">
        <v>1</v>
      </c>
      <c r="AG999" s="29">
        <v>7.484775</v>
      </c>
      <c r="AI999" s="29">
        <v>8.75</v>
      </c>
      <c r="AK999" s="27">
        <v>23.989000000000001</v>
      </c>
      <c r="AM999" s="27">
        <v>31.909749999999999</v>
      </c>
      <c r="AO999" s="29">
        <v>6.7356249999999998</v>
      </c>
      <c r="AP999" s="11"/>
    </row>
    <row r="1000" spans="2:42" hidden="1" outlineLevel="1" x14ac:dyDescent="0.25">
      <c r="B1000" s="21">
        <v>43331</v>
      </c>
      <c r="C1000" s="27">
        <v>18.891075000000001</v>
      </c>
      <c r="E1000" s="30">
        <v>0.87424199999999996</v>
      </c>
      <c r="G1000" s="27">
        <v>29.859676</v>
      </c>
      <c r="I1000" s="29">
        <v>6.9221750000000002</v>
      </c>
      <c r="K1000" s="29">
        <v>3.9112680000000002</v>
      </c>
      <c r="M1000" s="41">
        <v>667.83545000000004</v>
      </c>
      <c r="O1000" s="26">
        <v>3033.4537780000001</v>
      </c>
      <c r="Q1000" s="26">
        <v>5761.5</v>
      </c>
      <c r="S1000" s="26">
        <v>1473.05765</v>
      </c>
      <c r="U1000" s="29">
        <v>3.3165140000000002</v>
      </c>
      <c r="W1000" s="14">
        <v>31.532499999999999</v>
      </c>
      <c r="Y1000" s="29">
        <v>8.0619709999999998</v>
      </c>
      <c r="AA1000" s="41">
        <v>567.74424299999998</v>
      </c>
      <c r="AC1000" s="27">
        <v>49.737262000000001</v>
      </c>
      <c r="AE1000" s="27">
        <v>1</v>
      </c>
      <c r="AG1000" s="29">
        <v>7.484775</v>
      </c>
      <c r="AI1000" s="29">
        <v>8.75</v>
      </c>
      <c r="AK1000" s="27">
        <v>23.992045999999998</v>
      </c>
      <c r="AM1000" s="27">
        <v>31.905618</v>
      </c>
      <c r="AO1000" s="29">
        <v>6.7356249999999998</v>
      </c>
      <c r="AP1000" s="11"/>
    </row>
    <row r="1001" spans="2:42" hidden="1" outlineLevel="1" x14ac:dyDescent="0.25">
      <c r="B1001" s="21">
        <v>43332</v>
      </c>
      <c r="C1001" s="27">
        <v>18.960652</v>
      </c>
      <c r="E1001" s="30">
        <v>0.87404999999999999</v>
      </c>
      <c r="G1001" s="27">
        <v>29.866655000000002</v>
      </c>
      <c r="I1001" s="29">
        <v>6.9129199999999997</v>
      </c>
      <c r="K1001" s="29">
        <v>3.9333840000000002</v>
      </c>
      <c r="M1001" s="41">
        <v>668.81436799999994</v>
      </c>
      <c r="O1001" s="26">
        <v>3031.306259</v>
      </c>
      <c r="Q1001" s="26">
        <v>5760.1507869999996</v>
      </c>
      <c r="S1001" s="26">
        <v>1464.4328860000001</v>
      </c>
      <c r="U1001" s="29">
        <v>3.3084850000000001</v>
      </c>
      <c r="W1001" s="14">
        <v>31.501919999999998</v>
      </c>
      <c r="Y1001" s="29">
        <v>8.0088779999999993</v>
      </c>
      <c r="AA1001" s="41">
        <v>567.98048300000005</v>
      </c>
      <c r="AC1001" s="27">
        <v>49.849789999999999</v>
      </c>
      <c r="AE1001" s="27">
        <v>1</v>
      </c>
      <c r="AG1001" s="29">
        <v>7.481026</v>
      </c>
      <c r="AI1001" s="29">
        <v>8.75</v>
      </c>
      <c r="AK1001" s="27">
        <v>23.942112000000002</v>
      </c>
      <c r="AM1001" s="27">
        <v>31.791730000000001</v>
      </c>
      <c r="AO1001" s="29">
        <v>6.7304690000000003</v>
      </c>
      <c r="AP1001" s="11"/>
    </row>
    <row r="1002" spans="2:42" hidden="1" outlineLevel="1" x14ac:dyDescent="0.25">
      <c r="B1002" s="21">
        <v>43333</v>
      </c>
      <c r="C1002" s="27">
        <v>18.929368</v>
      </c>
      <c r="E1002" s="30">
        <v>0.86681399999999997</v>
      </c>
      <c r="G1002" s="27">
        <v>29.908750000000001</v>
      </c>
      <c r="I1002" s="29">
        <v>6.9090639999999999</v>
      </c>
      <c r="K1002" s="29">
        <v>3.9892099999999999</v>
      </c>
      <c r="M1002" s="41">
        <v>666.21709199999998</v>
      </c>
      <c r="O1002" s="26">
        <v>3011.3230440000002</v>
      </c>
      <c r="Q1002" s="26">
        <v>5768.4636399999999</v>
      </c>
      <c r="S1002" s="26">
        <v>1446.023698</v>
      </c>
      <c r="U1002" s="29">
        <v>3.300386</v>
      </c>
      <c r="W1002" s="14">
        <v>31.557976</v>
      </c>
      <c r="Y1002" s="29">
        <v>7.9108499999999999</v>
      </c>
      <c r="AA1002" s="41">
        <v>567.99771799999996</v>
      </c>
      <c r="AC1002" s="27">
        <v>49.824002</v>
      </c>
      <c r="AE1002" s="27">
        <v>1</v>
      </c>
      <c r="AG1002" s="29">
        <v>7.4833860000000003</v>
      </c>
      <c r="AI1002" s="29">
        <v>8.75</v>
      </c>
      <c r="AK1002" s="27">
        <v>23.995284999999999</v>
      </c>
      <c r="AM1002" s="27">
        <v>31.741963999999999</v>
      </c>
      <c r="AO1002" s="29">
        <v>6.722124</v>
      </c>
      <c r="AP1002" s="11"/>
    </row>
    <row r="1003" spans="2:42" hidden="1" outlineLevel="1" x14ac:dyDescent="0.25">
      <c r="B1003" s="21">
        <v>43334</v>
      </c>
      <c r="C1003" s="27">
        <v>18.838170000000002</v>
      </c>
      <c r="E1003" s="30">
        <v>0.86299599999999999</v>
      </c>
      <c r="G1003" s="27">
        <v>30.092517000000001</v>
      </c>
      <c r="I1003" s="29">
        <v>6.9114420000000001</v>
      </c>
      <c r="K1003" s="29">
        <v>4.0554649999999999</v>
      </c>
      <c r="M1003" s="41">
        <v>662.68770700000005</v>
      </c>
      <c r="O1003" s="26">
        <v>2971.480438</v>
      </c>
      <c r="Q1003" s="26">
        <v>5792.9415419999996</v>
      </c>
      <c r="S1003" s="26">
        <v>1428.43586</v>
      </c>
      <c r="U1003" s="29">
        <v>3.289936</v>
      </c>
      <c r="W1003" s="14">
        <v>31.693353999999999</v>
      </c>
      <c r="Y1003" s="29">
        <v>7.814991</v>
      </c>
      <c r="AA1003" s="41">
        <v>568.64834800000006</v>
      </c>
      <c r="AC1003" s="27">
        <v>49.829366</v>
      </c>
      <c r="AE1003" s="27">
        <v>1</v>
      </c>
      <c r="AG1003" s="29">
        <v>7.4940420000000003</v>
      </c>
      <c r="AI1003" s="29">
        <v>8.75</v>
      </c>
      <c r="AK1003" s="27">
        <v>23.952953999999998</v>
      </c>
      <c r="AM1003" s="27">
        <v>31.789549999999998</v>
      </c>
      <c r="AO1003" s="29">
        <v>6.7245679999999997</v>
      </c>
      <c r="AP1003" s="11"/>
    </row>
    <row r="1004" spans="2:42" hidden="1" outlineLevel="1" x14ac:dyDescent="0.25">
      <c r="B1004" s="21">
        <v>43335</v>
      </c>
      <c r="C1004" s="27">
        <v>18.859532999999999</v>
      </c>
      <c r="E1004" s="30">
        <v>0.86520200000000003</v>
      </c>
      <c r="G1004" s="27">
        <v>30.284027999999999</v>
      </c>
      <c r="I1004" s="29">
        <v>6.9214900000000004</v>
      </c>
      <c r="K1004" s="29">
        <v>4.0688779999999998</v>
      </c>
      <c r="M1004" s="41">
        <v>665.07020699999998</v>
      </c>
      <c r="O1004" s="26">
        <v>2971.2829190000002</v>
      </c>
      <c r="Q1004" s="26">
        <v>5802.7567879999997</v>
      </c>
      <c r="S1004" s="26">
        <v>1426.1438539999999</v>
      </c>
      <c r="U1004" s="29">
        <v>3.2918020000000001</v>
      </c>
      <c r="W1004" s="14">
        <v>31.839886</v>
      </c>
      <c r="Y1004" s="29">
        <v>7.8252560000000004</v>
      </c>
      <c r="AA1004" s="41">
        <v>569.60099000000002</v>
      </c>
      <c r="AC1004" s="27">
        <v>49.967495999999997</v>
      </c>
      <c r="AE1004" s="27">
        <v>1</v>
      </c>
      <c r="AG1004" s="29">
        <v>7.5130939999999997</v>
      </c>
      <c r="AI1004" s="29">
        <v>8.75</v>
      </c>
      <c r="AK1004" s="27">
        <v>23.987006999999998</v>
      </c>
      <c r="AM1004" s="27">
        <v>31.898941000000001</v>
      </c>
      <c r="AO1004" s="29">
        <v>6.7438799999999999</v>
      </c>
      <c r="AP1004" s="11"/>
    </row>
    <row r="1005" spans="2:42" hidden="1" outlineLevel="1" x14ac:dyDescent="0.25">
      <c r="B1005" s="21">
        <v>43336</v>
      </c>
      <c r="C1005" s="27">
        <v>18.932369999999999</v>
      </c>
      <c r="E1005" s="30">
        <v>0.86278999999999995</v>
      </c>
      <c r="G1005" s="27">
        <v>30.581938000000001</v>
      </c>
      <c r="I1005" s="29">
        <v>6.9226559999999999</v>
      </c>
      <c r="K1005" s="29">
        <v>4.1077459999999997</v>
      </c>
      <c r="M1005" s="41">
        <v>665.70120199999997</v>
      </c>
      <c r="O1005" s="26">
        <v>2975.6421220000002</v>
      </c>
      <c r="Q1005" s="26">
        <v>5808.5004319999998</v>
      </c>
      <c r="S1005" s="26">
        <v>1414.0429280000001</v>
      </c>
      <c r="U1005" s="29">
        <v>3.297758</v>
      </c>
      <c r="W1005" s="14">
        <v>31.894345999999999</v>
      </c>
      <c r="Y1005" s="29">
        <v>7.7644599999999997</v>
      </c>
      <c r="AA1005" s="41">
        <v>569.94109000000003</v>
      </c>
      <c r="AC1005" s="27">
        <v>50.043142000000003</v>
      </c>
      <c r="AE1005" s="27">
        <v>1</v>
      </c>
      <c r="AG1005" s="29">
        <v>7.5246240000000002</v>
      </c>
      <c r="AI1005" s="29">
        <v>8.75</v>
      </c>
      <c r="AK1005" s="27">
        <v>23.9999</v>
      </c>
      <c r="AM1005" s="27">
        <v>31.906973000000001</v>
      </c>
      <c r="AO1005" s="29">
        <v>6.7504150000000003</v>
      </c>
      <c r="AP1005" s="11"/>
    </row>
    <row r="1006" spans="2:42" hidden="1" outlineLevel="1" x14ac:dyDescent="0.25">
      <c r="B1006" s="21">
        <v>43337</v>
      </c>
      <c r="C1006" s="27">
        <v>18.907440000000001</v>
      </c>
      <c r="E1006" s="30">
        <v>0.86041500000000004</v>
      </c>
      <c r="G1006" s="27">
        <v>30.83915</v>
      </c>
      <c r="I1006" s="29">
        <v>6.9044499999999998</v>
      </c>
      <c r="K1006" s="29">
        <v>4.1036000000000001</v>
      </c>
      <c r="M1006" s="41">
        <v>660.77250000000004</v>
      </c>
      <c r="O1006" s="26">
        <v>2966.7</v>
      </c>
      <c r="Q1006" s="26">
        <v>5797.9250000000002</v>
      </c>
      <c r="S1006" s="26">
        <v>1412.8926739999999</v>
      </c>
      <c r="U1006" s="29">
        <v>3.2919999999999998</v>
      </c>
      <c r="W1006" s="14">
        <v>31.838999999999999</v>
      </c>
      <c r="Y1006" s="29">
        <v>7.7588189999999999</v>
      </c>
      <c r="AA1006" s="41">
        <v>569.06500000000005</v>
      </c>
      <c r="AC1006" s="27">
        <v>49.929499999999997</v>
      </c>
      <c r="AE1006" s="27">
        <v>1</v>
      </c>
      <c r="AG1006" s="29">
        <v>7.511825</v>
      </c>
      <c r="AI1006" s="29">
        <v>8.75</v>
      </c>
      <c r="AK1006" s="27">
        <v>23.939</v>
      </c>
      <c r="AM1006" s="27">
        <v>31.800750000000001</v>
      </c>
      <c r="AO1006" s="29">
        <v>6.73705</v>
      </c>
      <c r="AP1006" s="11"/>
    </row>
    <row r="1007" spans="2:42" hidden="1" outlineLevel="1" x14ac:dyDescent="0.25">
      <c r="B1007" s="21">
        <v>43338</v>
      </c>
      <c r="C1007" s="27">
        <v>18.896052000000001</v>
      </c>
      <c r="E1007" s="30">
        <v>0.86036999999999997</v>
      </c>
      <c r="G1007" s="27">
        <v>30.837911999999999</v>
      </c>
      <c r="I1007" s="29">
        <v>6.9044499999999998</v>
      </c>
      <c r="K1007" s="29">
        <v>4.1038160000000001</v>
      </c>
      <c r="M1007" s="41">
        <v>660.77427799999998</v>
      </c>
      <c r="O1007" s="26">
        <v>2966.037726</v>
      </c>
      <c r="Q1007" s="26">
        <v>5797.9250000000002</v>
      </c>
      <c r="S1007" s="26">
        <v>1412.8185739999999</v>
      </c>
      <c r="U1007" s="29">
        <v>3.2920370000000001</v>
      </c>
      <c r="W1007" s="14">
        <v>31.838999999999999</v>
      </c>
      <c r="Y1007" s="29">
        <v>7.7584119999999999</v>
      </c>
      <c r="AA1007" s="41">
        <v>569.06066999999996</v>
      </c>
      <c r="AC1007" s="27">
        <v>49.924517999999999</v>
      </c>
      <c r="AE1007" s="27">
        <v>1</v>
      </c>
      <c r="AG1007" s="29">
        <v>7.511825</v>
      </c>
      <c r="AI1007" s="29">
        <v>8.75</v>
      </c>
      <c r="AK1007" s="27">
        <v>23.937363000000001</v>
      </c>
      <c r="AM1007" s="27">
        <v>31.800750000000001</v>
      </c>
      <c r="AO1007" s="29">
        <v>6.73705</v>
      </c>
      <c r="AP1007" s="11"/>
    </row>
    <row r="1008" spans="2:42" hidden="1" outlineLevel="1" x14ac:dyDescent="0.25">
      <c r="B1008" s="21">
        <v>43339</v>
      </c>
      <c r="C1008" s="27">
        <v>18.768024</v>
      </c>
      <c r="E1008" s="30">
        <v>0.85865999999999998</v>
      </c>
      <c r="G1008" s="27">
        <v>30.881122000000001</v>
      </c>
      <c r="I1008" s="29">
        <v>6.9067280000000002</v>
      </c>
      <c r="K1008" s="29">
        <v>4.0918070000000002</v>
      </c>
      <c r="M1008" s="41">
        <v>659.47202600000003</v>
      </c>
      <c r="O1008" s="26">
        <v>2949.1773400000002</v>
      </c>
      <c r="Q1008" s="26">
        <v>5800.5149739999997</v>
      </c>
      <c r="S1008" s="26">
        <v>1417.5992590000001</v>
      </c>
      <c r="U1008" s="29">
        <v>3.290368</v>
      </c>
      <c r="W1008" s="14">
        <v>31.873439999999999</v>
      </c>
      <c r="Y1008" s="29">
        <v>7.7895960000000004</v>
      </c>
      <c r="AA1008" s="41">
        <v>569.44833600000004</v>
      </c>
      <c r="AC1008" s="27">
        <v>49.909902000000002</v>
      </c>
      <c r="AE1008" s="27">
        <v>1</v>
      </c>
      <c r="AG1008" s="29">
        <v>7.5188420000000002</v>
      </c>
      <c r="AI1008" s="29">
        <v>8.75</v>
      </c>
      <c r="AK1008" s="27">
        <v>23.950279999999999</v>
      </c>
      <c r="AM1008" s="27">
        <v>31.808306999999999</v>
      </c>
      <c r="AO1008" s="29">
        <v>6.7403089999999999</v>
      </c>
      <c r="AP1008" s="11"/>
    </row>
    <row r="1009" spans="2:42" hidden="1" outlineLevel="1" x14ac:dyDescent="0.25">
      <c r="B1009" s="21">
        <v>43340</v>
      </c>
      <c r="C1009" s="27">
        <v>18.883596000000001</v>
      </c>
      <c r="E1009" s="30">
        <v>0.85505600000000004</v>
      </c>
      <c r="G1009" s="27">
        <v>31.165106000000002</v>
      </c>
      <c r="I1009" s="29">
        <v>6.9073859999999998</v>
      </c>
      <c r="K1009" s="29">
        <v>4.1029150000000003</v>
      </c>
      <c r="M1009" s="41">
        <v>660.02158099999997</v>
      </c>
      <c r="O1009" s="26">
        <v>2952.0337479999998</v>
      </c>
      <c r="Q1009" s="26">
        <v>5803.1440430000002</v>
      </c>
      <c r="S1009" s="26">
        <v>1414.401656</v>
      </c>
      <c r="U1009" s="29">
        <v>3.289342</v>
      </c>
      <c r="W1009" s="14">
        <v>31.858582999999999</v>
      </c>
      <c r="Y1009" s="29">
        <v>7.7648789999999996</v>
      </c>
      <c r="AA1009" s="41">
        <v>569.65442199999995</v>
      </c>
      <c r="AC1009" s="27">
        <v>49.905155999999998</v>
      </c>
      <c r="AE1009" s="27">
        <v>1</v>
      </c>
      <c r="AG1009" s="29">
        <v>7.5244720000000003</v>
      </c>
      <c r="AI1009" s="29">
        <v>8.75</v>
      </c>
      <c r="AK1009" s="27">
        <v>23.955604999999998</v>
      </c>
      <c r="AM1009" s="27">
        <v>31.81099</v>
      </c>
      <c r="AO1009" s="29">
        <v>6.7459129999999998</v>
      </c>
      <c r="AP1009" s="11"/>
    </row>
    <row r="1010" spans="2:42" hidden="1" outlineLevel="1" x14ac:dyDescent="0.25">
      <c r="B1010" s="21">
        <v>43341</v>
      </c>
      <c r="C1010" s="27">
        <v>19.042376999999998</v>
      </c>
      <c r="E1010" s="30">
        <v>0.85553999999999997</v>
      </c>
      <c r="G1010" s="27">
        <v>32.202899000000002</v>
      </c>
      <c r="I1010" s="29">
        <v>6.9141130000000004</v>
      </c>
      <c r="K1010" s="29">
        <v>4.1302300000000001</v>
      </c>
      <c r="M1010" s="41">
        <v>665.095552</v>
      </c>
      <c r="O1010" s="26">
        <v>2988.9883719999998</v>
      </c>
      <c r="Q1010" s="26">
        <v>5831.711448</v>
      </c>
      <c r="S1010" s="26">
        <v>1411.964408</v>
      </c>
      <c r="U1010" s="29">
        <v>3.293704</v>
      </c>
      <c r="W1010" s="14">
        <v>31.881755999999999</v>
      </c>
      <c r="Y1010" s="29">
        <v>7.7191380000000001</v>
      </c>
      <c r="AA1010" s="41">
        <v>570.83608600000002</v>
      </c>
      <c r="AC1010" s="27">
        <v>49.993346000000003</v>
      </c>
      <c r="AE1010" s="27">
        <v>1</v>
      </c>
      <c r="AG1010" s="29">
        <v>7.5451550000000003</v>
      </c>
      <c r="AI1010" s="29">
        <v>8.75</v>
      </c>
      <c r="AK1010" s="27">
        <v>24.00348</v>
      </c>
      <c r="AM1010" s="27">
        <v>31.873175</v>
      </c>
      <c r="AO1010" s="29">
        <v>6.7568580000000003</v>
      </c>
      <c r="AP1010" s="11"/>
    </row>
    <row r="1011" spans="2:42" hidden="1" outlineLevel="1" x14ac:dyDescent="0.25">
      <c r="B1011" s="21">
        <v>43342</v>
      </c>
      <c r="C1011" s="27">
        <v>19.056777</v>
      </c>
      <c r="E1011" s="30">
        <v>0.85606400000000005</v>
      </c>
      <c r="G1011" s="27">
        <v>36.066099999999999</v>
      </c>
      <c r="I1011" s="29">
        <v>6.9139169999999996</v>
      </c>
      <c r="K1011" s="29">
        <v>4.1336459999999997</v>
      </c>
      <c r="M1011" s="41">
        <v>672.67373399999997</v>
      </c>
      <c r="O1011" s="26">
        <v>3012.8157679999999</v>
      </c>
      <c r="Q1011" s="26">
        <v>5836.189026</v>
      </c>
      <c r="S1011" s="26">
        <v>1411.881224</v>
      </c>
      <c r="U1011" s="29">
        <v>3.296265</v>
      </c>
      <c r="W1011" s="14">
        <v>31.911743999999999</v>
      </c>
      <c r="Y1011" s="29">
        <v>7.7200150000000001</v>
      </c>
      <c r="AA1011" s="41">
        <v>570.95393999999999</v>
      </c>
      <c r="AC1011" s="27">
        <v>50.005305999999997</v>
      </c>
      <c r="AE1011" s="27">
        <v>1</v>
      </c>
      <c r="AG1011" s="29">
        <v>7.5485939999999996</v>
      </c>
      <c r="AI1011" s="29">
        <v>8.75</v>
      </c>
      <c r="AK1011" s="27">
        <v>23.982465999999999</v>
      </c>
      <c r="AM1011" s="27">
        <v>31.843413999999999</v>
      </c>
      <c r="AO1011" s="29">
        <v>6.7424419999999996</v>
      </c>
      <c r="AP1011" s="12"/>
    </row>
    <row r="1012" spans="2:42" hidden="1" outlineLevel="1" x14ac:dyDescent="0.25">
      <c r="B1012" s="21">
        <v>43343</v>
      </c>
      <c r="C1012" s="49">
        <v>19.125800000000002</v>
      </c>
      <c r="E1012" s="30">
        <v>0.85904999999999998</v>
      </c>
      <c r="G1012" s="27">
        <v>38.064898999999997</v>
      </c>
      <c r="I1012" s="29">
        <v>6.9314479999999996</v>
      </c>
      <c r="K1012" s="29">
        <v>4.1236920000000001</v>
      </c>
      <c r="M1012" s="41">
        <v>680.31189199999994</v>
      </c>
      <c r="O1012" s="26">
        <v>3043.0527459999998</v>
      </c>
      <c r="Q1012" s="26">
        <v>5852.8360839999996</v>
      </c>
      <c r="S1012" s="26">
        <v>1419.3258020000001</v>
      </c>
      <c r="U1012" s="29">
        <v>3.3039740000000002</v>
      </c>
      <c r="W1012" s="14">
        <v>32.075620999999998</v>
      </c>
      <c r="Y1012" s="29">
        <v>7.7783939999999996</v>
      </c>
      <c r="AA1012" s="41">
        <v>573.36482699999999</v>
      </c>
      <c r="AC1012" s="27">
        <v>50.116272000000002</v>
      </c>
      <c r="AE1012" s="27">
        <v>1</v>
      </c>
      <c r="AG1012" s="29">
        <v>7.5677019999999997</v>
      </c>
      <c r="AI1012" s="29">
        <v>8.75</v>
      </c>
      <c r="AK1012" s="27">
        <v>24.026592000000001</v>
      </c>
      <c r="AM1012" s="27">
        <v>31.895375999999999</v>
      </c>
      <c r="AO1012" s="29">
        <v>6.742972</v>
      </c>
      <c r="AP1012" s="12"/>
    </row>
    <row r="1013" spans="2:42" ht="13" collapsed="1" x14ac:dyDescent="0.3">
      <c r="B1013" s="25" t="s">
        <v>170</v>
      </c>
      <c r="C1013" s="19">
        <v>18.8413</v>
      </c>
      <c r="E1013" s="24">
        <v>0.86675500000000005</v>
      </c>
      <c r="G1013" s="19">
        <v>29.787800000000001</v>
      </c>
      <c r="I1013" s="23">
        <v>6.9176900000000003</v>
      </c>
      <c r="J1013" s="9"/>
      <c r="K1013" s="23">
        <v>3.9169100000000001</v>
      </c>
      <c r="M1013" s="42">
        <v>658.05200000000002</v>
      </c>
      <c r="O1013" s="31">
        <v>2962.03</v>
      </c>
      <c r="Q1013" s="31">
        <v>5773.13</v>
      </c>
      <c r="S1013" s="31">
        <v>1475.71</v>
      </c>
      <c r="U1013" s="23">
        <v>3.28843</v>
      </c>
      <c r="W1013" s="23">
        <v>31.2012</v>
      </c>
      <c r="Y1013" s="23">
        <v>7.9717799999999999</v>
      </c>
      <c r="AA1013" s="42">
        <v>568.99</v>
      </c>
      <c r="AC1013" s="19">
        <v>49.880400000000002</v>
      </c>
      <c r="AE1013" s="19">
        <v>1</v>
      </c>
      <c r="AG1013" s="23">
        <v>7.5020699999999998</v>
      </c>
      <c r="AI1013" s="23">
        <v>8.75</v>
      </c>
      <c r="AK1013" s="23">
        <v>23.983930000000001</v>
      </c>
      <c r="AM1013" s="23">
        <v>31.86084</v>
      </c>
      <c r="AO1013" s="23">
        <v>6.7449500000000002</v>
      </c>
      <c r="AP1013" s="10"/>
    </row>
    <row r="1014" spans="2:42" hidden="1" outlineLevel="1" x14ac:dyDescent="0.25">
      <c r="B1014" s="21">
        <v>43344</v>
      </c>
      <c r="C1014" s="27">
        <v>19.084350000000001</v>
      </c>
      <c r="E1014" s="30">
        <v>0.86189099999999996</v>
      </c>
      <c r="G1014" s="27">
        <v>36.900500000000001</v>
      </c>
      <c r="I1014" s="29">
        <v>6.9314749999999998</v>
      </c>
      <c r="K1014" s="29">
        <v>4.0549999999999997</v>
      </c>
      <c r="M1014" s="41">
        <v>681.61249999999995</v>
      </c>
      <c r="O1014" s="26">
        <v>3058.4749999999999</v>
      </c>
      <c r="Q1014" s="26">
        <v>5846.5749999999998</v>
      </c>
      <c r="S1014" s="26">
        <v>1441.823848</v>
      </c>
      <c r="U1014" s="29">
        <v>3.3038249999999998</v>
      </c>
      <c r="W1014" s="14">
        <v>32.1325</v>
      </c>
      <c r="Y1014" s="29">
        <v>7.9241739999999998</v>
      </c>
      <c r="AA1014" s="41">
        <v>574.25250000000005</v>
      </c>
      <c r="AC1014" s="27">
        <v>50.112499999999997</v>
      </c>
      <c r="AE1014" s="27">
        <v>1</v>
      </c>
      <c r="AG1014" s="29">
        <v>7.5634499999999996</v>
      </c>
      <c r="AI1014" s="29">
        <v>8.75</v>
      </c>
      <c r="AK1014" s="27">
        <v>24.014250000000001</v>
      </c>
      <c r="AM1014" s="27">
        <v>31.878499999999999</v>
      </c>
      <c r="AO1014" s="29">
        <v>6.7469749999999999</v>
      </c>
      <c r="AP1014" s="11"/>
    </row>
    <row r="1015" spans="2:42" hidden="1" outlineLevel="1" x14ac:dyDescent="0.25">
      <c r="B1015" s="21">
        <v>43345</v>
      </c>
      <c r="C1015" s="27">
        <v>19.086625999999999</v>
      </c>
      <c r="E1015" s="30">
        <v>0.86193799999999998</v>
      </c>
      <c r="G1015" s="27">
        <v>36.902527999999997</v>
      </c>
      <c r="I1015" s="29">
        <v>6.9314749999999998</v>
      </c>
      <c r="K1015" s="29">
        <v>4.0555099999999999</v>
      </c>
      <c r="M1015" s="41">
        <v>681.61736199999996</v>
      </c>
      <c r="O1015" s="26">
        <v>3058.6878579999998</v>
      </c>
      <c r="Q1015" s="26">
        <v>5846.5749999999998</v>
      </c>
      <c r="S1015" s="26">
        <v>1441.6424440000001</v>
      </c>
      <c r="U1015" s="29">
        <v>3.3038599999999998</v>
      </c>
      <c r="W1015" s="14">
        <v>32.1325</v>
      </c>
      <c r="Y1015" s="29">
        <v>7.9231759999999998</v>
      </c>
      <c r="AA1015" s="41">
        <v>574.24998800000003</v>
      </c>
      <c r="AC1015" s="27">
        <v>50.109951000000002</v>
      </c>
      <c r="AE1015" s="27">
        <v>1</v>
      </c>
      <c r="AG1015" s="29">
        <v>7.5634499999999996</v>
      </c>
      <c r="AI1015" s="29">
        <v>8.75</v>
      </c>
      <c r="AK1015" s="27">
        <v>24.012505999999998</v>
      </c>
      <c r="AM1015" s="27">
        <v>31.879532999999999</v>
      </c>
      <c r="AO1015" s="29">
        <v>6.7469749999999999</v>
      </c>
      <c r="AP1015" s="11"/>
    </row>
    <row r="1016" spans="2:42" hidden="1" outlineLevel="1" x14ac:dyDescent="0.25">
      <c r="B1016" s="21">
        <v>43346</v>
      </c>
      <c r="C1016" s="27">
        <v>19.178539000000001</v>
      </c>
      <c r="E1016" s="30">
        <v>0.86126999999999998</v>
      </c>
      <c r="G1016" s="27">
        <v>37.438186999999999</v>
      </c>
      <c r="I1016" s="29">
        <v>6.94414</v>
      </c>
      <c r="K1016" s="29">
        <v>4.0976119999999998</v>
      </c>
      <c r="M1016" s="41">
        <v>683.16585799999996</v>
      </c>
      <c r="O1016" s="26">
        <v>3056.4513959999999</v>
      </c>
      <c r="Q1016" s="26">
        <v>5850.7801339999996</v>
      </c>
      <c r="S1016" s="26">
        <v>1427.8577090000001</v>
      </c>
      <c r="U1016" s="29">
        <v>3.307274</v>
      </c>
      <c r="W1016" s="14">
        <v>32.223331999999999</v>
      </c>
      <c r="Y1016" s="29">
        <v>7.8639460000000003</v>
      </c>
      <c r="AA1016" s="41">
        <v>576.01590599999997</v>
      </c>
      <c r="AC1016" s="27">
        <v>50.193919999999999</v>
      </c>
      <c r="AE1016" s="27">
        <v>1</v>
      </c>
      <c r="AG1016" s="29">
        <v>7.580158</v>
      </c>
      <c r="AI1016" s="29">
        <v>8.75</v>
      </c>
      <c r="AK1016" s="27">
        <v>24.054852</v>
      </c>
      <c r="AM1016" s="27">
        <v>31.946273999999999</v>
      </c>
      <c r="AO1016" s="29">
        <v>6.7612699999999997</v>
      </c>
      <c r="AP1016" s="11"/>
    </row>
    <row r="1017" spans="2:42" hidden="1" outlineLevel="1" x14ac:dyDescent="0.25">
      <c r="B1017" s="21">
        <v>43347</v>
      </c>
      <c r="C1017" s="27">
        <v>19.333418000000002</v>
      </c>
      <c r="E1017" s="30">
        <v>0.86367099999999997</v>
      </c>
      <c r="G1017" s="27">
        <v>38.375888000000003</v>
      </c>
      <c r="I1017" s="29">
        <v>6.9141240000000002</v>
      </c>
      <c r="K1017" s="29">
        <v>4.1631010000000002</v>
      </c>
      <c r="M1017" s="41">
        <v>688.05797600000005</v>
      </c>
      <c r="O1017" s="26">
        <v>3061.8982540000002</v>
      </c>
      <c r="Q1017" s="26">
        <v>5838.8768479999999</v>
      </c>
      <c r="S1017" s="26">
        <v>1402.5370270000001</v>
      </c>
      <c r="U1017" s="29">
        <v>3.3052649999999999</v>
      </c>
      <c r="W1017" s="14">
        <v>32.279082000000002</v>
      </c>
      <c r="Y1017" s="29">
        <v>7.7536319999999996</v>
      </c>
      <c r="AA1017" s="41">
        <v>578.39030600000001</v>
      </c>
      <c r="AC1017" s="27">
        <v>50.048538000000001</v>
      </c>
      <c r="AE1017" s="27">
        <v>1</v>
      </c>
      <c r="AG1017" s="29">
        <v>7.5829060000000004</v>
      </c>
      <c r="AI1017" s="29">
        <v>8.75</v>
      </c>
      <c r="AK1017" s="27">
        <v>24.038274000000001</v>
      </c>
      <c r="AM1017" s="27">
        <v>31.934619999999999</v>
      </c>
      <c r="AO1017" s="29">
        <v>6.7385089999999996</v>
      </c>
      <c r="AP1017" s="11"/>
    </row>
    <row r="1018" spans="2:42" hidden="1" outlineLevel="1" x14ac:dyDescent="0.25">
      <c r="B1018" s="21">
        <v>43348</v>
      </c>
      <c r="C1018" s="27">
        <v>19.437512000000002</v>
      </c>
      <c r="E1018" s="30">
        <v>0.86183200000000004</v>
      </c>
      <c r="G1018" s="27">
        <v>38.921536000000003</v>
      </c>
      <c r="I1018" s="29">
        <v>6.9223819999999998</v>
      </c>
      <c r="K1018" s="29">
        <v>4.1545420000000002</v>
      </c>
      <c r="M1018" s="41">
        <v>690.75164600000005</v>
      </c>
      <c r="O1018" s="26">
        <v>3090.2073989999999</v>
      </c>
      <c r="Q1018" s="26">
        <v>5831.1471799999999</v>
      </c>
      <c r="S1018" s="26">
        <v>1403.5693140000001</v>
      </c>
      <c r="U1018" s="29">
        <v>3.314486</v>
      </c>
      <c r="W1018" s="14">
        <v>32.398741999999999</v>
      </c>
      <c r="Y1018" s="29">
        <v>7.798413</v>
      </c>
      <c r="AA1018" s="41">
        <v>580.18809299999998</v>
      </c>
      <c r="AC1018" s="27">
        <v>49.964502000000003</v>
      </c>
      <c r="AE1018" s="27">
        <v>1</v>
      </c>
      <c r="AG1018" s="29">
        <v>7.5898570000000003</v>
      </c>
      <c r="AI1018" s="29">
        <v>8.75</v>
      </c>
      <c r="AK1018" s="27">
        <v>24.017665999999998</v>
      </c>
      <c r="AM1018" s="27">
        <v>31.913385000000002</v>
      </c>
      <c r="AO1018" s="29">
        <v>6.7160019999999996</v>
      </c>
      <c r="AP1018" s="11"/>
    </row>
    <row r="1019" spans="2:42" hidden="1" outlineLevel="1" x14ac:dyDescent="0.25">
      <c r="B1019" s="21">
        <v>43349</v>
      </c>
      <c r="C1019" s="27">
        <v>19.307469999999999</v>
      </c>
      <c r="E1019" s="30">
        <v>0.85983399999999999</v>
      </c>
      <c r="G1019" s="27">
        <v>38.192622</v>
      </c>
      <c r="I1019" s="29">
        <v>6.92103</v>
      </c>
      <c r="K1019" s="29">
        <v>4.1322799999999997</v>
      </c>
      <c r="M1019" s="41">
        <v>686.255223</v>
      </c>
      <c r="O1019" s="26">
        <v>3094.8741319999999</v>
      </c>
      <c r="Q1019" s="26">
        <v>5830.5067289999997</v>
      </c>
      <c r="S1019" s="26">
        <v>1410.9722919999999</v>
      </c>
      <c r="U1019" s="29">
        <v>3.31636</v>
      </c>
      <c r="W1019" s="14">
        <v>32.446859000000003</v>
      </c>
      <c r="Y1019" s="29">
        <v>7.852061</v>
      </c>
      <c r="AA1019" s="41">
        <v>582.37225999999998</v>
      </c>
      <c r="AC1019" s="27">
        <v>49.897613</v>
      </c>
      <c r="AE1019" s="27">
        <v>1</v>
      </c>
      <c r="AG1019" s="29">
        <v>7.590992</v>
      </c>
      <c r="AI1019" s="29">
        <v>8.75</v>
      </c>
      <c r="AK1019" s="27">
        <v>23.998964000000001</v>
      </c>
      <c r="AM1019" s="27">
        <v>31.871928</v>
      </c>
      <c r="AO1019" s="29">
        <v>6.7103299999999999</v>
      </c>
      <c r="AP1019" s="11"/>
    </row>
    <row r="1020" spans="2:42" hidden="1" outlineLevel="1" x14ac:dyDescent="0.25">
      <c r="B1020" s="21">
        <v>43350</v>
      </c>
      <c r="C1020" s="27">
        <v>19.237027000000001</v>
      </c>
      <c r="E1020" s="30">
        <v>0.86226999999999998</v>
      </c>
      <c r="G1020" s="27">
        <v>37.214452999999999</v>
      </c>
      <c r="I1020" s="29">
        <v>6.9242499999999998</v>
      </c>
      <c r="K1020" s="29">
        <v>4.0605399999999996</v>
      </c>
      <c r="M1020" s="41">
        <v>687.60388499999999</v>
      </c>
      <c r="O1020" s="26">
        <v>3083.1010000000001</v>
      </c>
      <c r="Q1020" s="26">
        <v>5843.6665400000002</v>
      </c>
      <c r="S1020" s="26">
        <v>1439.1432520000001</v>
      </c>
      <c r="U1020" s="29">
        <v>3.3232029999999999</v>
      </c>
      <c r="W1020" s="14">
        <v>32.587704000000002</v>
      </c>
      <c r="Y1020" s="29">
        <v>8.0254910000000006</v>
      </c>
      <c r="AA1020" s="41">
        <v>585.59859600000004</v>
      </c>
      <c r="AC1020" s="27">
        <v>50.100603999999997</v>
      </c>
      <c r="AE1020" s="27">
        <v>1</v>
      </c>
      <c r="AG1020" s="29">
        <v>7.6056540000000004</v>
      </c>
      <c r="AI1020" s="29">
        <v>8.75</v>
      </c>
      <c r="AK1020" s="27">
        <v>24.018090000000001</v>
      </c>
      <c r="AM1020" s="27">
        <v>31.947288</v>
      </c>
      <c r="AO1020" s="29">
        <v>6.7188869999999996</v>
      </c>
      <c r="AP1020" s="11"/>
    </row>
    <row r="1021" spans="2:42" hidden="1" outlineLevel="1" x14ac:dyDescent="0.25">
      <c r="B1021" s="21">
        <v>43351</v>
      </c>
      <c r="C1021" s="27">
        <v>19.319109999999998</v>
      </c>
      <c r="E1021" s="30">
        <v>0.86553800000000003</v>
      </c>
      <c r="G1021" s="27">
        <v>36.996499999999997</v>
      </c>
      <c r="I1021" s="29">
        <v>6.9261749999999997</v>
      </c>
      <c r="K1021" s="29">
        <v>4.0654000000000003</v>
      </c>
      <c r="M1021" s="41">
        <v>688.19749999999999</v>
      </c>
      <c r="O1021" s="26">
        <v>3074.125</v>
      </c>
      <c r="Q1021" s="26">
        <v>5847.0249999999996</v>
      </c>
      <c r="S1021" s="26">
        <v>1438.2519110000001</v>
      </c>
      <c r="U1021" s="29">
        <v>3.3245749999999998</v>
      </c>
      <c r="W1021" s="14">
        <v>32.675750000000001</v>
      </c>
      <c r="Y1021" s="29">
        <v>8.0375700000000005</v>
      </c>
      <c r="AA1021" s="41">
        <v>585.21249999999998</v>
      </c>
      <c r="AC1021" s="27">
        <v>50.0625</v>
      </c>
      <c r="AE1021" s="27">
        <v>1</v>
      </c>
      <c r="AG1021" s="29">
        <v>7.6105999999999998</v>
      </c>
      <c r="AI1021" s="29">
        <v>8.75</v>
      </c>
      <c r="AK1021" s="27">
        <v>24.016999999999999</v>
      </c>
      <c r="AM1021" s="27">
        <v>31.963999999999999</v>
      </c>
      <c r="AO1021" s="29">
        <v>6.719525</v>
      </c>
      <c r="AP1021" s="11"/>
    </row>
    <row r="1022" spans="2:42" hidden="1" outlineLevel="1" x14ac:dyDescent="0.25">
      <c r="B1022" s="21">
        <v>43352</v>
      </c>
      <c r="C1022" s="27">
        <v>19.320385000000002</v>
      </c>
      <c r="E1022" s="30">
        <v>0.86552200000000001</v>
      </c>
      <c r="G1022" s="27">
        <v>37.007404000000001</v>
      </c>
      <c r="I1022" s="29">
        <v>6.9261749999999997</v>
      </c>
      <c r="K1022" s="29">
        <v>4.0640539999999996</v>
      </c>
      <c r="M1022" s="41">
        <v>688.52225599999997</v>
      </c>
      <c r="O1022" s="26">
        <v>3072.4716320000002</v>
      </c>
      <c r="Q1022" s="26">
        <v>5847.0249999999996</v>
      </c>
      <c r="S1022" s="26">
        <v>1438.7278819999999</v>
      </c>
      <c r="U1022" s="29">
        <v>3.3242419999999999</v>
      </c>
      <c r="W1022" s="14">
        <v>32.675750000000001</v>
      </c>
      <c r="Y1022" s="29">
        <v>8.0402299999999993</v>
      </c>
      <c r="AA1022" s="41">
        <v>585.211005</v>
      </c>
      <c r="AC1022" s="27">
        <v>50.056379999999997</v>
      </c>
      <c r="AE1022" s="27">
        <v>1</v>
      </c>
      <c r="AG1022" s="29">
        <v>7.6105999999999998</v>
      </c>
      <c r="AI1022" s="29">
        <v>8.75</v>
      </c>
      <c r="AK1022" s="27">
        <v>24.018108000000002</v>
      </c>
      <c r="AM1022" s="27">
        <v>31.963999999999999</v>
      </c>
      <c r="AO1022" s="29">
        <v>6.719525</v>
      </c>
      <c r="AP1022" s="11"/>
    </row>
    <row r="1023" spans="2:42" hidden="1" outlineLevel="1" x14ac:dyDescent="0.25">
      <c r="B1023" s="21">
        <v>43353</v>
      </c>
      <c r="C1023" s="27">
        <v>19.301348000000001</v>
      </c>
      <c r="E1023" s="30">
        <v>0.86372000000000004</v>
      </c>
      <c r="G1023" s="27">
        <v>37.228651999999997</v>
      </c>
      <c r="I1023" s="29">
        <v>6.93581</v>
      </c>
      <c r="K1023" s="29">
        <v>4.0785580000000001</v>
      </c>
      <c r="M1023" s="41">
        <v>695.15997000000004</v>
      </c>
      <c r="O1023" s="26">
        <v>3068.9099500000002</v>
      </c>
      <c r="Q1023" s="26">
        <v>5848.1736689999998</v>
      </c>
      <c r="S1023" s="26">
        <v>1433.8899080000001</v>
      </c>
      <c r="U1023" s="29">
        <v>3.3300939999999999</v>
      </c>
      <c r="W1023" s="14">
        <v>32.630951000000003</v>
      </c>
      <c r="Y1023" s="29">
        <v>8.0006330000000005</v>
      </c>
      <c r="AA1023" s="41">
        <v>585.12482999999997</v>
      </c>
      <c r="AC1023" s="27">
        <v>50.185113000000001</v>
      </c>
      <c r="AE1023" s="27">
        <v>1</v>
      </c>
      <c r="AG1023" s="29">
        <v>7.6253700000000002</v>
      </c>
      <c r="AI1023" s="29">
        <v>8.75</v>
      </c>
      <c r="AK1023" s="27">
        <v>24.043880000000001</v>
      </c>
      <c r="AM1023" s="27">
        <v>31.987895999999999</v>
      </c>
      <c r="AO1023" s="29">
        <v>6.7304959999999996</v>
      </c>
      <c r="AP1023" s="11"/>
    </row>
    <row r="1024" spans="2:42" hidden="1" outlineLevel="1" x14ac:dyDescent="0.25">
      <c r="B1024" s="21">
        <v>43354</v>
      </c>
      <c r="C1024" s="27">
        <v>19.250556</v>
      </c>
      <c r="E1024" s="30">
        <v>0.86236100000000004</v>
      </c>
      <c r="G1024" s="27">
        <v>37.673819999999999</v>
      </c>
      <c r="I1024" s="29">
        <v>6.9170959999999999</v>
      </c>
      <c r="K1024" s="29">
        <v>4.1215060000000001</v>
      </c>
      <c r="M1024" s="41">
        <v>696.96526400000005</v>
      </c>
      <c r="O1024" s="26">
        <v>3086.0905539999999</v>
      </c>
      <c r="Q1024" s="26">
        <v>5828.0286660000002</v>
      </c>
      <c r="S1024" s="26">
        <v>1414.0596579999999</v>
      </c>
      <c r="U1024" s="29">
        <v>3.332522</v>
      </c>
      <c r="W1024" s="14">
        <v>32.465685999999998</v>
      </c>
      <c r="Y1024" s="29">
        <v>7.8771579999999997</v>
      </c>
      <c r="AA1024" s="41">
        <v>582.53614200000004</v>
      </c>
      <c r="AC1024" s="27">
        <v>49.937621999999998</v>
      </c>
      <c r="AE1024" s="27">
        <v>1</v>
      </c>
      <c r="AG1024" s="29">
        <v>7.6175459999999999</v>
      </c>
      <c r="AI1024" s="29">
        <v>8.75</v>
      </c>
      <c r="AK1024" s="27">
        <v>24.012989999999999</v>
      </c>
      <c r="AM1024" s="27">
        <v>31.984338000000001</v>
      </c>
      <c r="AO1024" s="29">
        <v>6.7139819999999997</v>
      </c>
      <c r="AP1024" s="11"/>
    </row>
    <row r="1025" spans="2:42" hidden="1" outlineLevel="1" x14ac:dyDescent="0.25">
      <c r="B1025" s="21">
        <v>43355</v>
      </c>
      <c r="C1025" s="27">
        <v>19.119713999999998</v>
      </c>
      <c r="E1025" s="30">
        <v>0.86162399999999995</v>
      </c>
      <c r="G1025" s="27">
        <v>38.032895000000003</v>
      </c>
      <c r="I1025" s="29">
        <v>6.9133300000000002</v>
      </c>
      <c r="K1025" s="29">
        <v>4.1463939999999999</v>
      </c>
      <c r="M1025" s="41">
        <v>692.98007299999995</v>
      </c>
      <c r="O1025" s="26">
        <v>3068.2898449999998</v>
      </c>
      <c r="Q1025" s="26">
        <v>5837.6505539999998</v>
      </c>
      <c r="S1025" s="26">
        <v>1407.8926570000001</v>
      </c>
      <c r="U1025" s="29">
        <v>3.3324739999999999</v>
      </c>
      <c r="W1025" s="14">
        <v>32.519674000000002</v>
      </c>
      <c r="Y1025" s="29">
        <v>7.8428990000000001</v>
      </c>
      <c r="AA1025" s="41">
        <v>581.59543199999996</v>
      </c>
      <c r="AC1025" s="27">
        <v>49.975259999999999</v>
      </c>
      <c r="AE1025" s="27">
        <v>1</v>
      </c>
      <c r="AG1025" s="29">
        <v>7.618576</v>
      </c>
      <c r="AI1025" s="29">
        <v>8.75</v>
      </c>
      <c r="AK1025" s="27">
        <v>24.0078</v>
      </c>
      <c r="AM1025" s="27">
        <v>32.045479999999998</v>
      </c>
      <c r="AO1025" s="29">
        <v>6.7141650000000004</v>
      </c>
      <c r="AP1025" s="11"/>
    </row>
    <row r="1026" spans="2:42" hidden="1" outlineLevel="1" x14ac:dyDescent="0.25">
      <c r="B1026" s="21">
        <v>43356</v>
      </c>
      <c r="C1026" s="27">
        <v>18.942388000000001</v>
      </c>
      <c r="E1026" s="30">
        <v>0.85799000000000003</v>
      </c>
      <c r="G1026" s="27">
        <v>38.734588000000002</v>
      </c>
      <c r="I1026" s="29">
        <v>6.907432</v>
      </c>
      <c r="K1026" s="29">
        <v>4.1718979999999997</v>
      </c>
      <c r="M1026" s="41">
        <v>685.47937200000001</v>
      </c>
      <c r="O1026" s="26">
        <v>3035.9619560000001</v>
      </c>
      <c r="Q1026" s="26">
        <v>5835.9650240000001</v>
      </c>
      <c r="S1026" s="26">
        <v>1398.8816280000001</v>
      </c>
      <c r="U1026" s="29">
        <v>3.3235410000000001</v>
      </c>
      <c r="W1026" s="14">
        <v>32.669851000000001</v>
      </c>
      <c r="Y1026" s="29">
        <v>7.830946</v>
      </c>
      <c r="AA1026" s="41">
        <v>580.27247399999999</v>
      </c>
      <c r="AC1026" s="27">
        <v>49.97748</v>
      </c>
      <c r="AE1026" s="27">
        <v>1</v>
      </c>
      <c r="AG1026" s="29">
        <v>7.6239400000000002</v>
      </c>
      <c r="AI1026" s="29">
        <v>8.75</v>
      </c>
      <c r="AK1026" s="27">
        <v>23.987406</v>
      </c>
      <c r="AM1026" s="27">
        <v>31.957187000000001</v>
      </c>
      <c r="AO1026" s="29">
        <v>6.7222929999999996</v>
      </c>
      <c r="AP1026" s="11"/>
    </row>
    <row r="1027" spans="2:42" hidden="1" outlineLevel="1" x14ac:dyDescent="0.25">
      <c r="B1027" s="21">
        <v>43357</v>
      </c>
      <c r="C1027" s="27">
        <v>18.845326</v>
      </c>
      <c r="E1027" s="30">
        <v>0.85687599999999997</v>
      </c>
      <c r="G1027" s="27">
        <v>39.637619999999998</v>
      </c>
      <c r="I1027" s="29">
        <v>6.9109670000000003</v>
      </c>
      <c r="K1027" s="29">
        <v>4.191154</v>
      </c>
      <c r="M1027" s="41">
        <v>684.40710100000001</v>
      </c>
      <c r="O1027" s="26">
        <v>3019.9908820000001</v>
      </c>
      <c r="Q1027" s="26">
        <v>5836.3155699999998</v>
      </c>
      <c r="S1027" s="26">
        <v>1392.538403</v>
      </c>
      <c r="U1027" s="29">
        <v>3.312948</v>
      </c>
      <c r="W1027" s="14">
        <v>32.818826000000001</v>
      </c>
      <c r="Y1027" s="29">
        <v>7.830514</v>
      </c>
      <c r="AA1027" s="41">
        <v>579.42971699999998</v>
      </c>
      <c r="AC1027" s="27">
        <v>49.894602999999996</v>
      </c>
      <c r="AE1027" s="27">
        <v>1</v>
      </c>
      <c r="AG1027" s="29">
        <v>7.6444700000000001</v>
      </c>
      <c r="AI1027" s="29">
        <v>8.75</v>
      </c>
      <c r="AK1027" s="27">
        <v>23.978304999999999</v>
      </c>
      <c r="AM1027" s="27">
        <v>31.913267999999999</v>
      </c>
      <c r="AO1027" s="29">
        <v>6.7492679999999998</v>
      </c>
      <c r="AP1027" s="11"/>
    </row>
    <row r="1028" spans="2:42" hidden="1" outlineLevel="1" x14ac:dyDescent="0.25">
      <c r="B1028" s="21">
        <v>43358</v>
      </c>
      <c r="C1028" s="27">
        <v>18.889119999999998</v>
      </c>
      <c r="E1028" s="30">
        <v>0.86020799999999997</v>
      </c>
      <c r="G1028" s="27">
        <v>39.9435</v>
      </c>
      <c r="I1028" s="29">
        <v>6.917675</v>
      </c>
      <c r="K1028" s="29">
        <v>4.1727749999999997</v>
      </c>
      <c r="M1028" s="41">
        <v>687.00250000000005</v>
      </c>
      <c r="O1028" s="26">
        <v>3022.5250000000001</v>
      </c>
      <c r="Q1028" s="26">
        <v>5853.15</v>
      </c>
      <c r="S1028" s="26">
        <v>1402.70895</v>
      </c>
      <c r="U1028" s="29">
        <v>3.3102499999999999</v>
      </c>
      <c r="W1028" s="14">
        <v>32.86</v>
      </c>
      <c r="Y1028" s="29">
        <v>7.8748680000000002</v>
      </c>
      <c r="AA1028" s="41">
        <v>579.36249999999995</v>
      </c>
      <c r="AC1028" s="27">
        <v>49.8675</v>
      </c>
      <c r="AE1028" s="27">
        <v>1</v>
      </c>
      <c r="AG1028" s="29">
        <v>7.6554250000000001</v>
      </c>
      <c r="AI1028" s="29">
        <v>8.75</v>
      </c>
      <c r="AK1028" s="27">
        <v>24.051500000000001</v>
      </c>
      <c r="AM1028" s="27">
        <v>32.09975</v>
      </c>
      <c r="AO1028" s="29">
        <v>6.7589249999999996</v>
      </c>
      <c r="AP1028" s="11"/>
    </row>
    <row r="1029" spans="2:42" hidden="1" outlineLevel="1" x14ac:dyDescent="0.25">
      <c r="B1029" s="21">
        <v>43359</v>
      </c>
      <c r="C1029" s="27">
        <v>18.887909000000001</v>
      </c>
      <c r="E1029" s="30">
        <v>0.86019800000000002</v>
      </c>
      <c r="G1029" s="27">
        <v>39.944844000000003</v>
      </c>
      <c r="I1029" s="29">
        <v>6.917675</v>
      </c>
      <c r="K1029" s="29">
        <v>4.1725839999999996</v>
      </c>
      <c r="M1029" s="41">
        <v>687.00370499999997</v>
      </c>
      <c r="O1029" s="26">
        <v>3022.497343</v>
      </c>
      <c r="Q1029" s="26">
        <v>5853.15</v>
      </c>
      <c r="S1029" s="26">
        <v>1402.772692</v>
      </c>
      <c r="U1029" s="29">
        <v>3.3103769999999999</v>
      </c>
      <c r="W1029" s="14">
        <v>32.86</v>
      </c>
      <c r="Y1029" s="29">
        <v>7.8752279999999999</v>
      </c>
      <c r="AA1029" s="41">
        <v>579.447002</v>
      </c>
      <c r="AC1029" s="27">
        <v>49.877203000000002</v>
      </c>
      <c r="AE1029" s="27">
        <v>1</v>
      </c>
      <c r="AG1029" s="29">
        <v>7.6554250000000001</v>
      </c>
      <c r="AI1029" s="29">
        <v>8.75</v>
      </c>
      <c r="AK1029" s="27">
        <v>24.051672</v>
      </c>
      <c r="AM1029" s="27">
        <v>32.09975</v>
      </c>
      <c r="AO1029" s="29">
        <v>6.7589249999999996</v>
      </c>
      <c r="AP1029" s="11"/>
    </row>
    <row r="1030" spans="2:42" hidden="1" outlineLevel="1" x14ac:dyDescent="0.25">
      <c r="B1030" s="21">
        <v>43360</v>
      </c>
      <c r="C1030" s="27">
        <v>18.857997000000001</v>
      </c>
      <c r="E1030" s="30">
        <v>0.857464</v>
      </c>
      <c r="G1030" s="27">
        <v>39.720739999999999</v>
      </c>
      <c r="I1030" s="29">
        <v>6.9308959999999997</v>
      </c>
      <c r="K1030" s="29">
        <v>4.161645</v>
      </c>
      <c r="M1030" s="41">
        <v>686.53343199999995</v>
      </c>
      <c r="O1030" s="26">
        <v>3020.0076570000001</v>
      </c>
      <c r="Q1030" s="26">
        <v>5861.7837200000004</v>
      </c>
      <c r="S1030" s="26">
        <v>1408.5319480000001</v>
      </c>
      <c r="U1030" s="29">
        <v>3.3172259999999998</v>
      </c>
      <c r="W1030" s="14">
        <v>32.955232000000002</v>
      </c>
      <c r="Y1030" s="29">
        <v>7.9188159999999996</v>
      </c>
      <c r="AA1030" s="41">
        <v>580.97030500000005</v>
      </c>
      <c r="AC1030" s="27">
        <v>50.132883999999997</v>
      </c>
      <c r="AE1030" s="27">
        <v>1</v>
      </c>
      <c r="AG1030" s="29">
        <v>7.6680070000000002</v>
      </c>
      <c r="AI1030" s="29">
        <v>8.75</v>
      </c>
      <c r="AK1030" s="27">
        <v>24.060597999999999</v>
      </c>
      <c r="AM1030" s="27">
        <v>32.114094000000001</v>
      </c>
      <c r="AO1030" s="29">
        <v>6.7700199999999997</v>
      </c>
      <c r="AP1030" s="11"/>
    </row>
    <row r="1031" spans="2:42" hidden="1" outlineLevel="1" x14ac:dyDescent="0.25">
      <c r="B1031" s="21">
        <v>43361</v>
      </c>
      <c r="C1031" s="27">
        <v>18.816058999999999</v>
      </c>
      <c r="E1031" s="30">
        <v>0.85592999999999997</v>
      </c>
      <c r="G1031" s="27">
        <v>39.631188000000002</v>
      </c>
      <c r="I1031" s="29">
        <v>6.918024</v>
      </c>
      <c r="K1031" s="29">
        <v>4.138198</v>
      </c>
      <c r="M1031" s="41">
        <v>685.27319299999999</v>
      </c>
      <c r="O1031" s="26">
        <v>3015.3907589999999</v>
      </c>
      <c r="Q1031" s="26">
        <v>5847.8957979999996</v>
      </c>
      <c r="S1031" s="26">
        <v>1413.1569119999999</v>
      </c>
      <c r="U1031" s="29">
        <v>3.308751</v>
      </c>
      <c r="W1031" s="14">
        <v>32.972074999999997</v>
      </c>
      <c r="Y1031" s="29">
        <v>7.9677530000000001</v>
      </c>
      <c r="AA1031" s="41">
        <v>579.01139599999999</v>
      </c>
      <c r="AC1031" s="27">
        <v>50.042416000000003</v>
      </c>
      <c r="AE1031" s="27">
        <v>1</v>
      </c>
      <c r="AG1031" s="29">
        <v>7.6541579999999998</v>
      </c>
      <c r="AI1031" s="29">
        <v>8.75</v>
      </c>
      <c r="AK1031" s="27">
        <v>24.013234000000001</v>
      </c>
      <c r="AM1031" s="27">
        <v>32.039056000000002</v>
      </c>
      <c r="AO1031" s="29">
        <v>6.7572099999999997</v>
      </c>
      <c r="AP1031" s="11"/>
    </row>
    <row r="1032" spans="2:42" hidden="1" outlineLevel="1" x14ac:dyDescent="0.25">
      <c r="B1032" s="21">
        <v>43362</v>
      </c>
      <c r="C1032" s="27">
        <v>18.771861999999999</v>
      </c>
      <c r="E1032" s="30">
        <v>0.85631199999999996</v>
      </c>
      <c r="G1032" s="27">
        <v>39.593680999999997</v>
      </c>
      <c r="I1032" s="29">
        <v>6.9168810000000001</v>
      </c>
      <c r="K1032" s="29">
        <v>4.1448119999999999</v>
      </c>
      <c r="M1032" s="41">
        <v>682.284358</v>
      </c>
      <c r="O1032" s="26">
        <v>3018.816636</v>
      </c>
      <c r="Q1032" s="26">
        <v>5858.8298530000002</v>
      </c>
      <c r="S1032" s="26">
        <v>1413.539538</v>
      </c>
      <c r="U1032" s="29">
        <v>3.3046799999999998</v>
      </c>
      <c r="W1032" s="14">
        <v>33.022449999999999</v>
      </c>
      <c r="Y1032" s="29">
        <v>7.9671900000000004</v>
      </c>
      <c r="AA1032" s="41">
        <v>579.36555399999997</v>
      </c>
      <c r="AC1032" s="27">
        <v>50.059353000000002</v>
      </c>
      <c r="AE1032" s="27">
        <v>1</v>
      </c>
      <c r="AG1032" s="29">
        <v>7.65726</v>
      </c>
      <c r="AI1032" s="29">
        <v>8.75</v>
      </c>
      <c r="AK1032" s="27">
        <v>24.029478000000001</v>
      </c>
      <c r="AM1032" s="27">
        <v>32.088050000000003</v>
      </c>
      <c r="AO1032" s="29">
        <v>6.7593420000000002</v>
      </c>
      <c r="AP1032" s="11"/>
    </row>
    <row r="1033" spans="2:42" hidden="1" outlineLevel="1" x14ac:dyDescent="0.25">
      <c r="B1033" s="21">
        <v>43363</v>
      </c>
      <c r="C1033" s="27">
        <v>18.790723</v>
      </c>
      <c r="E1033" s="30">
        <v>0.85250400000000004</v>
      </c>
      <c r="G1033" s="27">
        <v>38.822212</v>
      </c>
      <c r="I1033" s="29">
        <v>6.9202940000000002</v>
      </c>
      <c r="K1033" s="29">
        <v>4.1094480000000004</v>
      </c>
      <c r="M1033" s="41">
        <v>674.97411699999998</v>
      </c>
      <c r="O1033" s="26">
        <v>3021.4411759999998</v>
      </c>
      <c r="Q1033" s="26">
        <v>5867.8662180000001</v>
      </c>
      <c r="S1033" s="26">
        <v>1427.9027040000001</v>
      </c>
      <c r="U1033" s="29">
        <v>3.301914</v>
      </c>
      <c r="W1033" s="14">
        <v>33.026964999999997</v>
      </c>
      <c r="Y1033" s="29">
        <v>8.0368499999999994</v>
      </c>
      <c r="AA1033" s="41">
        <v>579.79935699999999</v>
      </c>
      <c r="AC1033" s="27">
        <v>50.081843999999997</v>
      </c>
      <c r="AE1033" s="27">
        <v>1</v>
      </c>
      <c r="AG1033" s="29">
        <v>7.6670100000000003</v>
      </c>
      <c r="AI1033" s="29">
        <v>8.75</v>
      </c>
      <c r="AK1033" s="27">
        <v>24.040749999999999</v>
      </c>
      <c r="AM1033" s="27">
        <v>32.099018000000001</v>
      </c>
      <c r="AO1033" s="29">
        <v>6.7615379999999998</v>
      </c>
      <c r="AP1033" s="11"/>
    </row>
    <row r="1034" spans="2:42" hidden="1" outlineLevel="1" x14ac:dyDescent="0.25">
      <c r="B1034" s="21">
        <v>43364</v>
      </c>
      <c r="C1034" s="27">
        <v>18.85285</v>
      </c>
      <c r="E1034" s="30">
        <v>0.85004800000000003</v>
      </c>
      <c r="G1034" s="27">
        <v>37.833820000000003</v>
      </c>
      <c r="I1034" s="29">
        <v>6.9097580000000001</v>
      </c>
      <c r="K1034" s="29">
        <v>4.0662070000000003</v>
      </c>
      <c r="M1034" s="41">
        <v>666.62087899999995</v>
      </c>
      <c r="O1034" s="26">
        <v>3003.6008660000002</v>
      </c>
      <c r="Q1034" s="26">
        <v>5857.1154990000005</v>
      </c>
      <c r="S1034" s="26">
        <v>1440.44354</v>
      </c>
      <c r="U1034" s="29">
        <v>3.2936200000000002</v>
      </c>
      <c r="W1034" s="14">
        <v>32.959735999999999</v>
      </c>
      <c r="Y1034" s="29">
        <v>8.1057869999999994</v>
      </c>
      <c r="AA1034" s="41">
        <v>579.093796</v>
      </c>
      <c r="AC1034" s="27">
        <v>50.011332000000003</v>
      </c>
      <c r="AE1034" s="27">
        <v>1</v>
      </c>
      <c r="AG1034" s="29">
        <v>7.6700939999999997</v>
      </c>
      <c r="AI1034" s="29">
        <v>8.75</v>
      </c>
      <c r="AK1034" s="27">
        <v>24.008327999999999</v>
      </c>
      <c r="AM1034" s="27">
        <v>32.056462000000003</v>
      </c>
      <c r="AO1034" s="29">
        <v>6.7509980000000001</v>
      </c>
      <c r="AP1034" s="11"/>
    </row>
    <row r="1035" spans="2:42" hidden="1" outlineLevel="1" x14ac:dyDescent="0.25">
      <c r="B1035" s="21">
        <v>43365</v>
      </c>
      <c r="C1035" s="27">
        <v>18.82854</v>
      </c>
      <c r="E1035" s="30">
        <v>0.85115799999999997</v>
      </c>
      <c r="G1035" s="27">
        <v>37.234499999999997</v>
      </c>
      <c r="I1035" s="29">
        <v>6.9166749999999997</v>
      </c>
      <c r="K1035" s="29">
        <v>4.0516750000000004</v>
      </c>
      <c r="M1035" s="41">
        <v>666.70249999999999</v>
      </c>
      <c r="O1035" s="26">
        <v>2999</v>
      </c>
      <c r="Q1035" s="26">
        <v>5860.05</v>
      </c>
      <c r="S1035" s="26">
        <v>1446.334032</v>
      </c>
      <c r="U1035" s="29">
        <v>3.2905250000000001</v>
      </c>
      <c r="W1035" s="14">
        <v>32.99</v>
      </c>
      <c r="Y1035" s="29">
        <v>8.1423190000000005</v>
      </c>
      <c r="AA1035" s="41">
        <v>579.86</v>
      </c>
      <c r="AC1035" s="27">
        <v>50.057499999999997</v>
      </c>
      <c r="AE1035" s="27">
        <v>1</v>
      </c>
      <c r="AG1035" s="29">
        <v>7.6856</v>
      </c>
      <c r="AI1035" s="29">
        <v>8.75</v>
      </c>
      <c r="AK1035" s="27">
        <v>24.047499999999999</v>
      </c>
      <c r="AM1035" s="27">
        <v>32.267249999999997</v>
      </c>
      <c r="AO1035" s="29">
        <v>6.7577749999999996</v>
      </c>
      <c r="AP1035" s="11"/>
    </row>
    <row r="1036" spans="2:42" hidden="1" outlineLevel="1" x14ac:dyDescent="0.25">
      <c r="B1036" s="21">
        <v>43366</v>
      </c>
      <c r="C1036" s="27">
        <v>18.830259999999999</v>
      </c>
      <c r="E1036" s="30">
        <v>0.85117600000000004</v>
      </c>
      <c r="G1036" s="27">
        <v>37.236376999999997</v>
      </c>
      <c r="I1036" s="29">
        <v>6.9165020000000004</v>
      </c>
      <c r="K1036" s="29">
        <v>4.0515800000000004</v>
      </c>
      <c r="M1036" s="41">
        <v>666.70249999999999</v>
      </c>
      <c r="O1036" s="26">
        <v>2999</v>
      </c>
      <c r="Q1036" s="26">
        <v>5859.9034680000004</v>
      </c>
      <c r="S1036" s="26">
        <v>1446.332226</v>
      </c>
      <c r="U1036" s="29">
        <v>3.2907739999999999</v>
      </c>
      <c r="W1036" s="14">
        <v>32.988984000000002</v>
      </c>
      <c r="Y1036" s="29">
        <v>8.1422629999999998</v>
      </c>
      <c r="AA1036" s="41">
        <v>579.84534699999995</v>
      </c>
      <c r="AC1036" s="27">
        <v>50.05706</v>
      </c>
      <c r="AE1036" s="27">
        <v>1</v>
      </c>
      <c r="AG1036" s="29">
        <v>7.6854060000000004</v>
      </c>
      <c r="AI1036" s="29">
        <v>8.75</v>
      </c>
      <c r="AK1036" s="27">
        <v>24.043861</v>
      </c>
      <c r="AM1036" s="27">
        <v>32.236229000000002</v>
      </c>
      <c r="AO1036" s="29">
        <v>6.7576320000000001</v>
      </c>
      <c r="AP1036" s="11"/>
    </row>
    <row r="1037" spans="2:42" hidden="1" outlineLevel="1" x14ac:dyDescent="0.25">
      <c r="B1037" s="21">
        <v>43367</v>
      </c>
      <c r="C1037" s="27">
        <v>18.883597999999999</v>
      </c>
      <c r="E1037" s="30">
        <v>0.85058599999999995</v>
      </c>
      <c r="G1037" s="27">
        <v>37.263995999999999</v>
      </c>
      <c r="I1037" s="29">
        <v>6.9202729999999999</v>
      </c>
      <c r="K1037" s="29">
        <v>4.0642379999999996</v>
      </c>
      <c r="M1037" s="41">
        <v>668.68465400000002</v>
      </c>
      <c r="O1037" s="26">
        <v>2999.9724999999999</v>
      </c>
      <c r="Q1037" s="26">
        <v>5867.1711340000002</v>
      </c>
      <c r="S1037" s="26">
        <v>1443.615472</v>
      </c>
      <c r="U1037" s="29">
        <v>3.2960859999999998</v>
      </c>
      <c r="W1037" s="14">
        <v>32.779738000000002</v>
      </c>
      <c r="Y1037" s="29">
        <v>8.0654299999999992</v>
      </c>
      <c r="AA1037" s="41">
        <v>579.87080900000001</v>
      </c>
      <c r="AC1037" s="27">
        <v>50.114260000000002</v>
      </c>
      <c r="AE1037" s="27">
        <v>1</v>
      </c>
      <c r="AG1037" s="29">
        <v>7.6582699999999999</v>
      </c>
      <c r="AI1037" s="29">
        <v>8.75</v>
      </c>
      <c r="AK1037" s="27">
        <v>24.049765000000001</v>
      </c>
      <c r="AM1037" s="27">
        <v>32.042152000000002</v>
      </c>
      <c r="AO1037" s="29">
        <v>6.7410810000000003</v>
      </c>
      <c r="AP1037" s="11"/>
    </row>
    <row r="1038" spans="2:42" hidden="1" outlineLevel="1" x14ac:dyDescent="0.25">
      <c r="B1038" s="21">
        <v>43368</v>
      </c>
      <c r="C1038" s="27">
        <v>18.98443</v>
      </c>
      <c r="E1038" s="30">
        <v>0.85018400000000005</v>
      </c>
      <c r="G1038" s="27">
        <v>37.788148</v>
      </c>
      <c r="I1038" s="29">
        <v>6.9205949999999996</v>
      </c>
      <c r="K1038" s="29">
        <v>4.0968059999999999</v>
      </c>
      <c r="M1038" s="41">
        <v>670.90119600000003</v>
      </c>
      <c r="O1038" s="26">
        <v>3001.7343179999998</v>
      </c>
      <c r="Q1038" s="26">
        <v>5879.233886</v>
      </c>
      <c r="S1038" s="26">
        <v>1435.084116</v>
      </c>
      <c r="U1038" s="29">
        <v>3.302826</v>
      </c>
      <c r="W1038" s="14">
        <v>32.676701999999999</v>
      </c>
      <c r="Y1038" s="29">
        <v>7.9761620000000004</v>
      </c>
      <c r="AA1038" s="41">
        <v>580.12828500000001</v>
      </c>
      <c r="AC1038" s="27">
        <v>50.059426000000002</v>
      </c>
      <c r="AE1038" s="27">
        <v>1</v>
      </c>
      <c r="AG1038" s="29">
        <v>7.6525080000000001</v>
      </c>
      <c r="AI1038" s="29">
        <v>8.75</v>
      </c>
      <c r="AK1038" s="27">
        <v>24.055178000000002</v>
      </c>
      <c r="AM1038" s="27">
        <v>32.059305999999999</v>
      </c>
      <c r="AO1038" s="29">
        <v>6.7192999999999996</v>
      </c>
      <c r="AP1038" s="11"/>
    </row>
    <row r="1039" spans="2:42" hidden="1" outlineLevel="1" x14ac:dyDescent="0.25">
      <c r="B1039" s="21">
        <v>43369</v>
      </c>
      <c r="C1039" s="27">
        <v>18.940132999999999</v>
      </c>
      <c r="E1039" s="30">
        <v>0.85070999999999997</v>
      </c>
      <c r="G1039" s="27">
        <v>38.414026</v>
      </c>
      <c r="I1039" s="29">
        <v>6.9176859999999998</v>
      </c>
      <c r="K1039" s="29">
        <v>4.0595439999999998</v>
      </c>
      <c r="M1039" s="41">
        <v>664.94488799999999</v>
      </c>
      <c r="O1039" s="26">
        <v>3000.9867199999999</v>
      </c>
      <c r="Q1039" s="26">
        <v>5893.5134980000003</v>
      </c>
      <c r="S1039" s="26">
        <v>1451.7740349999999</v>
      </c>
      <c r="U1039" s="29">
        <v>3.3038180000000001</v>
      </c>
      <c r="W1039" s="14">
        <v>32.600400999999998</v>
      </c>
      <c r="Y1039" s="29">
        <v>8.0305730000000004</v>
      </c>
      <c r="AA1039" s="41">
        <v>580.28767800000003</v>
      </c>
      <c r="AC1039" s="27">
        <v>49.883319999999998</v>
      </c>
      <c r="AE1039" s="27">
        <v>1</v>
      </c>
      <c r="AG1039" s="29">
        <v>7.651338</v>
      </c>
      <c r="AI1039" s="29">
        <v>8.75</v>
      </c>
      <c r="AK1039" s="27">
        <v>24.055451000000001</v>
      </c>
      <c r="AM1039" s="27">
        <v>32.060138000000002</v>
      </c>
      <c r="AO1039" s="29">
        <v>6.7159659999999999</v>
      </c>
      <c r="AP1039" s="11"/>
    </row>
    <row r="1040" spans="2:42" hidden="1" outlineLevel="1" x14ac:dyDescent="0.25">
      <c r="B1040" s="21">
        <v>43370</v>
      </c>
      <c r="C1040" s="27">
        <v>18.856525000000001</v>
      </c>
      <c r="E1040" s="30">
        <v>0.85514599999999996</v>
      </c>
      <c r="G1040" s="27">
        <v>39.035409999999999</v>
      </c>
      <c r="I1040" s="29">
        <v>6.9212740000000004</v>
      </c>
      <c r="K1040" s="29">
        <v>4.0196740000000002</v>
      </c>
      <c r="M1040" s="41">
        <v>661.78073400000005</v>
      </c>
      <c r="O1040" s="26">
        <v>2995.2775219999999</v>
      </c>
      <c r="Q1040" s="26">
        <v>5905.5410339999999</v>
      </c>
      <c r="S1040" s="26">
        <v>1469.166166</v>
      </c>
      <c r="U1040" s="29">
        <v>3.3026629999999999</v>
      </c>
      <c r="W1040" s="14">
        <v>32.675494999999998</v>
      </c>
      <c r="Y1040" s="29">
        <v>8.128914</v>
      </c>
      <c r="AA1040" s="41">
        <v>579.92581099999995</v>
      </c>
      <c r="AC1040" s="27">
        <v>49.890568999999999</v>
      </c>
      <c r="AE1040" s="27">
        <v>1</v>
      </c>
      <c r="AG1040" s="29">
        <v>7.6514139999999999</v>
      </c>
      <c r="AI1040" s="29">
        <v>8.75</v>
      </c>
      <c r="AK1040" s="27">
        <v>24.048138999999999</v>
      </c>
      <c r="AM1040" s="27">
        <v>32.144179000000001</v>
      </c>
      <c r="AO1040" s="29">
        <v>6.7176039999999997</v>
      </c>
      <c r="AP1040" s="11"/>
    </row>
    <row r="1041" spans="2:42" hidden="1" outlineLevel="1" x14ac:dyDescent="0.25">
      <c r="B1041" s="21">
        <v>43371</v>
      </c>
      <c r="C1041" s="27">
        <v>18.759834999999999</v>
      </c>
      <c r="E1041" s="30">
        <v>0.86096200000000001</v>
      </c>
      <c r="G1041" s="27">
        <v>40.414842</v>
      </c>
      <c r="I1041" s="29">
        <v>6.9319499999999996</v>
      </c>
      <c r="K1041" s="29">
        <v>4.0217280000000004</v>
      </c>
      <c r="M1041" s="41">
        <v>659.38541199999997</v>
      </c>
      <c r="O1041" s="26">
        <v>2978.4471760000001</v>
      </c>
      <c r="Q1041" s="26">
        <v>5910.0022079999999</v>
      </c>
      <c r="S1041" s="26">
        <v>1469.5248759999999</v>
      </c>
      <c r="U1041" s="29">
        <v>3.3032300000000001</v>
      </c>
      <c r="W1041" s="14">
        <v>32.795740000000002</v>
      </c>
      <c r="Y1041" s="29">
        <v>8.1546579999999995</v>
      </c>
      <c r="AA1041" s="41">
        <v>581.37485700000002</v>
      </c>
      <c r="AC1041" s="27">
        <v>50.026133000000002</v>
      </c>
      <c r="AE1041" s="27">
        <v>1</v>
      </c>
      <c r="AG1041" s="29">
        <v>7.6582480000000004</v>
      </c>
      <c r="AI1041" s="29">
        <v>8.75</v>
      </c>
      <c r="AK1041" s="27">
        <v>24.094114000000001</v>
      </c>
      <c r="AM1041" s="27">
        <v>32.232494000000003</v>
      </c>
      <c r="AO1041" s="29">
        <v>6.7276619999999996</v>
      </c>
      <c r="AP1041" s="11"/>
    </row>
    <row r="1042" spans="2:42" hidden="1" outlineLevel="1" x14ac:dyDescent="0.25">
      <c r="B1042" s="21">
        <v>43372</v>
      </c>
      <c r="C1042" s="27">
        <v>18.720015</v>
      </c>
      <c r="E1042" s="30">
        <v>0.861757</v>
      </c>
      <c r="G1042" s="27">
        <v>41.292050000000003</v>
      </c>
      <c r="I1042" s="29">
        <v>6.9183750000000002</v>
      </c>
      <c r="K1042" s="29">
        <v>4.0523999999999996</v>
      </c>
      <c r="M1042" s="41">
        <v>657.8175</v>
      </c>
      <c r="O1042" s="26">
        <v>2962.4</v>
      </c>
      <c r="Q1042" s="26">
        <v>5899.7749999999996</v>
      </c>
      <c r="S1042" s="26">
        <v>1455.877191</v>
      </c>
      <c r="U1042" s="29">
        <v>3.3005249999999999</v>
      </c>
      <c r="W1042" s="14">
        <v>32.722499999999997</v>
      </c>
      <c r="Y1042" s="29">
        <v>8.0748510000000007</v>
      </c>
      <c r="AA1042" s="41">
        <v>580.22749999999996</v>
      </c>
      <c r="AC1042" s="27">
        <v>49.907499999999999</v>
      </c>
      <c r="AE1042" s="27">
        <v>1</v>
      </c>
      <c r="AG1042" s="29">
        <v>7.6434749999999996</v>
      </c>
      <c r="AI1042" s="29">
        <v>8.75</v>
      </c>
      <c r="AK1042" s="27">
        <v>24.069500000000001</v>
      </c>
      <c r="AM1042" s="27">
        <v>32.299750000000003</v>
      </c>
      <c r="AO1042" s="29">
        <v>6.716825</v>
      </c>
      <c r="AP1042" s="11"/>
    </row>
    <row r="1043" spans="2:42" hidden="1" outlineLevel="1" x14ac:dyDescent="0.25">
      <c r="B1043" s="21">
        <v>43373</v>
      </c>
      <c r="C1043" s="49">
        <v>18.812000000000001</v>
      </c>
      <c r="E1043" s="30">
        <v>0.86172199999999999</v>
      </c>
      <c r="G1043" s="27">
        <v>41.289969999999997</v>
      </c>
      <c r="I1043" s="29">
        <v>6.9183750000000002</v>
      </c>
      <c r="K1043" s="29">
        <v>4.0519740000000004</v>
      </c>
      <c r="M1043" s="41">
        <v>657.80537600000002</v>
      </c>
      <c r="O1043" s="26">
        <v>2962.5216770000002</v>
      </c>
      <c r="Q1043" s="26">
        <v>5899.7749999999996</v>
      </c>
      <c r="S1043" s="26">
        <v>1456.0302919999999</v>
      </c>
      <c r="U1043" s="29">
        <v>3.3005059999999999</v>
      </c>
      <c r="W1043" s="14">
        <v>32.722499999999997</v>
      </c>
      <c r="Y1043" s="29">
        <v>8.0756999999999994</v>
      </c>
      <c r="AA1043" s="41">
        <v>580.22839099999999</v>
      </c>
      <c r="AC1043" s="27">
        <v>49.909894999999999</v>
      </c>
      <c r="AE1043" s="27">
        <v>1</v>
      </c>
      <c r="AG1043" s="29">
        <v>7.6434749999999996</v>
      </c>
      <c r="AI1043" s="29">
        <v>8.75</v>
      </c>
      <c r="AK1043" s="27">
        <v>24.070347999999999</v>
      </c>
      <c r="AM1043" s="27">
        <v>32.299750000000003</v>
      </c>
      <c r="AO1043" s="29">
        <v>6.716825</v>
      </c>
      <c r="AP1043" s="12"/>
    </row>
    <row r="1044" spans="2:42" ht="13" collapsed="1" x14ac:dyDescent="0.3">
      <c r="B1044" s="25" t="s">
        <v>171</v>
      </c>
      <c r="C1044" s="19">
        <v>19.008199999999999</v>
      </c>
      <c r="E1044" s="24">
        <v>0.85841299999999998</v>
      </c>
      <c r="G1044" s="19">
        <v>38.490499999999997</v>
      </c>
      <c r="I1044" s="23">
        <v>6.9212899999999999</v>
      </c>
      <c r="J1044" s="9"/>
      <c r="K1044" s="23">
        <v>4.0997599999999998</v>
      </c>
      <c r="M1044" s="42">
        <v>679.173</v>
      </c>
      <c r="O1044" s="31">
        <v>3031.77</v>
      </c>
      <c r="Q1044" s="31">
        <v>5858.1</v>
      </c>
      <c r="S1044" s="31">
        <v>1429.15</v>
      </c>
      <c r="U1044" s="23">
        <v>3.3097500000000002</v>
      </c>
      <c r="W1044" s="23">
        <v>32.675519999999999</v>
      </c>
      <c r="Y1044" s="23">
        <v>7.9712699999999996</v>
      </c>
      <c r="AA1044" s="42">
        <v>580.30799999999999</v>
      </c>
      <c r="AC1044" s="19">
        <v>50.016500000000001</v>
      </c>
      <c r="AE1044" s="19">
        <v>1</v>
      </c>
      <c r="AG1044" s="23">
        <v>7.6328199999999997</v>
      </c>
      <c r="AI1044" s="23">
        <v>8.75</v>
      </c>
      <c r="AK1044" s="23">
        <v>24.033650000000002</v>
      </c>
      <c r="AM1044" s="23">
        <v>32.047499999999999</v>
      </c>
      <c r="AO1044" s="23">
        <v>6.7365300000000001</v>
      </c>
      <c r="AP1044" s="10"/>
    </row>
    <row r="1045" spans="2:42" hidden="1" outlineLevel="1" x14ac:dyDescent="0.25">
      <c r="B1045" s="21">
        <v>43374</v>
      </c>
      <c r="C1045" s="27">
        <v>18.627808000000002</v>
      </c>
      <c r="E1045" s="30">
        <v>0.86277199999999998</v>
      </c>
      <c r="G1045" s="27">
        <v>40.630504000000002</v>
      </c>
      <c r="I1045" s="29">
        <v>6.9138840000000004</v>
      </c>
      <c r="K1045" s="29">
        <v>4.0355540000000003</v>
      </c>
      <c r="M1045" s="41">
        <v>657.98905400000001</v>
      </c>
      <c r="O1045" s="26">
        <v>2978.5838020000001</v>
      </c>
      <c r="Q1045" s="26">
        <v>5897.8226279999999</v>
      </c>
      <c r="S1045" s="26">
        <v>1461.4716100000001</v>
      </c>
      <c r="U1045" s="29">
        <v>3.3027860000000002</v>
      </c>
      <c r="W1045" s="14">
        <v>32.729604000000002</v>
      </c>
      <c r="Y1045" s="29">
        <v>8.1103290000000001</v>
      </c>
      <c r="AA1045" s="41">
        <v>580.65458799999999</v>
      </c>
      <c r="AC1045" s="27">
        <v>49.955854000000002</v>
      </c>
      <c r="AE1045" s="27">
        <v>1</v>
      </c>
      <c r="AG1045" s="29">
        <v>7.6386019999999997</v>
      </c>
      <c r="AI1045" s="29">
        <v>8.75</v>
      </c>
      <c r="AK1045" s="27">
        <v>24.038526000000001</v>
      </c>
      <c r="AM1045" s="27">
        <v>32.115630000000003</v>
      </c>
      <c r="AO1045" s="29">
        <v>6.72037</v>
      </c>
      <c r="AP1045" s="11"/>
    </row>
    <row r="1046" spans="2:42" hidden="1" outlineLevel="1" x14ac:dyDescent="0.25">
      <c r="B1046" s="21">
        <v>43375</v>
      </c>
      <c r="C1046" s="27">
        <v>18.775511000000002</v>
      </c>
      <c r="E1046" s="30">
        <v>0.86592999999999998</v>
      </c>
      <c r="G1046" s="27">
        <v>38.851832000000002</v>
      </c>
      <c r="I1046" s="29">
        <v>6.9226900000000002</v>
      </c>
      <c r="K1046" s="29">
        <v>3.9793620000000001</v>
      </c>
      <c r="M1046" s="41">
        <v>659.68946400000004</v>
      </c>
      <c r="O1046" s="26">
        <v>3003.1155220000001</v>
      </c>
      <c r="Q1046" s="26">
        <v>5907.4143999999997</v>
      </c>
      <c r="S1046" s="26">
        <v>1484.5194819999999</v>
      </c>
      <c r="U1046" s="29">
        <v>3.3107250000000001</v>
      </c>
      <c r="W1046" s="14">
        <v>32.780963999999997</v>
      </c>
      <c r="Y1046" s="29">
        <v>8.2377579999999995</v>
      </c>
      <c r="AA1046" s="41">
        <v>583.39922200000001</v>
      </c>
      <c r="AC1046" s="27">
        <v>49.925451000000002</v>
      </c>
      <c r="AE1046" s="27">
        <v>1</v>
      </c>
      <c r="AG1046" s="29">
        <v>7.6473319999999996</v>
      </c>
      <c r="AI1046" s="29">
        <v>8.75</v>
      </c>
      <c r="AK1046" s="27">
        <v>24.070679999999999</v>
      </c>
      <c r="AM1046" s="27">
        <v>32.167504000000001</v>
      </c>
      <c r="AO1046" s="29">
        <v>6.7368639999999997</v>
      </c>
      <c r="AP1046" s="11"/>
    </row>
    <row r="1047" spans="2:42" hidden="1" outlineLevel="1" x14ac:dyDescent="0.25">
      <c r="B1047" s="21">
        <v>43376</v>
      </c>
      <c r="C1047" s="27">
        <v>18.840336000000001</v>
      </c>
      <c r="E1047" s="30">
        <v>0.86648599999999998</v>
      </c>
      <c r="G1047" s="27">
        <v>37.899076000000001</v>
      </c>
      <c r="I1047" s="29">
        <v>6.9162379999999999</v>
      </c>
      <c r="K1047" s="29">
        <v>3.9119380000000001</v>
      </c>
      <c r="M1047" s="41">
        <v>661.57059000000004</v>
      </c>
      <c r="O1047" s="26">
        <v>3015.7587229999999</v>
      </c>
      <c r="Q1047" s="26">
        <v>5905.9905330000001</v>
      </c>
      <c r="S1047" s="26">
        <v>1509.742242</v>
      </c>
      <c r="U1047" s="29">
        <v>3.3115960000000002</v>
      </c>
      <c r="W1047" s="14">
        <v>32.717981999999999</v>
      </c>
      <c r="Y1047" s="29">
        <v>8.3636440000000007</v>
      </c>
      <c r="AA1047" s="41">
        <v>583.73715900000002</v>
      </c>
      <c r="AC1047" s="27">
        <v>49.889223999999999</v>
      </c>
      <c r="AE1047" s="27">
        <v>1</v>
      </c>
      <c r="AG1047" s="29">
        <v>7.6425409999999996</v>
      </c>
      <c r="AI1047" s="29">
        <v>8.75</v>
      </c>
      <c r="AK1047" s="27">
        <v>24.040424000000002</v>
      </c>
      <c r="AM1047" s="27">
        <v>32.126559999999998</v>
      </c>
      <c r="AO1047" s="29">
        <v>6.712218</v>
      </c>
      <c r="AP1047" s="11"/>
    </row>
    <row r="1048" spans="2:42" hidden="1" outlineLevel="1" x14ac:dyDescent="0.25">
      <c r="B1048" s="21">
        <v>43377</v>
      </c>
      <c r="C1048" s="27">
        <v>19.087897999999999</v>
      </c>
      <c r="E1048" s="30">
        <v>0.86978800000000001</v>
      </c>
      <c r="G1048" s="27">
        <v>38.091805000000001</v>
      </c>
      <c r="I1048" s="29">
        <v>6.9332900000000004</v>
      </c>
      <c r="K1048" s="29">
        <v>3.901284</v>
      </c>
      <c r="M1048" s="41">
        <v>668.72858799999995</v>
      </c>
      <c r="O1048" s="26">
        <v>3022.3790260000001</v>
      </c>
      <c r="Q1048" s="26">
        <v>5921.9859589999996</v>
      </c>
      <c r="S1048" s="26">
        <v>1517.9646170000001</v>
      </c>
      <c r="U1048" s="29">
        <v>3.3278300000000001</v>
      </c>
      <c r="W1048" s="14">
        <v>32.772364000000003</v>
      </c>
      <c r="Y1048" s="29">
        <v>8.4004180000000002</v>
      </c>
      <c r="AA1048" s="41">
        <v>584.92432199999996</v>
      </c>
      <c r="AC1048" s="27">
        <v>49.989297999999998</v>
      </c>
      <c r="AE1048" s="27">
        <v>1</v>
      </c>
      <c r="AG1048" s="29">
        <v>7.6595380000000004</v>
      </c>
      <c r="AI1048" s="29">
        <v>8.75</v>
      </c>
      <c r="AK1048" s="27">
        <v>24.091562</v>
      </c>
      <c r="AM1048" s="27">
        <v>32.189717999999999</v>
      </c>
      <c r="AO1048" s="29">
        <v>6.7266750000000002</v>
      </c>
      <c r="AP1048" s="11"/>
    </row>
    <row r="1049" spans="2:42" hidden="1" outlineLevel="1" x14ac:dyDescent="0.25">
      <c r="B1049" s="21">
        <v>43378</v>
      </c>
      <c r="C1049" s="27">
        <v>18.994467</v>
      </c>
      <c r="E1049" s="30">
        <v>0.86863000000000001</v>
      </c>
      <c r="G1049" s="27">
        <v>38.274276999999998</v>
      </c>
      <c r="I1049" s="29">
        <v>6.9170730000000002</v>
      </c>
      <c r="K1049" s="29">
        <v>3.8683320000000001</v>
      </c>
      <c r="M1049" s="41">
        <v>674.91840100000002</v>
      </c>
      <c r="O1049" s="26">
        <v>3032.3238099999999</v>
      </c>
      <c r="Q1049" s="26">
        <v>5917.1162549999999</v>
      </c>
      <c r="S1049" s="26">
        <v>1529.6361919999999</v>
      </c>
      <c r="U1049" s="29">
        <v>3.3245019999999998</v>
      </c>
      <c r="W1049" s="14">
        <v>32.65072</v>
      </c>
      <c r="Y1049" s="29">
        <v>8.4405300000000008</v>
      </c>
      <c r="AA1049" s="41">
        <v>585.87727800000005</v>
      </c>
      <c r="AC1049" s="27">
        <v>49.798324999999998</v>
      </c>
      <c r="AE1049" s="27">
        <v>1</v>
      </c>
      <c r="AG1049" s="29">
        <v>7.6444660000000004</v>
      </c>
      <c r="AI1049" s="29">
        <v>8.75</v>
      </c>
      <c r="AK1049" s="27">
        <v>24.051349999999999</v>
      </c>
      <c r="AM1049" s="27">
        <v>32.129635</v>
      </c>
      <c r="AO1049" s="29">
        <v>6.7137500000000001</v>
      </c>
      <c r="AP1049" s="11"/>
    </row>
    <row r="1050" spans="2:42" hidden="1" outlineLevel="1" x14ac:dyDescent="0.25">
      <c r="B1050" s="21">
        <v>43379</v>
      </c>
      <c r="C1050" s="27">
        <v>18.822379999999999</v>
      </c>
      <c r="E1050" s="30">
        <v>0.86807800000000002</v>
      </c>
      <c r="G1050" s="27">
        <v>37.840000000000003</v>
      </c>
      <c r="I1050" s="29">
        <v>6.9133750000000003</v>
      </c>
      <c r="K1050" s="29">
        <v>3.8414250000000001</v>
      </c>
      <c r="M1050" s="41">
        <v>676.00250000000005</v>
      </c>
      <c r="O1050" s="26">
        <v>3032.65</v>
      </c>
      <c r="Q1050" s="26">
        <v>5918.3249999999998</v>
      </c>
      <c r="S1050" s="26">
        <v>1540.6633999999999</v>
      </c>
      <c r="U1050" s="29">
        <v>3.3224999999999998</v>
      </c>
      <c r="W1050" s="14">
        <v>32.637500000000003</v>
      </c>
      <c r="Y1050" s="29">
        <v>8.4962020000000003</v>
      </c>
      <c r="AA1050" s="41">
        <v>587.3075</v>
      </c>
      <c r="AC1050" s="27">
        <v>49.457500000000003</v>
      </c>
      <c r="AE1050" s="27">
        <v>1</v>
      </c>
      <c r="AG1050" s="29">
        <v>7.6469500000000004</v>
      </c>
      <c r="AI1050" s="29">
        <v>8.75</v>
      </c>
      <c r="AK1050" s="27">
        <v>24.081</v>
      </c>
      <c r="AM1050" s="27">
        <v>32.200000000000003</v>
      </c>
      <c r="AO1050" s="29">
        <v>6.716825</v>
      </c>
      <c r="AP1050" s="11"/>
    </row>
    <row r="1051" spans="2:42" hidden="1" outlineLevel="1" x14ac:dyDescent="0.25">
      <c r="B1051" s="21">
        <v>43380</v>
      </c>
      <c r="C1051" s="27">
        <v>18.820450000000001</v>
      </c>
      <c r="E1051" s="30">
        <v>0.86803600000000003</v>
      </c>
      <c r="G1051" s="27">
        <v>37.839154999999998</v>
      </c>
      <c r="I1051" s="29">
        <v>6.9119780000000004</v>
      </c>
      <c r="K1051" s="29">
        <v>3.8409589999999998</v>
      </c>
      <c r="M1051" s="41">
        <v>676.00914599999999</v>
      </c>
      <c r="O1051" s="26">
        <v>3032.3620999999998</v>
      </c>
      <c r="Q1051" s="26">
        <v>5917.2649339999998</v>
      </c>
      <c r="S1051" s="26">
        <v>1540.5745509999999</v>
      </c>
      <c r="U1051" s="29">
        <v>3.3221579999999999</v>
      </c>
      <c r="W1051" s="14">
        <v>32.631624000000002</v>
      </c>
      <c r="Y1051" s="29">
        <v>8.4957039999999999</v>
      </c>
      <c r="AA1051" s="41">
        <v>587.108386</v>
      </c>
      <c r="AC1051" s="27">
        <v>49.494070999999998</v>
      </c>
      <c r="AE1051" s="27">
        <v>1</v>
      </c>
      <c r="AG1051" s="29">
        <v>7.6455679999999999</v>
      </c>
      <c r="AI1051" s="29">
        <v>8.75</v>
      </c>
      <c r="AK1051" s="27">
        <v>24.073181999999999</v>
      </c>
      <c r="AM1051" s="27">
        <v>32.188369999999999</v>
      </c>
      <c r="AO1051" s="29">
        <v>6.7154600000000002</v>
      </c>
      <c r="AP1051" s="11"/>
    </row>
    <row r="1052" spans="2:42" hidden="1" outlineLevel="1" x14ac:dyDescent="0.25">
      <c r="B1052" s="21">
        <v>43381</v>
      </c>
      <c r="C1052" s="27">
        <v>18.860711999999999</v>
      </c>
      <c r="E1052" s="30">
        <v>0.87014499999999995</v>
      </c>
      <c r="G1052" s="27">
        <v>37.771984000000003</v>
      </c>
      <c r="I1052" s="29">
        <v>6.9111570000000002</v>
      </c>
      <c r="K1052" s="29">
        <v>3.801234</v>
      </c>
      <c r="M1052" s="41">
        <v>677.12111400000003</v>
      </c>
      <c r="O1052" s="26">
        <v>3036.6924349999999</v>
      </c>
      <c r="Q1052" s="26">
        <v>5910.903746</v>
      </c>
      <c r="S1052" s="26">
        <v>1555.004338</v>
      </c>
      <c r="U1052" s="29">
        <v>3.321723</v>
      </c>
      <c r="W1052" s="14">
        <v>32.864218000000001</v>
      </c>
      <c r="Y1052" s="29">
        <v>8.6456979999999994</v>
      </c>
      <c r="AA1052" s="41">
        <v>587.16626799999995</v>
      </c>
      <c r="AC1052" s="27">
        <v>49.739663999999998</v>
      </c>
      <c r="AE1052" s="27">
        <v>1</v>
      </c>
      <c r="AG1052" s="29">
        <v>7.67103</v>
      </c>
      <c r="AI1052" s="29">
        <v>8.75</v>
      </c>
      <c r="AK1052" s="27">
        <v>24.030182</v>
      </c>
      <c r="AM1052" s="27">
        <v>32.050817000000002</v>
      </c>
      <c r="AO1052" s="29">
        <v>6.7341819999999997</v>
      </c>
      <c r="AP1052" s="11"/>
    </row>
    <row r="1053" spans="2:42" hidden="1" outlineLevel="1" x14ac:dyDescent="0.25">
      <c r="B1053" s="21">
        <v>43382</v>
      </c>
      <c r="C1053" s="27">
        <v>18.990752000000001</v>
      </c>
      <c r="E1053" s="30">
        <v>0.87107800000000002</v>
      </c>
      <c r="G1053" s="27">
        <v>37.313378</v>
      </c>
      <c r="I1053" s="29">
        <v>6.9169559999999999</v>
      </c>
      <c r="K1053" s="29">
        <v>3.7556579999999999</v>
      </c>
      <c r="M1053" s="41">
        <v>681.24762699999997</v>
      </c>
      <c r="O1053" s="26">
        <v>3045.1514889999999</v>
      </c>
      <c r="Q1053" s="26">
        <v>5911.2792360000003</v>
      </c>
      <c r="S1053" s="26">
        <v>1573.9731059999999</v>
      </c>
      <c r="U1053" s="29">
        <v>3.3227120000000001</v>
      </c>
      <c r="W1053" s="14">
        <v>32.963728000000003</v>
      </c>
      <c r="Y1053" s="29">
        <v>8.7771100000000004</v>
      </c>
      <c r="AA1053" s="41">
        <v>588.97698000000003</v>
      </c>
      <c r="AC1053" s="27">
        <v>49.884216000000002</v>
      </c>
      <c r="AE1053" s="27">
        <v>1</v>
      </c>
      <c r="AG1053" s="29">
        <v>7.6783679999999999</v>
      </c>
      <c r="AI1053" s="29">
        <v>8.75</v>
      </c>
      <c r="AK1053" s="27">
        <v>24.032584</v>
      </c>
      <c r="AM1053" s="27">
        <v>32.079934000000002</v>
      </c>
      <c r="AO1053" s="29">
        <v>6.7570899999999998</v>
      </c>
      <c r="AP1053" s="11"/>
    </row>
    <row r="1054" spans="2:42" hidden="1" outlineLevel="1" x14ac:dyDescent="0.25">
      <c r="B1054" s="21">
        <v>43383</v>
      </c>
      <c r="C1054" s="27">
        <v>19.072845999999998</v>
      </c>
      <c r="E1054" s="30">
        <v>0.86852399999999996</v>
      </c>
      <c r="G1054" s="27">
        <v>37.211626000000003</v>
      </c>
      <c r="I1054" s="29">
        <v>6.9122120000000002</v>
      </c>
      <c r="K1054" s="29">
        <v>3.7320720000000001</v>
      </c>
      <c r="M1054" s="41">
        <v>682.35602100000006</v>
      </c>
      <c r="O1054" s="26">
        <v>3067.9646680000001</v>
      </c>
      <c r="Q1054" s="26">
        <v>5911.8142260000004</v>
      </c>
      <c r="S1054" s="26">
        <v>1584.0628369999999</v>
      </c>
      <c r="U1054" s="29">
        <v>3.3233839999999999</v>
      </c>
      <c r="W1054" s="14">
        <v>32.877690000000001</v>
      </c>
      <c r="Y1054" s="29">
        <v>8.8095119999999998</v>
      </c>
      <c r="AA1054" s="41">
        <v>590.99534000000006</v>
      </c>
      <c r="AC1054" s="27">
        <v>49.872691000000003</v>
      </c>
      <c r="AE1054" s="27">
        <v>1</v>
      </c>
      <c r="AG1054" s="29">
        <v>7.6736630000000003</v>
      </c>
      <c r="AI1054" s="29">
        <v>8.75</v>
      </c>
      <c r="AK1054" s="27">
        <v>24.025998000000001</v>
      </c>
      <c r="AM1054" s="27">
        <v>32.068888999999999</v>
      </c>
      <c r="AO1054" s="29">
        <v>6.7518580000000004</v>
      </c>
      <c r="AP1054" s="11"/>
    </row>
    <row r="1055" spans="2:42" hidden="1" outlineLevel="1" x14ac:dyDescent="0.25">
      <c r="B1055" s="21">
        <v>43384</v>
      </c>
      <c r="C1055" s="27">
        <v>19.065902000000001</v>
      </c>
      <c r="E1055" s="30">
        <v>0.86445799999999995</v>
      </c>
      <c r="G1055" s="27">
        <v>37.086872</v>
      </c>
      <c r="I1055" s="29">
        <v>6.9148540000000001</v>
      </c>
      <c r="K1055" s="29">
        <v>3.7559</v>
      </c>
      <c r="M1055" s="41">
        <v>685.90644999999995</v>
      </c>
      <c r="O1055" s="26">
        <v>3092.7260160000001</v>
      </c>
      <c r="Q1055" s="26">
        <v>5924.2086849999996</v>
      </c>
      <c r="S1055" s="26">
        <v>1577.3146449999999</v>
      </c>
      <c r="U1055" s="29">
        <v>3.3271299999999999</v>
      </c>
      <c r="W1055" s="14">
        <v>32.825724000000001</v>
      </c>
      <c r="Y1055" s="29">
        <v>8.7397919999999996</v>
      </c>
      <c r="AA1055" s="41">
        <v>593.07374900000002</v>
      </c>
      <c r="AC1055" s="27">
        <v>49.901068000000002</v>
      </c>
      <c r="AE1055" s="27">
        <v>1</v>
      </c>
      <c r="AG1055" s="29">
        <v>7.6794960000000003</v>
      </c>
      <c r="AI1055" s="29">
        <v>8.75</v>
      </c>
      <c r="AK1055" s="27">
        <v>24.025136</v>
      </c>
      <c r="AM1055" s="27">
        <v>32.102285999999999</v>
      </c>
      <c r="AO1055" s="29">
        <v>6.7547920000000001</v>
      </c>
      <c r="AP1055" s="11"/>
    </row>
    <row r="1056" spans="2:42" hidden="1" outlineLevel="1" x14ac:dyDescent="0.25">
      <c r="B1056" s="21">
        <v>43385</v>
      </c>
      <c r="C1056" s="27">
        <v>18.911106</v>
      </c>
      <c r="E1056" s="30">
        <v>0.86382899999999996</v>
      </c>
      <c r="G1056" s="27">
        <v>36.524028999999999</v>
      </c>
      <c r="I1056" s="29">
        <v>6.912636</v>
      </c>
      <c r="K1056" s="29">
        <v>3.7821660000000001</v>
      </c>
      <c r="M1056" s="41">
        <v>680.43490399999996</v>
      </c>
      <c r="O1056" s="26">
        <v>3086.3042070000001</v>
      </c>
      <c r="Q1056" s="26">
        <v>5940.0595999999996</v>
      </c>
      <c r="S1056" s="26">
        <v>1570.551044</v>
      </c>
      <c r="U1056" s="29">
        <v>3.329653</v>
      </c>
      <c r="W1056" s="14">
        <v>32.879282000000003</v>
      </c>
      <c r="Y1056" s="29">
        <v>8.6932559999999999</v>
      </c>
      <c r="AA1056" s="41">
        <v>594.846496</v>
      </c>
      <c r="AC1056" s="27">
        <v>49.912529999999997</v>
      </c>
      <c r="AE1056" s="27">
        <v>1</v>
      </c>
      <c r="AG1056" s="29">
        <v>7.6966669999999997</v>
      </c>
      <c r="AI1056" s="29">
        <v>8.75</v>
      </c>
      <c r="AK1056" s="27">
        <v>24.036079999999998</v>
      </c>
      <c r="AM1056" s="27">
        <v>32.087761999999998</v>
      </c>
      <c r="AO1056" s="29">
        <v>6.7558480000000003</v>
      </c>
      <c r="AP1056" s="11"/>
    </row>
    <row r="1057" spans="2:42" hidden="1" outlineLevel="1" x14ac:dyDescent="0.25">
      <c r="B1057" s="21">
        <v>43386</v>
      </c>
      <c r="C1057" s="27">
        <v>18.85859</v>
      </c>
      <c r="E1057" s="30">
        <v>0.86509599999999998</v>
      </c>
      <c r="G1057" s="27">
        <v>36.545499999999997</v>
      </c>
      <c r="I1057" s="29">
        <v>6.9163249999999996</v>
      </c>
      <c r="K1057" s="29">
        <v>3.78295</v>
      </c>
      <c r="M1057" s="41">
        <v>677.83500000000004</v>
      </c>
      <c r="O1057" s="26">
        <v>3085.2550000000001</v>
      </c>
      <c r="Q1057" s="26">
        <v>5953.1750000000002</v>
      </c>
      <c r="S1057" s="26">
        <v>1573.691793</v>
      </c>
      <c r="U1057" s="29">
        <v>3.3316249999999998</v>
      </c>
      <c r="W1057" s="14">
        <v>32.975000000000001</v>
      </c>
      <c r="Y1057" s="29">
        <v>8.7167499999999993</v>
      </c>
      <c r="AA1057" s="41">
        <v>595.49249999999995</v>
      </c>
      <c r="AC1057" s="27">
        <v>49.94</v>
      </c>
      <c r="AE1057" s="27">
        <v>1</v>
      </c>
      <c r="AG1057" s="29">
        <v>7.7262750000000002</v>
      </c>
      <c r="AI1057" s="29">
        <v>8.75</v>
      </c>
      <c r="AK1057" s="27">
        <v>24.049499999999998</v>
      </c>
      <c r="AM1057" s="27">
        <v>32.15475</v>
      </c>
      <c r="AO1057" s="29">
        <v>6.7573499999999997</v>
      </c>
      <c r="AP1057" s="11"/>
    </row>
    <row r="1058" spans="2:42" hidden="1" outlineLevel="1" x14ac:dyDescent="0.25">
      <c r="B1058" s="21">
        <v>43387</v>
      </c>
      <c r="C1058" s="27">
        <v>18.859970000000001</v>
      </c>
      <c r="E1058" s="30">
        <v>0.86518200000000001</v>
      </c>
      <c r="G1058" s="27">
        <v>36.565575000000003</v>
      </c>
      <c r="I1058" s="29">
        <v>6.9163249999999996</v>
      </c>
      <c r="K1058" s="29">
        <v>3.7829120000000001</v>
      </c>
      <c r="M1058" s="41">
        <v>678.05195600000002</v>
      </c>
      <c r="O1058" s="26">
        <v>3086.6349</v>
      </c>
      <c r="Q1058" s="26">
        <v>5953.1750000000002</v>
      </c>
      <c r="S1058" s="26">
        <v>1573.7075359999999</v>
      </c>
      <c r="U1058" s="29">
        <v>3.3317739999999998</v>
      </c>
      <c r="W1058" s="14">
        <v>32.975000000000001</v>
      </c>
      <c r="Y1058" s="29">
        <v>8.7168360000000007</v>
      </c>
      <c r="AA1058" s="41">
        <v>595.42618400000003</v>
      </c>
      <c r="AC1058" s="27">
        <v>49.939140000000002</v>
      </c>
      <c r="AE1058" s="27">
        <v>1</v>
      </c>
      <c r="AG1058" s="29">
        <v>7.7262750000000002</v>
      </c>
      <c r="AI1058" s="29">
        <v>8.75</v>
      </c>
      <c r="AK1058" s="27">
        <v>24.050927999999999</v>
      </c>
      <c r="AM1058" s="27">
        <v>32.15475</v>
      </c>
      <c r="AO1058" s="29">
        <v>6.7573499999999997</v>
      </c>
      <c r="AP1058" s="11"/>
    </row>
    <row r="1059" spans="2:42" hidden="1" outlineLevel="1" x14ac:dyDescent="0.25">
      <c r="B1059" s="21">
        <v>43388</v>
      </c>
      <c r="C1059" s="27">
        <v>18.841042000000002</v>
      </c>
      <c r="E1059" s="30">
        <v>0.86402999999999996</v>
      </c>
      <c r="G1059" s="27">
        <v>36.690362999999998</v>
      </c>
      <c r="I1059" s="29">
        <v>6.9238619999999997</v>
      </c>
      <c r="K1059" s="29">
        <v>3.7600159999999998</v>
      </c>
      <c r="M1059" s="41">
        <v>678.91501400000004</v>
      </c>
      <c r="O1059" s="26">
        <v>3094.9191930000002</v>
      </c>
      <c r="Q1059" s="26">
        <v>5960.3715220000004</v>
      </c>
      <c r="S1059" s="26">
        <v>1585.2054760000001</v>
      </c>
      <c r="U1059" s="29">
        <v>3.3360889999999999</v>
      </c>
      <c r="W1059" s="14">
        <v>33.01397</v>
      </c>
      <c r="Y1059" s="29">
        <v>8.7802930000000003</v>
      </c>
      <c r="AA1059" s="41">
        <v>595.78547400000002</v>
      </c>
      <c r="AC1059" s="27">
        <v>50.002918000000001</v>
      </c>
      <c r="AE1059" s="27">
        <v>1</v>
      </c>
      <c r="AG1059" s="29">
        <v>7.7331899999999996</v>
      </c>
      <c r="AI1059" s="29">
        <v>8.75</v>
      </c>
      <c r="AK1059" s="27">
        <v>24.061948000000001</v>
      </c>
      <c r="AM1059" s="27">
        <v>32.129733000000002</v>
      </c>
      <c r="AO1059" s="29">
        <v>6.7633799999999997</v>
      </c>
      <c r="AP1059" s="11"/>
    </row>
    <row r="1060" spans="2:42" hidden="1" outlineLevel="1" x14ac:dyDescent="0.25">
      <c r="B1060" s="21">
        <v>43389</v>
      </c>
      <c r="C1060" s="27">
        <v>18.806940000000001</v>
      </c>
      <c r="E1060" s="30">
        <v>0.86350400000000005</v>
      </c>
      <c r="G1060" s="27">
        <v>36.488092999999999</v>
      </c>
      <c r="I1060" s="29">
        <v>6.9218780000000004</v>
      </c>
      <c r="K1060" s="29">
        <v>3.7229380000000001</v>
      </c>
      <c r="M1060" s="41">
        <v>673.40064800000005</v>
      </c>
      <c r="O1060" s="26">
        <v>3083.0771420000001</v>
      </c>
      <c r="Q1060" s="26">
        <v>5954.7038220000004</v>
      </c>
      <c r="S1060" s="26">
        <v>1599.4703999999999</v>
      </c>
      <c r="U1060" s="29">
        <v>3.3356569999999999</v>
      </c>
      <c r="W1060" s="14">
        <v>33.005484000000003</v>
      </c>
      <c r="Y1060" s="29">
        <v>8.8654659999999996</v>
      </c>
      <c r="AA1060" s="41">
        <v>595.52776800000004</v>
      </c>
      <c r="AC1060" s="27">
        <v>49.991970000000002</v>
      </c>
      <c r="AE1060" s="27">
        <v>1</v>
      </c>
      <c r="AG1060" s="29">
        <v>7.7269079999999999</v>
      </c>
      <c r="AI1060" s="29">
        <v>8.75</v>
      </c>
      <c r="AK1060" s="27">
        <v>24.055230000000002</v>
      </c>
      <c r="AM1060" s="27">
        <v>32.100990000000003</v>
      </c>
      <c r="AO1060" s="29">
        <v>6.760637</v>
      </c>
      <c r="AP1060" s="11"/>
    </row>
    <row r="1061" spans="2:42" hidden="1" outlineLevel="1" x14ac:dyDescent="0.25">
      <c r="B1061" s="21">
        <v>43390</v>
      </c>
      <c r="C1061" s="27">
        <v>18.814920000000001</v>
      </c>
      <c r="E1061" s="30">
        <v>0.86652600000000002</v>
      </c>
      <c r="G1061" s="27">
        <v>36.046807999999999</v>
      </c>
      <c r="I1061" s="29">
        <v>6.9191459999999996</v>
      </c>
      <c r="K1061" s="29">
        <v>3.7134049999999998</v>
      </c>
      <c r="M1061" s="41">
        <v>670.33690200000001</v>
      </c>
      <c r="O1061" s="26">
        <v>3056.049317</v>
      </c>
      <c r="Q1061" s="26">
        <v>5949.9376199999997</v>
      </c>
      <c r="S1061" s="26">
        <v>1602.293596</v>
      </c>
      <c r="U1061" s="29">
        <v>3.3344870000000002</v>
      </c>
      <c r="W1061" s="14">
        <v>32.997644000000001</v>
      </c>
      <c r="Y1061" s="29">
        <v>8.8861080000000001</v>
      </c>
      <c r="AA1061" s="41">
        <v>594.93388700000003</v>
      </c>
      <c r="AC1061" s="27">
        <v>50.003314000000003</v>
      </c>
      <c r="AE1061" s="27">
        <v>1</v>
      </c>
      <c r="AG1061" s="29">
        <v>7.7241619999999998</v>
      </c>
      <c r="AI1061" s="29">
        <v>8.75</v>
      </c>
      <c r="AK1061" s="27">
        <v>24.049288000000001</v>
      </c>
      <c r="AM1061" s="27">
        <v>32.087777000000003</v>
      </c>
      <c r="AO1061" s="29">
        <v>6.7590430000000001</v>
      </c>
      <c r="AP1061" s="11"/>
    </row>
    <row r="1062" spans="2:42" hidden="1" outlineLevel="1" x14ac:dyDescent="0.25">
      <c r="B1062" s="21">
        <v>43391</v>
      </c>
      <c r="C1062" s="27">
        <v>18.995034</v>
      </c>
      <c r="E1062" s="30">
        <v>0.87042799999999998</v>
      </c>
      <c r="G1062" s="27">
        <v>36.280197999999999</v>
      </c>
      <c r="I1062" s="29">
        <v>6.925986</v>
      </c>
      <c r="K1062" s="29">
        <v>3.6919300000000002</v>
      </c>
      <c r="M1062" s="41">
        <v>674.16510600000004</v>
      </c>
      <c r="O1062" s="26">
        <v>3074.6466839999998</v>
      </c>
      <c r="Q1062" s="26">
        <v>5964.9674679999998</v>
      </c>
      <c r="S1062" s="26">
        <v>1615.685354</v>
      </c>
      <c r="U1062" s="29">
        <v>3.3369930000000001</v>
      </c>
      <c r="W1062" s="14">
        <v>32.994487999999997</v>
      </c>
      <c r="Y1062" s="29">
        <v>8.9369390000000006</v>
      </c>
      <c r="AA1062" s="41">
        <v>594.66521599999999</v>
      </c>
      <c r="AC1062" s="27">
        <v>50.077696000000003</v>
      </c>
      <c r="AE1062" s="27">
        <v>1</v>
      </c>
      <c r="AG1062" s="29">
        <v>7.7326579999999998</v>
      </c>
      <c r="AI1062" s="29">
        <v>8.75</v>
      </c>
      <c r="AK1062" s="27">
        <v>24.071531</v>
      </c>
      <c r="AM1062" s="27">
        <v>32.160018000000001</v>
      </c>
      <c r="AO1062" s="29">
        <v>6.7649419999999996</v>
      </c>
      <c r="AP1062" s="11"/>
    </row>
    <row r="1063" spans="2:42" hidden="1" outlineLevel="1" x14ac:dyDescent="0.25">
      <c r="B1063" s="21">
        <v>43392</v>
      </c>
      <c r="C1063" s="27">
        <v>19.179531999999998</v>
      </c>
      <c r="E1063" s="30">
        <v>0.87112299999999998</v>
      </c>
      <c r="G1063" s="27">
        <v>36.596789000000001</v>
      </c>
      <c r="I1063" s="29">
        <v>6.9278779999999998</v>
      </c>
      <c r="K1063" s="29">
        <v>3.715112</v>
      </c>
      <c r="M1063" s="41">
        <v>676.65267900000003</v>
      </c>
      <c r="O1063" s="26">
        <v>3084.7344440000002</v>
      </c>
      <c r="Q1063" s="26">
        <v>5983.5290759999998</v>
      </c>
      <c r="S1063" s="26">
        <v>1610.5985720000001</v>
      </c>
      <c r="U1063" s="29">
        <v>3.3369559999999998</v>
      </c>
      <c r="W1063" s="14">
        <v>32.955114000000002</v>
      </c>
      <c r="Y1063" s="29">
        <v>8.8705719999999992</v>
      </c>
      <c r="AA1063" s="41">
        <v>594.83689400000003</v>
      </c>
      <c r="AC1063" s="27">
        <v>50.097803999999996</v>
      </c>
      <c r="AE1063" s="27">
        <v>1</v>
      </c>
      <c r="AG1063" s="29">
        <v>7.7361139999999997</v>
      </c>
      <c r="AI1063" s="29">
        <v>8.75</v>
      </c>
      <c r="AK1063" s="27">
        <v>24.091951999999999</v>
      </c>
      <c r="AM1063" s="27">
        <v>32.179592</v>
      </c>
      <c r="AO1063" s="29">
        <v>6.766756</v>
      </c>
      <c r="AP1063" s="11"/>
    </row>
    <row r="1064" spans="2:42" hidden="1" outlineLevel="1" x14ac:dyDescent="0.25">
      <c r="B1064" s="21">
        <v>43393</v>
      </c>
      <c r="C1064" s="27">
        <v>19.275980000000001</v>
      </c>
      <c r="E1064" s="30">
        <v>0.86838000000000004</v>
      </c>
      <c r="G1064" s="27">
        <v>36.569499999999998</v>
      </c>
      <c r="I1064" s="29">
        <v>6.9216749999999996</v>
      </c>
      <c r="K1064" s="29">
        <v>3.7104249999999999</v>
      </c>
      <c r="M1064" s="41">
        <v>678.04750000000001</v>
      </c>
      <c r="O1064" s="26">
        <v>3076.97</v>
      </c>
      <c r="Q1064" s="26">
        <v>5981.0249999999996</v>
      </c>
      <c r="S1064" s="26">
        <v>1611.9546479999999</v>
      </c>
      <c r="U1064" s="29">
        <v>3.3332250000000001</v>
      </c>
      <c r="W1064" s="14">
        <v>32.895000000000003</v>
      </c>
      <c r="Y1064" s="29">
        <v>8.8655650000000001</v>
      </c>
      <c r="AA1064" s="41">
        <v>594.04250000000002</v>
      </c>
      <c r="AC1064" s="27">
        <v>50.055</v>
      </c>
      <c r="AE1064" s="27">
        <v>1</v>
      </c>
      <c r="AG1064" s="29">
        <v>7.7267749999999999</v>
      </c>
      <c r="AI1064" s="29">
        <v>8.75</v>
      </c>
      <c r="AK1064" s="27">
        <v>24.077999999999999</v>
      </c>
      <c r="AM1064" s="27">
        <v>32.14575</v>
      </c>
      <c r="AO1064" s="29">
        <v>6.7576749999999999</v>
      </c>
      <c r="AP1064" s="11"/>
    </row>
    <row r="1065" spans="2:42" hidden="1" outlineLevel="1" x14ac:dyDescent="0.25">
      <c r="B1065" s="21">
        <v>43394</v>
      </c>
      <c r="C1065" s="27">
        <v>19.276530000000001</v>
      </c>
      <c r="E1065" s="30">
        <v>0.86839999999999995</v>
      </c>
      <c r="G1065" s="27">
        <v>36.565980000000003</v>
      </c>
      <c r="I1065" s="29">
        <v>6.9216749999999996</v>
      </c>
      <c r="K1065" s="29">
        <v>3.7103359999999999</v>
      </c>
      <c r="M1065" s="41">
        <v>678.26236200000005</v>
      </c>
      <c r="O1065" s="26">
        <v>3077.2779599999999</v>
      </c>
      <c r="Q1065" s="26">
        <v>5981.0249999999996</v>
      </c>
      <c r="S1065" s="26">
        <v>1611.9937319999999</v>
      </c>
      <c r="U1065" s="29">
        <v>3.3329110000000002</v>
      </c>
      <c r="W1065" s="14">
        <v>32.895000000000003</v>
      </c>
      <c r="Y1065" s="29">
        <v>8.8657769999999996</v>
      </c>
      <c r="AA1065" s="41">
        <v>594.02548000000002</v>
      </c>
      <c r="AC1065" s="27">
        <v>50.052942000000002</v>
      </c>
      <c r="AE1065" s="27">
        <v>1</v>
      </c>
      <c r="AG1065" s="29">
        <v>7.7267749999999999</v>
      </c>
      <c r="AI1065" s="29">
        <v>8.75</v>
      </c>
      <c r="AK1065" s="27">
        <v>24.077860000000001</v>
      </c>
      <c r="AM1065" s="27">
        <v>32.14575</v>
      </c>
      <c r="AO1065" s="29">
        <v>6.7576749999999999</v>
      </c>
      <c r="AP1065" s="11"/>
    </row>
    <row r="1066" spans="2:42" hidden="1" outlineLevel="1" x14ac:dyDescent="0.25">
      <c r="B1066" s="21">
        <v>43395</v>
      </c>
      <c r="C1066" s="27">
        <v>19.324508000000002</v>
      </c>
      <c r="E1066" s="30">
        <v>0.87012</v>
      </c>
      <c r="G1066" s="27">
        <v>36.477795</v>
      </c>
      <c r="I1066" s="29">
        <v>6.9129269999999998</v>
      </c>
      <c r="K1066" s="29">
        <v>3.701667</v>
      </c>
      <c r="M1066" s="41">
        <v>680.04859199999999</v>
      </c>
      <c r="O1066" s="26">
        <v>3079.9697780000001</v>
      </c>
      <c r="Q1066" s="26">
        <v>5980.6304129999999</v>
      </c>
      <c r="S1066" s="26">
        <v>1615.6660360000001</v>
      </c>
      <c r="U1066" s="29">
        <v>3.3294860000000002</v>
      </c>
      <c r="W1066" s="14">
        <v>32.866472000000002</v>
      </c>
      <c r="Y1066" s="29">
        <v>8.8788490000000007</v>
      </c>
      <c r="AA1066" s="41">
        <v>593.71445100000005</v>
      </c>
      <c r="AC1066" s="27">
        <v>49.995614000000003</v>
      </c>
      <c r="AE1066" s="27">
        <v>1</v>
      </c>
      <c r="AG1066" s="29">
        <v>7.7250740000000002</v>
      </c>
      <c r="AI1066" s="29">
        <v>8.75</v>
      </c>
      <c r="AK1066" s="27">
        <v>24.030525999999998</v>
      </c>
      <c r="AM1066" s="27">
        <v>32.09254</v>
      </c>
      <c r="AO1066" s="29">
        <v>6.7515419999999997</v>
      </c>
      <c r="AP1066" s="11"/>
    </row>
    <row r="1067" spans="2:42" hidden="1" outlineLevel="1" x14ac:dyDescent="0.25">
      <c r="B1067" s="21">
        <v>43396</v>
      </c>
      <c r="C1067" s="27">
        <v>19.373270000000002</v>
      </c>
      <c r="E1067" s="30">
        <v>0.87199400000000005</v>
      </c>
      <c r="G1067" s="27">
        <v>36.560346000000003</v>
      </c>
      <c r="I1067" s="29">
        <v>6.9264970000000003</v>
      </c>
      <c r="K1067" s="29">
        <v>3.6931850000000002</v>
      </c>
      <c r="M1067" s="41">
        <v>683.54172800000003</v>
      </c>
      <c r="O1067" s="26">
        <v>3096.3435020000002</v>
      </c>
      <c r="Q1067" s="26">
        <v>6002.6320990000004</v>
      </c>
      <c r="S1067" s="26">
        <v>1625.33357</v>
      </c>
      <c r="U1067" s="29">
        <v>3.3345560000000001</v>
      </c>
      <c r="W1067" s="14">
        <v>32.958069999999999</v>
      </c>
      <c r="Y1067" s="29">
        <v>8.9240390000000005</v>
      </c>
      <c r="AA1067" s="41">
        <v>595.59616700000004</v>
      </c>
      <c r="AC1067" s="27">
        <v>50.106712000000002</v>
      </c>
      <c r="AE1067" s="27">
        <v>1</v>
      </c>
      <c r="AG1067" s="29">
        <v>7.744796</v>
      </c>
      <c r="AI1067" s="29">
        <v>8.75</v>
      </c>
      <c r="AK1067" s="27">
        <v>24.090423999999999</v>
      </c>
      <c r="AM1067" s="27">
        <v>32.119855999999999</v>
      </c>
      <c r="AO1067" s="29">
        <v>6.7646459999999999</v>
      </c>
      <c r="AP1067" s="11"/>
    </row>
    <row r="1068" spans="2:42" hidden="1" outlineLevel="1" x14ac:dyDescent="0.25">
      <c r="B1068" s="21">
        <v>43397</v>
      </c>
      <c r="C1068" s="27">
        <v>19.408404000000001</v>
      </c>
      <c r="E1068" s="30">
        <v>0.87555799999999995</v>
      </c>
      <c r="G1068" s="27">
        <v>36.610177999999998</v>
      </c>
      <c r="I1068" s="29">
        <v>6.9214919999999998</v>
      </c>
      <c r="K1068" s="29">
        <v>3.7020279999999999</v>
      </c>
      <c r="M1068" s="41">
        <v>684.89087600000005</v>
      </c>
      <c r="O1068" s="26">
        <v>3129.6206259999999</v>
      </c>
      <c r="Q1068" s="26">
        <v>6001.6176359999999</v>
      </c>
      <c r="S1068" s="26">
        <v>1621.1777320000001</v>
      </c>
      <c r="U1068" s="29">
        <v>3.3359800000000002</v>
      </c>
      <c r="W1068" s="14">
        <v>32.922953999999997</v>
      </c>
      <c r="Y1068" s="29">
        <v>8.8932389999999995</v>
      </c>
      <c r="AA1068" s="41">
        <v>595.60306400000002</v>
      </c>
      <c r="AC1068" s="27">
        <v>50.125030000000002</v>
      </c>
      <c r="AE1068" s="27">
        <v>1</v>
      </c>
      <c r="AG1068" s="29">
        <v>7.7385169999999999</v>
      </c>
      <c r="AI1068" s="29">
        <v>8.75</v>
      </c>
      <c r="AK1068" s="27">
        <v>24.074406</v>
      </c>
      <c r="AM1068" s="27">
        <v>32.094259000000001</v>
      </c>
      <c r="AO1068" s="29">
        <v>6.7592020000000002</v>
      </c>
      <c r="AP1068" s="11"/>
    </row>
    <row r="1069" spans="2:42" hidden="1" outlineLevel="1" x14ac:dyDescent="0.25">
      <c r="B1069" s="21">
        <v>43398</v>
      </c>
      <c r="C1069" s="27">
        <v>19.516753000000001</v>
      </c>
      <c r="E1069" s="30">
        <v>0.87773900000000005</v>
      </c>
      <c r="G1069" s="27">
        <v>36.931013999999998</v>
      </c>
      <c r="I1069" s="29">
        <v>6.9228069999999997</v>
      </c>
      <c r="K1069" s="29">
        <v>3.7224620000000002</v>
      </c>
      <c r="M1069" s="41">
        <v>689.24290399999995</v>
      </c>
      <c r="O1069" s="26">
        <v>3165.257854</v>
      </c>
      <c r="Q1069" s="26">
        <v>6006.7489089999999</v>
      </c>
      <c r="S1069" s="26">
        <v>1613.65708</v>
      </c>
      <c r="U1069" s="29">
        <v>3.3411409999999999</v>
      </c>
      <c r="W1069" s="14">
        <v>32.926842999999998</v>
      </c>
      <c r="Y1069" s="29">
        <v>8.8454660000000001</v>
      </c>
      <c r="AA1069" s="41">
        <v>597.07256400000006</v>
      </c>
      <c r="AC1069" s="27">
        <v>50.087817999999999</v>
      </c>
      <c r="AE1069" s="27">
        <v>1</v>
      </c>
      <c r="AG1069" s="29">
        <v>7.7403079999999997</v>
      </c>
      <c r="AI1069" s="29">
        <v>8.75</v>
      </c>
      <c r="AK1069" s="27">
        <v>24.085912</v>
      </c>
      <c r="AM1069" s="27">
        <v>32.184496000000003</v>
      </c>
      <c r="AO1069" s="29">
        <v>6.7606539999999997</v>
      </c>
      <c r="AP1069" s="11"/>
    </row>
    <row r="1070" spans="2:42" hidden="1" outlineLevel="1" x14ac:dyDescent="0.25">
      <c r="B1070" s="21">
        <v>43399</v>
      </c>
      <c r="C1070" s="27">
        <v>19.481411999999999</v>
      </c>
      <c r="E1070" s="30">
        <v>0.87887199999999999</v>
      </c>
      <c r="G1070" s="27">
        <v>36.764471999999998</v>
      </c>
      <c r="I1070" s="29">
        <v>6.9250980000000002</v>
      </c>
      <c r="K1070" s="29">
        <v>3.6891699999999998</v>
      </c>
      <c r="M1070" s="41">
        <v>688.51395500000001</v>
      </c>
      <c r="O1070" s="26">
        <v>3175.88715</v>
      </c>
      <c r="Q1070" s="26">
        <v>6017.1551010000003</v>
      </c>
      <c r="S1070" s="26">
        <v>1631.0396129999999</v>
      </c>
      <c r="U1070" s="29">
        <v>3.344652</v>
      </c>
      <c r="W1070" s="14">
        <v>32.969844000000002</v>
      </c>
      <c r="Y1070" s="29">
        <v>8.9369440000000004</v>
      </c>
      <c r="AA1070" s="41">
        <v>597.52754200000004</v>
      </c>
      <c r="AC1070" s="27">
        <v>50.131627999999999</v>
      </c>
      <c r="AE1070" s="27">
        <v>1</v>
      </c>
      <c r="AG1070" s="29">
        <v>7.740094</v>
      </c>
      <c r="AI1070" s="29">
        <v>8.75</v>
      </c>
      <c r="AK1070" s="27">
        <v>24.095986</v>
      </c>
      <c r="AM1070" s="27">
        <v>32.258102000000001</v>
      </c>
      <c r="AO1070" s="29">
        <v>6.7634150000000002</v>
      </c>
      <c r="AP1070" s="11"/>
    </row>
    <row r="1071" spans="2:42" hidden="1" outlineLevel="1" x14ac:dyDescent="0.25">
      <c r="B1071" s="21">
        <v>43400</v>
      </c>
      <c r="C1071" s="27">
        <v>19.358335</v>
      </c>
      <c r="E1071" s="30">
        <v>0.87693900000000002</v>
      </c>
      <c r="G1071" s="27">
        <v>36.742249999999999</v>
      </c>
      <c r="I1071" s="29">
        <v>6.9187500000000002</v>
      </c>
      <c r="K1071" s="29">
        <v>3.6611500000000001</v>
      </c>
      <c r="M1071" s="41">
        <v>689.02750000000003</v>
      </c>
      <c r="O1071" s="26">
        <v>3182.3850000000002</v>
      </c>
      <c r="Q1071" s="26">
        <v>6015.4750000000004</v>
      </c>
      <c r="S1071" s="26">
        <v>1643.062842</v>
      </c>
      <c r="U1071" s="29">
        <v>3.3444500000000001</v>
      </c>
      <c r="W1071" s="14">
        <v>32.96</v>
      </c>
      <c r="Y1071" s="29">
        <v>9.0026440000000001</v>
      </c>
      <c r="AA1071" s="41">
        <v>597.80999999999995</v>
      </c>
      <c r="AC1071" s="27">
        <v>50.14</v>
      </c>
      <c r="AE1071" s="27">
        <v>1</v>
      </c>
      <c r="AG1071" s="29">
        <v>7.7329499999999998</v>
      </c>
      <c r="AI1071" s="29">
        <v>8.75</v>
      </c>
      <c r="AK1071" s="27">
        <v>24.093499999999999</v>
      </c>
      <c r="AM1071" s="27">
        <v>32.2455</v>
      </c>
      <c r="AO1071" s="29">
        <v>6.7597500000000004</v>
      </c>
      <c r="AP1071" s="11"/>
    </row>
    <row r="1072" spans="2:42" hidden="1" outlineLevel="1" x14ac:dyDescent="0.25">
      <c r="B1072" s="21">
        <v>43401</v>
      </c>
      <c r="C1072" s="27">
        <v>19.359390000000001</v>
      </c>
      <c r="E1072" s="30">
        <v>0.87697099999999995</v>
      </c>
      <c r="G1072" s="27">
        <v>36.74794</v>
      </c>
      <c r="I1072" s="29">
        <v>6.9174100000000003</v>
      </c>
      <c r="K1072" s="29">
        <v>3.6593399999999998</v>
      </c>
      <c r="M1072" s="41">
        <v>688.73255800000004</v>
      </c>
      <c r="O1072" s="26">
        <v>3181.1792679999999</v>
      </c>
      <c r="Q1072" s="26">
        <v>6014.3271000000004</v>
      </c>
      <c r="S1072" s="26">
        <v>1643.5620739999999</v>
      </c>
      <c r="U1072" s="29">
        <v>3.3436129999999999</v>
      </c>
      <c r="W1072" s="14">
        <v>32.953491</v>
      </c>
      <c r="Y1072" s="29">
        <v>9.0053199999999993</v>
      </c>
      <c r="AA1072" s="41">
        <v>597.69492200000002</v>
      </c>
      <c r="AC1072" s="27">
        <v>50.089903</v>
      </c>
      <c r="AE1072" s="27">
        <v>1</v>
      </c>
      <c r="AG1072" s="29">
        <v>7.7314660000000002</v>
      </c>
      <c r="AI1072" s="29">
        <v>8.75</v>
      </c>
      <c r="AK1072" s="27">
        <v>24.088401000000001</v>
      </c>
      <c r="AM1072" s="27">
        <v>32.239344000000003</v>
      </c>
      <c r="AO1072" s="29">
        <v>6.7584580000000001</v>
      </c>
      <c r="AP1072" s="11"/>
    </row>
    <row r="1073" spans="2:42" hidden="1" outlineLevel="1" x14ac:dyDescent="0.25">
      <c r="B1073" s="21">
        <v>43402</v>
      </c>
      <c r="C1073" s="27">
        <v>19.72495</v>
      </c>
      <c r="E1073" s="30">
        <v>0.878104</v>
      </c>
      <c r="G1073" s="27">
        <v>36.775860000000002</v>
      </c>
      <c r="I1073" s="29">
        <v>6.9124739999999996</v>
      </c>
      <c r="K1073" s="29">
        <v>3.6515849999999999</v>
      </c>
      <c r="M1073" s="41">
        <v>687.58817399999998</v>
      </c>
      <c r="O1073" s="26">
        <v>3179.1436880000001</v>
      </c>
      <c r="Q1073" s="26">
        <v>6008.7617479999999</v>
      </c>
      <c r="S1073" s="26">
        <v>1645.529364</v>
      </c>
      <c r="U1073" s="29">
        <v>3.344916</v>
      </c>
      <c r="W1073" s="14">
        <v>32.912232000000003</v>
      </c>
      <c r="Y1073" s="29">
        <v>9.0131569999999996</v>
      </c>
      <c r="AA1073" s="41">
        <v>597.30529200000001</v>
      </c>
      <c r="AC1073" s="27">
        <v>50.007007999999999</v>
      </c>
      <c r="AE1073" s="27">
        <v>1</v>
      </c>
      <c r="AG1073" s="29">
        <v>7.7240679999999999</v>
      </c>
      <c r="AI1073" s="29">
        <v>8.75</v>
      </c>
      <c r="AK1073" s="27">
        <v>24.056189</v>
      </c>
      <c r="AM1073" s="27">
        <v>32.170152999999999</v>
      </c>
      <c r="AO1073" s="29">
        <v>6.7515130000000001</v>
      </c>
      <c r="AP1073" s="11"/>
    </row>
    <row r="1074" spans="2:42" hidden="1" outlineLevel="1" x14ac:dyDescent="0.25">
      <c r="B1074" s="21">
        <v>43403</v>
      </c>
      <c r="C1074" s="27">
        <v>20.044664000000001</v>
      </c>
      <c r="E1074" s="30">
        <v>0.88003200000000004</v>
      </c>
      <c r="G1074" s="27">
        <v>36.881394999999998</v>
      </c>
      <c r="I1074" s="29">
        <v>6.920992</v>
      </c>
      <c r="K1074" s="29">
        <v>3.7117879999999999</v>
      </c>
      <c r="M1074" s="41">
        <v>693.31024300000001</v>
      </c>
      <c r="O1074" s="26">
        <v>3195.3469559999999</v>
      </c>
      <c r="Q1074" s="26">
        <v>6012.167042</v>
      </c>
      <c r="S1074" s="26">
        <v>1619.756408</v>
      </c>
      <c r="U1074" s="29">
        <v>3.3543280000000002</v>
      </c>
      <c r="W1074" s="14">
        <v>32.940620000000003</v>
      </c>
      <c r="Y1074" s="29">
        <v>8.8746100000000006</v>
      </c>
      <c r="AA1074" s="41">
        <v>599.94718</v>
      </c>
      <c r="AC1074" s="27">
        <v>49.887377000000001</v>
      </c>
      <c r="AE1074" s="27">
        <v>1</v>
      </c>
      <c r="AG1074" s="29">
        <v>7.7332359999999998</v>
      </c>
      <c r="AI1074" s="29">
        <v>8.75</v>
      </c>
      <c r="AK1074" s="27">
        <v>24.090031</v>
      </c>
      <c r="AM1074" s="27">
        <v>32.190300999999998</v>
      </c>
      <c r="AO1074" s="29">
        <v>6.7592829999999999</v>
      </c>
      <c r="AP1074" s="11"/>
    </row>
    <row r="1075" spans="2:42" hidden="1" outlineLevel="1" x14ac:dyDescent="0.25">
      <c r="B1075" s="21">
        <v>43404</v>
      </c>
      <c r="C1075" s="49">
        <v>20.0258</v>
      </c>
      <c r="E1075" s="30">
        <v>0.88251199999999996</v>
      </c>
      <c r="G1075" s="27">
        <v>36.516018000000003</v>
      </c>
      <c r="I1075" s="29">
        <v>6.9167509999999996</v>
      </c>
      <c r="K1075" s="29">
        <v>3.7070099999999999</v>
      </c>
      <c r="M1075" s="41">
        <v>695.78438500000004</v>
      </c>
      <c r="O1075" s="26">
        <v>3207.85664</v>
      </c>
      <c r="Q1075" s="26">
        <v>6006.0443439999999</v>
      </c>
      <c r="S1075" s="26">
        <v>1620.1923979999999</v>
      </c>
      <c r="U1075" s="29">
        <v>3.3624939999999999</v>
      </c>
      <c r="W1075" s="14">
        <v>32.921556000000002</v>
      </c>
      <c r="Y1075" s="29">
        <v>8.8809039999999992</v>
      </c>
      <c r="AA1075" s="41">
        <v>605.43162400000006</v>
      </c>
      <c r="AC1075" s="27">
        <v>49.983069</v>
      </c>
      <c r="AE1075" s="27">
        <v>1</v>
      </c>
      <c r="AG1075" s="29">
        <v>7.7303110000000004</v>
      </c>
      <c r="AI1075" s="29">
        <v>8.75</v>
      </c>
      <c r="AK1075" s="27">
        <v>24.0867</v>
      </c>
      <c r="AM1075" s="27">
        <v>32.215089999999996</v>
      </c>
      <c r="AO1075" s="29">
        <v>6.7590769999999996</v>
      </c>
      <c r="AP1075" s="11"/>
    </row>
    <row r="1076" spans="2:42" ht="13" collapsed="1" x14ac:dyDescent="0.3">
      <c r="B1076" s="25" t="s">
        <v>172</v>
      </c>
      <c r="C1076" s="19">
        <v>19.1418</v>
      </c>
      <c r="E1076" s="24">
        <v>0.87029900000000004</v>
      </c>
      <c r="G1076" s="19">
        <v>37.119100000000003</v>
      </c>
      <c r="I1076" s="23">
        <v>6.9189100000000003</v>
      </c>
      <c r="J1076" s="9"/>
      <c r="K1076" s="23">
        <v>3.7643599999999999</v>
      </c>
      <c r="M1076" s="42">
        <v>678.97799999999995</v>
      </c>
      <c r="O1076" s="31">
        <v>3088.99</v>
      </c>
      <c r="Q1076" s="31">
        <v>5959.09</v>
      </c>
      <c r="S1076" s="31">
        <v>1584.16</v>
      </c>
      <c r="U1076" s="23">
        <v>3.3319999999999999</v>
      </c>
      <c r="W1076" s="23">
        <v>32.882910000000003</v>
      </c>
      <c r="Y1076" s="23">
        <v>8.7409499999999998</v>
      </c>
      <c r="AA1076" s="42">
        <v>592.91999999999996</v>
      </c>
      <c r="AC1076" s="19">
        <v>49.9527</v>
      </c>
      <c r="AE1076" s="19">
        <v>1</v>
      </c>
      <c r="AG1076" s="23">
        <v>7.7040100000000002</v>
      </c>
      <c r="AI1076" s="23">
        <v>8.75</v>
      </c>
      <c r="AK1076" s="23">
        <v>24.06371</v>
      </c>
      <c r="AM1076" s="23">
        <v>32.14761</v>
      </c>
      <c r="AO1076" s="23">
        <v>6.7492999999999999</v>
      </c>
      <c r="AP1076" s="10"/>
    </row>
    <row r="1077" spans="2:42" hidden="1" outlineLevel="1" x14ac:dyDescent="0.25">
      <c r="B1077" s="21">
        <v>43405</v>
      </c>
      <c r="C1077" s="27">
        <v>20.201705</v>
      </c>
      <c r="E1077" s="30">
        <v>0.87883800000000001</v>
      </c>
      <c r="G1077" s="27">
        <v>35.824784000000001</v>
      </c>
      <c r="I1077" s="29">
        <v>6.9183029999999999</v>
      </c>
      <c r="K1077" s="29">
        <v>3.7088619999999999</v>
      </c>
      <c r="M1077" s="41">
        <v>692.27403800000002</v>
      </c>
      <c r="O1077" s="26">
        <v>3204.73099</v>
      </c>
      <c r="Q1077" s="26">
        <v>6001.5008330000001</v>
      </c>
      <c r="S1077" s="26">
        <v>1618.1612729999999</v>
      </c>
      <c r="U1077" s="29">
        <v>3.368341</v>
      </c>
      <c r="W1077" s="14">
        <v>32.918424999999999</v>
      </c>
      <c r="Y1077" s="29">
        <v>8.8756319999999995</v>
      </c>
      <c r="AA1077" s="41">
        <v>608.77021400000001</v>
      </c>
      <c r="AC1077" s="27">
        <v>49.986348</v>
      </c>
      <c r="AE1077" s="27">
        <v>1</v>
      </c>
      <c r="AG1077" s="29">
        <v>7.7267380000000001</v>
      </c>
      <c r="AI1077" s="29">
        <v>8.75</v>
      </c>
      <c r="AK1077" s="27">
        <v>24.108630999999999</v>
      </c>
      <c r="AM1077" s="27">
        <v>32.258015999999998</v>
      </c>
      <c r="AO1077" s="29">
        <v>6.7603419999999996</v>
      </c>
      <c r="AP1077" s="11"/>
    </row>
    <row r="1078" spans="2:42" hidden="1" outlineLevel="1" x14ac:dyDescent="0.25">
      <c r="B1078" s="21">
        <v>43406</v>
      </c>
      <c r="C1078" s="27">
        <v>20.051905999999999</v>
      </c>
      <c r="E1078" s="30">
        <v>0.87654600000000005</v>
      </c>
      <c r="G1078" s="27">
        <v>35.628366</v>
      </c>
      <c r="I1078" s="29">
        <v>6.9243600000000001</v>
      </c>
      <c r="K1078" s="29">
        <v>3.6963900000000001</v>
      </c>
      <c r="M1078" s="41">
        <v>686.30516599999999</v>
      </c>
      <c r="O1078" s="26">
        <v>3192.5146540000001</v>
      </c>
      <c r="Q1078" s="26">
        <v>5992.946852</v>
      </c>
      <c r="S1078" s="26">
        <v>1621.305728</v>
      </c>
      <c r="U1078" s="29">
        <v>3.3676240000000002</v>
      </c>
      <c r="W1078" s="14">
        <v>32.891075999999998</v>
      </c>
      <c r="Y1078" s="29">
        <v>8.8981790000000007</v>
      </c>
      <c r="AA1078" s="41">
        <v>612.90385800000001</v>
      </c>
      <c r="AC1078" s="27">
        <v>49.969394000000001</v>
      </c>
      <c r="AE1078" s="27">
        <v>1</v>
      </c>
      <c r="AG1078" s="29">
        <v>7.7189639999999997</v>
      </c>
      <c r="AI1078" s="29">
        <v>8.75</v>
      </c>
      <c r="AK1078" s="27">
        <v>24.123360000000002</v>
      </c>
      <c r="AM1078" s="27">
        <v>32.259754999999998</v>
      </c>
      <c r="AO1078" s="29">
        <v>6.7576900000000002</v>
      </c>
      <c r="AP1078" s="11"/>
    </row>
    <row r="1079" spans="2:42" hidden="1" outlineLevel="1" x14ac:dyDescent="0.25">
      <c r="B1079" s="21">
        <v>43407</v>
      </c>
      <c r="C1079" s="27">
        <v>20.019300000000001</v>
      </c>
      <c r="E1079" s="30">
        <v>0.87816399999999994</v>
      </c>
      <c r="G1079" s="27">
        <v>35.550750000000001</v>
      </c>
      <c r="I1079" s="29">
        <v>6.9318749999999998</v>
      </c>
      <c r="K1079" s="29">
        <v>3.696825</v>
      </c>
      <c r="M1079" s="41">
        <v>686.41</v>
      </c>
      <c r="O1079" s="26">
        <v>3186.375</v>
      </c>
      <c r="Q1079" s="26">
        <v>5985.2250000000004</v>
      </c>
      <c r="S1079" s="26">
        <v>1619.025948</v>
      </c>
      <c r="U1079" s="29">
        <v>3.361275</v>
      </c>
      <c r="W1079" s="14">
        <v>32.875</v>
      </c>
      <c r="Y1079" s="29">
        <v>8.8927759999999996</v>
      </c>
      <c r="AA1079" s="41">
        <v>615.44500000000005</v>
      </c>
      <c r="AC1079" s="27">
        <v>50.18</v>
      </c>
      <c r="AE1079" s="27">
        <v>1</v>
      </c>
      <c r="AG1079" s="29">
        <v>7.7195999999999998</v>
      </c>
      <c r="AI1079" s="29">
        <v>8.75</v>
      </c>
      <c r="AK1079" s="27">
        <v>24.166</v>
      </c>
      <c r="AM1079" s="27">
        <v>32.255000000000003</v>
      </c>
      <c r="AO1079" s="29">
        <v>6.7578750000000003</v>
      </c>
      <c r="AP1079" s="11"/>
    </row>
    <row r="1080" spans="2:42" hidden="1" outlineLevel="1" x14ac:dyDescent="0.25">
      <c r="B1080" s="21">
        <v>43408</v>
      </c>
      <c r="C1080" s="27">
        <v>20.020910000000001</v>
      </c>
      <c r="E1080" s="30">
        <v>0.87811700000000004</v>
      </c>
      <c r="G1080" s="27">
        <v>35.543503000000001</v>
      </c>
      <c r="I1080" s="29">
        <v>6.9318749999999998</v>
      </c>
      <c r="K1080" s="29">
        <v>3.6970360000000002</v>
      </c>
      <c r="M1080" s="41">
        <v>686.37047800000005</v>
      </c>
      <c r="O1080" s="26">
        <v>3186.34753</v>
      </c>
      <c r="Q1080" s="26">
        <v>5985.6454830000002</v>
      </c>
      <c r="S1080" s="26">
        <v>1619.0468659999999</v>
      </c>
      <c r="U1080" s="29">
        <v>3.3613499999999998</v>
      </c>
      <c r="W1080" s="14">
        <v>32.875</v>
      </c>
      <c r="Y1080" s="29">
        <v>8.8922670000000004</v>
      </c>
      <c r="AA1080" s="41">
        <v>615.44461799999999</v>
      </c>
      <c r="AC1080" s="27">
        <v>50.179065999999999</v>
      </c>
      <c r="AE1080" s="27">
        <v>1</v>
      </c>
      <c r="AG1080" s="29">
        <v>7.7195999999999998</v>
      </c>
      <c r="AI1080" s="29">
        <v>8.75</v>
      </c>
      <c r="AK1080" s="27">
        <v>24.166181999999999</v>
      </c>
      <c r="AM1080" s="27">
        <v>32.255293000000002</v>
      </c>
      <c r="AO1080" s="29">
        <v>6.7578750000000003</v>
      </c>
      <c r="AP1080" s="11"/>
    </row>
    <row r="1081" spans="2:42" hidden="1" outlineLevel="1" x14ac:dyDescent="0.25">
      <c r="B1081" s="21">
        <v>43409</v>
      </c>
      <c r="C1081" s="27">
        <v>20.017334000000002</v>
      </c>
      <c r="E1081" s="30">
        <v>0.87770599999999999</v>
      </c>
      <c r="G1081" s="27">
        <v>35.533887999999997</v>
      </c>
      <c r="I1081" s="29">
        <v>6.9347320000000003</v>
      </c>
      <c r="K1081" s="29">
        <v>3.7029679999999998</v>
      </c>
      <c r="M1081" s="41">
        <v>683.50684000000001</v>
      </c>
      <c r="O1081" s="26">
        <v>3187.8999840000001</v>
      </c>
      <c r="Q1081" s="26">
        <v>5992.4586339999996</v>
      </c>
      <c r="S1081" s="26">
        <v>1618.293418</v>
      </c>
      <c r="U1081" s="29">
        <v>3.3665099999999999</v>
      </c>
      <c r="W1081" s="14">
        <v>32.934235999999999</v>
      </c>
      <c r="Y1081" s="29">
        <v>8.8940280000000005</v>
      </c>
      <c r="AA1081" s="41">
        <v>616.86098000000004</v>
      </c>
      <c r="AC1081" s="27">
        <v>50.086478999999997</v>
      </c>
      <c r="AE1081" s="27">
        <v>1</v>
      </c>
      <c r="AG1081" s="29">
        <v>7.7291720000000002</v>
      </c>
      <c r="AI1081" s="29">
        <v>8.75</v>
      </c>
      <c r="AK1081" s="27">
        <v>24.150089999999999</v>
      </c>
      <c r="AM1081" s="27">
        <v>32.300440999999999</v>
      </c>
      <c r="AO1081" s="29">
        <v>6.76633</v>
      </c>
      <c r="AP1081" s="11"/>
    </row>
    <row r="1082" spans="2:42" hidden="1" outlineLevel="1" x14ac:dyDescent="0.25">
      <c r="B1082" s="21">
        <v>43410</v>
      </c>
      <c r="C1082" s="27">
        <v>19.850688999999999</v>
      </c>
      <c r="E1082" s="30">
        <v>0.87617800000000001</v>
      </c>
      <c r="G1082" s="27">
        <v>35.624054000000001</v>
      </c>
      <c r="I1082" s="29">
        <v>6.9178850000000001</v>
      </c>
      <c r="K1082" s="29">
        <v>3.7371120000000002</v>
      </c>
      <c r="M1082" s="41">
        <v>679.86712999999997</v>
      </c>
      <c r="O1082" s="26">
        <v>3166.4502480000001</v>
      </c>
      <c r="Q1082" s="26">
        <v>5971.6203599999999</v>
      </c>
      <c r="S1082" s="26">
        <v>1597.9312130000001</v>
      </c>
      <c r="U1082" s="29">
        <v>3.362276</v>
      </c>
      <c r="W1082" s="14">
        <v>32.902782999999999</v>
      </c>
      <c r="Y1082" s="29">
        <v>8.8043499999999995</v>
      </c>
      <c r="AA1082" s="41">
        <v>620.12034800000004</v>
      </c>
      <c r="AC1082" s="27">
        <v>50.069319999999998</v>
      </c>
      <c r="AE1082" s="27">
        <v>1</v>
      </c>
      <c r="AG1082" s="29">
        <v>7.7110310000000002</v>
      </c>
      <c r="AI1082" s="29">
        <v>8.75</v>
      </c>
      <c r="AK1082" s="27">
        <v>24.115431000000001</v>
      </c>
      <c r="AM1082" s="27">
        <v>32.187005999999997</v>
      </c>
      <c r="AO1082" s="29">
        <v>6.7558579999999999</v>
      </c>
      <c r="AP1082" s="11"/>
    </row>
    <row r="1083" spans="2:42" hidden="1" outlineLevel="1" x14ac:dyDescent="0.25">
      <c r="B1083" s="21">
        <v>43411</v>
      </c>
      <c r="C1083" s="27">
        <v>19.757286000000001</v>
      </c>
      <c r="E1083" s="30">
        <v>0.87278599999999995</v>
      </c>
      <c r="G1083" s="27">
        <v>35.663207999999997</v>
      </c>
      <c r="I1083" s="29">
        <v>6.9175909999999998</v>
      </c>
      <c r="K1083" s="29">
        <v>3.7569409999999999</v>
      </c>
      <c r="M1083" s="41">
        <v>678.03792799999997</v>
      </c>
      <c r="O1083" s="26">
        <v>3146.414358</v>
      </c>
      <c r="Q1083" s="26">
        <v>5959.6108249999997</v>
      </c>
      <c r="S1083" s="26">
        <v>1586.29979</v>
      </c>
      <c r="U1083" s="29">
        <v>3.365872</v>
      </c>
      <c r="W1083" s="14">
        <v>32.856856000000001</v>
      </c>
      <c r="Y1083" s="29">
        <v>8.745654</v>
      </c>
      <c r="AA1083" s="41">
        <v>624.12989400000004</v>
      </c>
      <c r="AC1083" s="27">
        <v>50.018458000000003</v>
      </c>
      <c r="AE1083" s="27">
        <v>1</v>
      </c>
      <c r="AG1083" s="29">
        <v>7.704504</v>
      </c>
      <c r="AI1083" s="29">
        <v>8.75</v>
      </c>
      <c r="AK1083" s="27">
        <v>24.101448000000001</v>
      </c>
      <c r="AM1083" s="27">
        <v>32.174838000000001</v>
      </c>
      <c r="AO1083" s="29">
        <v>6.7405689999999998</v>
      </c>
      <c r="AP1083" s="11"/>
    </row>
    <row r="1084" spans="2:42" hidden="1" outlineLevel="1" x14ac:dyDescent="0.25">
      <c r="B1084" s="21">
        <v>43412</v>
      </c>
      <c r="C1084" s="27">
        <v>19.967278</v>
      </c>
      <c r="E1084" s="30">
        <v>0.87623200000000001</v>
      </c>
      <c r="G1084" s="27">
        <v>35.622127999999996</v>
      </c>
      <c r="I1084" s="29">
        <v>6.9255170000000001</v>
      </c>
      <c r="K1084" s="29">
        <v>3.73895</v>
      </c>
      <c r="M1084" s="41">
        <v>676.02032199999996</v>
      </c>
      <c r="O1084" s="26">
        <v>3141.7235839999998</v>
      </c>
      <c r="Q1084" s="26">
        <v>5947.810622</v>
      </c>
      <c r="S1084" s="26">
        <v>1590.7779379999999</v>
      </c>
      <c r="U1084" s="29">
        <v>3.3670680000000002</v>
      </c>
      <c r="W1084" s="14">
        <v>32.803579999999997</v>
      </c>
      <c r="Y1084" s="29">
        <v>8.7734880000000004</v>
      </c>
      <c r="AA1084" s="41">
        <v>625.91704100000004</v>
      </c>
      <c r="AC1084" s="27">
        <v>49.974718000000003</v>
      </c>
      <c r="AE1084" s="27">
        <v>1</v>
      </c>
      <c r="AG1084" s="29">
        <v>7.7133019999999997</v>
      </c>
      <c r="AI1084" s="29">
        <v>8.75</v>
      </c>
      <c r="AK1084" s="27">
        <v>24.184156000000002</v>
      </c>
      <c r="AM1084" s="27">
        <v>32.331850000000003</v>
      </c>
      <c r="AO1084" s="29">
        <v>6.719214</v>
      </c>
      <c r="AP1084" s="11"/>
    </row>
    <row r="1085" spans="2:42" hidden="1" outlineLevel="1" x14ac:dyDescent="0.25">
      <c r="B1085" s="21">
        <v>43413</v>
      </c>
      <c r="C1085" s="27">
        <v>20.222041999999998</v>
      </c>
      <c r="E1085" s="30">
        <v>0.88155899999999998</v>
      </c>
      <c r="G1085" s="27">
        <v>35.462076000000003</v>
      </c>
      <c r="I1085" s="29">
        <v>6.9233659999999997</v>
      </c>
      <c r="K1085" s="29">
        <v>3.7519909999999999</v>
      </c>
      <c r="M1085" s="41">
        <v>679.90854999999999</v>
      </c>
      <c r="O1085" s="26">
        <v>3160.4185659999998</v>
      </c>
      <c r="Q1085" s="26">
        <v>5929.1089110000003</v>
      </c>
      <c r="S1085" s="26">
        <v>1580.2644720000001</v>
      </c>
      <c r="U1085" s="29">
        <v>3.369561</v>
      </c>
      <c r="W1085" s="14">
        <v>32.828569999999999</v>
      </c>
      <c r="Y1085" s="29">
        <v>8.7496550000000006</v>
      </c>
      <c r="AA1085" s="41">
        <v>623.37658999999996</v>
      </c>
      <c r="AC1085" s="27">
        <v>49.972928000000003</v>
      </c>
      <c r="AE1085" s="27">
        <v>1</v>
      </c>
      <c r="AG1085" s="29">
        <v>7.7085699999999999</v>
      </c>
      <c r="AI1085" s="29">
        <v>8.75</v>
      </c>
      <c r="AK1085" s="27">
        <v>24.190747999999999</v>
      </c>
      <c r="AM1085" s="27">
        <v>32.291679999999999</v>
      </c>
      <c r="AO1085" s="29">
        <v>6.7421620000000004</v>
      </c>
      <c r="AP1085" s="11"/>
    </row>
    <row r="1086" spans="2:42" hidden="1" outlineLevel="1" x14ac:dyDescent="0.25">
      <c r="B1086" s="21">
        <v>43414</v>
      </c>
      <c r="C1086" s="27">
        <v>20.138570000000001</v>
      </c>
      <c r="E1086" s="30">
        <v>0.88222400000000001</v>
      </c>
      <c r="G1086" s="27">
        <v>35.43065</v>
      </c>
      <c r="I1086" s="29">
        <v>6.9183750000000002</v>
      </c>
      <c r="K1086" s="29">
        <v>3.7369249999999998</v>
      </c>
      <c r="M1086" s="41">
        <v>682.64250000000004</v>
      </c>
      <c r="O1086" s="26">
        <v>3174.2550000000001</v>
      </c>
      <c r="Q1086" s="26">
        <v>5914.55</v>
      </c>
      <c r="S1086" s="26">
        <v>1582.7383440000001</v>
      </c>
      <c r="U1086" s="29">
        <v>3.3681749999999999</v>
      </c>
      <c r="W1086" s="14">
        <v>32.869999999999997</v>
      </c>
      <c r="Y1086" s="29">
        <v>8.7960100000000008</v>
      </c>
      <c r="AA1086" s="41">
        <v>621.0625</v>
      </c>
      <c r="AC1086" s="27">
        <v>49.994999999999997</v>
      </c>
      <c r="AE1086" s="27">
        <v>1</v>
      </c>
      <c r="AG1086" s="29">
        <v>7.7034750000000001</v>
      </c>
      <c r="AI1086" s="29">
        <v>8.75</v>
      </c>
      <c r="AK1086" s="27">
        <v>24.205500000000001</v>
      </c>
      <c r="AM1086" s="27">
        <v>32.204749999999997</v>
      </c>
      <c r="AO1086" s="29">
        <v>6.7591749999999999</v>
      </c>
      <c r="AP1086" s="11"/>
    </row>
    <row r="1087" spans="2:42" hidden="1" outlineLevel="1" x14ac:dyDescent="0.25">
      <c r="B1087" s="21">
        <v>43415</v>
      </c>
      <c r="C1087" s="27">
        <v>20.137063999999999</v>
      </c>
      <c r="E1087" s="30">
        <v>0.88230200000000003</v>
      </c>
      <c r="G1087" s="27">
        <v>35.429712000000002</v>
      </c>
      <c r="I1087" s="29">
        <v>6.9183750000000002</v>
      </c>
      <c r="K1087" s="29">
        <v>3.7364320000000002</v>
      </c>
      <c r="M1087" s="41">
        <v>682.795346</v>
      </c>
      <c r="O1087" s="26">
        <v>3174.7163569999998</v>
      </c>
      <c r="Q1087" s="26">
        <v>5914.55</v>
      </c>
      <c r="S1087" s="26">
        <v>1582.9478790000001</v>
      </c>
      <c r="U1087" s="29">
        <v>3.3684780000000001</v>
      </c>
      <c r="W1087" s="14">
        <v>32.869999999999997</v>
      </c>
      <c r="Y1087" s="29">
        <v>8.7971719999999998</v>
      </c>
      <c r="AA1087" s="41">
        <v>621.0625</v>
      </c>
      <c r="AC1087" s="27">
        <v>49.985748000000001</v>
      </c>
      <c r="AE1087" s="27">
        <v>1</v>
      </c>
      <c r="AG1087" s="29">
        <v>7.7034750000000001</v>
      </c>
      <c r="AI1087" s="29">
        <v>8.75</v>
      </c>
      <c r="AK1087" s="27">
        <v>24.207628</v>
      </c>
      <c r="AM1087" s="27">
        <v>32.204749999999997</v>
      </c>
      <c r="AO1087" s="29">
        <v>6.7591749999999999</v>
      </c>
      <c r="AP1087" s="11"/>
    </row>
    <row r="1088" spans="2:42" hidden="1" outlineLevel="1" x14ac:dyDescent="0.25">
      <c r="B1088" s="21">
        <v>43416</v>
      </c>
      <c r="C1088" s="27">
        <v>20.248415000000001</v>
      </c>
      <c r="E1088" s="30">
        <v>0.88725200000000004</v>
      </c>
      <c r="G1088" s="27">
        <v>35.503847999999998</v>
      </c>
      <c r="I1088" s="29">
        <v>6.9223129999999999</v>
      </c>
      <c r="K1088" s="29">
        <v>3.7444839999999999</v>
      </c>
      <c r="M1088" s="41">
        <v>685.71642799999995</v>
      </c>
      <c r="O1088" s="26">
        <v>3175.327448</v>
      </c>
      <c r="Q1088" s="26">
        <v>5922.5150039999999</v>
      </c>
      <c r="S1088" s="26">
        <v>1581.6722520000001</v>
      </c>
      <c r="U1088" s="29">
        <v>3.3725459999999998</v>
      </c>
      <c r="W1088" s="14">
        <v>32.867199999999997</v>
      </c>
      <c r="Y1088" s="29">
        <v>8.7775219999999994</v>
      </c>
      <c r="AA1088" s="41">
        <v>620.67833800000005</v>
      </c>
      <c r="AC1088" s="27">
        <v>50.006312999999999</v>
      </c>
      <c r="AE1088" s="27">
        <v>1</v>
      </c>
      <c r="AG1088" s="29">
        <v>7.7110519999999996</v>
      </c>
      <c r="AI1088" s="29">
        <v>8.75</v>
      </c>
      <c r="AK1088" s="27">
        <v>24.159590000000001</v>
      </c>
      <c r="AM1088" s="27">
        <v>32.327230999999998</v>
      </c>
      <c r="AO1088" s="29">
        <v>6.761628</v>
      </c>
      <c r="AP1088" s="11"/>
    </row>
    <row r="1089" spans="2:42" hidden="1" outlineLevel="1" x14ac:dyDescent="0.25">
      <c r="B1089" s="21">
        <v>43417</v>
      </c>
      <c r="C1089" s="27">
        <v>20.415509</v>
      </c>
      <c r="E1089" s="30">
        <v>0.88828200000000002</v>
      </c>
      <c r="G1089" s="27">
        <v>35.734817</v>
      </c>
      <c r="I1089" s="29">
        <v>6.9214510000000002</v>
      </c>
      <c r="K1089" s="29">
        <v>3.7828629999999999</v>
      </c>
      <c r="M1089" s="41">
        <v>688.955105</v>
      </c>
      <c r="O1089" s="26">
        <v>3186.6641020000002</v>
      </c>
      <c r="Q1089" s="26">
        <v>5933.0734480000001</v>
      </c>
      <c r="S1089" s="26">
        <v>1568.416236</v>
      </c>
      <c r="U1089" s="29">
        <v>3.3767830000000001</v>
      </c>
      <c r="W1089" s="14">
        <v>32.723095999999998</v>
      </c>
      <c r="Y1089" s="29">
        <v>8.6503680000000003</v>
      </c>
      <c r="AA1089" s="41">
        <v>619.80125499999997</v>
      </c>
      <c r="AC1089" s="27">
        <v>50.021360000000001</v>
      </c>
      <c r="AE1089" s="27">
        <v>1</v>
      </c>
      <c r="AG1089" s="29">
        <v>7.7112999999999996</v>
      </c>
      <c r="AI1089" s="29">
        <v>8.75</v>
      </c>
      <c r="AK1089" s="27">
        <v>24.200220000000002</v>
      </c>
      <c r="AM1089" s="27">
        <v>32.307107999999999</v>
      </c>
      <c r="AO1089" s="29">
        <v>6.7453580000000004</v>
      </c>
      <c r="AP1089" s="11"/>
    </row>
    <row r="1090" spans="2:42" hidden="1" outlineLevel="1" x14ac:dyDescent="0.25">
      <c r="B1090" s="21">
        <v>43418</v>
      </c>
      <c r="C1090" s="27">
        <v>20.449179999999998</v>
      </c>
      <c r="E1090" s="30">
        <v>0.88497400000000004</v>
      </c>
      <c r="G1090" s="27">
        <v>36.000591999999997</v>
      </c>
      <c r="I1090" s="29">
        <v>6.9146169999999998</v>
      </c>
      <c r="K1090" s="29">
        <v>3.7959890000000001</v>
      </c>
      <c r="M1090" s="41">
        <v>687.96518200000003</v>
      </c>
      <c r="O1090" s="26">
        <v>3191.4493859999998</v>
      </c>
      <c r="Q1090" s="26">
        <v>5927.1437100000003</v>
      </c>
      <c r="S1090" s="26">
        <v>1561.4302279999999</v>
      </c>
      <c r="U1090" s="29">
        <v>3.3763670000000001</v>
      </c>
      <c r="W1090" s="14">
        <v>32.655248</v>
      </c>
      <c r="Y1090" s="29">
        <v>8.602582</v>
      </c>
      <c r="AA1090" s="41">
        <v>617.13081</v>
      </c>
      <c r="AC1090" s="27">
        <v>50.023747</v>
      </c>
      <c r="AE1090" s="27">
        <v>1</v>
      </c>
      <c r="AG1090" s="29">
        <v>7.6972820000000004</v>
      </c>
      <c r="AI1090" s="29">
        <v>8.75</v>
      </c>
      <c r="AK1090" s="27">
        <v>24.169665999999999</v>
      </c>
      <c r="AM1090" s="27">
        <v>32.232492000000001</v>
      </c>
      <c r="AO1090" s="29">
        <v>6.7180819999999999</v>
      </c>
      <c r="AP1090" s="11"/>
    </row>
    <row r="1091" spans="2:42" hidden="1" outlineLevel="1" x14ac:dyDescent="0.25">
      <c r="B1091" s="21">
        <v>43419</v>
      </c>
      <c r="C1091" s="27">
        <v>20.328171000000001</v>
      </c>
      <c r="E1091" s="30">
        <v>0.88322000000000001</v>
      </c>
      <c r="G1091" s="27">
        <v>35.959854</v>
      </c>
      <c r="I1091" s="29">
        <v>6.9196289999999996</v>
      </c>
      <c r="K1091" s="29">
        <v>3.7840790000000002</v>
      </c>
      <c r="M1091" s="41">
        <v>679.10457299999996</v>
      </c>
      <c r="O1091" s="26">
        <v>3195.1493019999998</v>
      </c>
      <c r="Q1091" s="26">
        <v>5931.3016170000001</v>
      </c>
      <c r="S1091" s="26">
        <v>1567.4452080000001</v>
      </c>
      <c r="U1091" s="29">
        <v>3.3814920000000002</v>
      </c>
      <c r="W1091" s="14">
        <v>32.684961999999999</v>
      </c>
      <c r="Y1091" s="29">
        <v>8.6375139999999995</v>
      </c>
      <c r="AA1091" s="41">
        <v>614.34657100000004</v>
      </c>
      <c r="AC1091" s="27">
        <v>50.082839999999997</v>
      </c>
      <c r="AE1091" s="27">
        <v>1</v>
      </c>
      <c r="AG1091" s="29">
        <v>7.6985469999999996</v>
      </c>
      <c r="AI1091" s="29">
        <v>8.75</v>
      </c>
      <c r="AK1091" s="27">
        <v>24.183783999999999</v>
      </c>
      <c r="AM1091" s="27">
        <v>32.227553999999998</v>
      </c>
      <c r="AO1091" s="29">
        <v>6.7196100000000003</v>
      </c>
      <c r="AP1091" s="11"/>
    </row>
    <row r="1092" spans="2:42" hidden="1" outlineLevel="1" x14ac:dyDescent="0.25">
      <c r="B1092" s="21">
        <v>43420</v>
      </c>
      <c r="C1092" s="27">
        <v>20.226845999999998</v>
      </c>
      <c r="E1092" s="30">
        <v>0.87956100000000004</v>
      </c>
      <c r="G1092" s="27">
        <v>36.006098999999999</v>
      </c>
      <c r="I1092" s="29">
        <v>6.9196499999999999</v>
      </c>
      <c r="K1092" s="29">
        <v>3.7645279999999999</v>
      </c>
      <c r="M1092" s="41">
        <v>672.35703100000001</v>
      </c>
      <c r="O1092" s="26">
        <v>3182.024312</v>
      </c>
      <c r="Q1092" s="26">
        <v>5928.3796309999998</v>
      </c>
      <c r="S1092" s="26">
        <v>1574.8082959999999</v>
      </c>
      <c r="U1092" s="29">
        <v>3.3794819999999999</v>
      </c>
      <c r="W1092" s="14">
        <v>32.721702000000001</v>
      </c>
      <c r="Y1092" s="29">
        <v>8.6921300000000006</v>
      </c>
      <c r="AA1092" s="41">
        <v>610.30371200000002</v>
      </c>
      <c r="AC1092" s="27">
        <v>50.201064000000002</v>
      </c>
      <c r="AE1092" s="27">
        <v>1</v>
      </c>
      <c r="AG1092" s="29">
        <v>7.7022630000000003</v>
      </c>
      <c r="AI1092" s="29">
        <v>8.75</v>
      </c>
      <c r="AK1092" s="27">
        <v>24.212237999999999</v>
      </c>
      <c r="AM1092" s="27">
        <v>32.244712</v>
      </c>
      <c r="AO1092" s="29">
        <v>6.7199299999999997</v>
      </c>
      <c r="AP1092" s="11"/>
    </row>
    <row r="1093" spans="2:42" hidden="1" outlineLevel="1" x14ac:dyDescent="0.25">
      <c r="B1093" s="21">
        <v>43421</v>
      </c>
      <c r="C1093" s="27">
        <v>20.162330000000001</v>
      </c>
      <c r="E1093" s="30">
        <v>0.87576399999999999</v>
      </c>
      <c r="G1093" s="27">
        <v>35.926099999999998</v>
      </c>
      <c r="I1093" s="29">
        <v>6.918075</v>
      </c>
      <c r="K1093" s="29">
        <v>3.7434500000000002</v>
      </c>
      <c r="M1093" s="41">
        <v>669.88750000000005</v>
      </c>
      <c r="O1093" s="26">
        <v>3168.35</v>
      </c>
      <c r="Q1093" s="26">
        <v>5925.5749999999998</v>
      </c>
      <c r="S1093" s="26">
        <v>1582.928316</v>
      </c>
      <c r="U1093" s="29">
        <v>3.3736999999999999</v>
      </c>
      <c r="W1093" s="14">
        <v>32.75</v>
      </c>
      <c r="Y1093" s="29">
        <v>8.7486270000000008</v>
      </c>
      <c r="AA1093" s="41">
        <v>604.82000000000005</v>
      </c>
      <c r="AC1093" s="27">
        <v>50.234999999999999</v>
      </c>
      <c r="AE1093" s="27">
        <v>1</v>
      </c>
      <c r="AG1093" s="29">
        <v>7.7058749999999998</v>
      </c>
      <c r="AI1093" s="29">
        <v>8.75</v>
      </c>
      <c r="AK1093" s="27">
        <v>24.2715</v>
      </c>
      <c r="AM1093" s="27">
        <v>32.254750000000001</v>
      </c>
      <c r="AO1093" s="29">
        <v>6.72255</v>
      </c>
      <c r="AP1093" s="11"/>
    </row>
    <row r="1094" spans="2:42" hidden="1" outlineLevel="1" x14ac:dyDescent="0.25">
      <c r="B1094" s="21">
        <v>43422</v>
      </c>
      <c r="C1094" s="27">
        <v>20.162298</v>
      </c>
      <c r="E1094" s="30">
        <v>0.87578400000000001</v>
      </c>
      <c r="G1094" s="27">
        <v>35.914555999999997</v>
      </c>
      <c r="I1094" s="29">
        <v>6.9159379999999997</v>
      </c>
      <c r="K1094" s="29">
        <v>3.7434500000000002</v>
      </c>
      <c r="M1094" s="41">
        <v>669.91375700000003</v>
      </c>
      <c r="O1094" s="26">
        <v>3168.3397479999999</v>
      </c>
      <c r="Q1094" s="26">
        <v>5923.7430679999998</v>
      </c>
      <c r="S1094" s="26">
        <v>1582.4386770000001</v>
      </c>
      <c r="U1094" s="29">
        <v>3.3730519999999999</v>
      </c>
      <c r="W1094" s="14">
        <v>32.739866999999997</v>
      </c>
      <c r="Y1094" s="29">
        <v>8.7459220000000002</v>
      </c>
      <c r="AA1094" s="41">
        <v>604.63380199999995</v>
      </c>
      <c r="AC1094" s="27">
        <v>50.206629999999997</v>
      </c>
      <c r="AE1094" s="27">
        <v>1</v>
      </c>
      <c r="AG1094" s="29">
        <v>7.7034880000000001</v>
      </c>
      <c r="AI1094" s="29">
        <v>8.75</v>
      </c>
      <c r="AK1094" s="27">
        <v>24.257686</v>
      </c>
      <c r="AM1094" s="27">
        <v>32.242829999999998</v>
      </c>
      <c r="AO1094" s="29">
        <v>6.7204639999999998</v>
      </c>
      <c r="AP1094" s="11"/>
    </row>
    <row r="1095" spans="2:42" hidden="1" outlineLevel="1" x14ac:dyDescent="0.25">
      <c r="B1095" s="21">
        <v>43423</v>
      </c>
      <c r="C1095" s="27">
        <v>20.266397999999999</v>
      </c>
      <c r="E1095" s="30">
        <v>0.87500599999999995</v>
      </c>
      <c r="G1095" s="27">
        <v>35.887708000000003</v>
      </c>
      <c r="I1095" s="29">
        <v>6.8991420000000003</v>
      </c>
      <c r="K1095" s="29">
        <v>3.7517559999999999</v>
      </c>
      <c r="M1095" s="41">
        <v>669.80301799999995</v>
      </c>
      <c r="O1095" s="26">
        <v>3171.4507880000001</v>
      </c>
      <c r="Q1095" s="26">
        <v>5907.9734239999998</v>
      </c>
      <c r="S1095" s="26">
        <v>1574.731115</v>
      </c>
      <c r="U1095" s="29">
        <v>3.3715120000000001</v>
      </c>
      <c r="W1095" s="14">
        <v>32.664616000000002</v>
      </c>
      <c r="Y1095" s="29">
        <v>8.7065160000000006</v>
      </c>
      <c r="AA1095" s="41">
        <v>602.19451800000002</v>
      </c>
      <c r="AC1095" s="27">
        <v>50.029522999999998</v>
      </c>
      <c r="AE1095" s="27">
        <v>1</v>
      </c>
      <c r="AG1095" s="29">
        <v>7.6913520000000002</v>
      </c>
      <c r="AI1095" s="29">
        <v>8.75</v>
      </c>
      <c r="AK1095" s="27">
        <v>24.148720000000001</v>
      </c>
      <c r="AM1095" s="27">
        <v>32.166828000000002</v>
      </c>
      <c r="AO1095" s="29">
        <v>6.7023799999999998</v>
      </c>
      <c r="AP1095" s="11"/>
    </row>
    <row r="1096" spans="2:42" hidden="1" outlineLevel="1" x14ac:dyDescent="0.25">
      <c r="B1096" s="21">
        <v>43424</v>
      </c>
      <c r="C1096" s="27">
        <v>20.388468</v>
      </c>
      <c r="E1096" s="30">
        <v>0.87593900000000002</v>
      </c>
      <c r="G1096" s="27">
        <v>36.047823999999999</v>
      </c>
      <c r="I1096" s="29">
        <v>6.9062590000000004</v>
      </c>
      <c r="K1096" s="29">
        <v>3.7575240000000001</v>
      </c>
      <c r="M1096" s="41">
        <v>670.492572</v>
      </c>
      <c r="O1096" s="26">
        <v>3182.8602660000001</v>
      </c>
      <c r="Q1096" s="26">
        <v>5904.7934640000003</v>
      </c>
      <c r="S1096" s="26">
        <v>1571.468012</v>
      </c>
      <c r="U1096" s="29">
        <v>3.375696</v>
      </c>
      <c r="W1096" s="14">
        <v>32.647995999999999</v>
      </c>
      <c r="Y1096" s="29">
        <v>8.6887179999999997</v>
      </c>
      <c r="AA1096" s="41">
        <v>600.09923000000003</v>
      </c>
      <c r="AC1096" s="27">
        <v>50.063456000000002</v>
      </c>
      <c r="AE1096" s="27">
        <v>1</v>
      </c>
      <c r="AG1096" s="29">
        <v>7.7016960000000001</v>
      </c>
      <c r="AI1096" s="29">
        <v>8.75</v>
      </c>
      <c r="AK1096" s="27">
        <v>24.230564000000001</v>
      </c>
      <c r="AM1096" s="27">
        <v>32.226458000000001</v>
      </c>
      <c r="AO1096" s="29">
        <v>6.7069960000000002</v>
      </c>
      <c r="AP1096" s="11"/>
    </row>
    <row r="1097" spans="2:42" hidden="1" outlineLevel="1" x14ac:dyDescent="0.25">
      <c r="B1097" s="21">
        <v>43425</v>
      </c>
      <c r="C1097" s="27">
        <v>20.301714</v>
      </c>
      <c r="E1097" s="30">
        <v>0.87808799999999998</v>
      </c>
      <c r="G1097" s="27">
        <v>36.217931999999998</v>
      </c>
      <c r="I1097" s="29">
        <v>6.9191669999999998</v>
      </c>
      <c r="K1097" s="29">
        <v>3.7750339999999998</v>
      </c>
      <c r="M1097" s="41">
        <v>669.64676699999995</v>
      </c>
      <c r="O1097" s="26">
        <v>3194.4790250000001</v>
      </c>
      <c r="Q1097" s="26">
        <v>5911.5940579999997</v>
      </c>
      <c r="S1097" s="26">
        <v>1565.978206</v>
      </c>
      <c r="U1097" s="29">
        <v>3.3828800000000001</v>
      </c>
      <c r="W1097" s="14">
        <v>32.532981999999997</v>
      </c>
      <c r="Y1097" s="29">
        <v>8.6179439999999996</v>
      </c>
      <c r="AA1097" s="41">
        <v>600.52135399999997</v>
      </c>
      <c r="AC1097" s="27">
        <v>50.101844999999997</v>
      </c>
      <c r="AE1097" s="27">
        <v>1</v>
      </c>
      <c r="AG1097" s="29">
        <v>7.7156729999999998</v>
      </c>
      <c r="AI1097" s="29">
        <v>8.75</v>
      </c>
      <c r="AK1097" s="27">
        <v>24.303809999999999</v>
      </c>
      <c r="AM1097" s="27">
        <v>32.383659999999999</v>
      </c>
      <c r="AO1097" s="29">
        <v>6.7472979999999998</v>
      </c>
      <c r="AP1097" s="11"/>
    </row>
    <row r="1098" spans="2:42" hidden="1" outlineLevel="1" x14ac:dyDescent="0.25">
      <c r="B1098" s="21">
        <v>43426</v>
      </c>
      <c r="C1098" s="27">
        <v>20.270091000000001</v>
      </c>
      <c r="E1098" s="30">
        <v>0.87697599999999998</v>
      </c>
      <c r="G1098" s="27">
        <v>36.325152000000003</v>
      </c>
      <c r="I1098" s="29">
        <v>6.9191510000000003</v>
      </c>
      <c r="K1098" s="29">
        <v>3.8025690000000001</v>
      </c>
      <c r="M1098" s="41">
        <v>667.18103399999995</v>
      </c>
      <c r="O1098" s="26">
        <v>3192.242389</v>
      </c>
      <c r="Q1098" s="26">
        <v>5926.2232979999999</v>
      </c>
      <c r="S1098" s="26">
        <v>1558.4862459999999</v>
      </c>
      <c r="U1098" s="29">
        <v>3.3763550000000002</v>
      </c>
      <c r="W1098" s="14">
        <v>32.528613999999997</v>
      </c>
      <c r="Y1098" s="29">
        <v>8.5543940000000003</v>
      </c>
      <c r="AA1098" s="41">
        <v>600.71785499999999</v>
      </c>
      <c r="AC1098" s="27">
        <v>50.010506999999997</v>
      </c>
      <c r="AE1098" s="27">
        <v>1</v>
      </c>
      <c r="AG1098" s="29">
        <v>7.7081099999999996</v>
      </c>
      <c r="AI1098" s="29">
        <v>8.75</v>
      </c>
      <c r="AK1098" s="27">
        <v>24.334322</v>
      </c>
      <c r="AM1098" s="27">
        <v>32.365282000000001</v>
      </c>
      <c r="AO1098" s="29">
        <v>6.745133</v>
      </c>
      <c r="AP1098" s="11"/>
    </row>
    <row r="1099" spans="2:42" hidden="1" outlineLevel="1" x14ac:dyDescent="0.25">
      <c r="B1099" s="21">
        <v>43427</v>
      </c>
      <c r="C1099" s="27">
        <v>20.359064</v>
      </c>
      <c r="E1099" s="30">
        <v>0.87961800000000001</v>
      </c>
      <c r="G1099" s="27">
        <v>36.799767000000003</v>
      </c>
      <c r="I1099" s="29">
        <v>6.9204879999999998</v>
      </c>
      <c r="K1099" s="29">
        <v>3.812252</v>
      </c>
      <c r="M1099" s="41">
        <v>671.39681800000005</v>
      </c>
      <c r="O1099" s="26">
        <v>3206.5008109999999</v>
      </c>
      <c r="Q1099" s="26">
        <v>5938.2270580000004</v>
      </c>
      <c r="S1099" s="26">
        <v>1557.67705</v>
      </c>
      <c r="U1099" s="29">
        <v>3.3763879999999999</v>
      </c>
      <c r="W1099" s="14">
        <v>32.579244000000003</v>
      </c>
      <c r="Y1099" s="29">
        <v>8.5459479999999992</v>
      </c>
      <c r="AA1099" s="41">
        <v>602.68880799999999</v>
      </c>
      <c r="AC1099" s="27">
        <v>50.052326000000001</v>
      </c>
      <c r="AE1099" s="27">
        <v>1</v>
      </c>
      <c r="AG1099" s="29">
        <v>7.7069239999999999</v>
      </c>
      <c r="AI1099" s="29">
        <v>8.75</v>
      </c>
      <c r="AK1099" s="27">
        <v>24.335204000000001</v>
      </c>
      <c r="AM1099" s="27">
        <v>32.362701000000001</v>
      </c>
      <c r="AO1099" s="29">
        <v>6.735398</v>
      </c>
      <c r="AP1099" s="11"/>
    </row>
    <row r="1100" spans="2:42" hidden="1" outlineLevel="1" x14ac:dyDescent="0.25">
      <c r="B1100" s="21">
        <v>43428</v>
      </c>
      <c r="C1100" s="27">
        <v>20.41301</v>
      </c>
      <c r="E1100" s="30">
        <v>0.88211399999999995</v>
      </c>
      <c r="G1100" s="27">
        <v>37.558999999999997</v>
      </c>
      <c r="I1100" s="29">
        <v>6.9210750000000001</v>
      </c>
      <c r="K1100" s="29">
        <v>3.828525</v>
      </c>
      <c r="M1100" s="41">
        <v>674.68499999999995</v>
      </c>
      <c r="O1100" s="26">
        <v>3227.86</v>
      </c>
      <c r="Q1100" s="26">
        <v>5937.9</v>
      </c>
      <c r="S1100" s="26">
        <v>1550.973688</v>
      </c>
      <c r="U1100" s="29">
        <v>3.3784999999999998</v>
      </c>
      <c r="W1100" s="14">
        <v>32.625</v>
      </c>
      <c r="Y1100" s="29">
        <v>8.5215720000000008</v>
      </c>
      <c r="AA1100" s="41">
        <v>604.07500000000005</v>
      </c>
      <c r="AC1100" s="27">
        <v>50.0625</v>
      </c>
      <c r="AE1100" s="27">
        <v>1</v>
      </c>
      <c r="AG1100" s="29">
        <v>7.7036749999999996</v>
      </c>
      <c r="AI1100" s="29">
        <v>8.75</v>
      </c>
      <c r="AK1100" s="27">
        <v>24.321000000000002</v>
      </c>
      <c r="AM1100" s="27">
        <v>32.31</v>
      </c>
      <c r="AO1100" s="29">
        <v>6.7205750000000002</v>
      </c>
      <c r="AP1100" s="11"/>
    </row>
    <row r="1101" spans="2:42" hidden="1" outlineLevel="1" x14ac:dyDescent="0.25">
      <c r="B1101" s="21">
        <v>43429</v>
      </c>
      <c r="C1101" s="27">
        <v>20.412696</v>
      </c>
      <c r="E1101" s="30">
        <v>0.88211399999999995</v>
      </c>
      <c r="G1101" s="27">
        <v>37.560659999999999</v>
      </c>
      <c r="I1101" s="29">
        <v>6.9212920000000002</v>
      </c>
      <c r="K1101" s="29">
        <v>3.8280439999999998</v>
      </c>
      <c r="M1101" s="41">
        <v>674.69419300000004</v>
      </c>
      <c r="O1101" s="26">
        <v>3227.8639039999998</v>
      </c>
      <c r="Q1101" s="26">
        <v>5938.0867870000002</v>
      </c>
      <c r="S1101" s="26">
        <v>1551.251874</v>
      </c>
      <c r="U1101" s="29">
        <v>3.3784700000000001</v>
      </c>
      <c r="W1101" s="14">
        <v>32.626092</v>
      </c>
      <c r="Y1101" s="29">
        <v>8.523002</v>
      </c>
      <c r="AA1101" s="41">
        <v>604.09385499999996</v>
      </c>
      <c r="AC1101" s="27">
        <v>50.054209999999998</v>
      </c>
      <c r="AE1101" s="27">
        <v>1</v>
      </c>
      <c r="AG1101" s="29">
        <v>7.7039150000000003</v>
      </c>
      <c r="AI1101" s="29">
        <v>8.75</v>
      </c>
      <c r="AK1101" s="27">
        <v>24.325678</v>
      </c>
      <c r="AM1101" s="27">
        <v>32.315317999999998</v>
      </c>
      <c r="AO1101" s="29">
        <v>6.72079</v>
      </c>
      <c r="AP1101" s="11"/>
    </row>
    <row r="1102" spans="2:42" hidden="1" outlineLevel="1" x14ac:dyDescent="0.25">
      <c r="B1102" s="21">
        <v>43430</v>
      </c>
      <c r="C1102" s="27">
        <v>20.475482</v>
      </c>
      <c r="E1102" s="30">
        <v>0.881328</v>
      </c>
      <c r="G1102" s="27">
        <v>38.047618</v>
      </c>
      <c r="I1102" s="29">
        <v>6.922574</v>
      </c>
      <c r="K1102" s="29">
        <v>3.8646370000000001</v>
      </c>
      <c r="M1102" s="41">
        <v>674.76281600000004</v>
      </c>
      <c r="O1102" s="26">
        <v>3225.000098</v>
      </c>
      <c r="Q1102" s="26">
        <v>5940.7991199999997</v>
      </c>
      <c r="S1102" s="26">
        <v>1537.3612880000001</v>
      </c>
      <c r="U1102" s="29">
        <v>3.3787099999999999</v>
      </c>
      <c r="W1102" s="14">
        <v>32.627330000000001</v>
      </c>
      <c r="Y1102" s="29">
        <v>8.4430859999999992</v>
      </c>
      <c r="AA1102" s="41">
        <v>604.90480400000001</v>
      </c>
      <c r="AC1102" s="27">
        <v>50.099752000000002</v>
      </c>
      <c r="AE1102" s="27">
        <v>1</v>
      </c>
      <c r="AG1102" s="29">
        <v>7.7052170000000002</v>
      </c>
      <c r="AI1102" s="29">
        <v>8.75</v>
      </c>
      <c r="AK1102" s="27">
        <v>24.338318000000001</v>
      </c>
      <c r="AM1102" s="27">
        <v>32.353073000000002</v>
      </c>
      <c r="AO1102" s="29">
        <v>6.7228089999999998</v>
      </c>
      <c r="AP1102" s="11"/>
    </row>
    <row r="1103" spans="2:42" hidden="1" outlineLevel="1" x14ac:dyDescent="0.25">
      <c r="B1103" s="21">
        <v>43431</v>
      </c>
      <c r="C1103" s="27">
        <v>20.522501999999999</v>
      </c>
      <c r="E1103" s="30">
        <v>0.88382400000000005</v>
      </c>
      <c r="G1103" s="27">
        <v>38.893048</v>
      </c>
      <c r="I1103" s="29">
        <v>6.9223840000000001</v>
      </c>
      <c r="K1103" s="29">
        <v>3.9113739999999999</v>
      </c>
      <c r="M1103" s="41">
        <v>676.17049699999995</v>
      </c>
      <c r="O1103" s="26">
        <v>3248.6455999999998</v>
      </c>
      <c r="Q1103" s="26">
        <v>5947.9574119999997</v>
      </c>
      <c r="S1103" s="26">
        <v>1520.6901029999999</v>
      </c>
      <c r="U1103" s="29">
        <v>3.3809490000000002</v>
      </c>
      <c r="W1103" s="14">
        <v>32.612490999999999</v>
      </c>
      <c r="Y1103" s="29">
        <v>8.3378770000000006</v>
      </c>
      <c r="AA1103" s="41">
        <v>605.55423699999994</v>
      </c>
      <c r="AC1103" s="27">
        <v>50.098399999999998</v>
      </c>
      <c r="AE1103" s="27">
        <v>1</v>
      </c>
      <c r="AG1103" s="29">
        <v>7.710712</v>
      </c>
      <c r="AI1103" s="29">
        <v>8.75</v>
      </c>
      <c r="AK1103" s="27">
        <v>24.340274000000001</v>
      </c>
      <c r="AM1103" s="27">
        <v>32.373452</v>
      </c>
      <c r="AO1103" s="29">
        <v>6.7245970000000002</v>
      </c>
      <c r="AP1103" s="11"/>
    </row>
    <row r="1104" spans="2:42" hidden="1" outlineLevel="1" x14ac:dyDescent="0.25">
      <c r="B1104" s="21">
        <v>43432</v>
      </c>
      <c r="C1104" s="27">
        <v>20.411078</v>
      </c>
      <c r="E1104" s="30">
        <v>0.88412800000000002</v>
      </c>
      <c r="G1104" s="27">
        <v>38.518348000000003</v>
      </c>
      <c r="I1104" s="29">
        <v>6.9185100000000004</v>
      </c>
      <c r="K1104" s="29">
        <v>3.865078</v>
      </c>
      <c r="M1104" s="41">
        <v>674.19817899999998</v>
      </c>
      <c r="O1104" s="26">
        <v>3264.7234279999998</v>
      </c>
      <c r="Q1104" s="26">
        <v>5952.2596519999997</v>
      </c>
      <c r="S1104" s="26">
        <v>1540.0181259999999</v>
      </c>
      <c r="U1104" s="29">
        <v>3.3789020000000001</v>
      </c>
      <c r="W1104" s="14">
        <v>32.527617999999997</v>
      </c>
      <c r="Y1104" s="29">
        <v>8.4157899999999994</v>
      </c>
      <c r="AA1104" s="41">
        <v>604.09650499999998</v>
      </c>
      <c r="AC1104" s="27">
        <v>50.167631</v>
      </c>
      <c r="AE1104" s="27">
        <v>1</v>
      </c>
      <c r="AG1104" s="29">
        <v>7.7097300000000004</v>
      </c>
      <c r="AI1104" s="29">
        <v>8.75</v>
      </c>
      <c r="AK1104" s="27">
        <v>24.351617999999998</v>
      </c>
      <c r="AM1104" s="27">
        <v>32.392150000000001</v>
      </c>
      <c r="AO1104" s="29">
        <v>6.7489569999999999</v>
      </c>
      <c r="AP1104" s="11"/>
    </row>
    <row r="1105" spans="2:42" hidden="1" outlineLevel="1" x14ac:dyDescent="0.25">
      <c r="B1105" s="21">
        <v>43433</v>
      </c>
      <c r="C1105" s="27">
        <v>20.239463000000001</v>
      </c>
      <c r="E1105" s="30">
        <v>0.87880800000000003</v>
      </c>
      <c r="G1105" s="27">
        <v>38.154927999999998</v>
      </c>
      <c r="I1105" s="29">
        <v>6.9095659999999999</v>
      </c>
      <c r="K1105" s="29">
        <v>3.8518789999999998</v>
      </c>
      <c r="M1105" s="41">
        <v>670.881168</v>
      </c>
      <c r="O1105" s="26">
        <v>3251.1188189999998</v>
      </c>
      <c r="Q1105" s="26">
        <v>5943.0986720000001</v>
      </c>
      <c r="S1105" s="26">
        <v>1542.9173290000001</v>
      </c>
      <c r="U1105" s="29">
        <v>3.371969</v>
      </c>
      <c r="W1105" s="14">
        <v>32.4741</v>
      </c>
      <c r="Y1105" s="29">
        <v>8.430733</v>
      </c>
      <c r="AA1105" s="41">
        <v>600.01471200000003</v>
      </c>
      <c r="AC1105" s="27">
        <v>50.069746000000002</v>
      </c>
      <c r="AE1105" s="27">
        <v>1</v>
      </c>
      <c r="AG1105" s="29">
        <v>7.6917679999999997</v>
      </c>
      <c r="AI1105" s="29">
        <v>8.75</v>
      </c>
      <c r="AK1105" s="27">
        <v>24.281898999999999</v>
      </c>
      <c r="AM1105" s="27">
        <v>32.260558000000003</v>
      </c>
      <c r="AO1105" s="29">
        <v>6.7507820000000001</v>
      </c>
      <c r="AP1105" s="11"/>
    </row>
    <row r="1106" spans="2:42" hidden="1" outlineLevel="1" x14ac:dyDescent="0.25">
      <c r="B1106" s="21">
        <v>43434</v>
      </c>
      <c r="C1106" s="49">
        <v>20.221699999999998</v>
      </c>
      <c r="E1106" s="30">
        <v>0.88046199999999997</v>
      </c>
      <c r="G1106" s="27">
        <v>37.735317999999999</v>
      </c>
      <c r="I1106" s="29">
        <v>6.9171379999999996</v>
      </c>
      <c r="K1106" s="29">
        <v>3.8588909999999998</v>
      </c>
      <c r="M1106" s="41">
        <v>671.01632900000004</v>
      </c>
      <c r="O1106" s="26">
        <v>3237.6683499999999</v>
      </c>
      <c r="Q1106" s="26">
        <v>5947.3227100000004</v>
      </c>
      <c r="S1106" s="26">
        <v>1541.2089940000001</v>
      </c>
      <c r="U1106" s="29">
        <v>3.3796539999999999</v>
      </c>
      <c r="W1106" s="14">
        <v>32.370964000000001</v>
      </c>
      <c r="Y1106" s="29">
        <v>8.3886880000000001</v>
      </c>
      <c r="AA1106" s="41">
        <v>598.63185299999998</v>
      </c>
      <c r="AC1106" s="27">
        <v>50.106437999999997</v>
      </c>
      <c r="AE1106" s="27">
        <v>1</v>
      </c>
      <c r="AG1106" s="29">
        <v>7.7000739999999999</v>
      </c>
      <c r="AI1106" s="29">
        <v>8.75</v>
      </c>
      <c r="AK1106" s="27">
        <v>24.319365999999999</v>
      </c>
      <c r="AM1106" s="27">
        <v>32.338824000000002</v>
      </c>
      <c r="AO1106" s="29">
        <v>6.7557229999999997</v>
      </c>
      <c r="AP1106" s="11"/>
    </row>
    <row r="1107" spans="2:42" ht="13" collapsed="1" x14ac:dyDescent="0.3">
      <c r="B1107" s="25" t="s">
        <v>173</v>
      </c>
      <c r="C1107" s="19">
        <v>20.221900000000002</v>
      </c>
      <c r="E1107" s="24">
        <v>0.87979600000000002</v>
      </c>
      <c r="G1107" s="19">
        <v>36.3369</v>
      </c>
      <c r="I1107" s="23">
        <v>6.9196900000000001</v>
      </c>
      <c r="J1107" s="9"/>
      <c r="K1107" s="23">
        <v>3.7742300000000002</v>
      </c>
      <c r="M1107" s="42">
        <v>677.76599999999996</v>
      </c>
      <c r="O1107" s="31">
        <v>3193.99</v>
      </c>
      <c r="Q1107" s="31">
        <v>5942.77</v>
      </c>
      <c r="S1107" s="31">
        <v>1574.96</v>
      </c>
      <c r="U1107" s="23">
        <v>3.3730000000000002</v>
      </c>
      <c r="W1107" s="23">
        <v>32.71949</v>
      </c>
      <c r="Y1107" s="23">
        <v>8.6715999999999998</v>
      </c>
      <c r="AA1107" s="42">
        <v>610.81299999999999</v>
      </c>
      <c r="AC1107" s="19">
        <v>50.070399999999999</v>
      </c>
      <c r="AE1107" s="19">
        <v>1</v>
      </c>
      <c r="AG1107" s="23">
        <v>7.7079000000000004</v>
      </c>
      <c r="AI1107" s="23">
        <v>8.75</v>
      </c>
      <c r="AK1107" s="23">
        <v>24.22682</v>
      </c>
      <c r="AM1107" s="23">
        <v>32.280279999999998</v>
      </c>
      <c r="AO1107" s="23">
        <v>6.7388399999999997</v>
      </c>
      <c r="AP1107" s="10"/>
    </row>
    <row r="1108" spans="2:42" hidden="1" outlineLevel="1" x14ac:dyDescent="0.25">
      <c r="B1108" s="21">
        <v>43435</v>
      </c>
      <c r="C1108" s="27">
        <v>20.39396</v>
      </c>
      <c r="E1108" s="30">
        <v>0.883494</v>
      </c>
      <c r="G1108" s="27">
        <v>37.731999999999999</v>
      </c>
      <c r="I1108" s="29">
        <v>6.9186750000000004</v>
      </c>
      <c r="K1108" s="29">
        <v>3.8666499999999999</v>
      </c>
      <c r="M1108" s="41">
        <v>671.61500000000001</v>
      </c>
      <c r="O1108" s="26">
        <v>3232.5</v>
      </c>
      <c r="Q1108" s="26">
        <v>5942.9</v>
      </c>
      <c r="S1108" s="26">
        <v>1536.973765</v>
      </c>
      <c r="U1108" s="29">
        <v>3.38205</v>
      </c>
      <c r="W1108" s="14">
        <v>32.26</v>
      </c>
      <c r="Y1108" s="29">
        <v>8.3431519999999999</v>
      </c>
      <c r="AA1108" s="41">
        <v>598.79750000000001</v>
      </c>
      <c r="AC1108" s="27">
        <v>50.152500000000003</v>
      </c>
      <c r="AE1108" s="27">
        <v>1</v>
      </c>
      <c r="AG1108" s="29">
        <v>7.7010750000000003</v>
      </c>
      <c r="AI1108" s="29">
        <v>8.75</v>
      </c>
      <c r="AK1108" s="27">
        <v>24.335000000000001</v>
      </c>
      <c r="AM1108" s="27">
        <v>32.327500000000001</v>
      </c>
      <c r="AO1108" s="29">
        <v>6.7577249999999998</v>
      </c>
      <c r="AP1108" s="11"/>
    </row>
    <row r="1109" spans="2:42" hidden="1" outlineLevel="1" x14ac:dyDescent="0.25">
      <c r="B1109" s="21">
        <v>43436</v>
      </c>
      <c r="C1109" s="27">
        <v>20.375330000000002</v>
      </c>
      <c r="E1109" s="30">
        <v>0.88336899999999996</v>
      </c>
      <c r="G1109" s="27">
        <v>37.740968000000002</v>
      </c>
      <c r="I1109" s="29">
        <v>6.9198560000000002</v>
      </c>
      <c r="K1109" s="29">
        <v>3.866527</v>
      </c>
      <c r="M1109" s="41">
        <v>671.61767599999996</v>
      </c>
      <c r="O1109" s="26">
        <v>3232.5135439999999</v>
      </c>
      <c r="Q1109" s="26">
        <v>5943.9190200000003</v>
      </c>
      <c r="S1109" s="26">
        <v>1537.294676</v>
      </c>
      <c r="U1109" s="29">
        <v>3.3826360000000002</v>
      </c>
      <c r="W1109" s="14">
        <v>32.265385000000002</v>
      </c>
      <c r="Y1109" s="29">
        <v>8.3448279999999997</v>
      </c>
      <c r="AA1109" s="41">
        <v>598.900532</v>
      </c>
      <c r="AC1109" s="27">
        <v>50.160629999999998</v>
      </c>
      <c r="AE1109" s="27">
        <v>1</v>
      </c>
      <c r="AG1109" s="29">
        <v>7.7023890000000002</v>
      </c>
      <c r="AI1109" s="29">
        <v>8.75</v>
      </c>
      <c r="AK1109" s="27">
        <v>24.343275999999999</v>
      </c>
      <c r="AM1109" s="27">
        <v>32.336551</v>
      </c>
      <c r="AO1109" s="29">
        <v>6.758883</v>
      </c>
      <c r="AP1109" s="11"/>
    </row>
    <row r="1110" spans="2:42" hidden="1" outlineLevel="1" x14ac:dyDescent="0.25">
      <c r="B1110" s="21">
        <v>43437</v>
      </c>
      <c r="C1110" s="27">
        <v>20.173141999999999</v>
      </c>
      <c r="E1110" s="30">
        <v>0.88110100000000002</v>
      </c>
      <c r="G1110" s="27">
        <v>37.275376000000001</v>
      </c>
      <c r="I1110" s="29">
        <v>6.9305240000000001</v>
      </c>
      <c r="K1110" s="29">
        <v>3.8492760000000001</v>
      </c>
      <c r="M1110" s="41">
        <v>669.64440100000002</v>
      </c>
      <c r="O1110" s="26">
        <v>3219.0417080000002</v>
      </c>
      <c r="Q1110" s="26">
        <v>5939.5469229999999</v>
      </c>
      <c r="S1110" s="26">
        <v>1543.0371740000001</v>
      </c>
      <c r="U1110" s="29">
        <v>3.3811200000000001</v>
      </c>
      <c r="W1110" s="14">
        <v>32.231456000000001</v>
      </c>
      <c r="Y1110" s="29">
        <v>8.3734029999999997</v>
      </c>
      <c r="AA1110" s="41">
        <v>599.60198800000001</v>
      </c>
      <c r="AC1110" s="27">
        <v>50.244059999999998</v>
      </c>
      <c r="AE1110" s="27">
        <v>1</v>
      </c>
      <c r="AG1110" s="29">
        <v>7.7113959999999997</v>
      </c>
      <c r="AI1110" s="29">
        <v>8.75</v>
      </c>
      <c r="AK1110" s="27">
        <v>24.351336</v>
      </c>
      <c r="AM1110" s="27">
        <v>32.394615000000002</v>
      </c>
      <c r="AO1110" s="29">
        <v>6.7661939999999996</v>
      </c>
      <c r="AP1110" s="11"/>
    </row>
    <row r="1111" spans="2:42" hidden="1" outlineLevel="1" x14ac:dyDescent="0.25">
      <c r="B1111" s="21">
        <v>43438</v>
      </c>
      <c r="C1111" s="27">
        <v>20.387764000000001</v>
      </c>
      <c r="E1111" s="30">
        <v>0.87958700000000001</v>
      </c>
      <c r="G1111" s="27">
        <v>36.837679999999999</v>
      </c>
      <c r="I1111" s="29">
        <v>6.9230900000000002</v>
      </c>
      <c r="K1111" s="29">
        <v>3.8426079999999998</v>
      </c>
      <c r="M1111" s="41">
        <v>669.27435100000002</v>
      </c>
      <c r="O1111" s="26">
        <v>3188.4979539999999</v>
      </c>
      <c r="Q1111" s="26">
        <v>5906.5929649999998</v>
      </c>
      <c r="S1111" s="26">
        <v>1537.1392719999999</v>
      </c>
      <c r="U1111" s="29">
        <v>3.3800300000000001</v>
      </c>
      <c r="W1111" s="14">
        <v>32.139691999999997</v>
      </c>
      <c r="Y1111" s="29">
        <v>8.3640480000000004</v>
      </c>
      <c r="AA1111" s="41">
        <v>599.66167600000006</v>
      </c>
      <c r="AC1111" s="27">
        <v>50.255963000000001</v>
      </c>
      <c r="AE1111" s="27">
        <v>1</v>
      </c>
      <c r="AG1111" s="29">
        <v>7.7113230000000001</v>
      </c>
      <c r="AI1111" s="29">
        <v>8.75</v>
      </c>
      <c r="AK1111" s="27">
        <v>24.32349</v>
      </c>
      <c r="AM1111" s="27">
        <v>32.391455999999998</v>
      </c>
      <c r="AO1111" s="29">
        <v>6.751328</v>
      </c>
      <c r="AP1111" s="11"/>
    </row>
    <row r="1112" spans="2:42" hidden="1" outlineLevel="1" x14ac:dyDescent="0.25">
      <c r="B1112" s="21">
        <v>43439</v>
      </c>
      <c r="C1112" s="27">
        <v>20.504660000000001</v>
      </c>
      <c r="E1112" s="30">
        <v>0.88181699999999996</v>
      </c>
      <c r="G1112" s="27">
        <v>37.510488000000002</v>
      </c>
      <c r="I1112" s="29">
        <v>6.9253739999999997</v>
      </c>
      <c r="K1112" s="29">
        <v>3.8585820000000002</v>
      </c>
      <c r="M1112" s="41">
        <v>671.49473</v>
      </c>
      <c r="O1112" s="26">
        <v>3169.58259</v>
      </c>
      <c r="Q1112" s="26">
        <v>5910.3270700000003</v>
      </c>
      <c r="S1112" s="26">
        <v>1531.7428789999999</v>
      </c>
      <c r="U1112" s="29">
        <v>3.381996</v>
      </c>
      <c r="W1112" s="14">
        <v>32.091734000000002</v>
      </c>
      <c r="Y1112" s="29">
        <v>8.3169900000000005</v>
      </c>
      <c r="AA1112" s="41">
        <v>600.49914999999999</v>
      </c>
      <c r="AC1112" s="27">
        <v>50.310661000000003</v>
      </c>
      <c r="AE1112" s="27">
        <v>1</v>
      </c>
      <c r="AG1112" s="29">
        <v>7.7288230000000002</v>
      </c>
      <c r="AI1112" s="29">
        <v>8.75</v>
      </c>
      <c r="AK1112" s="27">
        <v>24.369436</v>
      </c>
      <c r="AM1112" s="27">
        <v>32.430588</v>
      </c>
      <c r="AO1112" s="29">
        <v>6.7474800000000004</v>
      </c>
      <c r="AP1112" s="11"/>
    </row>
    <row r="1113" spans="2:42" hidden="1" outlineLevel="1" x14ac:dyDescent="0.25">
      <c r="B1113" s="21">
        <v>43440</v>
      </c>
      <c r="C1113" s="27">
        <v>20.505120000000002</v>
      </c>
      <c r="E1113" s="30">
        <v>0.88040399999999996</v>
      </c>
      <c r="G1113" s="27">
        <v>37.622636</v>
      </c>
      <c r="I1113" s="29">
        <v>6.920337</v>
      </c>
      <c r="K1113" s="29">
        <v>3.8840840000000001</v>
      </c>
      <c r="M1113" s="41">
        <v>674.941552</v>
      </c>
      <c r="O1113" s="26">
        <v>3175.3727509999999</v>
      </c>
      <c r="Q1113" s="26">
        <v>5907.2119320000002</v>
      </c>
      <c r="S1113" s="26">
        <v>1520.883544</v>
      </c>
      <c r="U1113" s="29">
        <v>3.3776700000000002</v>
      </c>
      <c r="W1113" s="14">
        <v>32.017772999999998</v>
      </c>
      <c r="Y1113" s="29">
        <v>8.2433399999999999</v>
      </c>
      <c r="AA1113" s="41">
        <v>599.25368000000003</v>
      </c>
      <c r="AC1113" s="27">
        <v>50.298762000000004</v>
      </c>
      <c r="AE1113" s="27">
        <v>1</v>
      </c>
      <c r="AG1113" s="29">
        <v>7.7204129999999997</v>
      </c>
      <c r="AI1113" s="29">
        <v>8.75</v>
      </c>
      <c r="AK1113" s="27">
        <v>24.345488</v>
      </c>
      <c r="AM1113" s="27">
        <v>32.380758</v>
      </c>
      <c r="AO1113" s="29">
        <v>6.7425119999999996</v>
      </c>
      <c r="AP1113" s="11"/>
    </row>
    <row r="1114" spans="2:42" hidden="1" outlineLevel="1" x14ac:dyDescent="0.25">
      <c r="B1114" s="21">
        <v>43441</v>
      </c>
      <c r="C1114" s="27">
        <v>20.321323</v>
      </c>
      <c r="E1114" s="30">
        <v>0.87853700000000001</v>
      </c>
      <c r="G1114" s="27">
        <v>37.551448999999998</v>
      </c>
      <c r="I1114" s="29">
        <v>6.9186120000000004</v>
      </c>
      <c r="K1114" s="29">
        <v>3.8878919999999999</v>
      </c>
      <c r="M1114" s="41">
        <v>675.18025399999999</v>
      </c>
      <c r="O1114" s="26">
        <v>3164.7342140000001</v>
      </c>
      <c r="Q1114" s="26">
        <v>5911.78042</v>
      </c>
      <c r="S1114" s="26">
        <v>1520.571128</v>
      </c>
      <c r="U1114" s="29">
        <v>3.3719199999999998</v>
      </c>
      <c r="W1114" s="14">
        <v>32.018216000000002</v>
      </c>
      <c r="Y1114" s="29">
        <v>8.2353860000000001</v>
      </c>
      <c r="AA1114" s="41">
        <v>598.799578</v>
      </c>
      <c r="AC1114" s="27">
        <v>50.261881000000002</v>
      </c>
      <c r="AE1114" s="27">
        <v>1</v>
      </c>
      <c r="AG1114" s="29">
        <v>7.713438</v>
      </c>
      <c r="AI1114" s="29">
        <v>8.75</v>
      </c>
      <c r="AK1114" s="27">
        <v>24.330103000000001</v>
      </c>
      <c r="AM1114" s="27">
        <v>32.361072</v>
      </c>
      <c r="AO1114" s="29">
        <v>6.7393780000000003</v>
      </c>
      <c r="AP1114" s="11"/>
    </row>
    <row r="1115" spans="2:42" hidden="1" outlineLevel="1" x14ac:dyDescent="0.25">
      <c r="B1115" s="21">
        <v>43442</v>
      </c>
      <c r="C1115" s="27">
        <v>20.272365000000001</v>
      </c>
      <c r="E1115" s="30">
        <v>0.87870400000000004</v>
      </c>
      <c r="G1115" s="27">
        <v>37.377899999999997</v>
      </c>
      <c r="I1115" s="29">
        <v>6.9226749999999999</v>
      </c>
      <c r="K1115" s="29">
        <v>3.9073250000000002</v>
      </c>
      <c r="M1115" s="41">
        <v>674.77499999999998</v>
      </c>
      <c r="O1115" s="26">
        <v>3147.05</v>
      </c>
      <c r="Q1115" s="26">
        <v>5913.85</v>
      </c>
      <c r="S1115" s="26">
        <v>1513.545331</v>
      </c>
      <c r="U1115" s="29">
        <v>3.3669750000000001</v>
      </c>
      <c r="W1115" s="14">
        <v>32.048499999999997</v>
      </c>
      <c r="Y1115" s="29">
        <v>8.2021820000000005</v>
      </c>
      <c r="AA1115" s="41">
        <v>597.77250000000004</v>
      </c>
      <c r="AC1115" s="27">
        <v>50.302500000000002</v>
      </c>
      <c r="AE1115" s="27">
        <v>1</v>
      </c>
      <c r="AG1115" s="29">
        <v>7.71875</v>
      </c>
      <c r="AI1115" s="29">
        <v>8.75</v>
      </c>
      <c r="AK1115" s="27">
        <v>24.356249999999999</v>
      </c>
      <c r="AM1115" s="27">
        <v>32.407499999999999</v>
      </c>
      <c r="AO1115" s="29">
        <v>6.742375</v>
      </c>
      <c r="AP1115" s="11"/>
    </row>
    <row r="1116" spans="2:42" hidden="1" outlineLevel="1" x14ac:dyDescent="0.25">
      <c r="B1116" s="21">
        <v>43443</v>
      </c>
      <c r="C1116" s="27">
        <v>20.272805000000002</v>
      </c>
      <c r="E1116" s="30">
        <v>0.87858599999999998</v>
      </c>
      <c r="G1116" s="27">
        <v>37.375732999999997</v>
      </c>
      <c r="I1116" s="29">
        <v>6.9226749999999999</v>
      </c>
      <c r="K1116" s="29">
        <v>3.9073259999999999</v>
      </c>
      <c r="M1116" s="41">
        <v>674.77843399999995</v>
      </c>
      <c r="O1116" s="26">
        <v>3147.037922</v>
      </c>
      <c r="Q1116" s="26">
        <v>5913.85</v>
      </c>
      <c r="S1116" s="26">
        <v>1513.559105</v>
      </c>
      <c r="U1116" s="29">
        <v>3.366978</v>
      </c>
      <c r="W1116" s="14">
        <v>32.048499999999997</v>
      </c>
      <c r="Y1116" s="29">
        <v>8.2022040000000001</v>
      </c>
      <c r="AA1116" s="41">
        <v>597.95043699999997</v>
      </c>
      <c r="AC1116" s="27">
        <v>50.302382000000001</v>
      </c>
      <c r="AE1116" s="27">
        <v>1</v>
      </c>
      <c r="AG1116" s="29">
        <v>7.71875</v>
      </c>
      <c r="AI1116" s="29">
        <v>8.75</v>
      </c>
      <c r="AK1116" s="27">
        <v>24.357246</v>
      </c>
      <c r="AM1116" s="27">
        <v>32.407606000000001</v>
      </c>
      <c r="AO1116" s="29">
        <v>6.742375</v>
      </c>
      <c r="AP1116" s="11"/>
    </row>
    <row r="1117" spans="2:42" hidden="1" outlineLevel="1" x14ac:dyDescent="0.25">
      <c r="B1117" s="21">
        <v>43444</v>
      </c>
      <c r="C1117" s="27">
        <v>20.288686999999999</v>
      </c>
      <c r="E1117" s="30">
        <v>0.87720600000000004</v>
      </c>
      <c r="G1117" s="27">
        <v>37.485579999999999</v>
      </c>
      <c r="I1117" s="29">
        <v>6.9166340000000002</v>
      </c>
      <c r="K1117" s="29">
        <v>3.9116529999999998</v>
      </c>
      <c r="M1117" s="41">
        <v>676.45155</v>
      </c>
      <c r="O1117" s="26">
        <v>3170.545646</v>
      </c>
      <c r="Q1117" s="26">
        <v>5913.2949840000001</v>
      </c>
      <c r="S1117" s="26">
        <v>1511.732888</v>
      </c>
      <c r="U1117" s="29">
        <v>3.370476</v>
      </c>
      <c r="W1117" s="14">
        <v>32.051074</v>
      </c>
      <c r="Y1117" s="29">
        <v>8.1937899999999999</v>
      </c>
      <c r="AA1117" s="41">
        <v>597.35813199999996</v>
      </c>
      <c r="AC1117" s="27">
        <v>50.238683000000002</v>
      </c>
      <c r="AE1117" s="27">
        <v>1</v>
      </c>
      <c r="AG1117" s="29">
        <v>7.71516</v>
      </c>
      <c r="AI1117" s="29">
        <v>8.75</v>
      </c>
      <c r="AK1117" s="27">
        <v>24.338926000000001</v>
      </c>
      <c r="AM1117" s="27">
        <v>32.365209999999998</v>
      </c>
      <c r="AO1117" s="29">
        <v>6.7376170000000002</v>
      </c>
      <c r="AP1117" s="11"/>
    </row>
    <row r="1118" spans="2:42" hidden="1" outlineLevel="1" x14ac:dyDescent="0.25">
      <c r="B1118" s="21">
        <v>43445</v>
      </c>
      <c r="C1118" s="27">
        <v>20.269342000000002</v>
      </c>
      <c r="E1118" s="30">
        <v>0.88088100000000003</v>
      </c>
      <c r="G1118" s="27">
        <v>37.691006000000002</v>
      </c>
      <c r="I1118" s="29">
        <v>6.9223400000000002</v>
      </c>
      <c r="K1118" s="29">
        <v>3.9130020000000001</v>
      </c>
      <c r="M1118" s="41">
        <v>680.11967500000003</v>
      </c>
      <c r="O1118" s="26">
        <v>3185.5114429999999</v>
      </c>
      <c r="Q1118" s="26">
        <v>5931.7029759999996</v>
      </c>
      <c r="S1118" s="26">
        <v>1515.902797</v>
      </c>
      <c r="U1118" s="29">
        <v>3.3690790000000002</v>
      </c>
      <c r="W1118" s="14">
        <v>32.103332000000002</v>
      </c>
      <c r="Y1118" s="29">
        <v>8.2042859999999997</v>
      </c>
      <c r="AA1118" s="41">
        <v>599.149947</v>
      </c>
      <c r="AC1118" s="27">
        <v>50.301402000000003</v>
      </c>
      <c r="AE1118" s="27">
        <v>1</v>
      </c>
      <c r="AG1118" s="29">
        <v>7.7302410000000004</v>
      </c>
      <c r="AI1118" s="29">
        <v>8.75</v>
      </c>
      <c r="AK1118" s="27">
        <v>24.384682000000002</v>
      </c>
      <c r="AM1118" s="27">
        <v>32.442551000000002</v>
      </c>
      <c r="AO1118" s="29">
        <v>6.7452719999999999</v>
      </c>
      <c r="AP1118" s="11"/>
    </row>
    <row r="1119" spans="2:42" hidden="1" outlineLevel="1" x14ac:dyDescent="0.25">
      <c r="B1119" s="21">
        <v>43446</v>
      </c>
      <c r="C1119" s="27">
        <v>20.124041999999999</v>
      </c>
      <c r="E1119" s="30">
        <v>0.88135399999999997</v>
      </c>
      <c r="G1119" s="27">
        <v>37.715068000000002</v>
      </c>
      <c r="I1119" s="29">
        <v>6.9250759999999998</v>
      </c>
      <c r="K1119" s="29">
        <v>3.879874</v>
      </c>
      <c r="M1119" s="41">
        <v>680.94744200000002</v>
      </c>
      <c r="O1119" s="26">
        <v>3180.3533149999998</v>
      </c>
      <c r="Q1119" s="26">
        <v>5946.5078979999998</v>
      </c>
      <c r="S1119" s="26">
        <v>1532.6650139999999</v>
      </c>
      <c r="U1119" s="29">
        <v>3.3621259999999999</v>
      </c>
      <c r="W1119" s="14">
        <v>32.128065999999997</v>
      </c>
      <c r="Y1119" s="29">
        <v>8.2807180000000002</v>
      </c>
      <c r="AA1119" s="41">
        <v>599.16080599999998</v>
      </c>
      <c r="AC1119" s="27">
        <v>50.347887999999998</v>
      </c>
      <c r="AE1119" s="27">
        <v>1</v>
      </c>
      <c r="AG1119" s="29">
        <v>7.7330389999999998</v>
      </c>
      <c r="AI1119" s="29">
        <v>8.75</v>
      </c>
      <c r="AK1119" s="27">
        <v>24.389448999999999</v>
      </c>
      <c r="AM1119" s="27">
        <v>32.455190000000002</v>
      </c>
      <c r="AO1119" s="29">
        <v>6.7470470000000002</v>
      </c>
      <c r="AP1119" s="11"/>
    </row>
    <row r="1120" spans="2:42" hidden="1" outlineLevel="1" x14ac:dyDescent="0.25">
      <c r="B1120" s="21">
        <v>43447</v>
      </c>
      <c r="C1120" s="27">
        <v>20.173186000000001</v>
      </c>
      <c r="E1120" s="30">
        <v>0.87978299999999998</v>
      </c>
      <c r="G1120" s="27">
        <v>37.680695999999998</v>
      </c>
      <c r="I1120" s="29">
        <v>6.9150150000000004</v>
      </c>
      <c r="K1120" s="29">
        <v>3.8700389999999998</v>
      </c>
      <c r="M1120" s="41">
        <v>680.04090399999995</v>
      </c>
      <c r="O1120" s="26">
        <v>3173.5224039999998</v>
      </c>
      <c r="Q1120" s="26">
        <v>5938.277126</v>
      </c>
      <c r="S1120" s="26">
        <v>1534.4312649999999</v>
      </c>
      <c r="U1120" s="29">
        <v>3.3561800000000002</v>
      </c>
      <c r="W1120" s="14">
        <v>32.096843999999997</v>
      </c>
      <c r="Y1120" s="29">
        <v>8.2936910000000008</v>
      </c>
      <c r="AA1120" s="41">
        <v>597.72213099999999</v>
      </c>
      <c r="AC1120" s="27">
        <v>50.285684000000003</v>
      </c>
      <c r="AE1120" s="27">
        <v>1</v>
      </c>
      <c r="AG1120" s="29">
        <v>7.721476</v>
      </c>
      <c r="AI1120" s="29">
        <v>8.75</v>
      </c>
      <c r="AK1120" s="27">
        <v>24.340914000000001</v>
      </c>
      <c r="AM1120" s="27">
        <v>32.362318000000002</v>
      </c>
      <c r="AO1120" s="29">
        <v>6.749409</v>
      </c>
      <c r="AP1120" s="11"/>
    </row>
    <row r="1121" spans="2:42" hidden="1" outlineLevel="1" x14ac:dyDescent="0.25">
      <c r="B1121" s="21">
        <v>43448</v>
      </c>
      <c r="C1121" s="27">
        <v>20.335104999999999</v>
      </c>
      <c r="E1121" s="30">
        <v>0.88354500000000002</v>
      </c>
      <c r="G1121" s="27">
        <v>37.959094</v>
      </c>
      <c r="I1121" s="29">
        <v>6.9189400000000001</v>
      </c>
      <c r="K1121" s="29">
        <v>3.8995289999999998</v>
      </c>
      <c r="M1121" s="41">
        <v>683.65115200000002</v>
      </c>
      <c r="O1121" s="26">
        <v>3186.7025060000001</v>
      </c>
      <c r="Q1121" s="26">
        <v>5942.9601339999999</v>
      </c>
      <c r="S1121" s="26">
        <v>1524.0270169999999</v>
      </c>
      <c r="U1121" s="29">
        <v>3.351845</v>
      </c>
      <c r="W1121" s="14">
        <v>32.192556000000003</v>
      </c>
      <c r="Y1121" s="29">
        <v>8.2555119999999995</v>
      </c>
      <c r="AA1121" s="41">
        <v>598.058674</v>
      </c>
      <c r="AC1121" s="27">
        <v>50.329284000000001</v>
      </c>
      <c r="AE1121" s="27">
        <v>1</v>
      </c>
      <c r="AG1121" s="29">
        <v>7.7388300000000001</v>
      </c>
      <c r="AI1121" s="29">
        <v>8.75</v>
      </c>
      <c r="AK1121" s="27">
        <v>24.363073</v>
      </c>
      <c r="AM1121" s="27">
        <v>32.411844000000002</v>
      </c>
      <c r="AO1121" s="29">
        <v>6.7671419999999998</v>
      </c>
      <c r="AP1121" s="11"/>
    </row>
    <row r="1122" spans="2:42" hidden="1" outlineLevel="1" x14ac:dyDescent="0.25">
      <c r="B1122" s="21">
        <v>43449</v>
      </c>
      <c r="C1122" s="27">
        <v>20.238465000000001</v>
      </c>
      <c r="E1122" s="30">
        <v>0.88455600000000001</v>
      </c>
      <c r="G1122" s="27">
        <v>38.162649999999999</v>
      </c>
      <c r="I1122" s="29">
        <v>6.9163249999999996</v>
      </c>
      <c r="K1122" s="29">
        <v>3.9177749999999998</v>
      </c>
      <c r="M1122" s="41">
        <v>683.77499999999998</v>
      </c>
      <c r="O1122" s="26">
        <v>3196.4250000000002</v>
      </c>
      <c r="Q1122" s="26">
        <v>5935.05</v>
      </c>
      <c r="S1122" s="26">
        <v>1514.9108699999999</v>
      </c>
      <c r="U1122" s="29">
        <v>3.3483499999999999</v>
      </c>
      <c r="W1122" s="14">
        <v>32.262500000000003</v>
      </c>
      <c r="Y1122" s="29">
        <v>8.2349130000000006</v>
      </c>
      <c r="AA1122" s="41">
        <v>597.92999999999995</v>
      </c>
      <c r="AC1122" s="27">
        <v>50.3125</v>
      </c>
      <c r="AE1122" s="27">
        <v>1</v>
      </c>
      <c r="AG1122" s="29">
        <v>7.7389749999999999</v>
      </c>
      <c r="AI1122" s="29">
        <v>8.75</v>
      </c>
      <c r="AK1122" s="27">
        <v>24.344999999999999</v>
      </c>
      <c r="AM1122" s="27">
        <v>32.399749999999997</v>
      </c>
      <c r="AO1122" s="29">
        <v>6.7635750000000003</v>
      </c>
      <c r="AP1122" s="11"/>
    </row>
    <row r="1123" spans="2:42" hidden="1" outlineLevel="1" x14ac:dyDescent="0.25">
      <c r="B1123" s="21">
        <v>43450</v>
      </c>
      <c r="C1123" s="27">
        <v>20.231940000000002</v>
      </c>
      <c r="E1123" s="30">
        <v>0.88454900000000003</v>
      </c>
      <c r="G1123" s="27">
        <v>38.161760000000001</v>
      </c>
      <c r="I1123" s="29">
        <v>6.9163249999999996</v>
      </c>
      <c r="K1123" s="29">
        <v>3.9177400000000002</v>
      </c>
      <c r="M1123" s="41">
        <v>683.80763999999999</v>
      </c>
      <c r="O1123" s="26">
        <v>3196.3128400000001</v>
      </c>
      <c r="Q1123" s="26">
        <v>5935.05</v>
      </c>
      <c r="S1123" s="26">
        <v>1514.929369</v>
      </c>
      <c r="U1123" s="29">
        <v>3.348163</v>
      </c>
      <c r="W1123" s="14">
        <v>32.262500000000003</v>
      </c>
      <c r="Y1123" s="29">
        <v>8.2349940000000004</v>
      </c>
      <c r="AA1123" s="41">
        <v>597.99742600000002</v>
      </c>
      <c r="AC1123" s="27">
        <v>50.313478000000003</v>
      </c>
      <c r="AE1123" s="27">
        <v>1</v>
      </c>
      <c r="AG1123" s="29">
        <v>7.7389749999999999</v>
      </c>
      <c r="AI1123" s="29">
        <v>8.75</v>
      </c>
      <c r="AK1123" s="27">
        <v>24.346979999999999</v>
      </c>
      <c r="AM1123" s="27">
        <v>32.400514999999999</v>
      </c>
      <c r="AO1123" s="29">
        <v>6.7635750000000003</v>
      </c>
      <c r="AP1123" s="11"/>
    </row>
    <row r="1124" spans="2:42" hidden="1" outlineLevel="1" x14ac:dyDescent="0.25">
      <c r="B1124" s="21">
        <v>43451</v>
      </c>
      <c r="C1124" s="27">
        <v>20.1143</v>
      </c>
      <c r="E1124" s="30">
        <v>0.88250300000000004</v>
      </c>
      <c r="G1124" s="27">
        <v>38.202829000000001</v>
      </c>
      <c r="I1124" s="29">
        <v>6.9155030000000002</v>
      </c>
      <c r="K1124" s="29">
        <v>3.9095040000000001</v>
      </c>
      <c r="M1124" s="41">
        <v>685.33967800000005</v>
      </c>
      <c r="O1124" s="26">
        <v>3189.9894340000001</v>
      </c>
      <c r="Q1124" s="26">
        <v>5920.1228279999996</v>
      </c>
      <c r="S1124" s="26">
        <v>1514.3191340000001</v>
      </c>
      <c r="U1124" s="29">
        <v>3.343909</v>
      </c>
      <c r="W1124" s="14">
        <v>32.275384000000003</v>
      </c>
      <c r="Y1124" s="29">
        <v>8.2556940000000001</v>
      </c>
      <c r="AA1124" s="41">
        <v>596.98699599999998</v>
      </c>
      <c r="AC1124" s="27">
        <v>50.275550000000003</v>
      </c>
      <c r="AE1124" s="27">
        <v>1</v>
      </c>
      <c r="AG1124" s="29">
        <v>7.7341579999999999</v>
      </c>
      <c r="AI1124" s="29">
        <v>8.75</v>
      </c>
      <c r="AK1124" s="27">
        <v>24.344314000000001</v>
      </c>
      <c r="AM1124" s="27">
        <v>32.368721999999998</v>
      </c>
      <c r="AO1124" s="29">
        <v>6.7635990000000001</v>
      </c>
      <c r="AP1124" s="11"/>
    </row>
    <row r="1125" spans="2:42" hidden="1" outlineLevel="1" x14ac:dyDescent="0.25">
      <c r="B1125" s="21">
        <v>43452</v>
      </c>
      <c r="C1125" s="27">
        <v>20.087624999999999</v>
      </c>
      <c r="E1125" s="30">
        <v>0.87994600000000001</v>
      </c>
      <c r="G1125" s="27">
        <v>38.253680000000003</v>
      </c>
      <c r="I1125" s="29">
        <v>6.9177330000000001</v>
      </c>
      <c r="K1125" s="29">
        <v>3.9010889999999998</v>
      </c>
      <c r="M1125" s="41">
        <v>688.60011399999996</v>
      </c>
      <c r="O1125" s="26">
        <v>3191.2763500000001</v>
      </c>
      <c r="Q1125" s="26">
        <v>5923.2553639999996</v>
      </c>
      <c r="S1125" s="26">
        <v>1518.366634</v>
      </c>
      <c r="U1125" s="29">
        <v>3.3425440000000002</v>
      </c>
      <c r="W1125" s="14">
        <v>32.304099999999998</v>
      </c>
      <c r="Y1125" s="29">
        <v>8.2808050000000009</v>
      </c>
      <c r="AA1125" s="41">
        <v>597.20843400000001</v>
      </c>
      <c r="AC1125" s="27">
        <v>50.285134999999997</v>
      </c>
      <c r="AE1125" s="27">
        <v>1</v>
      </c>
      <c r="AG1125" s="29">
        <v>7.7420119999999999</v>
      </c>
      <c r="AI1125" s="29">
        <v>8.75</v>
      </c>
      <c r="AK1125" s="27">
        <v>24.351956000000001</v>
      </c>
      <c r="AM1125" s="27">
        <v>32.398997999999999</v>
      </c>
      <c r="AO1125" s="29">
        <v>6.762372</v>
      </c>
      <c r="AP1125" s="11"/>
    </row>
    <row r="1126" spans="2:42" hidden="1" outlineLevel="1" x14ac:dyDescent="0.25">
      <c r="B1126" s="21">
        <v>43453</v>
      </c>
      <c r="C1126" s="27">
        <v>20.067675999999999</v>
      </c>
      <c r="E1126" s="30">
        <v>0.877471</v>
      </c>
      <c r="G1126" s="27">
        <v>38.296259999999997</v>
      </c>
      <c r="I1126" s="29">
        <v>6.9196660000000003</v>
      </c>
      <c r="K1126" s="29">
        <v>3.89838</v>
      </c>
      <c r="M1126" s="41">
        <v>689.51480000000004</v>
      </c>
      <c r="O1126" s="26">
        <v>3210.3285569999998</v>
      </c>
      <c r="Q1126" s="26">
        <v>5930.6669730000003</v>
      </c>
      <c r="S1126" s="26">
        <v>1521.323568</v>
      </c>
      <c r="U1126" s="29">
        <v>3.3476889999999999</v>
      </c>
      <c r="W1126" s="14">
        <v>32.281405999999997</v>
      </c>
      <c r="Y1126" s="29">
        <v>8.2807399999999998</v>
      </c>
      <c r="AA1126" s="41">
        <v>597.87170100000003</v>
      </c>
      <c r="AC1126" s="27">
        <v>50.353104000000002</v>
      </c>
      <c r="AE1126" s="27">
        <v>1</v>
      </c>
      <c r="AG1126" s="29">
        <v>7.745266</v>
      </c>
      <c r="AI1126" s="29">
        <v>8.75</v>
      </c>
      <c r="AK1126" s="27">
        <v>24.361249999999998</v>
      </c>
      <c r="AM1126" s="27">
        <v>32.434044999999998</v>
      </c>
      <c r="AO1126" s="29">
        <v>6.7626140000000001</v>
      </c>
      <c r="AP1126" s="11"/>
    </row>
    <row r="1127" spans="2:42" hidden="1" outlineLevel="1" x14ac:dyDescent="0.25">
      <c r="B1127" s="21">
        <v>43454</v>
      </c>
      <c r="C1127" s="27">
        <v>19.966259000000001</v>
      </c>
      <c r="E1127" s="30">
        <v>0.87473699999999999</v>
      </c>
      <c r="G1127" s="27">
        <v>38.219518000000001</v>
      </c>
      <c r="I1127" s="29">
        <v>6.919886</v>
      </c>
      <c r="K1127" s="29">
        <v>3.8712230000000001</v>
      </c>
      <c r="M1127" s="41">
        <v>690.10265400000003</v>
      </c>
      <c r="O1127" s="26">
        <v>3234.7303310000002</v>
      </c>
      <c r="Q1127" s="26">
        <v>5939.2045550000003</v>
      </c>
      <c r="S1127" s="26">
        <v>1534.2026060000001</v>
      </c>
      <c r="U1127" s="29">
        <v>3.3479420000000002</v>
      </c>
      <c r="W1127" s="14">
        <v>32.272655</v>
      </c>
      <c r="Y1127" s="29">
        <v>8.3365720000000003</v>
      </c>
      <c r="AA1127" s="41">
        <v>599.30570999999998</v>
      </c>
      <c r="AC1127" s="27">
        <v>50.382379999999998</v>
      </c>
      <c r="AE1127" s="27">
        <v>1</v>
      </c>
      <c r="AG1127" s="29">
        <v>7.7461029999999997</v>
      </c>
      <c r="AI1127" s="29">
        <v>8.75</v>
      </c>
      <c r="AK1127" s="27">
        <v>24.370837999999999</v>
      </c>
      <c r="AM1127" s="27">
        <v>32.431534999999997</v>
      </c>
      <c r="AO1127" s="29">
        <v>6.7695259999999999</v>
      </c>
      <c r="AP1127" s="11"/>
    </row>
    <row r="1128" spans="2:42" hidden="1" outlineLevel="1" x14ac:dyDescent="0.25">
      <c r="B1128" s="21">
        <v>43455</v>
      </c>
      <c r="C1128" s="27">
        <v>19.920684000000001</v>
      </c>
      <c r="E1128" s="30">
        <v>0.87592800000000004</v>
      </c>
      <c r="G1128" s="27">
        <v>38.022264</v>
      </c>
      <c r="I1128" s="29">
        <v>6.9206279999999998</v>
      </c>
      <c r="K1128" s="29">
        <v>3.8639380000000001</v>
      </c>
      <c r="M1128" s="41">
        <v>692.11268700000005</v>
      </c>
      <c r="O1128" s="26">
        <v>3275.435778</v>
      </c>
      <c r="Q1128" s="26">
        <v>5933.1816559999997</v>
      </c>
      <c r="S1128" s="26">
        <v>1535.5350120000001</v>
      </c>
      <c r="U1128" s="29">
        <v>3.3536980000000001</v>
      </c>
      <c r="W1128" s="14">
        <v>32.275362000000001</v>
      </c>
      <c r="Y1128" s="29">
        <v>8.3529900000000001</v>
      </c>
      <c r="AA1128" s="41">
        <v>600.70513500000004</v>
      </c>
      <c r="AC1128" s="27">
        <v>50.457039999999999</v>
      </c>
      <c r="AE1128" s="27">
        <v>1</v>
      </c>
      <c r="AG1128" s="29">
        <v>7.7416539999999996</v>
      </c>
      <c r="AI1128" s="29">
        <v>8.75</v>
      </c>
      <c r="AK1128" s="27">
        <v>24.366589000000001</v>
      </c>
      <c r="AM1128" s="27">
        <v>32.443435000000001</v>
      </c>
      <c r="AO1128" s="29">
        <v>6.7772019999999999</v>
      </c>
      <c r="AP1128" s="11"/>
    </row>
    <row r="1129" spans="2:42" hidden="1" outlineLevel="1" x14ac:dyDescent="0.25">
      <c r="B1129" s="21">
        <v>43456</v>
      </c>
      <c r="C1129" s="27">
        <v>19.9542</v>
      </c>
      <c r="E1129" s="30">
        <v>0.87945399999999996</v>
      </c>
      <c r="G1129" s="27">
        <v>37.9711</v>
      </c>
      <c r="I1129" s="29">
        <v>6.922275</v>
      </c>
      <c r="K1129" s="29">
        <v>3.8965999999999998</v>
      </c>
      <c r="M1129" s="41">
        <v>693.5</v>
      </c>
      <c r="O1129" s="26">
        <v>3294</v>
      </c>
      <c r="Q1129" s="26">
        <v>5924.2</v>
      </c>
      <c r="S1129" s="26">
        <v>1520.3562240000001</v>
      </c>
      <c r="U1129" s="29">
        <v>3.3595000000000002</v>
      </c>
      <c r="W1129" s="14">
        <v>32.270000000000003</v>
      </c>
      <c r="Y1129" s="29">
        <v>8.2815840000000005</v>
      </c>
      <c r="AA1129" s="41">
        <v>601.4425</v>
      </c>
      <c r="AC1129" s="27">
        <v>50.417499999999997</v>
      </c>
      <c r="AE1129" s="27">
        <v>1</v>
      </c>
      <c r="AG1129" s="29">
        <v>7.7373000000000003</v>
      </c>
      <c r="AI1129" s="29">
        <v>8.75</v>
      </c>
      <c r="AK1129" s="27">
        <v>24.362500000000001</v>
      </c>
      <c r="AM1129" s="27">
        <v>32.42</v>
      </c>
      <c r="AO1129" s="29">
        <v>6.7703749999999996</v>
      </c>
      <c r="AP1129" s="11"/>
    </row>
    <row r="1130" spans="2:42" hidden="1" outlineLevel="1" x14ac:dyDescent="0.25">
      <c r="B1130" s="21">
        <v>43457</v>
      </c>
      <c r="C1130" s="27">
        <v>19.953512</v>
      </c>
      <c r="E1130" s="30">
        <v>0.87946800000000003</v>
      </c>
      <c r="G1130" s="27">
        <v>37.972071</v>
      </c>
      <c r="I1130" s="29">
        <v>6.922275</v>
      </c>
      <c r="K1130" s="29">
        <v>3.8968530000000001</v>
      </c>
      <c r="M1130" s="41">
        <v>693.49123999999995</v>
      </c>
      <c r="O1130" s="26">
        <v>3293.9943010000002</v>
      </c>
      <c r="Q1130" s="26">
        <v>5924.2</v>
      </c>
      <c r="S1130" s="26">
        <v>1520.269362</v>
      </c>
      <c r="U1130" s="29">
        <v>3.3594330000000001</v>
      </c>
      <c r="W1130" s="14">
        <v>32.270000000000003</v>
      </c>
      <c r="Y1130" s="29">
        <v>8.2810649999999999</v>
      </c>
      <c r="AA1130" s="41">
        <v>601.4425</v>
      </c>
      <c r="AC1130" s="27">
        <v>50.417096999999998</v>
      </c>
      <c r="AE1130" s="27">
        <v>1</v>
      </c>
      <c r="AG1130" s="29">
        <v>7.7373000000000003</v>
      </c>
      <c r="AI1130" s="29">
        <v>8.75</v>
      </c>
      <c r="AK1130" s="27">
        <v>24.365407999999999</v>
      </c>
      <c r="AM1130" s="27">
        <v>32.420372</v>
      </c>
      <c r="AO1130" s="29">
        <v>6.7703749999999996</v>
      </c>
      <c r="AP1130" s="11"/>
    </row>
    <row r="1131" spans="2:42" hidden="1" outlineLevel="1" x14ac:dyDescent="0.25">
      <c r="B1131" s="21">
        <v>43458</v>
      </c>
      <c r="C1131" s="27">
        <v>19.887266</v>
      </c>
      <c r="E1131" s="30">
        <v>0.87720799999999999</v>
      </c>
      <c r="G1131" s="27">
        <v>38.017505999999997</v>
      </c>
      <c r="I1131" s="29">
        <v>6.9267180000000002</v>
      </c>
      <c r="K1131" s="29">
        <v>3.9005730000000001</v>
      </c>
      <c r="M1131" s="41">
        <v>692.04967799999997</v>
      </c>
      <c r="O1131" s="26">
        <v>3288.4143669999999</v>
      </c>
      <c r="Q1131" s="26">
        <v>5929.1843140000001</v>
      </c>
      <c r="S1131" s="26">
        <v>1520.0899910000001</v>
      </c>
      <c r="U1131" s="29">
        <v>3.3587259999999999</v>
      </c>
      <c r="W1131" s="14">
        <v>32.310476000000001</v>
      </c>
      <c r="Y1131" s="29">
        <v>8.2835420000000006</v>
      </c>
      <c r="AA1131" s="41">
        <v>600.88382000000001</v>
      </c>
      <c r="AC1131" s="27">
        <v>50.516148000000001</v>
      </c>
      <c r="AE1131" s="27">
        <v>1</v>
      </c>
      <c r="AG1131" s="29">
        <v>7.7451860000000003</v>
      </c>
      <c r="AI1131" s="29">
        <v>8.75</v>
      </c>
      <c r="AK1131" s="27">
        <v>24.381989000000001</v>
      </c>
      <c r="AM1131" s="27">
        <v>32.485598000000003</v>
      </c>
      <c r="AO1131" s="29">
        <v>6.7758419999999999</v>
      </c>
      <c r="AP1131" s="11"/>
    </row>
    <row r="1132" spans="2:42" hidden="1" outlineLevel="1" x14ac:dyDescent="0.25">
      <c r="B1132" s="21">
        <v>43459</v>
      </c>
      <c r="C1132" s="27">
        <v>19.879612000000002</v>
      </c>
      <c r="E1132" s="30">
        <v>0.87672600000000001</v>
      </c>
      <c r="G1132" s="27">
        <v>37.959941999999998</v>
      </c>
      <c r="I1132" s="29">
        <v>6.9198069999999996</v>
      </c>
      <c r="K1132" s="29">
        <v>3.9001480000000002</v>
      </c>
      <c r="M1132" s="41">
        <v>689.56219799999997</v>
      </c>
      <c r="O1132" s="26">
        <v>3293.001792</v>
      </c>
      <c r="Q1132" s="26">
        <v>5916.5545609999999</v>
      </c>
      <c r="S1132" s="26">
        <v>1517.0176200000001</v>
      </c>
      <c r="U1132" s="29">
        <v>3.3563679999999998</v>
      </c>
      <c r="W1132" s="14">
        <v>32.303432000000001</v>
      </c>
      <c r="Y1132" s="29">
        <v>8.2826380000000004</v>
      </c>
      <c r="AA1132" s="41">
        <v>600.28051900000003</v>
      </c>
      <c r="AC1132" s="27">
        <v>50.525350000000003</v>
      </c>
      <c r="AE1132" s="27">
        <v>1</v>
      </c>
      <c r="AG1132" s="29">
        <v>7.7312089999999998</v>
      </c>
      <c r="AI1132" s="29">
        <v>8.75</v>
      </c>
      <c r="AK1132" s="27">
        <v>24.34216</v>
      </c>
      <c r="AM1132" s="27">
        <v>32.374139</v>
      </c>
      <c r="AO1132" s="29">
        <v>6.7683739999999997</v>
      </c>
      <c r="AP1132" s="11"/>
    </row>
    <row r="1133" spans="2:42" hidden="1" outlineLevel="1" x14ac:dyDescent="0.25">
      <c r="B1133" s="21">
        <v>43460</v>
      </c>
      <c r="C1133" s="27">
        <v>19.928846</v>
      </c>
      <c r="E1133" s="30">
        <v>0.87814300000000001</v>
      </c>
      <c r="G1133" s="27">
        <v>38.099038</v>
      </c>
      <c r="I1133" s="29">
        <v>6.921697</v>
      </c>
      <c r="K1133" s="29">
        <v>3.9118499999999998</v>
      </c>
      <c r="M1133" s="41">
        <v>691.54657499999996</v>
      </c>
      <c r="O1133" s="26">
        <v>3291.621044</v>
      </c>
      <c r="Q1133" s="26">
        <v>5925.4589599999999</v>
      </c>
      <c r="S1133" s="26">
        <v>1514.753788</v>
      </c>
      <c r="U1133" s="29">
        <v>3.3615469999999998</v>
      </c>
      <c r="W1133" s="14">
        <v>32.308450000000001</v>
      </c>
      <c r="Y1133" s="29">
        <v>8.2591380000000001</v>
      </c>
      <c r="AA1133" s="41">
        <v>600.581276</v>
      </c>
      <c r="AC1133" s="27">
        <v>50.519038000000002</v>
      </c>
      <c r="AE1133" s="27">
        <v>1</v>
      </c>
      <c r="AG1133" s="29">
        <v>7.7333080000000001</v>
      </c>
      <c r="AI1133" s="29">
        <v>8.75</v>
      </c>
      <c r="AK1133" s="27">
        <v>24.358605000000001</v>
      </c>
      <c r="AM1133" s="27">
        <v>32.416449999999998</v>
      </c>
      <c r="AO1133" s="29">
        <v>6.7692819999999996</v>
      </c>
      <c r="AP1133" s="11"/>
    </row>
    <row r="1134" spans="2:42" hidden="1" outlineLevel="1" x14ac:dyDescent="0.25">
      <c r="B1134" s="21">
        <v>43461</v>
      </c>
      <c r="C1134" s="27">
        <v>19.817810000000001</v>
      </c>
      <c r="E1134" s="30">
        <v>0.87694899999999998</v>
      </c>
      <c r="G1134" s="27">
        <v>38.352246999999998</v>
      </c>
      <c r="I1134" s="29">
        <v>6.9204660000000002</v>
      </c>
      <c r="K1134" s="29">
        <v>3.9103330000000001</v>
      </c>
      <c r="M1134" s="41">
        <v>695.20689600000003</v>
      </c>
      <c r="O1134" s="26">
        <v>3284.0567040000001</v>
      </c>
      <c r="Q1134" s="26">
        <v>5949.6733169999998</v>
      </c>
      <c r="S1134" s="26">
        <v>1521.533058</v>
      </c>
      <c r="U1134" s="29">
        <v>3.3717229999999998</v>
      </c>
      <c r="W1134" s="14">
        <v>32.310600000000001</v>
      </c>
      <c r="Y1134" s="29">
        <v>8.2628909999999998</v>
      </c>
      <c r="AA1134" s="41">
        <v>602.29010200000005</v>
      </c>
      <c r="AC1134" s="27">
        <v>50.476458000000001</v>
      </c>
      <c r="AE1134" s="27">
        <v>1</v>
      </c>
      <c r="AG1134" s="29">
        <v>7.7394319999999999</v>
      </c>
      <c r="AI1134" s="29">
        <v>8.75</v>
      </c>
      <c r="AK1134" s="27">
        <v>24.380758</v>
      </c>
      <c r="AM1134" s="27">
        <v>32.541243999999999</v>
      </c>
      <c r="AO1134" s="29">
        <v>6.7711139999999999</v>
      </c>
      <c r="AP1134" s="11"/>
    </row>
    <row r="1135" spans="2:42" hidden="1" outlineLevel="1" x14ac:dyDescent="0.25">
      <c r="B1135" s="21">
        <v>43462</v>
      </c>
      <c r="C1135" s="27">
        <v>19.6752</v>
      </c>
      <c r="E1135" s="30">
        <v>0.87333799999999995</v>
      </c>
      <c r="G1135" s="27">
        <v>38.060307000000002</v>
      </c>
      <c r="I1135" s="29">
        <v>6.9139900000000001</v>
      </c>
      <c r="K1135" s="29">
        <v>3.8746450000000001</v>
      </c>
      <c r="M1135" s="41">
        <v>695.56376399999999</v>
      </c>
      <c r="O1135" s="26">
        <v>3265.1119290000001</v>
      </c>
      <c r="Q1135" s="26">
        <v>5964.1285619999999</v>
      </c>
      <c r="S1135" s="26">
        <v>1539.2788559999999</v>
      </c>
      <c r="U1135" s="29">
        <v>3.3681679999999998</v>
      </c>
      <c r="W1135" s="14">
        <v>32.308466000000003</v>
      </c>
      <c r="Y1135" s="29">
        <v>8.3384479999999996</v>
      </c>
      <c r="AA1135" s="41">
        <v>602.98316799999998</v>
      </c>
      <c r="AC1135" s="27">
        <v>50.401865000000001</v>
      </c>
      <c r="AE1135" s="27">
        <v>1</v>
      </c>
      <c r="AG1135" s="29">
        <v>7.7276550000000004</v>
      </c>
      <c r="AI1135" s="29">
        <v>8.75</v>
      </c>
      <c r="AK1135" s="27">
        <v>24.333148000000001</v>
      </c>
      <c r="AM1135" s="27">
        <v>32.423222000000003</v>
      </c>
      <c r="AO1135" s="29">
        <v>6.7770149999999996</v>
      </c>
      <c r="AP1135" s="11"/>
    </row>
    <row r="1136" spans="2:42" hidden="1" outlineLevel="1" x14ac:dyDescent="0.25">
      <c r="B1136" s="21">
        <v>43463</v>
      </c>
      <c r="C1136" s="27">
        <v>19.657029999999999</v>
      </c>
      <c r="E1136" s="30">
        <v>0.87389700000000003</v>
      </c>
      <c r="G1136" s="27">
        <v>37.685499999999998</v>
      </c>
      <c r="I1136" s="29">
        <v>6.9180250000000001</v>
      </c>
      <c r="K1136" s="29">
        <v>3.8815249999999999</v>
      </c>
      <c r="M1136" s="41">
        <v>694</v>
      </c>
      <c r="O1136" s="26">
        <v>3247.5</v>
      </c>
      <c r="Q1136" s="26">
        <v>5983.8</v>
      </c>
      <c r="S1136" s="26">
        <v>1541.6195499999999</v>
      </c>
      <c r="U1136" s="29">
        <v>3.3689749999999998</v>
      </c>
      <c r="W1136" s="14">
        <v>32.36</v>
      </c>
      <c r="Y1136" s="29">
        <v>8.3369400000000002</v>
      </c>
      <c r="AA1136" s="41">
        <v>604.64750000000004</v>
      </c>
      <c r="AC1136" s="27">
        <v>50.397500000000001</v>
      </c>
      <c r="AE1136" s="27">
        <v>1</v>
      </c>
      <c r="AG1136" s="29">
        <v>7.7368750000000004</v>
      </c>
      <c r="AI1136" s="29">
        <v>8.75</v>
      </c>
      <c r="AK1136" s="27">
        <v>24.357500000000002</v>
      </c>
      <c r="AM1136" s="27">
        <v>32.609749999999998</v>
      </c>
      <c r="AO1136" s="29">
        <v>6.792675</v>
      </c>
      <c r="AP1136" s="11"/>
    </row>
    <row r="1137" spans="2:42" hidden="1" outlineLevel="1" x14ac:dyDescent="0.25">
      <c r="B1137" s="21">
        <v>43464</v>
      </c>
      <c r="C1137" s="27">
        <v>19.656753999999999</v>
      </c>
      <c r="E1137" s="30">
        <v>0.87392400000000003</v>
      </c>
      <c r="G1137" s="27">
        <v>37.686557999999998</v>
      </c>
      <c r="I1137" s="29">
        <v>6.9180250000000001</v>
      </c>
      <c r="K1137" s="29">
        <v>3.8809339999999999</v>
      </c>
      <c r="M1137" s="41">
        <v>693.99741900000004</v>
      </c>
      <c r="O1137" s="26">
        <v>3247.4967040000001</v>
      </c>
      <c r="Q1137" s="26">
        <v>5983.8</v>
      </c>
      <c r="S1137" s="26">
        <v>1541.8541250000001</v>
      </c>
      <c r="U1137" s="29">
        <v>3.3688020000000001</v>
      </c>
      <c r="W1137" s="14">
        <v>32.36</v>
      </c>
      <c r="Y1137" s="29">
        <v>8.3382100000000001</v>
      </c>
      <c r="AA1137" s="41">
        <v>604.64750000000004</v>
      </c>
      <c r="AC1137" s="27">
        <v>50.400820000000003</v>
      </c>
      <c r="AE1137" s="27">
        <v>1</v>
      </c>
      <c r="AG1137" s="29">
        <v>7.7368750000000004</v>
      </c>
      <c r="AI1137" s="29">
        <v>8.75</v>
      </c>
      <c r="AK1137" s="27">
        <v>24.360066</v>
      </c>
      <c r="AM1137" s="27">
        <v>32.609749999999998</v>
      </c>
      <c r="AO1137" s="29">
        <v>6.792675</v>
      </c>
      <c r="AP1137" s="11"/>
    </row>
    <row r="1138" spans="2:42" hidden="1" outlineLevel="1" x14ac:dyDescent="0.25">
      <c r="B1138" s="21">
        <v>43465</v>
      </c>
      <c r="C1138" s="49">
        <v>19.656600000000001</v>
      </c>
      <c r="E1138" s="30">
        <v>0.87375100000000006</v>
      </c>
      <c r="G1138" s="27">
        <v>37.674694000000002</v>
      </c>
      <c r="I1138" s="29">
        <v>6.9235850000000001</v>
      </c>
      <c r="K1138" s="29">
        <v>3.8796940000000002</v>
      </c>
      <c r="M1138" s="41">
        <v>693.91635599999995</v>
      </c>
      <c r="O1138" s="26">
        <v>3247.0855179999999</v>
      </c>
      <c r="Q1138" s="26">
        <v>5978.1540000000005</v>
      </c>
      <c r="S1138" s="26">
        <v>1540.8925819999999</v>
      </c>
      <c r="U1138" s="29">
        <v>3.3769520000000002</v>
      </c>
      <c r="W1138" s="14">
        <v>32.398262000000003</v>
      </c>
      <c r="Y1138" s="29">
        <v>8.3507479999999994</v>
      </c>
      <c r="AA1138" s="41">
        <v>605.61749599999996</v>
      </c>
      <c r="AC1138" s="27">
        <v>50.460262</v>
      </c>
      <c r="AE1138" s="27">
        <v>1</v>
      </c>
      <c r="AG1138" s="29">
        <v>7.7383319999999998</v>
      </c>
      <c r="AI1138" s="29">
        <v>8.75</v>
      </c>
      <c r="AK1138" s="27">
        <v>24.358532</v>
      </c>
      <c r="AM1138" s="27">
        <v>32.506320000000002</v>
      </c>
      <c r="AO1138" s="29">
        <v>6.7967680000000001</v>
      </c>
      <c r="AP1138" s="11"/>
    </row>
    <row r="1139" spans="2:42" ht="13" collapsed="1" x14ac:dyDescent="0.3">
      <c r="B1139" s="25" t="s">
        <v>174</v>
      </c>
      <c r="C1139" s="19">
        <v>20.099699999999999</v>
      </c>
      <c r="E1139" s="24">
        <v>0.87906200000000001</v>
      </c>
      <c r="G1139" s="19">
        <v>37.817900000000002</v>
      </c>
      <c r="I1139" s="23">
        <v>6.9204100000000004</v>
      </c>
      <c r="J1139" s="9"/>
      <c r="K1139" s="23">
        <v>3.8889399999999998</v>
      </c>
      <c r="M1139" s="42">
        <v>683.89099999999996</v>
      </c>
      <c r="O1139" s="31">
        <v>3219.99</v>
      </c>
      <c r="Q1139" s="31">
        <v>5934.14</v>
      </c>
      <c r="S1139" s="31">
        <v>1525.96</v>
      </c>
      <c r="U1139" s="23">
        <v>3.3639899999999998</v>
      </c>
      <c r="W1139" s="23">
        <v>32.220219999999998</v>
      </c>
      <c r="Y1139" s="23">
        <v>8.2853399999999997</v>
      </c>
      <c r="AA1139" s="42">
        <v>599.85500000000002</v>
      </c>
      <c r="AC1139" s="19">
        <v>50.345300000000002</v>
      </c>
      <c r="AE1139" s="19">
        <v>1</v>
      </c>
      <c r="AG1139" s="23">
        <v>7.7295400000000001</v>
      </c>
      <c r="AI1139" s="23">
        <v>8.75</v>
      </c>
      <c r="AK1139" s="23">
        <v>24.355360000000001</v>
      </c>
      <c r="AM1139" s="23">
        <v>32.424469999999999</v>
      </c>
      <c r="AO1139" s="23">
        <v>6.7626400000000002</v>
      </c>
      <c r="AP1139" s="10"/>
    </row>
    <row r="1140" spans="2:42" hidden="1" outlineLevel="1" x14ac:dyDescent="0.25">
      <c r="B1140" s="21">
        <v>43466</v>
      </c>
      <c r="C1140" s="27">
        <v>19.646832</v>
      </c>
      <c r="E1140" s="30">
        <v>0.87220600000000004</v>
      </c>
      <c r="G1140" s="27">
        <v>37.563713999999997</v>
      </c>
      <c r="I1140" s="29">
        <v>6.9210599999999998</v>
      </c>
      <c r="K1140" s="29">
        <v>3.8790079999999998</v>
      </c>
      <c r="M1140" s="41">
        <v>693.99746100000004</v>
      </c>
      <c r="O1140" s="26">
        <v>3245.3045299999999</v>
      </c>
      <c r="Q1140" s="26">
        <v>5960.2641960000001</v>
      </c>
      <c r="S1140" s="26">
        <v>1536.5549980000001</v>
      </c>
      <c r="U1140" s="29">
        <v>3.369685</v>
      </c>
      <c r="W1140" s="14">
        <v>32.404867000000003</v>
      </c>
      <c r="Y1140" s="29">
        <v>8.3539309999999993</v>
      </c>
      <c r="AA1140" s="41">
        <v>605.29683599999998</v>
      </c>
      <c r="AC1140" s="27">
        <v>50.491771999999997</v>
      </c>
      <c r="AE1140" s="27">
        <v>1</v>
      </c>
      <c r="AG1140" s="29">
        <v>7.7235279999999999</v>
      </c>
      <c r="AI1140" s="29">
        <v>8.75</v>
      </c>
      <c r="AK1140" s="27">
        <v>24.312864000000001</v>
      </c>
      <c r="AM1140" s="27">
        <v>32.363379999999999</v>
      </c>
      <c r="AO1140" s="29">
        <v>6.7942450000000001</v>
      </c>
      <c r="AP1140" s="28"/>
    </row>
    <row r="1141" spans="2:42" hidden="1" outlineLevel="1" x14ac:dyDescent="0.25">
      <c r="B1141" s="21">
        <v>43467</v>
      </c>
      <c r="C1141" s="27">
        <v>19.624255999999999</v>
      </c>
      <c r="E1141" s="30">
        <v>0.87688200000000005</v>
      </c>
      <c r="G1141" s="27">
        <v>37.754522999999999</v>
      </c>
      <c r="I1141" s="29">
        <v>6.921754</v>
      </c>
      <c r="K1141" s="29">
        <v>3.8487740000000001</v>
      </c>
      <c r="M1141" s="41">
        <v>695.62751000000003</v>
      </c>
      <c r="O1141" s="26">
        <v>3244.956471</v>
      </c>
      <c r="Q1141" s="26">
        <v>5965.129997</v>
      </c>
      <c r="S1141" s="26">
        <v>1549.886569</v>
      </c>
      <c r="U1141" s="29">
        <v>3.3706909999999999</v>
      </c>
      <c r="W1141" s="14">
        <v>32.425828000000003</v>
      </c>
      <c r="Y1141" s="29">
        <v>8.4249919999999996</v>
      </c>
      <c r="AA1141" s="41">
        <v>606.07765400000005</v>
      </c>
      <c r="AC1141" s="27">
        <v>50.434446000000001</v>
      </c>
      <c r="AE1141" s="27">
        <v>1</v>
      </c>
      <c r="AG1141" s="29">
        <v>7.731395</v>
      </c>
      <c r="AI1141" s="29">
        <v>8.75</v>
      </c>
      <c r="AK1141" s="27">
        <v>24.350425999999999</v>
      </c>
      <c r="AM1141" s="27">
        <v>32.436706000000001</v>
      </c>
      <c r="AO1141" s="29">
        <v>6.7964039999999999</v>
      </c>
      <c r="AP1141" s="28"/>
    </row>
    <row r="1142" spans="2:42" hidden="1" outlineLevel="1" x14ac:dyDescent="0.25">
      <c r="B1142" s="21">
        <v>43468</v>
      </c>
      <c r="C1142" s="27">
        <v>19.619696000000001</v>
      </c>
      <c r="E1142" s="30">
        <v>0.87917199999999995</v>
      </c>
      <c r="G1142" s="27">
        <v>37.644798000000002</v>
      </c>
      <c r="I1142" s="29">
        <v>6.9336440000000001</v>
      </c>
      <c r="K1142" s="29">
        <v>3.7749000000000001</v>
      </c>
      <c r="M1142" s="41">
        <v>696.25315799999998</v>
      </c>
      <c r="O1142" s="26">
        <v>3246.5159239999998</v>
      </c>
      <c r="Q1142" s="26">
        <v>5983.2738849999996</v>
      </c>
      <c r="S1142" s="26">
        <v>1585.023132</v>
      </c>
      <c r="U1142" s="29">
        <v>3.3723800000000002</v>
      </c>
      <c r="W1142" s="14">
        <v>32.502983999999998</v>
      </c>
      <c r="Y1142" s="29">
        <v>8.6103070000000006</v>
      </c>
      <c r="AA1142" s="41">
        <v>607.42498399999999</v>
      </c>
      <c r="AC1142" s="27">
        <v>50.518771999999998</v>
      </c>
      <c r="AE1142" s="27">
        <v>1</v>
      </c>
      <c r="AG1142" s="29">
        <v>7.7458260000000001</v>
      </c>
      <c r="AI1142" s="29">
        <v>8.75</v>
      </c>
      <c r="AK1142" s="27">
        <v>24.418009999999999</v>
      </c>
      <c r="AM1142" s="27">
        <v>32.524211000000001</v>
      </c>
      <c r="AO1142" s="29">
        <v>6.7990659999999998</v>
      </c>
      <c r="AP1142" s="28"/>
    </row>
    <row r="1143" spans="2:42" hidden="1" outlineLevel="1" x14ac:dyDescent="0.25">
      <c r="B1143" s="21">
        <v>43469</v>
      </c>
      <c r="C1143" s="27">
        <v>19.547847999999998</v>
      </c>
      <c r="E1143" s="30">
        <v>0.87734800000000002</v>
      </c>
      <c r="G1143" s="27">
        <v>37.408045999999999</v>
      </c>
      <c r="I1143" s="29">
        <v>6.9124340000000002</v>
      </c>
      <c r="K1143" s="29">
        <v>3.743474</v>
      </c>
      <c r="M1143" s="41">
        <v>688.661742</v>
      </c>
      <c r="O1143" s="26">
        <v>3220.5161680000001</v>
      </c>
      <c r="Q1143" s="26">
        <v>5982.7265459999999</v>
      </c>
      <c r="S1143" s="26">
        <v>1598.182718</v>
      </c>
      <c r="U1143" s="29">
        <v>3.357237</v>
      </c>
      <c r="W1143" s="14">
        <v>32.422142000000001</v>
      </c>
      <c r="Y1143" s="29">
        <v>8.6609949999999998</v>
      </c>
      <c r="AA1143" s="41">
        <v>605.14809000000002</v>
      </c>
      <c r="AC1143" s="27">
        <v>50.414197999999999</v>
      </c>
      <c r="AE1143" s="27">
        <v>1</v>
      </c>
      <c r="AG1143" s="29">
        <v>7.7208379999999996</v>
      </c>
      <c r="AI1143" s="29">
        <v>8.75</v>
      </c>
      <c r="AK1143" s="27">
        <v>24.343098999999999</v>
      </c>
      <c r="AM1143" s="27">
        <v>32.372793999999999</v>
      </c>
      <c r="AO1143" s="29">
        <v>6.7678219999999998</v>
      </c>
      <c r="AP1143" s="28"/>
    </row>
    <row r="1144" spans="2:42" hidden="1" outlineLevel="1" x14ac:dyDescent="0.25">
      <c r="B1144" s="21">
        <v>43470</v>
      </c>
      <c r="C1144" s="27">
        <v>19.422989999999999</v>
      </c>
      <c r="E1144" s="30">
        <v>0.87759799999999999</v>
      </c>
      <c r="G1144" s="27">
        <v>37.34975</v>
      </c>
      <c r="I1144" s="29">
        <v>6.9181249999999999</v>
      </c>
      <c r="K1144" s="29">
        <v>3.7147999999999999</v>
      </c>
      <c r="M1144" s="41">
        <v>681.20249999999999</v>
      </c>
      <c r="O1144" s="26">
        <v>3193.1750000000002</v>
      </c>
      <c r="Q1144" s="26">
        <v>6000.0749999999998</v>
      </c>
      <c r="S1144" s="26">
        <v>1615.1930870000001</v>
      </c>
      <c r="U1144" s="29">
        <v>3.3482500000000002</v>
      </c>
      <c r="W1144" s="14">
        <v>32.477499999999999</v>
      </c>
      <c r="Y1144" s="29">
        <v>8.7427469999999996</v>
      </c>
      <c r="AA1144" s="41">
        <v>605.81500000000005</v>
      </c>
      <c r="AC1144" s="27">
        <v>50.427500000000002</v>
      </c>
      <c r="AE1144" s="27">
        <v>1</v>
      </c>
      <c r="AG1144" s="29">
        <v>7.7290999999999999</v>
      </c>
      <c r="AI1144" s="29">
        <v>8.75</v>
      </c>
      <c r="AK1144" s="27">
        <v>24.390499999999999</v>
      </c>
      <c r="AM1144" s="27">
        <v>32.449750000000002</v>
      </c>
      <c r="AO1144" s="29">
        <v>6.7807750000000002</v>
      </c>
      <c r="AP1144" s="28"/>
    </row>
    <row r="1145" spans="2:42" hidden="1" outlineLevel="1" x14ac:dyDescent="0.25">
      <c r="B1145" s="21">
        <v>43471</v>
      </c>
      <c r="C1145" s="27">
        <v>19.421268999999999</v>
      </c>
      <c r="E1145" s="30">
        <v>0.87752799999999997</v>
      </c>
      <c r="G1145" s="27">
        <v>37.347904</v>
      </c>
      <c r="I1145" s="29">
        <v>6.9181249999999999</v>
      </c>
      <c r="K1145" s="29">
        <v>3.7148080000000001</v>
      </c>
      <c r="M1145" s="41">
        <v>681.21380199999999</v>
      </c>
      <c r="O1145" s="26">
        <v>3193.1878689999999</v>
      </c>
      <c r="Q1145" s="26">
        <v>6000.0749999999998</v>
      </c>
      <c r="S1145" s="26">
        <v>1615.2005939999999</v>
      </c>
      <c r="U1145" s="29">
        <v>3.3485290000000001</v>
      </c>
      <c r="W1145" s="14">
        <v>32.477499999999999</v>
      </c>
      <c r="Y1145" s="29">
        <v>8.7427460000000004</v>
      </c>
      <c r="AA1145" s="41">
        <v>605.81732899999997</v>
      </c>
      <c r="AC1145" s="27">
        <v>50.430565999999999</v>
      </c>
      <c r="AE1145" s="27">
        <v>1</v>
      </c>
      <c r="AG1145" s="29">
        <v>7.7290999999999999</v>
      </c>
      <c r="AI1145" s="29">
        <v>8.75</v>
      </c>
      <c r="AK1145" s="27">
        <v>24.391373000000002</v>
      </c>
      <c r="AM1145" s="27">
        <v>32.449750000000002</v>
      </c>
      <c r="AO1145" s="29">
        <v>6.7807750000000002</v>
      </c>
      <c r="AP1145" s="28"/>
    </row>
    <row r="1146" spans="2:42" hidden="1" outlineLevel="1" x14ac:dyDescent="0.25">
      <c r="B1146" s="21">
        <v>43472</v>
      </c>
      <c r="C1146" s="27">
        <v>19.380004</v>
      </c>
      <c r="E1146" s="30">
        <v>0.87362399999999996</v>
      </c>
      <c r="G1146" s="27">
        <v>37.357030000000002</v>
      </c>
      <c r="I1146" s="29">
        <v>6.9172719999999996</v>
      </c>
      <c r="K1146" s="29">
        <v>3.7181980000000001</v>
      </c>
      <c r="M1146" s="41">
        <v>681.12775199999999</v>
      </c>
      <c r="O1146" s="26">
        <v>3198.3491250000002</v>
      </c>
      <c r="Q1146" s="26">
        <v>6005.6602359999997</v>
      </c>
      <c r="S1146" s="26">
        <v>1615.2147560000001</v>
      </c>
      <c r="U1146" s="29">
        <v>3.3508969999999998</v>
      </c>
      <c r="W1146" s="14">
        <v>32.484541</v>
      </c>
      <c r="Y1146" s="29">
        <v>8.7366519999999994</v>
      </c>
      <c r="AA1146" s="41">
        <v>605.81476199999997</v>
      </c>
      <c r="AC1146" s="27">
        <v>50.412866000000001</v>
      </c>
      <c r="AE1146" s="27">
        <v>1</v>
      </c>
      <c r="AG1146" s="29">
        <v>7.7278929999999999</v>
      </c>
      <c r="AI1146" s="29">
        <v>8.75</v>
      </c>
      <c r="AK1146" s="27">
        <v>24.382569</v>
      </c>
      <c r="AM1146" s="27">
        <v>32.440232000000002</v>
      </c>
      <c r="AO1146" s="29">
        <v>6.7820340000000003</v>
      </c>
      <c r="AP1146" s="28"/>
    </row>
    <row r="1147" spans="2:42" hidden="1" outlineLevel="1" x14ac:dyDescent="0.25">
      <c r="B1147" s="21">
        <v>43473</v>
      </c>
      <c r="C1147" s="27">
        <v>19.368648</v>
      </c>
      <c r="E1147" s="30">
        <v>0.87365199999999998</v>
      </c>
      <c r="G1147" s="27">
        <v>37.381124999999997</v>
      </c>
      <c r="I1147" s="29">
        <v>6.9158289999999996</v>
      </c>
      <c r="K1147" s="29">
        <v>3.7256119999999999</v>
      </c>
      <c r="M1147" s="41">
        <v>680.77178100000003</v>
      </c>
      <c r="O1147" s="26">
        <v>3171.4697369999999</v>
      </c>
      <c r="Q1147" s="26">
        <v>6001.8833160000004</v>
      </c>
      <c r="S1147" s="26">
        <v>1610.9864540000001</v>
      </c>
      <c r="U1147" s="29">
        <v>3.3464239999999998</v>
      </c>
      <c r="W1147" s="14">
        <v>32.505603000000001</v>
      </c>
      <c r="Y1147" s="29">
        <v>8.7249160000000003</v>
      </c>
      <c r="AA1147" s="41">
        <v>605.062636</v>
      </c>
      <c r="AC1147" s="27">
        <v>50.406056</v>
      </c>
      <c r="AE1147" s="27">
        <v>1</v>
      </c>
      <c r="AG1147" s="29">
        <v>7.7234360000000004</v>
      </c>
      <c r="AI1147" s="29">
        <v>8.75</v>
      </c>
      <c r="AK1147" s="27">
        <v>24.364103</v>
      </c>
      <c r="AM1147" s="27">
        <v>32.421399999999998</v>
      </c>
      <c r="AO1147" s="29">
        <v>6.7688800000000002</v>
      </c>
      <c r="AP1147" s="28"/>
    </row>
    <row r="1148" spans="2:42" hidden="1" outlineLevel="1" x14ac:dyDescent="0.25">
      <c r="B1148" s="21">
        <v>43474</v>
      </c>
      <c r="C1148" s="27">
        <v>19.289745</v>
      </c>
      <c r="E1148" s="30">
        <v>0.87037699999999996</v>
      </c>
      <c r="G1148" s="27">
        <v>37.485858</v>
      </c>
      <c r="I1148" s="29">
        <v>6.9187849999999997</v>
      </c>
      <c r="K1148" s="29">
        <v>3.6997209999999998</v>
      </c>
      <c r="M1148" s="41">
        <v>678.67727200000002</v>
      </c>
      <c r="O1148" s="26">
        <v>3143.800514</v>
      </c>
      <c r="Q1148" s="26">
        <v>6000.0883359999998</v>
      </c>
      <c r="S1148" s="26">
        <v>1621.7757059999999</v>
      </c>
      <c r="U1148" s="29">
        <v>3.3394379999999999</v>
      </c>
      <c r="W1148" s="14">
        <v>32.538198999999999</v>
      </c>
      <c r="Y1148" s="29">
        <v>8.7947880000000005</v>
      </c>
      <c r="AA1148" s="41">
        <v>607.16647999999998</v>
      </c>
      <c r="AC1148" s="27">
        <v>50.463251999999997</v>
      </c>
      <c r="AE1148" s="27">
        <v>1</v>
      </c>
      <c r="AG1148" s="29">
        <v>7.7287160000000004</v>
      </c>
      <c r="AI1148" s="29">
        <v>8.75</v>
      </c>
      <c r="AK1148" s="27">
        <v>24.369993999999998</v>
      </c>
      <c r="AM1148" s="27">
        <v>32.485661</v>
      </c>
      <c r="AO1148" s="29">
        <v>6.7516829999999999</v>
      </c>
      <c r="AP1148" s="28"/>
    </row>
    <row r="1149" spans="2:42" hidden="1" outlineLevel="1" x14ac:dyDescent="0.25">
      <c r="B1149" s="21">
        <v>43475</v>
      </c>
      <c r="C1149" s="27">
        <v>19.204038000000001</v>
      </c>
      <c r="E1149" s="30">
        <v>0.86730499999999999</v>
      </c>
      <c r="G1149" s="27">
        <v>37.315542000000001</v>
      </c>
      <c r="I1149" s="29">
        <v>6.9038959999999996</v>
      </c>
      <c r="K1149" s="29">
        <v>3.6916500000000001</v>
      </c>
      <c r="M1149" s="41">
        <v>676.35787000000005</v>
      </c>
      <c r="O1149" s="26">
        <v>3134.0223999999998</v>
      </c>
      <c r="Q1149" s="26">
        <v>5981.781602</v>
      </c>
      <c r="S1149" s="26">
        <v>1620.363282</v>
      </c>
      <c r="U1149" s="29">
        <v>3.3364500000000001</v>
      </c>
      <c r="W1149" s="14">
        <v>32.497247999999999</v>
      </c>
      <c r="Y1149" s="29">
        <v>8.8029259999999994</v>
      </c>
      <c r="AA1149" s="41">
        <v>606.32879000000003</v>
      </c>
      <c r="AC1149" s="27">
        <v>50.198495000000001</v>
      </c>
      <c r="AE1149" s="27">
        <v>1</v>
      </c>
      <c r="AG1149" s="29">
        <v>7.7122960000000003</v>
      </c>
      <c r="AI1149" s="29">
        <v>8.75</v>
      </c>
      <c r="AK1149" s="27">
        <v>24.313976</v>
      </c>
      <c r="AM1149" s="27">
        <v>32.419966000000002</v>
      </c>
      <c r="AO1149" s="29">
        <v>6.7419650000000004</v>
      </c>
      <c r="AP1149" s="28"/>
    </row>
    <row r="1150" spans="2:42" hidden="1" outlineLevel="1" x14ac:dyDescent="0.25">
      <c r="B1150" s="21">
        <v>43476</v>
      </c>
      <c r="C1150" s="27">
        <v>19.119008000000001</v>
      </c>
      <c r="E1150" s="30">
        <v>0.86939699999999998</v>
      </c>
      <c r="G1150" s="27">
        <v>37.191113999999999</v>
      </c>
      <c r="I1150" s="29">
        <v>6.9174759999999997</v>
      </c>
      <c r="K1150" s="29">
        <v>3.7110789999999998</v>
      </c>
      <c r="M1150" s="41">
        <v>675.32278399999996</v>
      </c>
      <c r="O1150" s="26">
        <v>3140.0763480000001</v>
      </c>
      <c r="Q1150" s="26">
        <v>6019.0670920000002</v>
      </c>
      <c r="S1150" s="26">
        <v>1621.9286340000001</v>
      </c>
      <c r="U1150" s="29">
        <v>3.3422879999999999</v>
      </c>
      <c r="W1150" s="14">
        <v>32.638254000000003</v>
      </c>
      <c r="Y1150" s="29">
        <v>8.7948360000000001</v>
      </c>
      <c r="AA1150" s="41">
        <v>607.34238800000003</v>
      </c>
      <c r="AC1150" s="27">
        <v>50.286417999999998</v>
      </c>
      <c r="AE1150" s="27">
        <v>1</v>
      </c>
      <c r="AG1150" s="29">
        <v>7.7303430000000004</v>
      </c>
      <c r="AI1150" s="29">
        <v>8.75</v>
      </c>
      <c r="AK1150" s="27">
        <v>24.370443999999999</v>
      </c>
      <c r="AM1150" s="27">
        <v>32.513440000000003</v>
      </c>
      <c r="AO1150" s="29">
        <v>6.7627790000000001</v>
      </c>
      <c r="AP1150" s="28"/>
    </row>
    <row r="1151" spans="2:42" hidden="1" outlineLevel="1" x14ac:dyDescent="0.25">
      <c r="B1151" s="21">
        <v>43477</v>
      </c>
      <c r="C1151" s="27">
        <v>19.133790000000001</v>
      </c>
      <c r="E1151" s="30">
        <v>0.87214400000000003</v>
      </c>
      <c r="G1151" s="27">
        <v>36.904249999999998</v>
      </c>
      <c r="I1151" s="29">
        <v>6.9170749999999996</v>
      </c>
      <c r="K1151" s="29">
        <v>3.7112750000000001</v>
      </c>
      <c r="M1151" s="41">
        <v>674.87750000000005</v>
      </c>
      <c r="O1151" s="26">
        <v>3139.1750000000002</v>
      </c>
      <c r="Q1151" s="26">
        <v>6024.7250000000004</v>
      </c>
      <c r="S1151" s="26">
        <v>1623.3686359999999</v>
      </c>
      <c r="U1151" s="29">
        <v>3.3420999999999998</v>
      </c>
      <c r="W1151" s="14">
        <v>32.6875</v>
      </c>
      <c r="Y1151" s="29">
        <v>8.8076340000000002</v>
      </c>
      <c r="AA1151" s="41">
        <v>606.84500000000003</v>
      </c>
      <c r="AC1151" s="27">
        <v>50.457500000000003</v>
      </c>
      <c r="AE1151" s="27">
        <v>1</v>
      </c>
      <c r="AG1151" s="29">
        <v>7.7279</v>
      </c>
      <c r="AI1151" s="29">
        <v>8.75</v>
      </c>
      <c r="AK1151" s="27">
        <v>24.364000000000001</v>
      </c>
      <c r="AM1151" s="27">
        <v>32.507750000000001</v>
      </c>
      <c r="AO1151" s="29">
        <v>6.7611249999999998</v>
      </c>
      <c r="AP1151" s="28"/>
    </row>
    <row r="1152" spans="2:42" hidden="1" outlineLevel="1" x14ac:dyDescent="0.25">
      <c r="B1152" s="21">
        <v>43478</v>
      </c>
      <c r="C1152" s="27">
        <v>19.134204</v>
      </c>
      <c r="E1152" s="30">
        <v>0.87216700000000003</v>
      </c>
      <c r="G1152" s="27">
        <v>36.905828999999997</v>
      </c>
      <c r="I1152" s="29">
        <v>6.9170749999999996</v>
      </c>
      <c r="K1152" s="29">
        <v>3.711284</v>
      </c>
      <c r="M1152" s="41">
        <v>674.87736199999995</v>
      </c>
      <c r="O1152" s="26">
        <v>3139.1495450000002</v>
      </c>
      <c r="Q1152" s="26">
        <v>6024.7250000000004</v>
      </c>
      <c r="S1152" s="26">
        <v>1623.3750259999999</v>
      </c>
      <c r="U1152" s="29">
        <v>3.3418839999999999</v>
      </c>
      <c r="W1152" s="14">
        <v>32.6875</v>
      </c>
      <c r="Y1152" s="29">
        <v>8.8076299999999996</v>
      </c>
      <c r="AA1152" s="41">
        <v>606.84527100000003</v>
      </c>
      <c r="AC1152" s="27">
        <v>50.459654999999998</v>
      </c>
      <c r="AE1152" s="27">
        <v>1</v>
      </c>
      <c r="AG1152" s="29">
        <v>7.7279</v>
      </c>
      <c r="AI1152" s="29">
        <v>8.75</v>
      </c>
      <c r="AK1152" s="27">
        <v>24.366394</v>
      </c>
      <c r="AM1152" s="27">
        <v>32.507750000000001</v>
      </c>
      <c r="AO1152" s="29">
        <v>6.7611249999999998</v>
      </c>
      <c r="AP1152" s="28"/>
    </row>
    <row r="1153" spans="2:42" hidden="1" outlineLevel="1" x14ac:dyDescent="0.25">
      <c r="B1153" s="21">
        <v>43479</v>
      </c>
      <c r="C1153" s="27">
        <v>19.099246000000001</v>
      </c>
      <c r="E1153" s="30">
        <v>0.87190699999999999</v>
      </c>
      <c r="G1153" s="27">
        <v>36.961703999999997</v>
      </c>
      <c r="I1153" s="29">
        <v>6.9247160000000001</v>
      </c>
      <c r="K1153" s="29">
        <v>3.7097799999999999</v>
      </c>
      <c r="M1153" s="41">
        <v>674.72391600000003</v>
      </c>
      <c r="O1153" s="26">
        <v>3142.7257639999998</v>
      </c>
      <c r="Q1153" s="26">
        <v>6032.9099459999998</v>
      </c>
      <c r="S1153" s="26">
        <v>1626.2256600000001</v>
      </c>
      <c r="U1153" s="29">
        <v>3.346927</v>
      </c>
      <c r="W1153" s="14">
        <v>32.790356000000003</v>
      </c>
      <c r="Y1153" s="29">
        <v>8.8389190000000006</v>
      </c>
      <c r="AA1153" s="41">
        <v>606.82498199999998</v>
      </c>
      <c r="AC1153" s="27">
        <v>50.419097999999998</v>
      </c>
      <c r="AE1153" s="27">
        <v>1</v>
      </c>
      <c r="AG1153" s="29">
        <v>7.7379300000000004</v>
      </c>
      <c r="AI1153" s="29">
        <v>8.75</v>
      </c>
      <c r="AK1153" s="27">
        <v>24.394137000000001</v>
      </c>
      <c r="AM1153" s="27">
        <v>32.568046000000002</v>
      </c>
      <c r="AO1153" s="29">
        <v>6.773644</v>
      </c>
      <c r="AP1153" s="28"/>
    </row>
    <row r="1154" spans="2:42" hidden="1" outlineLevel="1" x14ac:dyDescent="0.25">
      <c r="B1154" s="21">
        <v>43480</v>
      </c>
      <c r="C1154" s="27">
        <v>19.000789999999999</v>
      </c>
      <c r="E1154" s="30">
        <v>0.87416199999999999</v>
      </c>
      <c r="G1154" s="27">
        <v>37.03678</v>
      </c>
      <c r="I1154" s="29">
        <v>6.9140459999999999</v>
      </c>
      <c r="K1154" s="29">
        <v>3.7074560000000001</v>
      </c>
      <c r="M1154" s="41">
        <v>674.08524499999999</v>
      </c>
      <c r="O1154" s="26">
        <v>3138.1359040000002</v>
      </c>
      <c r="Q1154" s="26">
        <v>6027.0862100000004</v>
      </c>
      <c r="S1154" s="26">
        <v>1625.674583</v>
      </c>
      <c r="U1154" s="29">
        <v>3.3396270000000001</v>
      </c>
      <c r="W1154" s="14">
        <v>32.780092000000003</v>
      </c>
      <c r="Y1154" s="29">
        <v>8.8416859999999993</v>
      </c>
      <c r="AA1154" s="41">
        <v>604.13331000000005</v>
      </c>
      <c r="AC1154" s="27">
        <v>50.438420999999998</v>
      </c>
      <c r="AE1154" s="27">
        <v>1</v>
      </c>
      <c r="AG1154" s="29">
        <v>7.7282299999999999</v>
      </c>
      <c r="AI1154" s="29">
        <v>8.75</v>
      </c>
      <c r="AK1154" s="27">
        <v>24.364052000000001</v>
      </c>
      <c r="AM1154" s="27">
        <v>32.554246999999997</v>
      </c>
      <c r="AO1154" s="29">
        <v>6.7784240000000002</v>
      </c>
      <c r="AP1154" s="28"/>
    </row>
    <row r="1155" spans="2:42" hidden="1" outlineLevel="1" x14ac:dyDescent="0.25">
      <c r="B1155" s="21">
        <v>43481</v>
      </c>
      <c r="C1155" s="27">
        <v>18.973407000000002</v>
      </c>
      <c r="E1155" s="30">
        <v>0.87707500000000005</v>
      </c>
      <c r="G1155" s="27">
        <v>37.257368</v>
      </c>
      <c r="I1155" s="29">
        <v>6.9188000000000001</v>
      </c>
      <c r="K1155" s="29">
        <v>3.7232120000000002</v>
      </c>
      <c r="M1155" s="41">
        <v>673.12592199999995</v>
      </c>
      <c r="O1155" s="26">
        <v>3133.4915900000001</v>
      </c>
      <c r="Q1155" s="26">
        <v>6044.67587</v>
      </c>
      <c r="S1155" s="26">
        <v>1623.5193959999999</v>
      </c>
      <c r="U1155" s="29">
        <v>3.33473</v>
      </c>
      <c r="W1155" s="14">
        <v>32.724674</v>
      </c>
      <c r="Y1155" s="29">
        <v>8.7893830000000008</v>
      </c>
      <c r="AA1155" s="41">
        <v>602.93590400000005</v>
      </c>
      <c r="AC1155" s="27">
        <v>50.489288000000002</v>
      </c>
      <c r="AE1155" s="27">
        <v>1</v>
      </c>
      <c r="AG1155" s="29">
        <v>7.7320549999999999</v>
      </c>
      <c r="AI1155" s="29">
        <v>8.75</v>
      </c>
      <c r="AK1155" s="27">
        <v>24.382332999999999</v>
      </c>
      <c r="AM1155" s="27">
        <v>32.530138000000001</v>
      </c>
      <c r="AO1155" s="29">
        <v>6.7871139999999999</v>
      </c>
      <c r="AP1155" s="28"/>
    </row>
    <row r="1156" spans="2:42" hidden="1" outlineLevel="1" x14ac:dyDescent="0.25">
      <c r="B1156" s="21">
        <v>43482</v>
      </c>
      <c r="C1156" s="27">
        <v>18.969435000000001</v>
      </c>
      <c r="E1156" s="30">
        <v>0.87791799999999998</v>
      </c>
      <c r="G1156" s="27">
        <v>37.587172000000002</v>
      </c>
      <c r="I1156" s="29">
        <v>6.9138539999999997</v>
      </c>
      <c r="K1156" s="29">
        <v>3.74532</v>
      </c>
      <c r="M1156" s="41">
        <v>670.06427099999996</v>
      </c>
      <c r="O1156" s="26">
        <v>3126.3734399999998</v>
      </c>
      <c r="Q1156" s="26">
        <v>6050.7604739999997</v>
      </c>
      <c r="S1156" s="26">
        <v>1615.5607660000001</v>
      </c>
      <c r="U1156" s="29">
        <v>3.3292700000000002</v>
      </c>
      <c r="W1156" s="14">
        <v>32.692444999999999</v>
      </c>
      <c r="Y1156" s="29">
        <v>8.7288949999999996</v>
      </c>
      <c r="AA1156" s="41">
        <v>600.65874399999996</v>
      </c>
      <c r="AC1156" s="27">
        <v>50.464785999999997</v>
      </c>
      <c r="AE1156" s="27">
        <v>1</v>
      </c>
      <c r="AG1156" s="29">
        <v>7.7250579999999998</v>
      </c>
      <c r="AI1156" s="29">
        <v>8.75</v>
      </c>
      <c r="AK1156" s="27">
        <v>24.367324</v>
      </c>
      <c r="AM1156" s="27">
        <v>32.498598000000001</v>
      </c>
      <c r="AO1156" s="29">
        <v>6.784046</v>
      </c>
      <c r="AP1156" s="28"/>
    </row>
    <row r="1157" spans="2:42" hidden="1" outlineLevel="1" x14ac:dyDescent="0.25">
      <c r="B1157" s="21">
        <v>43483</v>
      </c>
      <c r="C1157" s="27">
        <v>19.047029999999999</v>
      </c>
      <c r="E1157" s="30">
        <v>0.87838400000000005</v>
      </c>
      <c r="G1157" s="27">
        <v>37.644579</v>
      </c>
      <c r="I1157" s="29">
        <v>6.9192419999999997</v>
      </c>
      <c r="K1157" s="29">
        <v>3.751363</v>
      </c>
      <c r="M1157" s="41">
        <v>670.391977</v>
      </c>
      <c r="O1157" s="26">
        <v>3126.7259060000001</v>
      </c>
      <c r="Q1157" s="26">
        <v>6067.9025380000003</v>
      </c>
      <c r="S1157" s="26">
        <v>1617.5285859999999</v>
      </c>
      <c r="U1157" s="29">
        <v>3.3224960000000001</v>
      </c>
      <c r="W1157" s="14">
        <v>32.708848000000003</v>
      </c>
      <c r="Y1157" s="29">
        <v>8.7192089999999993</v>
      </c>
      <c r="AA1157" s="41">
        <v>599.84798599999999</v>
      </c>
      <c r="AC1157" s="27">
        <v>50.512048</v>
      </c>
      <c r="AE1157" s="27">
        <v>1</v>
      </c>
      <c r="AG1157" s="29">
        <v>7.7259080000000004</v>
      </c>
      <c r="AI1157" s="29">
        <v>8.75</v>
      </c>
      <c r="AK1157" s="27">
        <v>24.379258</v>
      </c>
      <c r="AM1157" s="27">
        <v>32.552604000000002</v>
      </c>
      <c r="AO1157" s="29">
        <v>6.7845219999999999</v>
      </c>
      <c r="AP1157" s="28"/>
    </row>
    <row r="1158" spans="2:42" hidden="1" outlineLevel="1" x14ac:dyDescent="0.25">
      <c r="B1158" s="21">
        <v>43484</v>
      </c>
      <c r="C1158" s="27">
        <v>19.084499999999998</v>
      </c>
      <c r="E1158" s="30">
        <v>0.87991399999999997</v>
      </c>
      <c r="G1158" s="27">
        <v>37.590000000000003</v>
      </c>
      <c r="I1158" s="29">
        <v>6.9184749999999999</v>
      </c>
      <c r="K1158" s="29">
        <v>3.75265</v>
      </c>
      <c r="M1158" s="41">
        <v>671.12750000000005</v>
      </c>
      <c r="O1158" s="26">
        <v>3123.7750000000001</v>
      </c>
      <c r="Q1158" s="26">
        <v>6079.0749999999998</v>
      </c>
      <c r="S1158" s="26">
        <v>1619.9560759999999</v>
      </c>
      <c r="U1158" s="29">
        <v>3.31975</v>
      </c>
      <c r="W1158" s="14">
        <v>32.704999999999998</v>
      </c>
      <c r="Y1158" s="29">
        <v>8.7151940000000003</v>
      </c>
      <c r="AA1158" s="41">
        <v>599.83749999999998</v>
      </c>
      <c r="AC1158" s="27">
        <v>50.51</v>
      </c>
      <c r="AE1158" s="27">
        <v>1</v>
      </c>
      <c r="AG1158" s="29">
        <v>7.7229000000000001</v>
      </c>
      <c r="AI1158" s="29">
        <v>8.75</v>
      </c>
      <c r="AK1158" s="27">
        <v>24.393999999999998</v>
      </c>
      <c r="AM1158" s="27">
        <v>32.564749999999997</v>
      </c>
      <c r="AO1158" s="29">
        <v>6.7791249999999996</v>
      </c>
      <c r="AP1158" s="28"/>
    </row>
    <row r="1159" spans="2:42" hidden="1" outlineLevel="1" x14ac:dyDescent="0.25">
      <c r="B1159" s="21">
        <v>43485</v>
      </c>
      <c r="C1159" s="27">
        <v>19.085249000000001</v>
      </c>
      <c r="E1159" s="30">
        <v>0.87990800000000002</v>
      </c>
      <c r="G1159" s="27">
        <v>37.590384999999998</v>
      </c>
      <c r="I1159" s="29">
        <v>6.9184749999999999</v>
      </c>
      <c r="K1159" s="29">
        <v>3.7531080000000001</v>
      </c>
      <c r="M1159" s="41">
        <v>671.128424</v>
      </c>
      <c r="O1159" s="26">
        <v>3123.6548680000001</v>
      </c>
      <c r="Q1159" s="26">
        <v>6079.0749999999998</v>
      </c>
      <c r="S1159" s="26">
        <v>1619.7640739999999</v>
      </c>
      <c r="U1159" s="29">
        <v>3.3197760000000001</v>
      </c>
      <c r="W1159" s="14">
        <v>32.704999999999998</v>
      </c>
      <c r="Y1159" s="29">
        <v>8.7141389999999994</v>
      </c>
      <c r="AA1159" s="41">
        <v>599.84275600000001</v>
      </c>
      <c r="AC1159" s="27">
        <v>50.512756000000003</v>
      </c>
      <c r="AE1159" s="27">
        <v>1</v>
      </c>
      <c r="AG1159" s="29">
        <v>7.7229000000000001</v>
      </c>
      <c r="AI1159" s="29">
        <v>8.75</v>
      </c>
      <c r="AK1159" s="27">
        <v>24.396756</v>
      </c>
      <c r="AM1159" s="27">
        <v>32.564749999999997</v>
      </c>
      <c r="AO1159" s="29">
        <v>6.7791249999999996</v>
      </c>
      <c r="AP1159" s="28"/>
    </row>
    <row r="1160" spans="2:42" hidden="1" outlineLevel="1" x14ac:dyDescent="0.25">
      <c r="B1160" s="21">
        <v>43486</v>
      </c>
      <c r="C1160" s="27">
        <v>19.149360999999999</v>
      </c>
      <c r="E1160" s="30">
        <v>0.87941499999999995</v>
      </c>
      <c r="G1160" s="27">
        <v>37.728616000000002</v>
      </c>
      <c r="I1160" s="29">
        <v>6.9253039999999997</v>
      </c>
      <c r="K1160" s="29">
        <v>3.7593549999999998</v>
      </c>
      <c r="M1160" s="41">
        <v>671.69269899999995</v>
      </c>
      <c r="O1160" s="26">
        <v>3128.3953240000001</v>
      </c>
      <c r="Q1160" s="26">
        <v>6086.424927</v>
      </c>
      <c r="S1160" s="26">
        <v>1619.062756</v>
      </c>
      <c r="U1160" s="29">
        <v>3.3255400000000002</v>
      </c>
      <c r="W1160" s="14">
        <v>32.712907999999999</v>
      </c>
      <c r="Y1160" s="29">
        <v>8.7018830000000005</v>
      </c>
      <c r="AA1160" s="41">
        <v>600.21686599999998</v>
      </c>
      <c r="AC1160" s="27">
        <v>50.578539999999997</v>
      </c>
      <c r="AE1160" s="27">
        <v>1</v>
      </c>
      <c r="AG1160" s="29">
        <v>7.728046</v>
      </c>
      <c r="AI1160" s="29">
        <v>8.75</v>
      </c>
      <c r="AK1160" s="27">
        <v>24.384774</v>
      </c>
      <c r="AM1160" s="27">
        <v>32.585791999999998</v>
      </c>
      <c r="AO1160" s="29">
        <v>6.7802220000000002</v>
      </c>
      <c r="AP1160" s="28"/>
    </row>
    <row r="1161" spans="2:42" hidden="1" outlineLevel="1" x14ac:dyDescent="0.25">
      <c r="B1161" s="21">
        <v>43487</v>
      </c>
      <c r="C1161" s="27">
        <v>19.183202999999999</v>
      </c>
      <c r="E1161" s="30">
        <v>0.88020399999999999</v>
      </c>
      <c r="G1161" s="27">
        <v>37.689894000000002</v>
      </c>
      <c r="I1161" s="29">
        <v>6.9273420000000003</v>
      </c>
      <c r="K1161" s="29">
        <v>3.7724449999999998</v>
      </c>
      <c r="M1161" s="41">
        <v>672.66772000000003</v>
      </c>
      <c r="O1161" s="26">
        <v>3132.7337339999999</v>
      </c>
      <c r="Q1161" s="26">
        <v>6079.1796379999996</v>
      </c>
      <c r="S1161" s="26">
        <v>1611.4793480000001</v>
      </c>
      <c r="U1161" s="29">
        <v>3.33047</v>
      </c>
      <c r="W1161" s="14">
        <v>32.676596000000004</v>
      </c>
      <c r="Y1161" s="29">
        <v>8.6619340000000005</v>
      </c>
      <c r="AA1161" s="41">
        <v>600.40909599999998</v>
      </c>
      <c r="AC1161" s="27">
        <v>50.582908000000003</v>
      </c>
      <c r="AE1161" s="27">
        <v>1</v>
      </c>
      <c r="AG1161" s="29">
        <v>7.7239500000000003</v>
      </c>
      <c r="AI1161" s="29">
        <v>8.75</v>
      </c>
      <c r="AK1161" s="27">
        <v>24.37698</v>
      </c>
      <c r="AM1161" s="27">
        <v>32.556072</v>
      </c>
      <c r="AO1161" s="29">
        <v>6.7707360000000003</v>
      </c>
      <c r="AP1161" s="28"/>
    </row>
    <row r="1162" spans="2:42" hidden="1" outlineLevel="1" x14ac:dyDescent="0.25">
      <c r="B1162" s="21">
        <v>43488</v>
      </c>
      <c r="C1162" s="27">
        <v>19.106739999999999</v>
      </c>
      <c r="E1162" s="30">
        <v>0.87941000000000003</v>
      </c>
      <c r="G1162" s="27">
        <v>37.522807999999998</v>
      </c>
      <c r="I1162" s="29">
        <v>6.9242520000000001</v>
      </c>
      <c r="K1162" s="29">
        <v>3.7974480000000002</v>
      </c>
      <c r="M1162" s="41">
        <v>672.91377599999998</v>
      </c>
      <c r="O1162" s="26">
        <v>3145.34456</v>
      </c>
      <c r="Q1162" s="26">
        <v>6061.3838889999997</v>
      </c>
      <c r="S1162" s="26">
        <v>1596.183004</v>
      </c>
      <c r="U1162" s="29">
        <v>3.3339759999999998</v>
      </c>
      <c r="W1162" s="14">
        <v>32.657482999999999</v>
      </c>
      <c r="Y1162" s="29">
        <v>8.5998699999999992</v>
      </c>
      <c r="AA1162" s="41">
        <v>602.25877600000001</v>
      </c>
      <c r="AC1162" s="27">
        <v>50.553699999999999</v>
      </c>
      <c r="AE1162" s="27">
        <v>1</v>
      </c>
      <c r="AG1162" s="29">
        <v>7.7240320000000002</v>
      </c>
      <c r="AI1162" s="29">
        <v>8.75</v>
      </c>
      <c r="AK1162" s="27">
        <v>24.372668999999998</v>
      </c>
      <c r="AM1162" s="27">
        <v>32.529193999999997</v>
      </c>
      <c r="AO1162" s="29">
        <v>6.7712779999999997</v>
      </c>
      <c r="AP1162" s="28"/>
    </row>
    <row r="1163" spans="2:42" hidden="1" outlineLevel="1" x14ac:dyDescent="0.25">
      <c r="B1163" s="21">
        <v>43489</v>
      </c>
      <c r="C1163" s="27">
        <v>19.037545000000001</v>
      </c>
      <c r="E1163" s="30">
        <v>0.88117299999999998</v>
      </c>
      <c r="G1163" s="27">
        <v>37.500371999999999</v>
      </c>
      <c r="I1163" s="29">
        <v>6.9151340000000001</v>
      </c>
      <c r="K1163" s="29">
        <v>3.7693669999999999</v>
      </c>
      <c r="M1163" s="41">
        <v>672.18049599999995</v>
      </c>
      <c r="O1163" s="26">
        <v>3156.8896260000001</v>
      </c>
      <c r="Q1163" s="26">
        <v>6040.9833760000001</v>
      </c>
      <c r="S1163" s="26">
        <v>1602.6629579999999</v>
      </c>
      <c r="U1163" s="29">
        <v>3.3411400000000002</v>
      </c>
      <c r="W1163" s="14">
        <v>32.640228</v>
      </c>
      <c r="Y1163" s="29">
        <v>8.6593619999999998</v>
      </c>
      <c r="AA1163" s="41">
        <v>603.38000799999998</v>
      </c>
      <c r="AC1163" s="27">
        <v>50.519851000000003</v>
      </c>
      <c r="AE1163" s="27">
        <v>1</v>
      </c>
      <c r="AG1163" s="29">
        <v>7.7218640000000001</v>
      </c>
      <c r="AI1163" s="29">
        <v>8.75</v>
      </c>
      <c r="AK1163" s="27">
        <v>24.371683999999998</v>
      </c>
      <c r="AM1163" s="27">
        <v>32.542841000000003</v>
      </c>
      <c r="AO1163" s="29">
        <v>6.7692009999999998</v>
      </c>
      <c r="AP1163" s="28"/>
    </row>
    <row r="1164" spans="2:42" hidden="1" outlineLevel="1" x14ac:dyDescent="0.25">
      <c r="B1164" s="21">
        <v>43490</v>
      </c>
      <c r="C1164" s="27">
        <v>18.976040000000001</v>
      </c>
      <c r="E1164" s="30">
        <v>0.88043400000000005</v>
      </c>
      <c r="G1164" s="27">
        <v>37.252360000000003</v>
      </c>
      <c r="I1164" s="29">
        <v>6.9188039999999997</v>
      </c>
      <c r="K1164" s="29">
        <v>3.7701180000000001</v>
      </c>
      <c r="M1164" s="41">
        <v>670.03935000000001</v>
      </c>
      <c r="O1164" s="26">
        <v>3161.008014</v>
      </c>
      <c r="Q1164" s="26">
        <v>6047.9435059999996</v>
      </c>
      <c r="S1164" s="26">
        <v>1604.1962980000001</v>
      </c>
      <c r="U1164" s="29">
        <v>3.3457340000000002</v>
      </c>
      <c r="W1164" s="14">
        <v>32.669857</v>
      </c>
      <c r="Y1164" s="29">
        <v>8.6655110000000004</v>
      </c>
      <c r="AA1164" s="41">
        <v>605.53196800000001</v>
      </c>
      <c r="AC1164" s="27">
        <v>50.552942000000002</v>
      </c>
      <c r="AE1164" s="27">
        <v>1</v>
      </c>
      <c r="AG1164" s="29">
        <v>7.7312880000000002</v>
      </c>
      <c r="AI1164" s="29">
        <v>8.75</v>
      </c>
      <c r="AK1164" s="27">
        <v>24.392717999999999</v>
      </c>
      <c r="AM1164" s="27">
        <v>32.540309999999998</v>
      </c>
      <c r="AO1164" s="29">
        <v>6.7758450000000003</v>
      </c>
      <c r="AP1164" s="28"/>
    </row>
    <row r="1165" spans="2:42" hidden="1" outlineLevel="1" x14ac:dyDescent="0.25">
      <c r="B1165" s="21">
        <v>43491</v>
      </c>
      <c r="C1165" s="27">
        <v>18.988130000000002</v>
      </c>
      <c r="E1165" s="30">
        <v>0.87670800000000004</v>
      </c>
      <c r="G1165" s="27">
        <v>37.051000000000002</v>
      </c>
      <c r="I1165" s="29">
        <v>6.9174249999999997</v>
      </c>
      <c r="K1165" s="29">
        <v>3.7714750000000001</v>
      </c>
      <c r="M1165" s="41">
        <v>669.52250000000004</v>
      </c>
      <c r="O1165" s="26">
        <v>3151.83</v>
      </c>
      <c r="Q1165" s="26">
        <v>6043.0249999999996</v>
      </c>
      <c r="S1165" s="26">
        <v>1602.31422</v>
      </c>
      <c r="U1165" s="29">
        <v>3.3416000000000001</v>
      </c>
      <c r="W1165" s="14">
        <v>32.640999999999998</v>
      </c>
      <c r="Y1165" s="29">
        <v>8.6547269999999994</v>
      </c>
      <c r="AA1165" s="41">
        <v>605.87</v>
      </c>
      <c r="AC1165" s="27">
        <v>50.5</v>
      </c>
      <c r="AE1165" s="27">
        <v>1</v>
      </c>
      <c r="AG1165" s="29">
        <v>7.7257249999999997</v>
      </c>
      <c r="AI1165" s="29">
        <v>8.75</v>
      </c>
      <c r="AK1165" s="27">
        <v>24.393999999999998</v>
      </c>
      <c r="AM1165" s="27">
        <v>32.501849999999997</v>
      </c>
      <c r="AO1165" s="29">
        <v>6.7752249999999998</v>
      </c>
      <c r="AP1165" s="28"/>
    </row>
    <row r="1166" spans="2:42" hidden="1" outlineLevel="1" x14ac:dyDescent="0.25">
      <c r="B1166" s="21">
        <v>43492</v>
      </c>
      <c r="C1166" s="27">
        <v>18.988868</v>
      </c>
      <c r="E1166" s="30">
        <v>0.87668800000000002</v>
      </c>
      <c r="G1166" s="27">
        <v>37.059047</v>
      </c>
      <c r="I1166" s="29">
        <v>6.9161489999999999</v>
      </c>
      <c r="K1166" s="29">
        <v>3.7710620000000001</v>
      </c>
      <c r="M1166" s="41">
        <v>669.45591000000002</v>
      </c>
      <c r="O1166" s="26">
        <v>3151.953207</v>
      </c>
      <c r="Q1166" s="26">
        <v>6041.9086440000001</v>
      </c>
      <c r="S1166" s="26">
        <v>1602.1976199999999</v>
      </c>
      <c r="U1166" s="29">
        <v>3.340884</v>
      </c>
      <c r="W1166" s="14">
        <v>32.635126</v>
      </c>
      <c r="Y1166" s="29">
        <v>8.654128</v>
      </c>
      <c r="AA1166" s="41">
        <v>605.75446099999999</v>
      </c>
      <c r="AC1166" s="27">
        <v>50.487076000000002</v>
      </c>
      <c r="AE1166" s="27">
        <v>1</v>
      </c>
      <c r="AG1166" s="29">
        <v>7.7242959999999998</v>
      </c>
      <c r="AI1166" s="29">
        <v>8.75</v>
      </c>
      <c r="AK1166" s="27">
        <v>24.389088000000001</v>
      </c>
      <c r="AM1166" s="27">
        <v>32.499209999999998</v>
      </c>
      <c r="AO1166" s="29">
        <v>6.7739289999999999</v>
      </c>
      <c r="AP1166" s="28"/>
    </row>
    <row r="1167" spans="2:42" hidden="1" outlineLevel="1" x14ac:dyDescent="0.25">
      <c r="B1167" s="21">
        <v>43493</v>
      </c>
      <c r="C1167" s="27">
        <v>19.022752000000001</v>
      </c>
      <c r="E1167" s="30">
        <v>0.87565899999999997</v>
      </c>
      <c r="G1167" s="27">
        <v>37.105144000000003</v>
      </c>
      <c r="I1167" s="29">
        <v>6.9041579999999998</v>
      </c>
      <c r="K1167" s="29">
        <v>3.7633730000000001</v>
      </c>
      <c r="M1167" s="41">
        <v>670.30550800000003</v>
      </c>
      <c r="O1167" s="26">
        <v>3157.336624</v>
      </c>
      <c r="Q1167" s="26">
        <v>6040.7440379999998</v>
      </c>
      <c r="S1167" s="26">
        <v>1605.1709510000001</v>
      </c>
      <c r="U1167" s="29">
        <v>3.3435640000000002</v>
      </c>
      <c r="W1167" s="14">
        <v>32.592565999999998</v>
      </c>
      <c r="Y1167" s="29">
        <v>8.6605600000000003</v>
      </c>
      <c r="AA1167" s="41">
        <v>605.49343499999998</v>
      </c>
      <c r="AC1167" s="27">
        <v>50.375252000000003</v>
      </c>
      <c r="AE1167" s="27">
        <v>1</v>
      </c>
      <c r="AG1167" s="29">
        <v>7.7147860000000001</v>
      </c>
      <c r="AI1167" s="29">
        <v>8.75</v>
      </c>
      <c r="AK1167" s="27">
        <v>24.337053999999998</v>
      </c>
      <c r="AM1167" s="27">
        <v>32.498860000000001</v>
      </c>
      <c r="AO1167" s="29">
        <v>6.7611179999999997</v>
      </c>
      <c r="AP1167" s="28"/>
    </row>
    <row r="1168" spans="2:42" hidden="1" outlineLevel="1" x14ac:dyDescent="0.25">
      <c r="B1168" s="21">
        <v>43494</v>
      </c>
      <c r="C1168" s="27">
        <v>19.019682</v>
      </c>
      <c r="E1168" s="30">
        <v>0.87480800000000003</v>
      </c>
      <c r="G1168" s="27">
        <v>37.266889999999997</v>
      </c>
      <c r="I1168" s="29">
        <v>6.9120220000000003</v>
      </c>
      <c r="K1168" s="29">
        <v>3.7448809999999999</v>
      </c>
      <c r="M1168" s="41">
        <v>669.40289399999995</v>
      </c>
      <c r="O1168" s="26">
        <v>3156.225856</v>
      </c>
      <c r="Q1168" s="26">
        <v>6066.3585579999999</v>
      </c>
      <c r="S1168" s="26">
        <v>1619.9155390000001</v>
      </c>
      <c r="U1168" s="29">
        <v>3.3546499999999999</v>
      </c>
      <c r="W1168" s="14">
        <v>32.622359000000003</v>
      </c>
      <c r="Y1168" s="29">
        <v>8.7112060000000007</v>
      </c>
      <c r="AA1168" s="41">
        <v>607.89232400000003</v>
      </c>
      <c r="AC1168" s="27">
        <v>50.408138000000001</v>
      </c>
      <c r="AE1168" s="27">
        <v>1</v>
      </c>
      <c r="AG1168" s="29">
        <v>7.7294900000000002</v>
      </c>
      <c r="AI1168" s="29">
        <v>8.75</v>
      </c>
      <c r="AK1168" s="27">
        <v>24.367972000000002</v>
      </c>
      <c r="AM1168" s="27">
        <v>32.517912000000003</v>
      </c>
      <c r="AO1168" s="29">
        <v>6.76532</v>
      </c>
      <c r="AP1168" s="28"/>
    </row>
    <row r="1169" spans="2:42" hidden="1" outlineLevel="1" x14ac:dyDescent="0.25">
      <c r="B1169" s="21">
        <v>43495</v>
      </c>
      <c r="C1169" s="27">
        <v>19.120557999999999</v>
      </c>
      <c r="E1169" s="30">
        <v>0.87400599999999995</v>
      </c>
      <c r="G1169" s="27">
        <v>37.596732000000003</v>
      </c>
      <c r="I1169" s="29">
        <v>6.9115260000000003</v>
      </c>
      <c r="K1169" s="29">
        <v>3.7127340000000002</v>
      </c>
      <c r="M1169" s="41">
        <v>666.57982600000003</v>
      </c>
      <c r="O1169" s="26">
        <v>3158.960857</v>
      </c>
      <c r="Q1169" s="26">
        <v>6082.5569560000004</v>
      </c>
      <c r="S1169" s="26">
        <v>1638.3056959999999</v>
      </c>
      <c r="U1169" s="29">
        <v>3.3547039999999999</v>
      </c>
      <c r="W1169" s="14">
        <v>32.611533999999999</v>
      </c>
      <c r="Y1169" s="29">
        <v>8.7837239999999994</v>
      </c>
      <c r="AA1169" s="41">
        <v>610.27485799999999</v>
      </c>
      <c r="AC1169" s="27">
        <v>50.464568</v>
      </c>
      <c r="AE1169" s="27">
        <v>1</v>
      </c>
      <c r="AG1169" s="29">
        <v>7.7360369999999996</v>
      </c>
      <c r="AI1169" s="29">
        <v>8.75</v>
      </c>
      <c r="AK1169" s="27">
        <v>24.370557999999999</v>
      </c>
      <c r="AM1169" s="27">
        <v>32.533354000000003</v>
      </c>
      <c r="AO1169" s="29">
        <v>6.7673399999999999</v>
      </c>
      <c r="AP1169" s="28"/>
    </row>
    <row r="1170" spans="2:42" hidden="1" outlineLevel="1" x14ac:dyDescent="0.25">
      <c r="B1170" s="21">
        <v>43496</v>
      </c>
      <c r="C1170" s="49">
        <v>19.162299999999998</v>
      </c>
      <c r="E1170" s="30">
        <v>0.87122699999999997</v>
      </c>
      <c r="G1170" s="27">
        <v>37.368296999999998</v>
      </c>
      <c r="I1170" s="29">
        <v>6.9096109999999999</v>
      </c>
      <c r="K1170" s="29">
        <v>3.665918</v>
      </c>
      <c r="M1170" s="41">
        <v>660.28151200000002</v>
      </c>
      <c r="O1170" s="26">
        <v>3143.6911639999998</v>
      </c>
      <c r="Q1170" s="26">
        <v>6068.6608120000001</v>
      </c>
      <c r="S1170" s="26">
        <v>1655.4391069999999</v>
      </c>
      <c r="U1170" s="29">
        <v>3.3428640000000001</v>
      </c>
      <c r="W1170" s="14">
        <v>32.562240000000003</v>
      </c>
      <c r="Y1170" s="29">
        <v>8.8824509999999997</v>
      </c>
      <c r="AA1170" s="41">
        <v>609.96442999999999</v>
      </c>
      <c r="AC1170" s="27">
        <v>50.420048999999999</v>
      </c>
      <c r="AE1170" s="27">
        <v>1</v>
      </c>
      <c r="AG1170" s="29">
        <v>7.7394449999999999</v>
      </c>
      <c r="AI1170" s="29">
        <v>8.75</v>
      </c>
      <c r="AK1170" s="27">
        <v>24.345680999999999</v>
      </c>
      <c r="AM1170" s="27">
        <v>32.530791999999998</v>
      </c>
      <c r="AO1170" s="29">
        <v>6.7610900000000003</v>
      </c>
      <c r="AP1170" s="28"/>
    </row>
    <row r="1171" spans="2:42" ht="13" collapsed="1" x14ac:dyDescent="0.3">
      <c r="B1171" s="25" t="s">
        <v>175</v>
      </c>
      <c r="C1171" s="19">
        <v>19.191199999999998</v>
      </c>
      <c r="E1171" s="24">
        <v>0.87575499999999995</v>
      </c>
      <c r="G1171" s="19">
        <v>37.368299999999998</v>
      </c>
      <c r="I1171" s="23">
        <v>6.9174800000000003</v>
      </c>
      <c r="J1171" s="9"/>
      <c r="K1171" s="23">
        <v>3.7446999999999999</v>
      </c>
      <c r="M1171" s="42">
        <v>675.76300000000003</v>
      </c>
      <c r="O1171" s="31">
        <v>3160.29</v>
      </c>
      <c r="Q1171" s="31">
        <v>6031.94</v>
      </c>
      <c r="S1171" s="31">
        <v>1611.04</v>
      </c>
      <c r="U1171" s="23">
        <v>3.3430300000000002</v>
      </c>
      <c r="W1171" s="23">
        <v>32.608969999999999</v>
      </c>
      <c r="Y1171" s="23">
        <v>8.7092899999999993</v>
      </c>
      <c r="AA1171" s="42">
        <v>604.90700000000004</v>
      </c>
      <c r="AC1171" s="19">
        <v>50.457799999999999</v>
      </c>
      <c r="AE1171" s="19">
        <v>1</v>
      </c>
      <c r="AG1171" s="23">
        <v>7.7274900000000004</v>
      </c>
      <c r="AI1171" s="23">
        <v>8.75</v>
      </c>
      <c r="AK1171" s="23">
        <v>24.371569999999998</v>
      </c>
      <c r="AM1171" s="23">
        <v>32.502000000000002</v>
      </c>
      <c r="AO1171" s="23">
        <v>6.7737400000000001</v>
      </c>
      <c r="AP1171" s="10"/>
    </row>
    <row r="1172" spans="2:42" hidden="1" outlineLevel="1" x14ac:dyDescent="0.25">
      <c r="B1172" s="21">
        <v>43497</v>
      </c>
      <c r="C1172" s="27">
        <v>19.120659</v>
      </c>
      <c r="E1172" s="30">
        <v>0.87287400000000004</v>
      </c>
      <c r="G1172" s="27">
        <v>37.257612000000002</v>
      </c>
      <c r="I1172" s="29">
        <v>6.9219609999999996</v>
      </c>
      <c r="K1172" s="29">
        <v>3.6533410000000002</v>
      </c>
      <c r="M1172" s="41">
        <v>656.34411599999999</v>
      </c>
      <c r="O1172" s="26">
        <v>3108.1080820000002</v>
      </c>
      <c r="Q1172" s="26">
        <v>6057.2905000000001</v>
      </c>
      <c r="S1172" s="26">
        <v>1658.0232820000001</v>
      </c>
      <c r="U1172" s="29">
        <v>3.3329300000000002</v>
      </c>
      <c r="W1172" s="14">
        <v>32.582375999999996</v>
      </c>
      <c r="Y1172" s="29">
        <v>8.9185359999999996</v>
      </c>
      <c r="AA1172" s="41">
        <v>611.26633200000003</v>
      </c>
      <c r="AC1172" s="27">
        <v>50.529544000000001</v>
      </c>
      <c r="AE1172" s="27">
        <v>1</v>
      </c>
      <c r="AG1172" s="29">
        <v>7.7672980000000003</v>
      </c>
      <c r="AI1172" s="29">
        <v>8.75</v>
      </c>
      <c r="AK1172" s="27">
        <v>24.397335000000002</v>
      </c>
      <c r="AM1172" s="27">
        <v>32.654074000000001</v>
      </c>
      <c r="AO1172" s="29">
        <v>6.7742500000000003</v>
      </c>
      <c r="AP1172" s="28"/>
    </row>
    <row r="1173" spans="2:42" hidden="1" outlineLevel="1" x14ac:dyDescent="0.25">
      <c r="B1173" s="21">
        <v>43498</v>
      </c>
      <c r="C1173" s="27">
        <v>19.10106</v>
      </c>
      <c r="E1173" s="30">
        <v>0.87290500000000004</v>
      </c>
      <c r="G1173" s="27">
        <v>37.158000000000001</v>
      </c>
      <c r="I1173" s="29">
        <v>6.9181249999999999</v>
      </c>
      <c r="K1173" s="29">
        <v>3.6599249999999999</v>
      </c>
      <c r="M1173" s="41">
        <v>654</v>
      </c>
      <c r="O1173" s="26">
        <v>3088.9</v>
      </c>
      <c r="Q1173" s="26">
        <v>6036.3249999999998</v>
      </c>
      <c r="S1173" s="26">
        <v>1649.315022</v>
      </c>
      <c r="U1173" s="29">
        <v>3.325475</v>
      </c>
      <c r="W1173" s="14">
        <v>32.54</v>
      </c>
      <c r="Y1173" s="29">
        <v>8.8909079999999996</v>
      </c>
      <c r="AA1173" s="41">
        <v>610.80999999999995</v>
      </c>
      <c r="AC1173" s="27">
        <v>50.517499999999998</v>
      </c>
      <c r="AE1173" s="27">
        <v>1</v>
      </c>
      <c r="AG1173" s="29">
        <v>7.768275</v>
      </c>
      <c r="AI1173" s="29">
        <v>8.75</v>
      </c>
      <c r="AK1173" s="27">
        <v>24.412500000000001</v>
      </c>
      <c r="AM1173" s="27">
        <v>32.579749999999997</v>
      </c>
      <c r="AO1173" s="29">
        <v>6.7844249999999997</v>
      </c>
      <c r="AP1173" s="28"/>
    </row>
    <row r="1174" spans="2:42" hidden="1" outlineLevel="1" x14ac:dyDescent="0.25">
      <c r="B1174" s="21">
        <v>43499</v>
      </c>
      <c r="C1174" s="27">
        <v>19.101292999999998</v>
      </c>
      <c r="E1174" s="30">
        <v>0.87290900000000005</v>
      </c>
      <c r="G1174" s="27">
        <v>37.158025000000002</v>
      </c>
      <c r="I1174" s="29">
        <v>6.9181249999999999</v>
      </c>
      <c r="K1174" s="29">
        <v>3.6598069999999998</v>
      </c>
      <c r="M1174" s="41">
        <v>653.97487000000001</v>
      </c>
      <c r="O1174" s="26">
        <v>3088.960388</v>
      </c>
      <c r="Q1174" s="26">
        <v>6036.3249999999998</v>
      </c>
      <c r="S1174" s="26">
        <v>1649.3682100000001</v>
      </c>
      <c r="U1174" s="29">
        <v>3.3254239999999999</v>
      </c>
      <c r="W1174" s="14">
        <v>32.54</v>
      </c>
      <c r="Y1174" s="29">
        <v>8.8911960000000008</v>
      </c>
      <c r="AA1174" s="41">
        <v>610.80999999999995</v>
      </c>
      <c r="AC1174" s="27">
        <v>50.517068000000002</v>
      </c>
      <c r="AE1174" s="27">
        <v>1</v>
      </c>
      <c r="AG1174" s="29">
        <v>7.768275</v>
      </c>
      <c r="AI1174" s="29">
        <v>8.75</v>
      </c>
      <c r="AK1174" s="27">
        <v>24.412099999999999</v>
      </c>
      <c r="AM1174" s="27">
        <v>32.580101999999997</v>
      </c>
      <c r="AO1174" s="29">
        <v>6.7844249999999997</v>
      </c>
      <c r="AP1174" s="28"/>
    </row>
    <row r="1175" spans="2:42" hidden="1" outlineLevel="1" x14ac:dyDescent="0.25">
      <c r="B1175" s="21">
        <v>43500</v>
      </c>
      <c r="C1175" s="27">
        <v>19.12012</v>
      </c>
      <c r="E1175" s="30">
        <v>0.87392400000000003</v>
      </c>
      <c r="G1175" s="27">
        <v>37.223146</v>
      </c>
      <c r="I1175" s="29">
        <v>6.9206880000000002</v>
      </c>
      <c r="K1175" s="29">
        <v>3.6656390000000001</v>
      </c>
      <c r="M1175" s="41">
        <v>653.48671999999999</v>
      </c>
      <c r="O1175" s="26">
        <v>3092.6909310000001</v>
      </c>
      <c r="Q1175" s="26">
        <v>6031.7719260000003</v>
      </c>
      <c r="S1175" s="26">
        <v>1645.499963</v>
      </c>
      <c r="U1175" s="29">
        <v>3.3302429999999998</v>
      </c>
      <c r="W1175" s="14">
        <v>32.537156000000003</v>
      </c>
      <c r="Y1175" s="29">
        <v>8.8762810000000005</v>
      </c>
      <c r="AA1175" s="41">
        <v>611.10342200000002</v>
      </c>
      <c r="AC1175" s="27">
        <v>50.493309000000004</v>
      </c>
      <c r="AE1175" s="27">
        <v>1</v>
      </c>
      <c r="AG1175" s="29">
        <v>7.7695720000000001</v>
      </c>
      <c r="AI1175" s="29">
        <v>8.75</v>
      </c>
      <c r="AK1175" s="27">
        <v>24.384293</v>
      </c>
      <c r="AM1175" s="27">
        <v>32.651353999999998</v>
      </c>
      <c r="AO1175" s="29">
        <v>6.7856339999999999</v>
      </c>
      <c r="AP1175" s="28"/>
    </row>
    <row r="1176" spans="2:42" hidden="1" outlineLevel="1" x14ac:dyDescent="0.25">
      <c r="B1176" s="21">
        <v>43501</v>
      </c>
      <c r="C1176" s="27">
        <v>19.066392</v>
      </c>
      <c r="E1176" s="30">
        <v>0.87558999999999998</v>
      </c>
      <c r="G1176" s="27">
        <v>37.175238</v>
      </c>
      <c r="I1176" s="29">
        <v>6.9189160000000003</v>
      </c>
      <c r="K1176" s="29">
        <v>3.670366</v>
      </c>
      <c r="M1176" s="41">
        <v>652.25031300000001</v>
      </c>
      <c r="O1176" s="26">
        <v>3094.6470519999998</v>
      </c>
      <c r="Q1176" s="26">
        <v>6030.7159579999998</v>
      </c>
      <c r="S1176" s="26">
        <v>1643.0912659999999</v>
      </c>
      <c r="U1176" s="29">
        <v>3.3286039999999999</v>
      </c>
      <c r="W1176" s="14">
        <v>32.516781999999999</v>
      </c>
      <c r="Y1176" s="29">
        <v>8.8592940000000002</v>
      </c>
      <c r="AA1176" s="41">
        <v>613.20705099999998</v>
      </c>
      <c r="AC1176" s="27">
        <v>50.511218</v>
      </c>
      <c r="AE1176" s="27">
        <v>1</v>
      </c>
      <c r="AG1176" s="29">
        <v>7.7685440000000003</v>
      </c>
      <c r="AI1176" s="29">
        <v>8.75</v>
      </c>
      <c r="AK1176" s="27">
        <v>24.389302000000001</v>
      </c>
      <c r="AM1176" s="27">
        <v>32.696117999999998</v>
      </c>
      <c r="AO1176" s="29">
        <v>6.778848</v>
      </c>
      <c r="AP1176" s="28"/>
    </row>
    <row r="1177" spans="2:42" hidden="1" outlineLevel="1" x14ac:dyDescent="0.25">
      <c r="B1177" s="21">
        <v>43502</v>
      </c>
      <c r="C1177" s="27">
        <v>19.090751000000001</v>
      </c>
      <c r="E1177" s="30">
        <v>0.87830799999999998</v>
      </c>
      <c r="G1177" s="27">
        <v>37.337394000000003</v>
      </c>
      <c r="I1177" s="29">
        <v>6.922364</v>
      </c>
      <c r="K1177" s="29">
        <v>3.6859459999999999</v>
      </c>
      <c r="M1177" s="41">
        <v>653.10914600000001</v>
      </c>
      <c r="O1177" s="26">
        <v>3103.1126979999999</v>
      </c>
      <c r="Q1177" s="26">
        <v>6039.9558720000005</v>
      </c>
      <c r="S1177" s="26">
        <v>1638.652992</v>
      </c>
      <c r="U1177" s="29">
        <v>3.3245399999999998</v>
      </c>
      <c r="W1177" s="14">
        <v>32.517781999999997</v>
      </c>
      <c r="Y1177" s="29">
        <v>8.8221159999999994</v>
      </c>
      <c r="AA1177" s="41">
        <v>614.25642400000004</v>
      </c>
      <c r="AC1177" s="27">
        <v>50.533326000000002</v>
      </c>
      <c r="AE1177" s="27">
        <v>1</v>
      </c>
      <c r="AG1177" s="29">
        <v>7.7657759999999998</v>
      </c>
      <c r="AI1177" s="29">
        <v>8.75</v>
      </c>
      <c r="AK1177" s="27">
        <v>24.396636000000001</v>
      </c>
      <c r="AM1177" s="27">
        <v>32.685979000000003</v>
      </c>
      <c r="AO1177" s="29">
        <v>6.7614770000000002</v>
      </c>
      <c r="AP1177" s="28"/>
    </row>
    <row r="1178" spans="2:42" hidden="1" outlineLevel="1" x14ac:dyDescent="0.25">
      <c r="B1178" s="21">
        <v>43503</v>
      </c>
      <c r="C1178" s="27">
        <v>19.117466</v>
      </c>
      <c r="E1178" s="30">
        <v>0.88100500000000004</v>
      </c>
      <c r="G1178" s="27">
        <v>37.670222000000003</v>
      </c>
      <c r="I1178" s="29">
        <v>6.9219939999999998</v>
      </c>
      <c r="K1178" s="29">
        <v>3.7083179999999998</v>
      </c>
      <c r="M1178" s="41">
        <v>655.70096599999999</v>
      </c>
      <c r="O1178" s="26">
        <v>3110.2555769999999</v>
      </c>
      <c r="Q1178" s="26">
        <v>6043.0204700000004</v>
      </c>
      <c r="S1178" s="26">
        <v>1629.594738</v>
      </c>
      <c r="U1178" s="29">
        <v>3.3249909999999998</v>
      </c>
      <c r="W1178" s="14">
        <v>32.533774000000001</v>
      </c>
      <c r="Y1178" s="29">
        <v>8.7732089999999996</v>
      </c>
      <c r="AA1178" s="41">
        <v>613.78908000000001</v>
      </c>
      <c r="AC1178" s="27">
        <v>50.561619999999998</v>
      </c>
      <c r="AE1178" s="27">
        <v>1</v>
      </c>
      <c r="AG1178" s="29">
        <v>7.7638239999999996</v>
      </c>
      <c r="AI1178" s="29">
        <v>8.75</v>
      </c>
      <c r="AK1178" s="27">
        <v>24.417704000000001</v>
      </c>
      <c r="AM1178" s="27">
        <v>32.702947999999999</v>
      </c>
      <c r="AO1178" s="29">
        <v>6.7483930000000001</v>
      </c>
      <c r="AP1178" s="28"/>
    </row>
    <row r="1179" spans="2:42" hidden="1" outlineLevel="1" x14ac:dyDescent="0.25">
      <c r="B1179" s="21">
        <v>43504</v>
      </c>
      <c r="C1179" s="27">
        <v>19.081128</v>
      </c>
      <c r="E1179" s="30">
        <v>0.88232500000000003</v>
      </c>
      <c r="G1179" s="27">
        <v>37.830612000000002</v>
      </c>
      <c r="I1179" s="29">
        <v>6.9157080000000004</v>
      </c>
      <c r="K1179" s="29">
        <v>3.7217349999999998</v>
      </c>
      <c r="M1179" s="41">
        <v>657.95494599999995</v>
      </c>
      <c r="O1179" s="26">
        <v>3113.2122629999999</v>
      </c>
      <c r="Q1179" s="26">
        <v>6035.505185</v>
      </c>
      <c r="S1179" s="26">
        <v>1621.6990539999999</v>
      </c>
      <c r="U1179" s="29">
        <v>3.3227850000000001</v>
      </c>
      <c r="W1179" s="14">
        <v>32.566082000000002</v>
      </c>
      <c r="Y1179" s="29">
        <v>8.7502580000000005</v>
      </c>
      <c r="AA1179" s="41">
        <v>613.29536199999995</v>
      </c>
      <c r="AC1179" s="27">
        <v>50.557093999999999</v>
      </c>
      <c r="AE1179" s="27">
        <v>1</v>
      </c>
      <c r="AG1179" s="29">
        <v>7.7548519999999996</v>
      </c>
      <c r="AI1179" s="29">
        <v>8.75</v>
      </c>
      <c r="AK1179" s="27">
        <v>24.407074000000001</v>
      </c>
      <c r="AM1179" s="27">
        <v>32.665388</v>
      </c>
      <c r="AO1179" s="29">
        <v>6.747967</v>
      </c>
      <c r="AP1179" s="28"/>
    </row>
    <row r="1180" spans="2:42" hidden="1" outlineLevel="1" x14ac:dyDescent="0.25">
      <c r="B1180" s="21">
        <v>43505</v>
      </c>
      <c r="C1180" s="27">
        <v>19.077269999999999</v>
      </c>
      <c r="E1180" s="30">
        <v>0.88322900000000004</v>
      </c>
      <c r="G1180" s="27">
        <v>37.832000000000001</v>
      </c>
      <c r="I1180" s="29">
        <v>6.9100250000000001</v>
      </c>
      <c r="K1180" s="29">
        <v>3.7299250000000002</v>
      </c>
      <c r="M1180" s="41">
        <v>658.08749999999998</v>
      </c>
      <c r="O1180" s="26">
        <v>3116.0749999999998</v>
      </c>
      <c r="Q1180" s="26">
        <v>6029.5749999999998</v>
      </c>
      <c r="S1180" s="26">
        <v>1616.54928</v>
      </c>
      <c r="U1180" s="29">
        <v>3.3227500000000001</v>
      </c>
      <c r="W1180" s="14">
        <v>32.601999999999997</v>
      </c>
      <c r="Y1180" s="29">
        <v>8.7406690000000005</v>
      </c>
      <c r="AA1180" s="41">
        <v>612.9375</v>
      </c>
      <c r="AC1180" s="27">
        <v>50.542499999999997</v>
      </c>
      <c r="AE1180" s="27">
        <v>1</v>
      </c>
      <c r="AG1180" s="29">
        <v>7.7534749999999999</v>
      </c>
      <c r="AI1180" s="29">
        <v>8.75</v>
      </c>
      <c r="AK1180" s="27">
        <v>24.427</v>
      </c>
      <c r="AM1180" s="27">
        <v>32.590000000000003</v>
      </c>
      <c r="AO1180" s="29">
        <v>6.7542749999999998</v>
      </c>
      <c r="AP1180" s="28"/>
    </row>
    <row r="1181" spans="2:42" hidden="1" outlineLevel="1" x14ac:dyDescent="0.25">
      <c r="B1181" s="21">
        <v>43506</v>
      </c>
      <c r="C1181" s="27">
        <v>19.07687</v>
      </c>
      <c r="E1181" s="30">
        <v>0.88324199999999997</v>
      </c>
      <c r="G1181" s="27">
        <v>37.833168000000001</v>
      </c>
      <c r="I1181" s="29">
        <v>6.9106399999999999</v>
      </c>
      <c r="K1181" s="29">
        <v>3.7300059999999999</v>
      </c>
      <c r="M1181" s="41">
        <v>658.07124599999997</v>
      </c>
      <c r="O1181" s="26">
        <v>3116.1247050000002</v>
      </c>
      <c r="Q1181" s="26">
        <v>6029.6578639999998</v>
      </c>
      <c r="S1181" s="26">
        <v>1616.542328</v>
      </c>
      <c r="U1181" s="29">
        <v>3.3229090000000001</v>
      </c>
      <c r="W1181" s="14">
        <v>32.602249999999998</v>
      </c>
      <c r="Y1181" s="29">
        <v>8.7405589999999993</v>
      </c>
      <c r="AA1181" s="41">
        <v>612.95620499999995</v>
      </c>
      <c r="AC1181" s="27">
        <v>50.544668000000001</v>
      </c>
      <c r="AE1181" s="27">
        <v>1</v>
      </c>
      <c r="AG1181" s="29">
        <v>7.7535790000000002</v>
      </c>
      <c r="AI1181" s="29">
        <v>8.75</v>
      </c>
      <c r="AK1181" s="27">
        <v>24.424992</v>
      </c>
      <c r="AM1181" s="27">
        <v>32.608803000000002</v>
      </c>
      <c r="AO1181" s="29">
        <v>6.7543680000000004</v>
      </c>
      <c r="AP1181" s="28"/>
    </row>
    <row r="1182" spans="2:42" hidden="1" outlineLevel="1" x14ac:dyDescent="0.25">
      <c r="B1182" s="21">
        <v>43507</v>
      </c>
      <c r="C1182" s="27">
        <v>19.173928</v>
      </c>
      <c r="E1182" s="30">
        <v>0.88483400000000001</v>
      </c>
      <c r="G1182" s="27">
        <v>37.951439999999998</v>
      </c>
      <c r="I1182" s="29">
        <v>6.9213420000000001</v>
      </c>
      <c r="K1182" s="29">
        <v>3.742747</v>
      </c>
      <c r="M1182" s="41">
        <v>659.93008899999995</v>
      </c>
      <c r="O1182" s="26">
        <v>3125.7615839999999</v>
      </c>
      <c r="Q1182" s="26">
        <v>6035.9897739999997</v>
      </c>
      <c r="S1182" s="26">
        <v>1612.753524</v>
      </c>
      <c r="U1182" s="29">
        <v>3.3266119999999999</v>
      </c>
      <c r="W1182" s="14">
        <v>32.617548999999997</v>
      </c>
      <c r="Y1182" s="29">
        <v>8.7149999999999999</v>
      </c>
      <c r="AA1182" s="41">
        <v>612.80470700000001</v>
      </c>
      <c r="AC1182" s="27">
        <v>50.578400000000002</v>
      </c>
      <c r="AE1182" s="27">
        <v>1</v>
      </c>
      <c r="AG1182" s="29">
        <v>7.7548110000000001</v>
      </c>
      <c r="AI1182" s="29">
        <v>8.75</v>
      </c>
      <c r="AK1182" s="27">
        <v>24.406915999999999</v>
      </c>
      <c r="AM1182" s="27">
        <v>32.757390000000001</v>
      </c>
      <c r="AO1182" s="29">
        <v>6.7554730000000003</v>
      </c>
      <c r="AP1182" s="28"/>
    </row>
    <row r="1183" spans="2:42" hidden="1" outlineLevel="1" x14ac:dyDescent="0.25">
      <c r="B1183" s="21">
        <v>43508</v>
      </c>
      <c r="C1183" s="27">
        <v>19.270358000000002</v>
      </c>
      <c r="E1183" s="30">
        <v>0.88516399999999995</v>
      </c>
      <c r="G1183" s="27">
        <v>37.927945000000001</v>
      </c>
      <c r="I1183" s="29">
        <v>6.9234559999999998</v>
      </c>
      <c r="K1183" s="29">
        <v>3.737187</v>
      </c>
      <c r="M1183" s="41">
        <v>661.174126</v>
      </c>
      <c r="O1183" s="26">
        <v>3131.8219570000001</v>
      </c>
      <c r="Q1183" s="26">
        <v>6044.1328830000002</v>
      </c>
      <c r="S1183" s="26">
        <v>1617.302942</v>
      </c>
      <c r="U1183" s="29">
        <v>3.330854</v>
      </c>
      <c r="W1183" s="14">
        <v>32.627948000000004</v>
      </c>
      <c r="Y1183" s="29">
        <v>8.7306329999999992</v>
      </c>
      <c r="AA1183" s="41">
        <v>611.91933600000004</v>
      </c>
      <c r="AC1183" s="27">
        <v>50.618676000000001</v>
      </c>
      <c r="AE1183" s="27">
        <v>1</v>
      </c>
      <c r="AG1183" s="29">
        <v>7.7567409999999999</v>
      </c>
      <c r="AI1183" s="29">
        <v>8.75</v>
      </c>
      <c r="AK1183" s="27">
        <v>24.415925999999999</v>
      </c>
      <c r="AM1183" s="27">
        <v>32.768338</v>
      </c>
      <c r="AO1183" s="29">
        <v>6.7452680000000003</v>
      </c>
      <c r="AP1183" s="28"/>
    </row>
    <row r="1184" spans="2:42" hidden="1" outlineLevel="1" x14ac:dyDescent="0.25">
      <c r="B1184" s="21">
        <v>43509</v>
      </c>
      <c r="C1184" s="27">
        <v>19.319787999999999</v>
      </c>
      <c r="E1184" s="30">
        <v>0.88451400000000002</v>
      </c>
      <c r="G1184" s="27">
        <v>38.056519000000002</v>
      </c>
      <c r="I1184" s="29">
        <v>6.9149310000000002</v>
      </c>
      <c r="K1184" s="29">
        <v>3.72818</v>
      </c>
      <c r="M1184" s="41">
        <v>661.68953599999998</v>
      </c>
      <c r="O1184" s="26">
        <v>3132.0184100000001</v>
      </c>
      <c r="Q1184" s="26">
        <v>6044.061788</v>
      </c>
      <c r="S1184" s="26">
        <v>1621.190838</v>
      </c>
      <c r="U1184" s="29">
        <v>3.3306119999999999</v>
      </c>
      <c r="W1184" s="14">
        <v>32.602111999999998</v>
      </c>
      <c r="Y1184" s="29">
        <v>8.7447940000000006</v>
      </c>
      <c r="AA1184" s="41">
        <v>609.86459600000001</v>
      </c>
      <c r="AC1184" s="27">
        <v>50.576408000000001</v>
      </c>
      <c r="AE1184" s="27">
        <v>1</v>
      </c>
      <c r="AG1184" s="29">
        <v>7.7445310000000003</v>
      </c>
      <c r="AI1184" s="29">
        <v>8.75</v>
      </c>
      <c r="AK1184" s="27">
        <v>24.388390000000001</v>
      </c>
      <c r="AM1184" s="27">
        <v>32.696829000000001</v>
      </c>
      <c r="AO1184" s="29">
        <v>6.7341540000000002</v>
      </c>
      <c r="AP1184" s="28"/>
    </row>
    <row r="1185" spans="2:42" hidden="1" outlineLevel="1" x14ac:dyDescent="0.25">
      <c r="B1185" s="21">
        <v>43510</v>
      </c>
      <c r="C1185" s="27">
        <v>19.37416</v>
      </c>
      <c r="E1185" s="30">
        <v>0.88643000000000005</v>
      </c>
      <c r="G1185" s="27">
        <v>38.221573999999997</v>
      </c>
      <c r="I1185" s="29">
        <v>6.925065</v>
      </c>
      <c r="K1185" s="29">
        <v>3.7509079999999999</v>
      </c>
      <c r="M1185" s="41">
        <v>664.42982600000005</v>
      </c>
      <c r="O1185" s="26">
        <v>3144.866352</v>
      </c>
      <c r="Q1185" s="26">
        <v>6058.2404200000001</v>
      </c>
      <c r="S1185" s="26">
        <v>1615.1477299999999</v>
      </c>
      <c r="U1185" s="29">
        <v>3.3385760000000002</v>
      </c>
      <c r="W1185" s="14">
        <v>32.637990000000002</v>
      </c>
      <c r="Y1185" s="29">
        <v>8.7013739999999995</v>
      </c>
      <c r="AA1185" s="41">
        <v>611.10139700000002</v>
      </c>
      <c r="AC1185" s="27">
        <v>50.648226000000001</v>
      </c>
      <c r="AE1185" s="27">
        <v>1</v>
      </c>
      <c r="AG1185" s="29">
        <v>7.7600009999999999</v>
      </c>
      <c r="AI1185" s="29">
        <v>8.75</v>
      </c>
      <c r="AK1185" s="27">
        <v>24.450040000000001</v>
      </c>
      <c r="AM1185" s="27">
        <v>32.781973999999998</v>
      </c>
      <c r="AO1185" s="29">
        <v>6.761628</v>
      </c>
      <c r="AP1185" s="28"/>
    </row>
    <row r="1186" spans="2:42" hidden="1" outlineLevel="1" x14ac:dyDescent="0.25">
      <c r="B1186" s="21">
        <v>43511</v>
      </c>
      <c r="C1186" s="27">
        <v>19.285337999999999</v>
      </c>
      <c r="E1186" s="30">
        <v>0.88633099999999998</v>
      </c>
      <c r="G1186" s="27">
        <v>38.323509000000001</v>
      </c>
      <c r="I1186" s="29">
        <v>6.9175700000000004</v>
      </c>
      <c r="K1186" s="29">
        <v>3.7170200000000002</v>
      </c>
      <c r="M1186" s="41">
        <v>663.69951200000003</v>
      </c>
      <c r="O1186" s="26">
        <v>3142.4081200000001</v>
      </c>
      <c r="Q1186" s="26">
        <v>6050.1941889999998</v>
      </c>
      <c r="S1186" s="26">
        <v>1627.708046</v>
      </c>
      <c r="U1186" s="29">
        <v>3.3331550000000001</v>
      </c>
      <c r="W1186" s="14">
        <v>32.608266999999998</v>
      </c>
      <c r="Y1186" s="29">
        <v>8.7727059999999994</v>
      </c>
      <c r="AA1186" s="41">
        <v>610.01412800000003</v>
      </c>
      <c r="AC1186" s="27">
        <v>50.585579000000003</v>
      </c>
      <c r="AE1186" s="27">
        <v>1</v>
      </c>
      <c r="AG1186" s="29">
        <v>7.7431559999999999</v>
      </c>
      <c r="AI1186" s="29">
        <v>8.75</v>
      </c>
      <c r="AK1186" s="27">
        <v>24.407968</v>
      </c>
      <c r="AM1186" s="27">
        <v>32.723306000000001</v>
      </c>
      <c r="AO1186" s="29">
        <v>6.7648780000000004</v>
      </c>
      <c r="AP1186" s="28"/>
    </row>
    <row r="1187" spans="2:42" hidden="1" outlineLevel="1" x14ac:dyDescent="0.25">
      <c r="B1187" s="21">
        <v>43512</v>
      </c>
      <c r="C1187" s="27">
        <v>19.251214999999998</v>
      </c>
      <c r="E1187" s="30">
        <v>0.88523799999999997</v>
      </c>
      <c r="G1187" s="27">
        <v>38.6175</v>
      </c>
      <c r="I1187" s="29">
        <v>6.9194250000000004</v>
      </c>
      <c r="K1187" s="29">
        <v>3.701425</v>
      </c>
      <c r="M1187" s="41">
        <v>661.875</v>
      </c>
      <c r="O1187" s="26">
        <v>3133.75</v>
      </c>
      <c r="Q1187" s="26">
        <v>6061.95</v>
      </c>
      <c r="S1187" s="26">
        <v>1637.7455359999999</v>
      </c>
      <c r="U1187" s="29">
        <v>3.3308249999999999</v>
      </c>
      <c r="W1187" s="14">
        <v>32.619999999999997</v>
      </c>
      <c r="Y1187" s="29">
        <v>8.812837</v>
      </c>
      <c r="AA1187" s="41">
        <v>610.07749999999999</v>
      </c>
      <c r="AC1187" s="27">
        <v>50.6</v>
      </c>
      <c r="AE1187" s="27">
        <v>1</v>
      </c>
      <c r="AG1187" s="29">
        <v>7.745425</v>
      </c>
      <c r="AI1187" s="29">
        <v>8.75</v>
      </c>
      <c r="AK1187" s="27">
        <v>24.452000000000002</v>
      </c>
      <c r="AM1187" s="27">
        <v>32.714750000000002</v>
      </c>
      <c r="AO1187" s="29">
        <v>6.7616250000000004</v>
      </c>
      <c r="AP1187" s="28"/>
    </row>
    <row r="1188" spans="2:42" hidden="1" outlineLevel="1" x14ac:dyDescent="0.25">
      <c r="B1188" s="21">
        <v>43513</v>
      </c>
      <c r="C1188" s="27">
        <v>19.252435999999999</v>
      </c>
      <c r="E1188" s="30">
        <v>0.88526700000000003</v>
      </c>
      <c r="G1188" s="27">
        <v>38.617372000000003</v>
      </c>
      <c r="I1188" s="29">
        <v>6.9194250000000004</v>
      </c>
      <c r="K1188" s="29">
        <v>3.7016810000000002</v>
      </c>
      <c r="M1188" s="41">
        <v>661.87857399999996</v>
      </c>
      <c r="O1188" s="26">
        <v>3133.7604889999998</v>
      </c>
      <c r="Q1188" s="26">
        <v>6061.95</v>
      </c>
      <c r="S1188" s="26">
        <v>1637.6437000000001</v>
      </c>
      <c r="U1188" s="29">
        <v>3.3312840000000001</v>
      </c>
      <c r="W1188" s="14">
        <v>32.619999999999997</v>
      </c>
      <c r="Y1188" s="29">
        <v>8.812246</v>
      </c>
      <c r="AA1188" s="41">
        <v>610.07171400000004</v>
      </c>
      <c r="AC1188" s="27">
        <v>50.599553</v>
      </c>
      <c r="AE1188" s="27">
        <v>1</v>
      </c>
      <c r="AG1188" s="29">
        <v>7.745425</v>
      </c>
      <c r="AI1188" s="29">
        <v>8.75</v>
      </c>
      <c r="AK1188" s="27">
        <v>24.455988999999999</v>
      </c>
      <c r="AM1188" s="27">
        <v>32.714945999999998</v>
      </c>
      <c r="AO1188" s="29">
        <v>6.7616250000000004</v>
      </c>
      <c r="AP1188" s="28"/>
    </row>
    <row r="1189" spans="2:42" hidden="1" outlineLevel="1" x14ac:dyDescent="0.25">
      <c r="B1189" s="21">
        <v>43514</v>
      </c>
      <c r="C1189" s="27">
        <v>19.242854000000001</v>
      </c>
      <c r="E1189" s="30">
        <v>0.88388500000000003</v>
      </c>
      <c r="G1189" s="27">
        <v>38.653350000000003</v>
      </c>
      <c r="I1189" s="29">
        <v>6.9165840000000003</v>
      </c>
      <c r="K1189" s="29">
        <v>3.7176040000000001</v>
      </c>
      <c r="M1189" s="41">
        <v>661.36206600000003</v>
      </c>
      <c r="O1189" s="26">
        <v>3134.8141500000002</v>
      </c>
      <c r="Q1189" s="26">
        <v>6055.9899079999996</v>
      </c>
      <c r="S1189" s="26">
        <v>1629.010906</v>
      </c>
      <c r="U1189" s="29">
        <v>3.3303799999999999</v>
      </c>
      <c r="W1189" s="14">
        <v>32.595117999999999</v>
      </c>
      <c r="Y1189" s="29">
        <v>8.7677940000000003</v>
      </c>
      <c r="AA1189" s="41">
        <v>609.48567200000002</v>
      </c>
      <c r="AC1189" s="27">
        <v>50.543151000000002</v>
      </c>
      <c r="AE1189" s="27">
        <v>1</v>
      </c>
      <c r="AG1189" s="29">
        <v>7.7422490000000002</v>
      </c>
      <c r="AI1189" s="29">
        <v>8.75</v>
      </c>
      <c r="AK1189" s="27">
        <v>24.377265999999999</v>
      </c>
      <c r="AM1189" s="27">
        <v>32.710441000000003</v>
      </c>
      <c r="AO1189" s="29">
        <v>6.7589880000000004</v>
      </c>
      <c r="AP1189" s="28"/>
    </row>
    <row r="1190" spans="2:42" hidden="1" outlineLevel="1" x14ac:dyDescent="0.25">
      <c r="B1190" s="21">
        <v>43515</v>
      </c>
      <c r="C1190" s="27">
        <v>19.224404</v>
      </c>
      <c r="E1190" s="30">
        <v>0.88378000000000001</v>
      </c>
      <c r="G1190" s="27">
        <v>38.906371999999998</v>
      </c>
      <c r="I1190" s="29">
        <v>6.926069</v>
      </c>
      <c r="K1190" s="29">
        <v>3.7260719999999998</v>
      </c>
      <c r="M1190" s="41">
        <v>658.97345499999994</v>
      </c>
      <c r="O1190" s="26">
        <v>3126.1477960000002</v>
      </c>
      <c r="Q1190" s="26">
        <v>6065.6138499999997</v>
      </c>
      <c r="S1190" s="26">
        <v>1627.8926859999999</v>
      </c>
      <c r="U1190" s="29">
        <v>3.3248139999999999</v>
      </c>
      <c r="W1190" s="14">
        <v>32.630338000000002</v>
      </c>
      <c r="Y1190" s="29">
        <v>8.7573240000000006</v>
      </c>
      <c r="AA1190" s="41">
        <v>610.387158</v>
      </c>
      <c r="AC1190" s="27">
        <v>50.603878999999999</v>
      </c>
      <c r="AE1190" s="27">
        <v>1</v>
      </c>
      <c r="AG1190" s="29">
        <v>7.7392560000000001</v>
      </c>
      <c r="AI1190" s="29">
        <v>8.75</v>
      </c>
      <c r="AK1190" s="27">
        <v>24.431621</v>
      </c>
      <c r="AM1190" s="27">
        <v>32.750908000000003</v>
      </c>
      <c r="AO1190" s="29">
        <v>6.7718740000000004</v>
      </c>
      <c r="AP1190" s="28"/>
    </row>
    <row r="1191" spans="2:42" hidden="1" outlineLevel="1" x14ac:dyDescent="0.25">
      <c r="B1191" s="21">
        <v>43516</v>
      </c>
      <c r="C1191" s="27">
        <v>19.175543000000001</v>
      </c>
      <c r="E1191" s="30">
        <v>0.88138399999999995</v>
      </c>
      <c r="G1191" s="27">
        <v>39.525078000000001</v>
      </c>
      <c r="I1191" s="29">
        <v>6.916334</v>
      </c>
      <c r="K1191" s="29">
        <v>3.7215060000000002</v>
      </c>
      <c r="M1191" s="41">
        <v>654.66463599999997</v>
      </c>
      <c r="O1191" s="26">
        <v>3114.0134800000001</v>
      </c>
      <c r="Q1191" s="26">
        <v>6065.4056959999998</v>
      </c>
      <c r="S1191" s="26">
        <v>1629.83438</v>
      </c>
      <c r="U1191" s="29">
        <v>3.3175880000000002</v>
      </c>
      <c r="W1191" s="14">
        <v>32.614159999999998</v>
      </c>
      <c r="Y1191" s="29">
        <v>8.7637180000000008</v>
      </c>
      <c r="AA1191" s="41">
        <v>609.18077400000004</v>
      </c>
      <c r="AC1191" s="27">
        <v>50.547688999999998</v>
      </c>
      <c r="AE1191" s="27">
        <v>1</v>
      </c>
      <c r="AG1191" s="29">
        <v>7.7100400000000002</v>
      </c>
      <c r="AI1191" s="29">
        <v>8.75</v>
      </c>
      <c r="AK1191" s="27">
        <v>24.442815</v>
      </c>
      <c r="AM1191" s="27">
        <v>32.643836</v>
      </c>
      <c r="AO1191" s="29">
        <v>6.7683460000000002</v>
      </c>
      <c r="AP1191" s="28"/>
    </row>
    <row r="1192" spans="2:42" hidden="1" outlineLevel="1" x14ac:dyDescent="0.25">
      <c r="B1192" s="21">
        <v>43517</v>
      </c>
      <c r="C1192" s="27">
        <v>19.249876</v>
      </c>
      <c r="E1192" s="30">
        <v>0.88181600000000004</v>
      </c>
      <c r="G1192" s="27">
        <v>39.636952999999998</v>
      </c>
      <c r="I1192" s="29">
        <v>6.9213279999999999</v>
      </c>
      <c r="K1192" s="29">
        <v>3.741438</v>
      </c>
      <c r="M1192" s="41">
        <v>653.83428600000002</v>
      </c>
      <c r="O1192" s="26">
        <v>3116.202378</v>
      </c>
      <c r="Q1192" s="26">
        <v>6081.2687850000002</v>
      </c>
      <c r="S1192" s="26">
        <v>1625.3907489999999</v>
      </c>
      <c r="U1192" s="29">
        <v>3.3206000000000002</v>
      </c>
      <c r="W1192" s="14">
        <v>32.658050000000003</v>
      </c>
      <c r="Y1192" s="29">
        <v>8.7287579999999991</v>
      </c>
      <c r="AA1192" s="41">
        <v>609.99507900000003</v>
      </c>
      <c r="AC1192" s="27">
        <v>50.600791000000001</v>
      </c>
      <c r="AE1192" s="27">
        <v>1</v>
      </c>
      <c r="AG1192" s="29">
        <v>7.7186000000000003</v>
      </c>
      <c r="AI1192" s="29">
        <v>8.75</v>
      </c>
      <c r="AK1192" s="27">
        <v>24.416504</v>
      </c>
      <c r="AM1192" s="27">
        <v>32.726081999999998</v>
      </c>
      <c r="AO1192" s="29">
        <v>6.7811459999999997</v>
      </c>
      <c r="AP1192" s="28"/>
    </row>
    <row r="1193" spans="2:42" hidden="1" outlineLevel="1" x14ac:dyDescent="0.25">
      <c r="B1193" s="21">
        <v>43518</v>
      </c>
      <c r="C1193" s="27">
        <v>19.217254000000001</v>
      </c>
      <c r="E1193" s="30">
        <v>0.88197000000000003</v>
      </c>
      <c r="G1193" s="27">
        <v>39.382666999999998</v>
      </c>
      <c r="I1193" s="29">
        <v>6.9235220000000002</v>
      </c>
      <c r="K1193" s="29">
        <v>3.7554029999999998</v>
      </c>
      <c r="M1193" s="41">
        <v>652.79644099999996</v>
      </c>
      <c r="O1193" s="26">
        <v>3116.765496</v>
      </c>
      <c r="Q1193" s="26">
        <v>6097.4254639999999</v>
      </c>
      <c r="S1193" s="26">
        <v>1623.649128</v>
      </c>
      <c r="U1193" s="29">
        <v>3.3142339999999999</v>
      </c>
      <c r="W1193" s="14">
        <v>32.701427000000002</v>
      </c>
      <c r="Y1193" s="29">
        <v>8.7078509999999998</v>
      </c>
      <c r="AA1193" s="41">
        <v>610.15792399999998</v>
      </c>
      <c r="AC1193" s="27">
        <v>50.627996000000003</v>
      </c>
      <c r="AE1193" s="27">
        <v>1</v>
      </c>
      <c r="AG1193" s="29">
        <v>7.7224199999999996</v>
      </c>
      <c r="AI1193" s="29">
        <v>8.75</v>
      </c>
      <c r="AK1193" s="27">
        <v>24.437646999999998</v>
      </c>
      <c r="AM1193" s="27">
        <v>32.755285999999998</v>
      </c>
      <c r="AO1193" s="29">
        <v>6.7827500000000001</v>
      </c>
      <c r="AP1193" s="28"/>
    </row>
    <row r="1194" spans="2:42" hidden="1" outlineLevel="1" x14ac:dyDescent="0.25">
      <c r="B1194" s="21">
        <v>43519</v>
      </c>
      <c r="C1194" s="27">
        <v>19.14545</v>
      </c>
      <c r="E1194" s="30">
        <v>0.88234000000000001</v>
      </c>
      <c r="G1194" s="27">
        <v>39.1935</v>
      </c>
      <c r="I1194" s="29">
        <v>6.9244250000000003</v>
      </c>
      <c r="K1194" s="29">
        <v>3.7490250000000001</v>
      </c>
      <c r="M1194" s="41">
        <v>651.27750000000003</v>
      </c>
      <c r="O1194" s="26">
        <v>3108.25</v>
      </c>
      <c r="Q1194" s="26">
        <v>6098.6750000000002</v>
      </c>
      <c r="S1194" s="26">
        <v>1626.748186</v>
      </c>
      <c r="U1194" s="29">
        <v>3.3065000000000002</v>
      </c>
      <c r="W1194" s="14">
        <v>32.722499999999997</v>
      </c>
      <c r="Y1194" s="29">
        <v>8.7282840000000004</v>
      </c>
      <c r="AA1194" s="41">
        <v>610.02499999999998</v>
      </c>
      <c r="AC1194" s="27">
        <v>50.602499999999999</v>
      </c>
      <c r="AE1194" s="27">
        <v>1</v>
      </c>
      <c r="AG1194" s="29">
        <v>7.7203499999999998</v>
      </c>
      <c r="AI1194" s="29">
        <v>8.75</v>
      </c>
      <c r="AK1194" s="27">
        <v>24.46</v>
      </c>
      <c r="AM1194" s="27">
        <v>32.684750000000001</v>
      </c>
      <c r="AO1194" s="29">
        <v>6.7770250000000001</v>
      </c>
      <c r="AP1194" s="28"/>
    </row>
    <row r="1195" spans="2:42" hidden="1" outlineLevel="1" x14ac:dyDescent="0.25">
      <c r="B1195" s="21">
        <v>43520</v>
      </c>
      <c r="C1195" s="27">
        <v>19.145305</v>
      </c>
      <c r="E1195" s="30">
        <v>0.88231700000000002</v>
      </c>
      <c r="G1195" s="27">
        <v>39.219244000000003</v>
      </c>
      <c r="I1195" s="29">
        <v>6.9242249999999999</v>
      </c>
      <c r="K1195" s="29">
        <v>3.7489159999999999</v>
      </c>
      <c r="M1195" s="41">
        <v>651.27687600000002</v>
      </c>
      <c r="O1195" s="26">
        <v>3108.2534839999998</v>
      </c>
      <c r="Q1195" s="26">
        <v>6098.6099610000001</v>
      </c>
      <c r="S1195" s="26">
        <v>1626.786118</v>
      </c>
      <c r="U1195" s="29">
        <v>3.3067540000000002</v>
      </c>
      <c r="W1195" s="14">
        <v>32.722008000000002</v>
      </c>
      <c r="Y1195" s="29">
        <v>8.7284240000000004</v>
      </c>
      <c r="AA1195" s="41">
        <v>609.97702400000003</v>
      </c>
      <c r="AC1195" s="27">
        <v>50.602158000000003</v>
      </c>
      <c r="AE1195" s="27">
        <v>1</v>
      </c>
      <c r="AG1195" s="29">
        <v>7.7202539999999997</v>
      </c>
      <c r="AI1195" s="29">
        <v>8.75</v>
      </c>
      <c r="AK1195" s="27">
        <v>24.457058</v>
      </c>
      <c r="AM1195" s="27">
        <v>32.695996999999998</v>
      </c>
      <c r="AO1195" s="29">
        <v>6.7769550000000001</v>
      </c>
      <c r="AP1195" s="28"/>
    </row>
    <row r="1196" spans="2:42" hidden="1" outlineLevel="1" x14ac:dyDescent="0.25">
      <c r="B1196" s="21">
        <v>43521</v>
      </c>
      <c r="C1196" s="27">
        <v>19.114106</v>
      </c>
      <c r="E1196" s="30">
        <v>0.88092400000000004</v>
      </c>
      <c r="G1196" s="27">
        <v>39.105490000000003</v>
      </c>
      <c r="I1196" s="29">
        <v>6.9196720000000003</v>
      </c>
      <c r="K1196" s="29">
        <v>3.7445620000000002</v>
      </c>
      <c r="M1196" s="41">
        <v>650.40401599999996</v>
      </c>
      <c r="O1196" s="26">
        <v>3108.9313849999999</v>
      </c>
      <c r="Q1196" s="26">
        <v>6095.829393</v>
      </c>
      <c r="S1196" s="26">
        <v>1627.936074</v>
      </c>
      <c r="U1196" s="29">
        <v>3.3078479999999999</v>
      </c>
      <c r="W1196" s="14">
        <v>32.715842000000002</v>
      </c>
      <c r="Y1196" s="29">
        <v>8.7369579999999996</v>
      </c>
      <c r="AA1196" s="41">
        <v>609.52711399999998</v>
      </c>
      <c r="AC1196" s="27">
        <v>50.595405999999997</v>
      </c>
      <c r="AE1196" s="27">
        <v>1</v>
      </c>
      <c r="AG1196" s="29">
        <v>7.7164820000000001</v>
      </c>
      <c r="AI1196" s="29">
        <v>8.75</v>
      </c>
      <c r="AK1196" s="27">
        <v>24.426582</v>
      </c>
      <c r="AM1196" s="27">
        <v>32.760145999999999</v>
      </c>
      <c r="AO1196" s="29">
        <v>6.7765599999999999</v>
      </c>
      <c r="AP1196" s="28"/>
    </row>
    <row r="1197" spans="2:42" hidden="1" outlineLevel="1" x14ac:dyDescent="0.25">
      <c r="B1197" s="21">
        <v>43522</v>
      </c>
      <c r="C1197" s="27">
        <v>19.160388000000001</v>
      </c>
      <c r="E1197" s="30">
        <v>0.87963800000000003</v>
      </c>
      <c r="G1197" s="27">
        <v>38.981028000000002</v>
      </c>
      <c r="I1197" s="29">
        <v>6.920102</v>
      </c>
      <c r="K1197" s="29">
        <v>3.7517740000000002</v>
      </c>
      <c r="M1197" s="41">
        <v>649.73367099999996</v>
      </c>
      <c r="O1197" s="26">
        <v>3097.523522</v>
      </c>
      <c r="Q1197" s="26">
        <v>6084.5712860000003</v>
      </c>
      <c r="S1197" s="26">
        <v>1621.79331</v>
      </c>
      <c r="U1197" s="29">
        <v>3.3082310000000001</v>
      </c>
      <c r="W1197" s="14">
        <v>32.704028000000001</v>
      </c>
      <c r="Y1197" s="29">
        <v>8.7169679999999996</v>
      </c>
      <c r="AA1197" s="41">
        <v>609.32943</v>
      </c>
      <c r="AC1197" s="27">
        <v>50.617392000000002</v>
      </c>
      <c r="AE1197" s="27">
        <v>1</v>
      </c>
      <c r="AG1197" s="29">
        <v>7.7148700000000003</v>
      </c>
      <c r="AI1197" s="29">
        <v>8.75</v>
      </c>
      <c r="AK1197" s="27">
        <v>24.446846000000001</v>
      </c>
      <c r="AM1197" s="27">
        <v>32.753891000000003</v>
      </c>
      <c r="AO1197" s="29">
        <v>6.7690200000000003</v>
      </c>
      <c r="AP1197" s="28"/>
    </row>
    <row r="1198" spans="2:42" hidden="1" outlineLevel="1" x14ac:dyDescent="0.25">
      <c r="B1198" s="21">
        <v>43523</v>
      </c>
      <c r="C1198" s="27">
        <v>19.183684</v>
      </c>
      <c r="E1198" s="30">
        <v>0.87865000000000004</v>
      </c>
      <c r="G1198" s="27">
        <v>38.832940000000001</v>
      </c>
      <c r="I1198" s="29">
        <v>6.9191820000000002</v>
      </c>
      <c r="K1198" s="29">
        <v>3.741044</v>
      </c>
      <c r="M1198" s="41">
        <v>648.889768</v>
      </c>
      <c r="O1198" s="26">
        <v>3080.1046430000001</v>
      </c>
      <c r="Q1198" s="26">
        <v>6087.9482019999996</v>
      </c>
      <c r="S1198" s="26">
        <v>1627.3473180000001</v>
      </c>
      <c r="U1198" s="29">
        <v>3.3047260000000001</v>
      </c>
      <c r="W1198" s="14">
        <v>32.678213999999997</v>
      </c>
      <c r="Y1198" s="29">
        <v>8.7350680000000001</v>
      </c>
      <c r="AA1198" s="41">
        <v>609.15974600000004</v>
      </c>
      <c r="AC1198" s="27">
        <v>50.569270000000003</v>
      </c>
      <c r="AE1198" s="27">
        <v>1</v>
      </c>
      <c r="AG1198" s="29">
        <v>7.709784</v>
      </c>
      <c r="AI1198" s="29">
        <v>8.75</v>
      </c>
      <c r="AK1198" s="27">
        <v>24.429836000000002</v>
      </c>
      <c r="AM1198" s="27">
        <v>32.714393999999999</v>
      </c>
      <c r="AO1198" s="29">
        <v>6.7557999999999998</v>
      </c>
      <c r="AP1198" s="28"/>
    </row>
    <row r="1199" spans="2:42" hidden="1" outlineLevel="1" x14ac:dyDescent="0.25">
      <c r="B1199" s="21">
        <v>43524</v>
      </c>
      <c r="C1199" s="49">
        <v>19.220099999999999</v>
      </c>
      <c r="E1199" s="30">
        <v>0.87851599999999996</v>
      </c>
      <c r="G1199" s="27">
        <v>38.910352000000003</v>
      </c>
      <c r="I1199" s="29">
        <v>6.9232680000000002</v>
      </c>
      <c r="K1199" s="29">
        <v>3.737136</v>
      </c>
      <c r="M1199" s="41">
        <v>651.68149900000003</v>
      </c>
      <c r="O1199" s="26">
        <v>3076.6128469999999</v>
      </c>
      <c r="Q1199" s="26">
        <v>6102.9754830000002</v>
      </c>
      <c r="S1199" s="26">
        <v>1633.0705579999999</v>
      </c>
      <c r="U1199" s="29">
        <v>3.3035329999999998</v>
      </c>
      <c r="W1199" s="14">
        <v>32.712322999999998</v>
      </c>
      <c r="Y1199" s="29">
        <v>8.7533300000000001</v>
      </c>
      <c r="AA1199" s="41">
        <v>609.199164</v>
      </c>
      <c r="AC1199" s="27">
        <v>50.606994999999998</v>
      </c>
      <c r="AE1199" s="27">
        <v>1</v>
      </c>
      <c r="AG1199" s="29">
        <v>7.71591</v>
      </c>
      <c r="AI1199" s="29">
        <v>8.75</v>
      </c>
      <c r="AK1199" s="27">
        <v>24.458477999999999</v>
      </c>
      <c r="AM1199" s="27">
        <v>32.751426000000002</v>
      </c>
      <c r="AO1199" s="29">
        <v>6.762448</v>
      </c>
      <c r="AP1199" s="28"/>
    </row>
    <row r="1200" spans="2:42" ht="13" collapsed="1" x14ac:dyDescent="0.3">
      <c r="B1200" s="25" t="s">
        <v>176</v>
      </c>
      <c r="C1200" s="19">
        <v>19.177099999999999</v>
      </c>
      <c r="E1200" s="24">
        <v>0.88104700000000002</v>
      </c>
      <c r="G1200" s="19">
        <v>38.304900000000004</v>
      </c>
      <c r="I1200" s="23">
        <v>6.9198000000000004</v>
      </c>
      <c r="J1200" s="9"/>
      <c r="K1200" s="23">
        <v>3.7178100000000001</v>
      </c>
      <c r="M1200" s="42">
        <v>656.16300000000001</v>
      </c>
      <c r="O1200" s="31">
        <v>3113</v>
      </c>
      <c r="Q1200" s="31">
        <v>6059.32</v>
      </c>
      <c r="S1200" s="31">
        <v>1629.9</v>
      </c>
      <c r="U1200" s="23">
        <v>3.3224200000000002</v>
      </c>
      <c r="W1200" s="23">
        <v>32.6188</v>
      </c>
      <c r="Y1200" s="23">
        <v>8.7741799999999994</v>
      </c>
      <c r="AA1200" s="42">
        <v>610.95399999999995</v>
      </c>
      <c r="AC1200" s="19">
        <v>50.572600000000001</v>
      </c>
      <c r="AE1200" s="19">
        <v>1</v>
      </c>
      <c r="AG1200" s="23">
        <v>7.7433500000000004</v>
      </c>
      <c r="AI1200" s="23">
        <v>8.75</v>
      </c>
      <c r="AK1200" s="19">
        <v>24.422499999999999</v>
      </c>
      <c r="AM1200" s="19">
        <v>32.697099999999999</v>
      </c>
      <c r="AO1200" s="23">
        <v>6.7656999999999998</v>
      </c>
      <c r="AP1200" s="10"/>
    </row>
    <row r="1201" spans="2:42" hidden="1" outlineLevel="1" x14ac:dyDescent="0.25">
      <c r="B1201" s="21">
        <v>43525</v>
      </c>
      <c r="C1201" s="27">
        <v>19.2607</v>
      </c>
      <c r="E1201" s="30">
        <v>0.87941599999999998</v>
      </c>
      <c r="G1201" s="27">
        <v>39.370854000000001</v>
      </c>
      <c r="I1201" s="29">
        <v>6.9237140000000004</v>
      </c>
      <c r="K1201" s="29">
        <v>3.7642910000000001</v>
      </c>
      <c r="M1201" s="41">
        <v>657.02571399999999</v>
      </c>
      <c r="O1201" s="26">
        <v>3085.811248</v>
      </c>
      <c r="Q1201" s="26">
        <v>6102.6033699999998</v>
      </c>
      <c r="S1201" s="26">
        <v>1621.1934240000001</v>
      </c>
      <c r="U1201" s="29">
        <v>3.3053180000000002</v>
      </c>
      <c r="W1201" s="14">
        <v>32.714872</v>
      </c>
      <c r="Y1201" s="29">
        <v>8.6908670000000008</v>
      </c>
      <c r="AA1201" s="41">
        <v>608.65801199999999</v>
      </c>
      <c r="AC1201" s="27">
        <v>50.654595999999998</v>
      </c>
      <c r="AE1201" s="27">
        <v>1</v>
      </c>
      <c r="AG1201" s="29">
        <v>7.7171640000000004</v>
      </c>
      <c r="AI1201" s="29">
        <v>8.75</v>
      </c>
      <c r="AK1201" s="27">
        <v>24.474713999999999</v>
      </c>
      <c r="AM1201" s="27">
        <v>32.801760000000002</v>
      </c>
      <c r="AO1201" s="29">
        <v>6.769158</v>
      </c>
      <c r="AP1201" s="28"/>
    </row>
    <row r="1202" spans="2:42" hidden="1" outlineLevel="1" x14ac:dyDescent="0.25">
      <c r="B1202" s="21">
        <v>43526</v>
      </c>
      <c r="C1202" s="27">
        <v>19.2607</v>
      </c>
      <c r="E1202" s="30">
        <v>0.87991799999999998</v>
      </c>
      <c r="G1202" s="27">
        <v>39.838000000000001</v>
      </c>
      <c r="I1202" s="29">
        <v>6.9171250000000004</v>
      </c>
      <c r="K1202" s="29">
        <v>3.7758750000000001</v>
      </c>
      <c r="M1202" s="41">
        <v>659.77499999999998</v>
      </c>
      <c r="O1202" s="26">
        <v>3096.1750000000002</v>
      </c>
      <c r="Q1202" s="26">
        <v>6078.9</v>
      </c>
      <c r="S1202" s="26">
        <v>1609.942356</v>
      </c>
      <c r="U1202" s="29">
        <v>3.3067500000000001</v>
      </c>
      <c r="W1202" s="14">
        <v>32.69</v>
      </c>
      <c r="Y1202" s="29">
        <v>8.65761</v>
      </c>
      <c r="AA1202" s="41">
        <v>606.51499999999999</v>
      </c>
      <c r="AC1202" s="27">
        <v>50.65</v>
      </c>
      <c r="AE1202" s="27">
        <v>1</v>
      </c>
      <c r="AG1202" s="29">
        <v>7.7073499999999999</v>
      </c>
      <c r="AI1202" s="29">
        <v>8.75</v>
      </c>
      <c r="AK1202" s="27">
        <v>24.47</v>
      </c>
      <c r="AM1202" s="27">
        <v>32.700000000000003</v>
      </c>
      <c r="AO1202" s="29">
        <v>6.7798749999999997</v>
      </c>
      <c r="AP1202" s="28"/>
    </row>
    <row r="1203" spans="2:42" hidden="1" outlineLevel="1" x14ac:dyDescent="0.25">
      <c r="B1203" s="21">
        <v>43527</v>
      </c>
      <c r="C1203" s="27">
        <v>19.2607</v>
      </c>
      <c r="E1203" s="30">
        <v>0.87983800000000001</v>
      </c>
      <c r="G1203" s="27">
        <v>39.836862000000004</v>
      </c>
      <c r="I1203" s="29">
        <v>6.9171250000000004</v>
      </c>
      <c r="K1203" s="29">
        <v>3.775763</v>
      </c>
      <c r="M1203" s="41">
        <v>659.77499999999998</v>
      </c>
      <c r="O1203" s="26">
        <v>3096.171722</v>
      </c>
      <c r="Q1203" s="26">
        <v>6078.9</v>
      </c>
      <c r="S1203" s="26">
        <v>1610.0008640000001</v>
      </c>
      <c r="U1203" s="29">
        <v>3.3067449999999998</v>
      </c>
      <c r="W1203" s="14">
        <v>32.69</v>
      </c>
      <c r="Y1203" s="29">
        <v>8.6578839999999992</v>
      </c>
      <c r="AA1203" s="41">
        <v>606.62199899999996</v>
      </c>
      <c r="AC1203" s="27">
        <v>50.646976000000002</v>
      </c>
      <c r="AE1203" s="27">
        <v>1</v>
      </c>
      <c r="AG1203" s="29">
        <v>7.7073499999999999</v>
      </c>
      <c r="AI1203" s="29">
        <v>8.75</v>
      </c>
      <c r="AK1203" s="27">
        <v>24.471366</v>
      </c>
      <c r="AM1203" s="27">
        <v>32.699060000000003</v>
      </c>
      <c r="AO1203" s="29">
        <v>6.7798749999999997</v>
      </c>
      <c r="AP1203" s="28"/>
    </row>
    <row r="1204" spans="2:42" hidden="1" outlineLevel="1" x14ac:dyDescent="0.25">
      <c r="B1204" s="21">
        <v>43528</v>
      </c>
      <c r="C1204" s="27">
        <v>19.297799999999999</v>
      </c>
      <c r="E1204" s="30">
        <v>0.88142200000000004</v>
      </c>
      <c r="G1204" s="27">
        <v>39.837378999999999</v>
      </c>
      <c r="I1204" s="29">
        <v>6.9226219999999996</v>
      </c>
      <c r="K1204" s="29">
        <v>3.7751980000000001</v>
      </c>
      <c r="M1204" s="41">
        <v>659.714608</v>
      </c>
      <c r="O1204" s="26">
        <v>3092.5794259999998</v>
      </c>
      <c r="Q1204" s="26">
        <v>6076.6308040000004</v>
      </c>
      <c r="S1204" s="26">
        <v>1609.6292960000001</v>
      </c>
      <c r="U1204" s="29">
        <v>3.309294</v>
      </c>
      <c r="W1204" s="14">
        <v>32.704324</v>
      </c>
      <c r="Y1204" s="29">
        <v>8.6629660000000008</v>
      </c>
      <c r="AA1204" s="41">
        <v>607.44745999999998</v>
      </c>
      <c r="AC1204" s="27">
        <v>50.634391999999998</v>
      </c>
      <c r="AE1204" s="27">
        <v>1</v>
      </c>
      <c r="AG1204" s="29">
        <v>7.7085600000000003</v>
      </c>
      <c r="AI1204" s="29">
        <v>8.75</v>
      </c>
      <c r="AK1204" s="27">
        <v>24.443062999999999</v>
      </c>
      <c r="AM1204" s="27">
        <v>32.842128000000002</v>
      </c>
      <c r="AO1204" s="29">
        <v>6.777596</v>
      </c>
      <c r="AP1204" s="28"/>
    </row>
    <row r="1205" spans="2:42" hidden="1" outlineLevel="1" x14ac:dyDescent="0.25">
      <c r="B1205" s="21">
        <v>43529</v>
      </c>
      <c r="C1205" s="27">
        <v>19.303899999999999</v>
      </c>
      <c r="E1205" s="30">
        <v>0.88342200000000004</v>
      </c>
      <c r="G1205" s="27">
        <v>39.827674000000002</v>
      </c>
      <c r="I1205" s="29">
        <v>6.9263320000000004</v>
      </c>
      <c r="K1205" s="29">
        <v>3.7757010000000002</v>
      </c>
      <c r="M1205" s="41">
        <v>658.75293199999999</v>
      </c>
      <c r="O1205" s="26">
        <v>3096.6232239999999</v>
      </c>
      <c r="Q1205" s="26">
        <v>6076.1984759999996</v>
      </c>
      <c r="S1205" s="26">
        <v>1609.3012040000001</v>
      </c>
      <c r="U1205" s="29">
        <v>3.3135289999999999</v>
      </c>
      <c r="W1205" s="14">
        <v>32.694637999999998</v>
      </c>
      <c r="Y1205" s="29">
        <v>8.6592520000000004</v>
      </c>
      <c r="AA1205" s="41">
        <v>606.86141899999996</v>
      </c>
      <c r="AC1205" s="27">
        <v>50.638617000000004</v>
      </c>
      <c r="AE1205" s="27">
        <v>1</v>
      </c>
      <c r="AG1205" s="29">
        <v>7.7074759999999998</v>
      </c>
      <c r="AI1205" s="29">
        <v>8.75</v>
      </c>
      <c r="AK1205" s="27">
        <v>24.438213999999999</v>
      </c>
      <c r="AM1205" s="27">
        <v>32.804808000000001</v>
      </c>
      <c r="AO1205" s="29">
        <v>6.7744669999999996</v>
      </c>
      <c r="AP1205" s="28"/>
    </row>
    <row r="1206" spans="2:42" hidden="1" outlineLevel="1" x14ac:dyDescent="0.25">
      <c r="B1206" s="21">
        <v>43530</v>
      </c>
      <c r="C1206" s="27">
        <v>19.259699999999999</v>
      </c>
      <c r="E1206" s="30">
        <v>0.88456400000000002</v>
      </c>
      <c r="G1206" s="27">
        <v>40.182904000000001</v>
      </c>
      <c r="I1206" s="29">
        <v>6.9270759999999996</v>
      </c>
      <c r="K1206" s="29">
        <v>3.793606</v>
      </c>
      <c r="M1206" s="41">
        <v>658.57643900000005</v>
      </c>
      <c r="O1206" s="26">
        <v>3102.4195599999998</v>
      </c>
      <c r="Q1206" s="26">
        <v>6081.9732990000002</v>
      </c>
      <c r="S1206" s="26">
        <v>1603.225985</v>
      </c>
      <c r="U1206" s="29">
        <v>3.3117649999999998</v>
      </c>
      <c r="W1206" s="14">
        <v>32.704239999999999</v>
      </c>
      <c r="Y1206" s="29">
        <v>8.6209039999999995</v>
      </c>
      <c r="AA1206" s="41">
        <v>607.24202600000001</v>
      </c>
      <c r="AC1206" s="27">
        <v>50.658199000000003</v>
      </c>
      <c r="AE1206" s="27">
        <v>1</v>
      </c>
      <c r="AG1206" s="29">
        <v>7.7106859999999999</v>
      </c>
      <c r="AI1206" s="29">
        <v>8.75</v>
      </c>
      <c r="AK1206" s="27">
        <v>24.443550999999999</v>
      </c>
      <c r="AM1206" s="27">
        <v>32.835020999999998</v>
      </c>
      <c r="AO1206" s="29">
        <v>6.7788760000000003</v>
      </c>
      <c r="AP1206" s="28"/>
    </row>
    <row r="1207" spans="2:42" hidden="1" outlineLevel="1" x14ac:dyDescent="0.25">
      <c r="B1207" s="21">
        <v>43531</v>
      </c>
      <c r="C1207" s="27">
        <v>19.370799999999999</v>
      </c>
      <c r="E1207" s="30">
        <v>0.88762200000000002</v>
      </c>
      <c r="G1207" s="27">
        <v>41.264788000000003</v>
      </c>
      <c r="I1207" s="29">
        <v>6.9190889999999996</v>
      </c>
      <c r="K1207" s="29">
        <v>3.853529</v>
      </c>
      <c r="M1207" s="41">
        <v>662.88129600000002</v>
      </c>
      <c r="O1207" s="26">
        <v>3113.3610119999998</v>
      </c>
      <c r="Q1207" s="26">
        <v>6088.1077459999997</v>
      </c>
      <c r="S1207" s="26">
        <v>1579.8871819999999</v>
      </c>
      <c r="U1207" s="29">
        <v>3.3100640000000001</v>
      </c>
      <c r="W1207" s="14">
        <v>32.691060999999998</v>
      </c>
      <c r="Y1207" s="29">
        <v>8.4834309999999995</v>
      </c>
      <c r="AA1207" s="41">
        <v>608.00287000000003</v>
      </c>
      <c r="AC1207" s="27">
        <v>50.585602000000002</v>
      </c>
      <c r="AE1207" s="27">
        <v>1</v>
      </c>
      <c r="AG1207" s="29">
        <v>7.7036559999999996</v>
      </c>
      <c r="AI1207" s="29">
        <v>8.75</v>
      </c>
      <c r="AK1207" s="27">
        <v>24.424702</v>
      </c>
      <c r="AM1207" s="27">
        <v>32.816977000000001</v>
      </c>
      <c r="AO1207" s="29">
        <v>6.7601000000000004</v>
      </c>
      <c r="AP1207" s="28"/>
    </row>
    <row r="1208" spans="2:42" hidden="1" outlineLevel="1" x14ac:dyDescent="0.25">
      <c r="B1208" s="21">
        <v>43532</v>
      </c>
      <c r="C1208" s="27">
        <v>19.522500000000001</v>
      </c>
      <c r="E1208" s="30">
        <v>0.89143399999999995</v>
      </c>
      <c r="G1208" s="27">
        <v>41.901927999999998</v>
      </c>
      <c r="I1208" s="29">
        <v>6.9291479999999996</v>
      </c>
      <c r="K1208" s="29">
        <v>3.8702220000000001</v>
      </c>
      <c r="M1208" s="41">
        <v>669.49981500000001</v>
      </c>
      <c r="O1208" s="26">
        <v>3148.734254</v>
      </c>
      <c r="Q1208" s="26">
        <v>6103.2731899999999</v>
      </c>
      <c r="S1208" s="26">
        <v>1576.990755</v>
      </c>
      <c r="U1208" s="29">
        <v>3.3183729999999998</v>
      </c>
      <c r="W1208" s="14">
        <v>32.802404000000003</v>
      </c>
      <c r="Y1208" s="29">
        <v>8.4756029999999996</v>
      </c>
      <c r="AA1208" s="41">
        <v>610.48998099999994</v>
      </c>
      <c r="AC1208" s="27">
        <v>50.690674000000001</v>
      </c>
      <c r="AE1208" s="27">
        <v>1</v>
      </c>
      <c r="AG1208" s="29">
        <v>7.722906</v>
      </c>
      <c r="AI1208" s="29">
        <v>8.75</v>
      </c>
      <c r="AK1208" s="27">
        <v>24.504678999999999</v>
      </c>
      <c r="AM1208" s="27">
        <v>32.919178000000002</v>
      </c>
      <c r="AO1208" s="29">
        <v>6.766216</v>
      </c>
      <c r="AP1208" s="28"/>
    </row>
    <row r="1209" spans="2:42" hidden="1" outlineLevel="1" x14ac:dyDescent="0.25">
      <c r="B1209" s="21">
        <v>43533</v>
      </c>
      <c r="C1209" s="27">
        <v>19.522500000000001</v>
      </c>
      <c r="E1209" s="30">
        <v>0.89013100000000001</v>
      </c>
      <c r="G1209" s="27">
        <v>41.189</v>
      </c>
      <c r="I1209" s="29">
        <v>6.9173249999999999</v>
      </c>
      <c r="K1209" s="29">
        <v>3.866625</v>
      </c>
      <c r="M1209" s="41">
        <v>671.31500000000005</v>
      </c>
      <c r="O1209" s="26">
        <v>3173.8</v>
      </c>
      <c r="Q1209" s="26">
        <v>6081.4</v>
      </c>
      <c r="S1209" s="26">
        <v>1572.8025270000001</v>
      </c>
      <c r="U1209" s="29">
        <v>3.3144749999999998</v>
      </c>
      <c r="W1209" s="14">
        <v>32.832500000000003</v>
      </c>
      <c r="Y1209" s="29">
        <v>8.4912670000000006</v>
      </c>
      <c r="AA1209" s="41">
        <v>609.42999999999995</v>
      </c>
      <c r="AC1209" s="27">
        <v>50.564999999999998</v>
      </c>
      <c r="AE1209" s="27">
        <v>1</v>
      </c>
      <c r="AG1209" s="29">
        <v>7.7025249999999996</v>
      </c>
      <c r="AI1209" s="29">
        <v>8.75</v>
      </c>
      <c r="AK1209" s="27">
        <v>24.468</v>
      </c>
      <c r="AM1209" s="27">
        <v>32.77975</v>
      </c>
      <c r="AO1209" s="29">
        <v>6.764875</v>
      </c>
      <c r="AP1209" s="28"/>
    </row>
    <row r="1210" spans="2:42" hidden="1" outlineLevel="1" x14ac:dyDescent="0.25">
      <c r="B1210" s="21">
        <v>43534</v>
      </c>
      <c r="C1210" s="27">
        <v>19.522500000000001</v>
      </c>
      <c r="E1210" s="30">
        <v>0.89013600000000004</v>
      </c>
      <c r="G1210" s="27">
        <v>41.191305999999997</v>
      </c>
      <c r="I1210" s="29">
        <v>6.9164479999999999</v>
      </c>
      <c r="K1210" s="29">
        <v>3.8666140000000002</v>
      </c>
      <c r="M1210" s="41">
        <v>671.074882</v>
      </c>
      <c r="O1210" s="26">
        <v>3171.527063</v>
      </c>
      <c r="Q1210" s="26">
        <v>6080.6281079999999</v>
      </c>
      <c r="S1210" s="26">
        <v>1572.6239780000001</v>
      </c>
      <c r="U1210" s="29">
        <v>3.3141409999999998</v>
      </c>
      <c r="W1210" s="14">
        <v>32.829135999999998</v>
      </c>
      <c r="Y1210" s="29">
        <v>8.4904569999999993</v>
      </c>
      <c r="AA1210" s="41">
        <v>609.32534199999998</v>
      </c>
      <c r="AC1210" s="27">
        <v>50.560352999999999</v>
      </c>
      <c r="AE1210" s="27">
        <v>1</v>
      </c>
      <c r="AG1210" s="29">
        <v>7.7015520000000004</v>
      </c>
      <c r="AI1210" s="29">
        <v>8.75</v>
      </c>
      <c r="AK1210" s="27">
        <v>24.459997999999999</v>
      </c>
      <c r="AM1210" s="27">
        <v>32.784205</v>
      </c>
      <c r="AO1210" s="29">
        <v>6.7640130000000003</v>
      </c>
      <c r="AP1210" s="28"/>
    </row>
    <row r="1211" spans="2:42" hidden="1" outlineLevel="1" x14ac:dyDescent="0.25">
      <c r="B1211" s="21">
        <v>43535</v>
      </c>
      <c r="C1211" s="27">
        <v>19.490200000000002</v>
      </c>
      <c r="E1211" s="30">
        <v>0.88961800000000002</v>
      </c>
      <c r="G1211" s="27">
        <v>41.141697999999998</v>
      </c>
      <c r="I1211" s="29">
        <v>6.912744</v>
      </c>
      <c r="K1211" s="29">
        <v>3.8551229999999999</v>
      </c>
      <c r="M1211" s="41">
        <v>669.96036400000003</v>
      </c>
      <c r="O1211" s="26">
        <v>3165.6298379999998</v>
      </c>
      <c r="Q1211" s="26">
        <v>6088.8027830000001</v>
      </c>
      <c r="S1211" s="26">
        <v>1579.4138009999999</v>
      </c>
      <c r="U1211" s="29">
        <v>3.3121499999999999</v>
      </c>
      <c r="W1211" s="14">
        <v>32.913252</v>
      </c>
      <c r="Y1211" s="29">
        <v>8.5375560000000004</v>
      </c>
      <c r="AA1211" s="41">
        <v>608.81298300000003</v>
      </c>
      <c r="AC1211" s="27">
        <v>50.57329</v>
      </c>
      <c r="AE1211" s="27">
        <v>1</v>
      </c>
      <c r="AG1211" s="29">
        <v>7.6956150000000001</v>
      </c>
      <c r="AI1211" s="29">
        <v>8.75</v>
      </c>
      <c r="AK1211" s="27">
        <v>24.433748000000001</v>
      </c>
      <c r="AM1211" s="27">
        <v>32.816609999999997</v>
      </c>
      <c r="AO1211" s="29">
        <v>6.7616829999999997</v>
      </c>
      <c r="AP1211" s="28"/>
    </row>
    <row r="1212" spans="2:42" hidden="1" outlineLevel="1" x14ac:dyDescent="0.25">
      <c r="B1212" s="21">
        <v>43536</v>
      </c>
      <c r="C1212" s="27">
        <v>19.424299999999999</v>
      </c>
      <c r="E1212" s="30">
        <v>0.88698999999999995</v>
      </c>
      <c r="G1212" s="27">
        <v>41.335130999999997</v>
      </c>
      <c r="I1212" s="29">
        <v>6.9174389999999999</v>
      </c>
      <c r="K1212" s="29">
        <v>3.8259210000000001</v>
      </c>
      <c r="M1212" s="41">
        <v>668.45292199999994</v>
      </c>
      <c r="O1212" s="26">
        <v>3164.8859360000001</v>
      </c>
      <c r="Q1212" s="26">
        <v>6092.1818780000003</v>
      </c>
      <c r="S1212" s="26">
        <v>1592.3513539999999</v>
      </c>
      <c r="U1212" s="29">
        <v>3.3074499999999998</v>
      </c>
      <c r="W1212" s="14">
        <v>33.051160000000003</v>
      </c>
      <c r="Y1212" s="29">
        <v>8.6387630000000009</v>
      </c>
      <c r="AA1212" s="41">
        <v>607.97938399999998</v>
      </c>
      <c r="AC1212" s="27">
        <v>50.558115999999998</v>
      </c>
      <c r="AE1212" s="27">
        <v>1</v>
      </c>
      <c r="AG1212" s="29">
        <v>7.6902369999999998</v>
      </c>
      <c r="AI1212" s="29">
        <v>8.75</v>
      </c>
      <c r="AK1212" s="27">
        <v>24.438216000000001</v>
      </c>
      <c r="AM1212" s="27">
        <v>32.798360000000002</v>
      </c>
      <c r="AO1212" s="29">
        <v>6.7649239999999997</v>
      </c>
      <c r="AP1212" s="28"/>
    </row>
    <row r="1213" spans="2:42" hidden="1" outlineLevel="1" x14ac:dyDescent="0.25">
      <c r="B1213" s="21">
        <v>43537</v>
      </c>
      <c r="C1213" s="27">
        <v>19.3049</v>
      </c>
      <c r="E1213" s="30">
        <v>0.88477099999999997</v>
      </c>
      <c r="G1213" s="27">
        <v>41.455503999999998</v>
      </c>
      <c r="I1213" s="29">
        <v>6.9092289999999998</v>
      </c>
      <c r="K1213" s="29">
        <v>3.8159070000000002</v>
      </c>
      <c r="M1213" s="41">
        <v>666.63903600000003</v>
      </c>
      <c r="O1213" s="26">
        <v>3150.3275610000001</v>
      </c>
      <c r="Q1213" s="26">
        <v>6096.4844549999998</v>
      </c>
      <c r="S1213" s="26">
        <v>1597.658968</v>
      </c>
      <c r="U1213" s="29">
        <v>3.2985199999999999</v>
      </c>
      <c r="W1213" s="14">
        <v>33.085985999999998</v>
      </c>
      <c r="Y1213" s="29">
        <v>8.6705660000000009</v>
      </c>
      <c r="AA1213" s="41">
        <v>605.95666800000004</v>
      </c>
      <c r="AC1213" s="27">
        <v>50.584752000000002</v>
      </c>
      <c r="AE1213" s="27">
        <v>1</v>
      </c>
      <c r="AG1213" s="29">
        <v>7.6881079999999997</v>
      </c>
      <c r="AI1213" s="29">
        <v>8.75</v>
      </c>
      <c r="AK1213" s="27">
        <v>24.419508</v>
      </c>
      <c r="AM1213" s="27">
        <v>32.762796000000002</v>
      </c>
      <c r="AO1213" s="29">
        <v>6.7596170000000004</v>
      </c>
      <c r="AP1213" s="28"/>
    </row>
    <row r="1214" spans="2:42" hidden="1" outlineLevel="1" x14ac:dyDescent="0.25">
      <c r="B1214" s="21">
        <v>43538</v>
      </c>
      <c r="C1214" s="27">
        <v>19.332000000000001</v>
      </c>
      <c r="E1214" s="30">
        <v>0.88404400000000005</v>
      </c>
      <c r="G1214" s="27">
        <v>41.058456</v>
      </c>
      <c r="I1214" s="29">
        <v>6.910374</v>
      </c>
      <c r="K1214" s="29">
        <v>3.8271760000000001</v>
      </c>
      <c r="M1214" s="41">
        <v>670.24861799999996</v>
      </c>
      <c r="O1214" s="26">
        <v>3143.8540979999998</v>
      </c>
      <c r="Q1214" s="26">
        <v>6105.8320979999999</v>
      </c>
      <c r="S1214" s="26">
        <v>1595.3975849999999</v>
      </c>
      <c r="U1214" s="29">
        <v>3.296748</v>
      </c>
      <c r="W1214" s="14">
        <v>33.166710999999999</v>
      </c>
      <c r="Y1214" s="29">
        <v>8.6661239999999999</v>
      </c>
      <c r="AA1214" s="41">
        <v>603.75747200000001</v>
      </c>
      <c r="AC1214" s="27">
        <v>50.575712000000003</v>
      </c>
      <c r="AE1214" s="27">
        <v>1</v>
      </c>
      <c r="AG1214" s="29">
        <v>7.6885120000000002</v>
      </c>
      <c r="AI1214" s="29">
        <v>8.75</v>
      </c>
      <c r="AK1214" s="27">
        <v>24.428723000000002</v>
      </c>
      <c r="AM1214" s="27">
        <v>32.779173999999998</v>
      </c>
      <c r="AO1214" s="29">
        <v>6.7609599999999999</v>
      </c>
      <c r="AP1214" s="28"/>
    </row>
    <row r="1215" spans="2:42" hidden="1" outlineLevel="1" x14ac:dyDescent="0.25">
      <c r="B1215" s="21">
        <v>43539</v>
      </c>
      <c r="C1215" s="27">
        <v>19.3233</v>
      </c>
      <c r="E1215" s="30">
        <v>0.88336700000000001</v>
      </c>
      <c r="G1215" s="27">
        <v>40.405607000000003</v>
      </c>
      <c r="I1215" s="29">
        <v>6.9166280000000002</v>
      </c>
      <c r="K1215" s="29">
        <v>3.8326699999999998</v>
      </c>
      <c r="M1215" s="41">
        <v>670.555432</v>
      </c>
      <c r="O1215" s="26">
        <v>3133.1468770000001</v>
      </c>
      <c r="Q1215" s="26">
        <v>6117.1758799999998</v>
      </c>
      <c r="S1215" s="26">
        <v>1596.069238</v>
      </c>
      <c r="U1215" s="29">
        <v>3.2969840000000001</v>
      </c>
      <c r="W1215" s="14">
        <v>33.365070000000003</v>
      </c>
      <c r="Y1215" s="29">
        <v>8.7054580000000001</v>
      </c>
      <c r="AA1215" s="41">
        <v>601.80554199999995</v>
      </c>
      <c r="AC1215" s="27">
        <v>50.607506000000001</v>
      </c>
      <c r="AE1215" s="27">
        <v>1</v>
      </c>
      <c r="AG1215" s="29">
        <v>7.6908260000000004</v>
      </c>
      <c r="AI1215" s="29">
        <v>8.75</v>
      </c>
      <c r="AK1215" s="27">
        <v>24.440798000000001</v>
      </c>
      <c r="AM1215" s="27">
        <v>32.837071000000002</v>
      </c>
      <c r="AO1215" s="29">
        <v>6.7721710000000002</v>
      </c>
      <c r="AP1215" s="28"/>
    </row>
    <row r="1216" spans="2:42" hidden="1" outlineLevel="1" x14ac:dyDescent="0.25">
      <c r="B1216" s="21">
        <v>43540</v>
      </c>
      <c r="C1216" s="27">
        <v>19.3233</v>
      </c>
      <c r="E1216" s="30">
        <v>0.88298200000000004</v>
      </c>
      <c r="G1216" s="27">
        <v>39.999000000000002</v>
      </c>
      <c r="I1216" s="29">
        <v>6.9129250000000004</v>
      </c>
      <c r="K1216" s="29">
        <v>3.81345</v>
      </c>
      <c r="M1216" s="41">
        <v>669.9375</v>
      </c>
      <c r="O1216" s="26">
        <v>3121.5</v>
      </c>
      <c r="Q1216" s="26">
        <v>6127.4250000000002</v>
      </c>
      <c r="S1216" s="26">
        <v>1606.7972279999999</v>
      </c>
      <c r="U1216" s="29">
        <v>3.2970000000000002</v>
      </c>
      <c r="W1216" s="14">
        <v>33.484499999999997</v>
      </c>
      <c r="Y1216" s="29">
        <v>8.7806359999999994</v>
      </c>
      <c r="AA1216" s="41">
        <v>600.66</v>
      </c>
      <c r="AC1216" s="27">
        <v>50.602499999999999</v>
      </c>
      <c r="AE1216" s="27">
        <v>1</v>
      </c>
      <c r="AG1216" s="29">
        <v>7.6937249999999997</v>
      </c>
      <c r="AI1216" s="29">
        <v>8.75</v>
      </c>
      <c r="AK1216" s="27">
        <v>24.460999999999999</v>
      </c>
      <c r="AM1216" s="27">
        <v>32.799999999999997</v>
      </c>
      <c r="AO1216" s="29">
        <v>6.7749750000000004</v>
      </c>
      <c r="AP1216" s="28"/>
    </row>
    <row r="1217" spans="2:42" hidden="1" outlineLevel="1" x14ac:dyDescent="0.25">
      <c r="B1217" s="21">
        <v>43541</v>
      </c>
      <c r="C1217" s="27">
        <v>19.3233</v>
      </c>
      <c r="E1217" s="30">
        <v>0.88300199999999995</v>
      </c>
      <c r="G1217" s="27">
        <v>39.999885999999996</v>
      </c>
      <c r="I1217" s="29">
        <v>6.9129250000000004</v>
      </c>
      <c r="K1217" s="29">
        <v>3.8136700000000001</v>
      </c>
      <c r="M1217" s="41">
        <v>669.94225700000004</v>
      </c>
      <c r="O1217" s="26">
        <v>3121.492827</v>
      </c>
      <c r="Q1217" s="26">
        <v>6127.4250000000002</v>
      </c>
      <c r="S1217" s="26">
        <v>1606.705134</v>
      </c>
      <c r="U1217" s="29">
        <v>3.2978010000000002</v>
      </c>
      <c r="W1217" s="14">
        <v>33.484499999999997</v>
      </c>
      <c r="Y1217" s="29">
        <v>8.780132</v>
      </c>
      <c r="AA1217" s="41">
        <v>600.68946800000003</v>
      </c>
      <c r="AC1217" s="27">
        <v>50.601889999999997</v>
      </c>
      <c r="AE1217" s="27">
        <v>1</v>
      </c>
      <c r="AG1217" s="29">
        <v>7.6937249999999997</v>
      </c>
      <c r="AI1217" s="29">
        <v>8.75</v>
      </c>
      <c r="AK1217" s="27">
        <v>24.461549999999999</v>
      </c>
      <c r="AM1217" s="27">
        <v>32.799368000000001</v>
      </c>
      <c r="AO1217" s="29">
        <v>6.7749750000000004</v>
      </c>
      <c r="AP1217" s="28"/>
    </row>
    <row r="1218" spans="2:42" hidden="1" outlineLevel="1" x14ac:dyDescent="0.25">
      <c r="B1218" s="21">
        <v>43542</v>
      </c>
      <c r="C1218" s="27">
        <v>19.3233</v>
      </c>
      <c r="E1218" s="30">
        <v>0.88195599999999996</v>
      </c>
      <c r="G1218" s="27">
        <v>39.94999</v>
      </c>
      <c r="I1218" s="29">
        <v>6.9154669999999996</v>
      </c>
      <c r="K1218" s="29">
        <v>3.8087499999999999</v>
      </c>
      <c r="M1218" s="41">
        <v>667.87788399999999</v>
      </c>
      <c r="O1218" s="26">
        <v>3116.363546</v>
      </c>
      <c r="Q1218" s="26">
        <v>6132.9637039999998</v>
      </c>
      <c r="S1218" s="26">
        <v>1610.2379120000001</v>
      </c>
      <c r="U1218" s="29">
        <v>3.2962280000000002</v>
      </c>
      <c r="W1218" s="14">
        <v>33.498604</v>
      </c>
      <c r="Y1218" s="29">
        <v>8.7951890000000006</v>
      </c>
      <c r="AA1218" s="41">
        <v>599.60255400000005</v>
      </c>
      <c r="AC1218" s="27">
        <v>50.583410000000001</v>
      </c>
      <c r="AE1218" s="27">
        <v>1</v>
      </c>
      <c r="AG1218" s="29">
        <v>7.692806</v>
      </c>
      <c r="AI1218" s="29">
        <v>8.75</v>
      </c>
      <c r="AK1218" s="27">
        <v>24.434595999999999</v>
      </c>
      <c r="AM1218" s="27">
        <v>32.825091999999998</v>
      </c>
      <c r="AO1218" s="29">
        <v>6.7721419999999997</v>
      </c>
      <c r="AP1218" s="28"/>
    </row>
    <row r="1219" spans="2:42" hidden="1" outlineLevel="1" x14ac:dyDescent="0.25">
      <c r="B1219" s="21">
        <v>43543</v>
      </c>
      <c r="C1219" s="27">
        <v>19.217600000000001</v>
      </c>
      <c r="E1219" s="30">
        <v>0.88108200000000003</v>
      </c>
      <c r="G1219" s="27">
        <v>40.193551999999997</v>
      </c>
      <c r="I1219" s="29">
        <v>6.9239139999999999</v>
      </c>
      <c r="K1219" s="29">
        <v>3.7869449999999998</v>
      </c>
      <c r="M1219" s="41">
        <v>666.25346200000001</v>
      </c>
      <c r="O1219" s="26">
        <v>3101.5991140000001</v>
      </c>
      <c r="Q1219" s="26">
        <v>6141.5973899999999</v>
      </c>
      <c r="S1219" s="26">
        <v>1621.789448</v>
      </c>
      <c r="U1219" s="29">
        <v>3.3011170000000001</v>
      </c>
      <c r="W1219" s="14">
        <v>33.497441999999999</v>
      </c>
      <c r="Y1219" s="29">
        <v>8.8455220000000008</v>
      </c>
      <c r="AA1219" s="41">
        <v>598.40527599999996</v>
      </c>
      <c r="AC1219" s="27">
        <v>50.624285</v>
      </c>
      <c r="AE1219" s="27">
        <v>1</v>
      </c>
      <c r="AG1219" s="29">
        <v>7.6947070000000002</v>
      </c>
      <c r="AI1219" s="29">
        <v>8.75</v>
      </c>
      <c r="AK1219" s="27">
        <v>24.445785000000001</v>
      </c>
      <c r="AM1219" s="27">
        <v>32.854298</v>
      </c>
      <c r="AO1219" s="29">
        <v>6.7772160000000001</v>
      </c>
      <c r="AP1219" s="28"/>
    </row>
    <row r="1220" spans="2:42" hidden="1" outlineLevel="1" x14ac:dyDescent="0.25">
      <c r="B1220" s="21">
        <v>43544</v>
      </c>
      <c r="C1220" s="27">
        <v>19.000399999999999</v>
      </c>
      <c r="E1220" s="30">
        <v>0.87958000000000003</v>
      </c>
      <c r="G1220" s="27">
        <v>40.703465000000001</v>
      </c>
      <c r="I1220" s="29">
        <v>6.9182139999999999</v>
      </c>
      <c r="K1220" s="29">
        <v>3.783096</v>
      </c>
      <c r="M1220" s="41">
        <v>665.83983799999999</v>
      </c>
      <c r="O1220" s="26">
        <v>3094.0840509999998</v>
      </c>
      <c r="Q1220" s="26">
        <v>6137.6184450000001</v>
      </c>
      <c r="S1220" s="26">
        <v>1622.3887420000001</v>
      </c>
      <c r="U1220" s="29">
        <v>3.2974060000000001</v>
      </c>
      <c r="W1220" s="14">
        <v>33.408743000000001</v>
      </c>
      <c r="Y1220" s="29">
        <v>8.8310759999999995</v>
      </c>
      <c r="AA1220" s="41">
        <v>597.67144199999996</v>
      </c>
      <c r="AC1220" s="27">
        <v>50.667082000000001</v>
      </c>
      <c r="AE1220" s="27">
        <v>1</v>
      </c>
      <c r="AG1220" s="29">
        <v>7.6909400000000003</v>
      </c>
      <c r="AI1220" s="29">
        <v>8.75</v>
      </c>
      <c r="AK1220" s="27">
        <v>24.449753999999999</v>
      </c>
      <c r="AM1220" s="27">
        <v>32.845064999999998</v>
      </c>
      <c r="AO1220" s="29">
        <v>6.7784899999999997</v>
      </c>
      <c r="AP1220" s="28"/>
    </row>
    <row r="1221" spans="2:42" hidden="1" outlineLevel="1" x14ac:dyDescent="0.25">
      <c r="B1221" s="21">
        <v>43545</v>
      </c>
      <c r="C1221" s="27">
        <v>18.909800000000001</v>
      </c>
      <c r="E1221" s="30">
        <v>0.87773299999999999</v>
      </c>
      <c r="G1221" s="27">
        <v>40.889676000000001</v>
      </c>
      <c r="I1221" s="29">
        <v>6.9101809999999997</v>
      </c>
      <c r="K1221" s="29">
        <v>3.7879339999999999</v>
      </c>
      <c r="M1221" s="41">
        <v>664.70379700000001</v>
      </c>
      <c r="O1221" s="26">
        <v>3084.515868</v>
      </c>
      <c r="Q1221" s="26">
        <v>6131.8037219999997</v>
      </c>
      <c r="S1221" s="26">
        <v>1618.781209</v>
      </c>
      <c r="U1221" s="29">
        <v>3.2949310000000001</v>
      </c>
      <c r="W1221" s="14">
        <v>33.27422</v>
      </c>
      <c r="Y1221" s="29">
        <v>8.7842839999999995</v>
      </c>
      <c r="AA1221" s="41">
        <v>597.43876399999999</v>
      </c>
      <c r="AC1221" s="27">
        <v>50.632486</v>
      </c>
      <c r="AE1221" s="27">
        <v>1</v>
      </c>
      <c r="AG1221" s="29">
        <v>7.6774979999999999</v>
      </c>
      <c r="AI1221" s="29">
        <v>8.75</v>
      </c>
      <c r="AK1221" s="27">
        <v>24.410905</v>
      </c>
      <c r="AM1221" s="27">
        <v>32.803109999999997</v>
      </c>
      <c r="AO1221" s="29">
        <v>6.7743479999999998</v>
      </c>
      <c r="AP1221" s="28"/>
    </row>
    <row r="1222" spans="2:42" hidden="1" outlineLevel="1" x14ac:dyDescent="0.25">
      <c r="B1222" s="21">
        <v>43546</v>
      </c>
      <c r="C1222" s="27">
        <v>18.869399999999999</v>
      </c>
      <c r="E1222" s="30">
        <v>0.88298399999999999</v>
      </c>
      <c r="G1222" s="27">
        <v>41.415253999999997</v>
      </c>
      <c r="I1222" s="29">
        <v>6.9158530000000003</v>
      </c>
      <c r="K1222" s="29">
        <v>3.841758</v>
      </c>
      <c r="M1222" s="41">
        <v>672.99655800000005</v>
      </c>
      <c r="O1222" s="26">
        <v>3106.678375</v>
      </c>
      <c r="Q1222" s="26">
        <v>6145.3714559999999</v>
      </c>
      <c r="S1222" s="26">
        <v>1599.63266</v>
      </c>
      <c r="U1222" s="29">
        <v>3.2988919999999999</v>
      </c>
      <c r="W1222" s="14">
        <v>33.357253999999998</v>
      </c>
      <c r="Y1222" s="29">
        <v>8.6828260000000004</v>
      </c>
      <c r="AA1222" s="41">
        <v>601.07472900000005</v>
      </c>
      <c r="AC1222" s="27">
        <v>50.729812000000003</v>
      </c>
      <c r="AE1222" s="27">
        <v>1</v>
      </c>
      <c r="AG1222" s="29">
        <v>7.6877789999999999</v>
      </c>
      <c r="AI1222" s="29">
        <v>8.75</v>
      </c>
      <c r="AK1222" s="27">
        <v>24.448708</v>
      </c>
      <c r="AM1222" s="27">
        <v>32.878064000000002</v>
      </c>
      <c r="AO1222" s="29">
        <v>6.7844110000000004</v>
      </c>
      <c r="AP1222" s="28"/>
    </row>
    <row r="1223" spans="2:42" hidden="1" outlineLevel="1" x14ac:dyDescent="0.25">
      <c r="B1223" s="21">
        <v>43547</v>
      </c>
      <c r="C1223" s="27">
        <v>18.869399999999999</v>
      </c>
      <c r="E1223" s="30">
        <v>0.88485000000000003</v>
      </c>
      <c r="G1223" s="27">
        <v>41.786250000000003</v>
      </c>
      <c r="I1223" s="29">
        <v>6.9144750000000004</v>
      </c>
      <c r="K1223" s="29">
        <v>3.9053499999999999</v>
      </c>
      <c r="M1223" s="41">
        <v>678.84</v>
      </c>
      <c r="O1223" s="26">
        <v>3131.8</v>
      </c>
      <c r="Q1223" s="26">
        <v>6141.0249999999996</v>
      </c>
      <c r="S1223" s="26">
        <v>1572.4705959999999</v>
      </c>
      <c r="U1223" s="29">
        <v>3.2971499999999998</v>
      </c>
      <c r="W1223" s="14">
        <v>33.390999999999998</v>
      </c>
      <c r="Y1223" s="29">
        <v>8.5500729999999994</v>
      </c>
      <c r="AA1223" s="41">
        <v>603.28499999999997</v>
      </c>
      <c r="AC1223" s="27">
        <v>50.634999999999998</v>
      </c>
      <c r="AE1223" s="27">
        <v>1</v>
      </c>
      <c r="AG1223" s="29">
        <v>7.6801750000000002</v>
      </c>
      <c r="AI1223" s="29">
        <v>8.75</v>
      </c>
      <c r="AK1223" s="27">
        <v>24.468499999999999</v>
      </c>
      <c r="AM1223" s="27">
        <v>32.869750000000003</v>
      </c>
      <c r="AO1223" s="29">
        <v>6.7891750000000002</v>
      </c>
      <c r="AP1223" s="28"/>
    </row>
    <row r="1224" spans="2:42" hidden="1" outlineLevel="1" x14ac:dyDescent="0.25">
      <c r="B1224" s="21">
        <v>43548</v>
      </c>
      <c r="C1224" s="27">
        <v>18.869399999999999</v>
      </c>
      <c r="E1224" s="30">
        <v>0.88490400000000002</v>
      </c>
      <c r="G1224" s="27">
        <v>41.695985999999998</v>
      </c>
      <c r="I1224" s="29">
        <v>6.9137420000000001</v>
      </c>
      <c r="K1224" s="29">
        <v>3.9054280000000001</v>
      </c>
      <c r="M1224" s="41">
        <v>678.54335000000003</v>
      </c>
      <c r="O1224" s="26">
        <v>3129.1366659999999</v>
      </c>
      <c r="Q1224" s="26">
        <v>6140.2979189999996</v>
      </c>
      <c r="S1224" s="26">
        <v>1572.2526849999999</v>
      </c>
      <c r="U1224" s="29">
        <v>3.2965460000000002</v>
      </c>
      <c r="W1224" s="14">
        <v>33.386516</v>
      </c>
      <c r="Y1224" s="29">
        <v>8.5487549999999999</v>
      </c>
      <c r="AA1224" s="41">
        <v>603.07155</v>
      </c>
      <c r="AC1224" s="27">
        <v>50.633899</v>
      </c>
      <c r="AE1224" s="27">
        <v>1</v>
      </c>
      <c r="AG1224" s="29">
        <v>7.679354</v>
      </c>
      <c r="AI1224" s="29">
        <v>8.75</v>
      </c>
      <c r="AK1224" s="27">
        <v>24.461872</v>
      </c>
      <c r="AM1224" s="27">
        <v>32.864933999999998</v>
      </c>
      <c r="AO1224" s="29">
        <v>6.7884390000000003</v>
      </c>
      <c r="AP1224" s="28"/>
    </row>
    <row r="1225" spans="2:42" hidden="1" outlineLevel="1" x14ac:dyDescent="0.25">
      <c r="B1225" s="21">
        <v>43549</v>
      </c>
      <c r="C1225" s="27">
        <v>19.136900000000001</v>
      </c>
      <c r="E1225" s="30">
        <v>0.88416399999999995</v>
      </c>
      <c r="G1225" s="27">
        <v>41.819547</v>
      </c>
      <c r="I1225" s="29">
        <v>6.914434</v>
      </c>
      <c r="K1225" s="29">
        <v>3.8882289999999999</v>
      </c>
      <c r="M1225" s="41">
        <v>679.23768700000005</v>
      </c>
      <c r="O1225" s="26">
        <v>3121.8584959999998</v>
      </c>
      <c r="Q1225" s="26">
        <v>6151.4564119999995</v>
      </c>
      <c r="S1225" s="26">
        <v>1582.079232</v>
      </c>
      <c r="U1225" s="29">
        <v>3.2985760000000002</v>
      </c>
      <c r="W1225" s="14">
        <v>33.487126000000004</v>
      </c>
      <c r="Y1225" s="29">
        <v>8.6124550000000006</v>
      </c>
      <c r="AA1225" s="41">
        <v>604.48950000000002</v>
      </c>
      <c r="AC1225" s="27">
        <v>50.665216000000001</v>
      </c>
      <c r="AE1225" s="27">
        <v>1</v>
      </c>
      <c r="AG1225" s="29">
        <v>7.6792660000000001</v>
      </c>
      <c r="AI1225" s="29">
        <v>8.75</v>
      </c>
      <c r="AK1225" s="27">
        <v>24.445214</v>
      </c>
      <c r="AM1225" s="27">
        <v>32.851413000000001</v>
      </c>
      <c r="AO1225" s="29">
        <v>6.7904520000000002</v>
      </c>
      <c r="AP1225" s="28"/>
    </row>
    <row r="1226" spans="2:42" hidden="1" outlineLevel="1" x14ac:dyDescent="0.25">
      <c r="B1226" s="21">
        <v>43550</v>
      </c>
      <c r="C1226" s="27">
        <v>19.0151</v>
      </c>
      <c r="E1226" s="30">
        <v>0.88512400000000002</v>
      </c>
      <c r="G1226" s="27">
        <v>42.247039999999998</v>
      </c>
      <c r="I1226" s="29">
        <v>6.9131999999999998</v>
      </c>
      <c r="K1226" s="29">
        <v>3.862028</v>
      </c>
      <c r="M1226" s="41">
        <v>679.80891399999996</v>
      </c>
      <c r="O1226" s="26">
        <v>3139.7677739999999</v>
      </c>
      <c r="Q1226" s="26">
        <v>6155.8003719999997</v>
      </c>
      <c r="S1226" s="26">
        <v>1593.9374299999999</v>
      </c>
      <c r="U1226" s="29">
        <v>3.3010920000000001</v>
      </c>
      <c r="W1226" s="14">
        <v>33.599226999999999</v>
      </c>
      <c r="Y1226" s="29">
        <v>8.6999099999999991</v>
      </c>
      <c r="AA1226" s="41">
        <v>606.290254</v>
      </c>
      <c r="AC1226" s="27">
        <v>50.645060000000001</v>
      </c>
      <c r="AE1226" s="27">
        <v>1</v>
      </c>
      <c r="AG1226" s="29">
        <v>7.6765879999999997</v>
      </c>
      <c r="AI1226" s="29">
        <v>8.75</v>
      </c>
      <c r="AK1226" s="27">
        <v>24.451353999999998</v>
      </c>
      <c r="AM1226" s="27">
        <v>32.852547000000001</v>
      </c>
      <c r="AO1226" s="29">
        <v>6.7853459999999997</v>
      </c>
      <c r="AP1226" s="28"/>
    </row>
    <row r="1227" spans="2:42" hidden="1" outlineLevel="1" x14ac:dyDescent="0.25">
      <c r="B1227" s="21">
        <v>43551</v>
      </c>
      <c r="C1227" s="27">
        <v>19.0989</v>
      </c>
      <c r="E1227" s="30">
        <v>0.888131</v>
      </c>
      <c r="G1227" s="27">
        <v>43.148235</v>
      </c>
      <c r="I1227" s="29">
        <v>6.9207450000000001</v>
      </c>
      <c r="K1227" s="29">
        <v>3.9151359999999999</v>
      </c>
      <c r="M1227" s="41">
        <v>681.77726399999995</v>
      </c>
      <c r="O1227" s="26">
        <v>3164.8986719999998</v>
      </c>
      <c r="Q1227" s="26">
        <v>6163.75515</v>
      </c>
      <c r="S1227" s="26">
        <v>1574.3484430000001</v>
      </c>
      <c r="U1227" s="29">
        <v>3.3104019999999998</v>
      </c>
      <c r="W1227" s="14">
        <v>33.585875999999999</v>
      </c>
      <c r="Y1227" s="29">
        <v>8.5784900000000004</v>
      </c>
      <c r="AA1227" s="41">
        <v>606.98379799999998</v>
      </c>
      <c r="AC1227" s="27">
        <v>50.704134000000003</v>
      </c>
      <c r="AE1227" s="27">
        <v>1</v>
      </c>
      <c r="AG1227" s="29">
        <v>7.6849449999999999</v>
      </c>
      <c r="AI1227" s="29">
        <v>8.75</v>
      </c>
      <c r="AK1227" s="27">
        <v>24.481314000000001</v>
      </c>
      <c r="AM1227" s="27">
        <v>32.877215999999997</v>
      </c>
      <c r="AO1227" s="29">
        <v>6.7874040000000004</v>
      </c>
      <c r="AP1227" s="28"/>
    </row>
    <row r="1228" spans="2:42" hidden="1" outlineLevel="1" x14ac:dyDescent="0.25">
      <c r="B1228" s="21">
        <v>43552</v>
      </c>
      <c r="C1228" s="27">
        <v>19.3201</v>
      </c>
      <c r="E1228" s="30">
        <v>0.88974600000000004</v>
      </c>
      <c r="G1228" s="27">
        <v>43.751173999999999</v>
      </c>
      <c r="I1228" s="29">
        <v>6.9214969999999996</v>
      </c>
      <c r="K1228" s="29">
        <v>3.9647329999999998</v>
      </c>
      <c r="M1228" s="41">
        <v>681.65974000000006</v>
      </c>
      <c r="O1228" s="26">
        <v>3179.6023380000001</v>
      </c>
      <c r="Q1228" s="26">
        <v>6179.1944080000003</v>
      </c>
      <c r="S1228" s="26">
        <v>1558.5507259999999</v>
      </c>
      <c r="U1228" s="29">
        <v>3.3179379999999998</v>
      </c>
      <c r="W1228" s="14">
        <v>33.584907000000001</v>
      </c>
      <c r="Y1228" s="29">
        <v>8.470936</v>
      </c>
      <c r="AA1228" s="41">
        <v>605.38412000000005</v>
      </c>
      <c r="AC1228" s="27">
        <v>50.712418</v>
      </c>
      <c r="AE1228" s="27">
        <v>1</v>
      </c>
      <c r="AG1228" s="29">
        <v>7.6831870000000002</v>
      </c>
      <c r="AI1228" s="29">
        <v>8.75</v>
      </c>
      <c r="AK1228" s="27">
        <v>24.474587</v>
      </c>
      <c r="AM1228" s="27">
        <v>32.849677999999997</v>
      </c>
      <c r="AO1228" s="29">
        <v>6.7815209999999997</v>
      </c>
      <c r="AP1228" s="28"/>
    </row>
    <row r="1229" spans="2:42" hidden="1" outlineLevel="1" x14ac:dyDescent="0.25">
      <c r="B1229" s="21">
        <v>43553</v>
      </c>
      <c r="C1229" s="27">
        <v>19.379300000000001</v>
      </c>
      <c r="E1229" s="30">
        <v>0.89078999999999997</v>
      </c>
      <c r="G1229" s="27">
        <v>43.493344</v>
      </c>
      <c r="I1229" s="29">
        <v>6.9207879999999999</v>
      </c>
      <c r="K1229" s="29">
        <v>3.9037039999999998</v>
      </c>
      <c r="M1229" s="41">
        <v>680.58878600000003</v>
      </c>
      <c r="O1229" s="26">
        <v>3178.9160659999998</v>
      </c>
      <c r="Q1229" s="26">
        <v>6188.8051459999997</v>
      </c>
      <c r="S1229" s="26">
        <v>1585.378886</v>
      </c>
      <c r="U1229" s="29">
        <v>3.3190629999999999</v>
      </c>
      <c r="W1229" s="14">
        <v>33.721893999999999</v>
      </c>
      <c r="Y1229" s="29">
        <v>8.6384659999999993</v>
      </c>
      <c r="AA1229" s="41">
        <v>603.08621700000003</v>
      </c>
      <c r="AC1229" s="27">
        <v>50.650621999999998</v>
      </c>
      <c r="AE1229" s="27">
        <v>1</v>
      </c>
      <c r="AG1229" s="29">
        <v>7.6813919999999998</v>
      </c>
      <c r="AI1229" s="29">
        <v>8.75</v>
      </c>
      <c r="AK1229" s="27">
        <v>24.463294999999999</v>
      </c>
      <c r="AM1229" s="27">
        <v>32.822305</v>
      </c>
      <c r="AO1229" s="29">
        <v>6.768732</v>
      </c>
      <c r="AP1229" s="28"/>
    </row>
    <row r="1230" spans="2:42" hidden="1" outlineLevel="1" x14ac:dyDescent="0.25">
      <c r="B1230" s="21">
        <v>43554</v>
      </c>
      <c r="C1230" s="27">
        <v>19.379300000000001</v>
      </c>
      <c r="E1230" s="30">
        <v>0.89146000000000003</v>
      </c>
      <c r="G1230" s="27">
        <v>43.362499999999997</v>
      </c>
      <c r="I1230" s="29">
        <v>6.922275</v>
      </c>
      <c r="K1230" s="29">
        <v>3.9249000000000001</v>
      </c>
      <c r="M1230" s="41">
        <v>680.4375</v>
      </c>
      <c r="O1230" s="26">
        <v>3188.03</v>
      </c>
      <c r="Q1230" s="26">
        <v>6186.8249999999998</v>
      </c>
      <c r="S1230" s="26">
        <v>1576.3113519999999</v>
      </c>
      <c r="U1230" s="29">
        <v>3.3185250000000002</v>
      </c>
      <c r="W1230" s="14">
        <v>33.792499999999997</v>
      </c>
      <c r="Y1230" s="29">
        <v>8.6097859999999997</v>
      </c>
      <c r="AA1230" s="41">
        <v>601.88750000000005</v>
      </c>
      <c r="AC1230" s="27">
        <v>50.637500000000003</v>
      </c>
      <c r="AE1230" s="27">
        <v>1</v>
      </c>
      <c r="AG1230" s="29">
        <v>7.6858000000000004</v>
      </c>
      <c r="AI1230" s="29">
        <v>8.75</v>
      </c>
      <c r="AK1230" s="27">
        <v>24.497</v>
      </c>
      <c r="AM1230" s="27">
        <v>32.799999999999997</v>
      </c>
      <c r="AO1230" s="29">
        <v>6.7661249999999997</v>
      </c>
      <c r="AP1230" s="28"/>
    </row>
    <row r="1231" spans="2:42" hidden="1" outlineLevel="1" x14ac:dyDescent="0.25">
      <c r="B1231" s="21">
        <v>43555</v>
      </c>
      <c r="C1231" s="49">
        <v>19.379300000000001</v>
      </c>
      <c r="E1231" s="30">
        <v>0.89137999999999995</v>
      </c>
      <c r="G1231" s="27">
        <v>43.362381999999997</v>
      </c>
      <c r="I1231" s="29">
        <v>6.922275</v>
      </c>
      <c r="K1231" s="29">
        <v>3.9239820000000001</v>
      </c>
      <c r="M1231" s="41">
        <v>680.44456400000001</v>
      </c>
      <c r="O1231" s="26">
        <v>3188.0277839999999</v>
      </c>
      <c r="Q1231" s="26">
        <v>6186.8249999999998</v>
      </c>
      <c r="S1231" s="26">
        <v>1576.680116</v>
      </c>
      <c r="U1231" s="29">
        <v>3.3185639999999998</v>
      </c>
      <c r="W1231" s="14">
        <v>33.792499999999997</v>
      </c>
      <c r="Y1231" s="29">
        <v>8.6118000000000006</v>
      </c>
      <c r="AA1231" s="41">
        <v>601.90338499999996</v>
      </c>
      <c r="AC1231" s="27">
        <v>50.635783000000004</v>
      </c>
      <c r="AE1231" s="27">
        <v>1</v>
      </c>
      <c r="AG1231" s="29">
        <v>7.6858000000000004</v>
      </c>
      <c r="AI1231" s="29">
        <v>8.75</v>
      </c>
      <c r="AK1231" s="27">
        <v>24.497427999999999</v>
      </c>
      <c r="AM1231" s="27">
        <v>32.799981000000002</v>
      </c>
      <c r="AO1231" s="29">
        <v>6.7661249999999997</v>
      </c>
      <c r="AP1231" s="28"/>
    </row>
    <row r="1232" spans="2:42" ht="13" collapsed="1" x14ac:dyDescent="0.3">
      <c r="B1232" s="25" t="s">
        <v>177</v>
      </c>
      <c r="C1232" s="19">
        <v>19.253900000000002</v>
      </c>
      <c r="E1232" s="24">
        <v>0.88505</v>
      </c>
      <c r="G1232" s="19">
        <v>41.214700000000001</v>
      </c>
      <c r="I1232" s="23">
        <v>6.91791</v>
      </c>
      <c r="J1232" s="9"/>
      <c r="K1232" s="23">
        <v>3.8420399999999999</v>
      </c>
      <c r="M1232" s="42">
        <v>670.101</v>
      </c>
      <c r="O1232" s="31">
        <v>3132.37</v>
      </c>
      <c r="Q1232" s="31">
        <v>6122.17</v>
      </c>
      <c r="S1232" s="31">
        <v>1593.7</v>
      </c>
      <c r="U1232" s="23">
        <v>3.30592</v>
      </c>
      <c r="W1232" s="23">
        <v>33.202649999999998</v>
      </c>
      <c r="Y1232" s="23">
        <v>8.6428700000000003</v>
      </c>
      <c r="AA1232" s="42">
        <v>604.54300000000001</v>
      </c>
      <c r="AC1232" s="19">
        <v>50.630499999999998</v>
      </c>
      <c r="AE1232" s="19">
        <v>1</v>
      </c>
      <c r="AG1232" s="23">
        <v>7.6938800000000001</v>
      </c>
      <c r="AI1232" s="23">
        <v>8.75</v>
      </c>
      <c r="AK1232" s="23">
        <v>24.45523</v>
      </c>
      <c r="AM1232" s="23">
        <v>32.818379999999998</v>
      </c>
      <c r="AO1232" s="23">
        <v>6.7740099999999996</v>
      </c>
      <c r="AP1232" s="10"/>
    </row>
    <row r="1233" spans="2:42" hidden="1" outlineLevel="1" x14ac:dyDescent="0.25">
      <c r="B1233" s="21">
        <v>43556</v>
      </c>
      <c r="C1233" s="27">
        <v>19.3779</v>
      </c>
      <c r="E1233" s="30">
        <v>0.89093699999999998</v>
      </c>
      <c r="G1233" s="27">
        <v>43.164845999999997</v>
      </c>
      <c r="I1233" s="29">
        <v>6.9223679999999996</v>
      </c>
      <c r="K1233" s="29">
        <v>3.893554</v>
      </c>
      <c r="M1233" s="41">
        <v>675.09985600000005</v>
      </c>
      <c r="O1233" s="26">
        <v>3168.8804700000001</v>
      </c>
      <c r="Q1233" s="26">
        <v>6188.5116260000004</v>
      </c>
      <c r="S1233" s="26">
        <v>1589.435696</v>
      </c>
      <c r="U1233" s="29">
        <v>3.314476</v>
      </c>
      <c r="W1233" s="14">
        <v>33.731870000000001</v>
      </c>
      <c r="Y1233" s="29">
        <v>8.6635449999999992</v>
      </c>
      <c r="AA1233" s="41">
        <v>600.77113499999996</v>
      </c>
      <c r="AC1233" s="27">
        <v>50.654944</v>
      </c>
      <c r="AE1233" s="27">
        <v>1</v>
      </c>
      <c r="AG1233" s="29">
        <v>7.6848739999999998</v>
      </c>
      <c r="AI1233" s="29">
        <v>8.75</v>
      </c>
      <c r="AK1233" s="27">
        <v>24.468526000000001</v>
      </c>
      <c r="AM1233" s="27">
        <v>32.866681999999997</v>
      </c>
      <c r="AO1233" s="29">
        <v>6.768078</v>
      </c>
      <c r="AP1233" s="11"/>
    </row>
    <row r="1234" spans="2:42" hidden="1" outlineLevel="1" x14ac:dyDescent="0.25">
      <c r="B1234" s="21">
        <v>43557</v>
      </c>
      <c r="C1234" s="27">
        <v>19.216899999999999</v>
      </c>
      <c r="E1234" s="30">
        <v>0.89280300000000001</v>
      </c>
      <c r="G1234" s="27">
        <v>42.716476</v>
      </c>
      <c r="I1234" s="29">
        <v>6.9242189999999999</v>
      </c>
      <c r="K1234" s="29">
        <v>3.8561920000000001</v>
      </c>
      <c r="M1234" s="41">
        <v>670.54170399999998</v>
      </c>
      <c r="O1234" s="26">
        <v>3143.7152160000001</v>
      </c>
      <c r="Q1234" s="26">
        <v>6188.4499699999997</v>
      </c>
      <c r="S1234" s="26">
        <v>1604.818489</v>
      </c>
      <c r="U1234" s="29">
        <v>3.3120240000000001</v>
      </c>
      <c r="W1234" s="14">
        <v>33.579867999999998</v>
      </c>
      <c r="Y1234" s="29">
        <v>8.7080599999999997</v>
      </c>
      <c r="AA1234" s="41">
        <v>600.19127800000001</v>
      </c>
      <c r="AC1234" s="27">
        <v>50.630800000000001</v>
      </c>
      <c r="AE1234" s="27">
        <v>1</v>
      </c>
      <c r="AG1234" s="29">
        <v>7.6841280000000003</v>
      </c>
      <c r="AI1234" s="29">
        <v>8.75</v>
      </c>
      <c r="AK1234" s="27">
        <v>24.472304000000001</v>
      </c>
      <c r="AM1234" s="27">
        <v>32.878715</v>
      </c>
      <c r="AO1234" s="29">
        <v>6.7738490000000002</v>
      </c>
      <c r="AP1234" s="11"/>
    </row>
    <row r="1235" spans="2:42" hidden="1" outlineLevel="1" x14ac:dyDescent="0.25">
      <c r="B1235" s="21">
        <v>43558</v>
      </c>
      <c r="C1235" s="27">
        <v>19.227900000000002</v>
      </c>
      <c r="E1235" s="30">
        <v>0.89016399999999996</v>
      </c>
      <c r="G1235" s="27">
        <v>42.743234000000001</v>
      </c>
      <c r="I1235" s="29">
        <v>6.9192939999999998</v>
      </c>
      <c r="K1235" s="29">
        <v>3.8563879999999999</v>
      </c>
      <c r="M1235" s="41">
        <v>670.13108999999997</v>
      </c>
      <c r="O1235" s="26">
        <v>3136.5126359999999</v>
      </c>
      <c r="Q1235" s="26">
        <v>6186.9256509999996</v>
      </c>
      <c r="S1235" s="26">
        <v>1604.339442</v>
      </c>
      <c r="U1235" s="29">
        <v>3.3057129999999999</v>
      </c>
      <c r="W1235" s="14">
        <v>33.516331999999998</v>
      </c>
      <c r="Y1235" s="29">
        <v>8.6911400000000008</v>
      </c>
      <c r="AA1235" s="41">
        <v>601.41828399999997</v>
      </c>
      <c r="AC1235" s="27">
        <v>50.612851999999997</v>
      </c>
      <c r="AE1235" s="27">
        <v>1</v>
      </c>
      <c r="AG1235" s="29">
        <v>7.6765439999999998</v>
      </c>
      <c r="AI1235" s="29">
        <v>8.75</v>
      </c>
      <c r="AK1235" s="27">
        <v>24.437609999999999</v>
      </c>
      <c r="AM1235" s="27">
        <v>32.841749</v>
      </c>
      <c r="AO1235" s="29">
        <v>6.7658500000000004</v>
      </c>
      <c r="AP1235" s="11"/>
    </row>
    <row r="1236" spans="2:42" hidden="1" outlineLevel="1" x14ac:dyDescent="0.25">
      <c r="B1236" s="21">
        <v>43559</v>
      </c>
      <c r="C1236" s="27">
        <v>19.180499999999999</v>
      </c>
      <c r="E1236" s="30">
        <v>0.89056599999999997</v>
      </c>
      <c r="G1236" s="27">
        <v>43.058337999999999</v>
      </c>
      <c r="I1236" s="29">
        <v>6.9172760000000002</v>
      </c>
      <c r="K1236" s="29">
        <v>3.8660960000000002</v>
      </c>
      <c r="M1236" s="41">
        <v>666.56861500000002</v>
      </c>
      <c r="O1236" s="26">
        <v>3126.9269840000002</v>
      </c>
      <c r="Q1236" s="26">
        <v>6192.7148340000003</v>
      </c>
      <c r="S1236" s="26">
        <v>1601.8087599999999</v>
      </c>
      <c r="U1236" s="29">
        <v>3.3011180000000002</v>
      </c>
      <c r="W1236" s="14">
        <v>33.620815999999998</v>
      </c>
      <c r="Y1236" s="29">
        <v>8.6963419999999996</v>
      </c>
      <c r="AA1236" s="41">
        <v>604.168319</v>
      </c>
      <c r="AC1236" s="27">
        <v>50.626533999999999</v>
      </c>
      <c r="AE1236" s="27">
        <v>1</v>
      </c>
      <c r="AG1236" s="29">
        <v>7.6746299999999996</v>
      </c>
      <c r="AI1236" s="29">
        <v>8.75</v>
      </c>
      <c r="AK1236" s="27">
        <v>24.434714</v>
      </c>
      <c r="AM1236" s="27">
        <v>32.838301999999999</v>
      </c>
      <c r="AO1236" s="29">
        <v>6.7565200000000001</v>
      </c>
      <c r="AP1236" s="11"/>
    </row>
    <row r="1237" spans="2:42" hidden="1" outlineLevel="1" x14ac:dyDescent="0.25">
      <c r="B1237" s="21">
        <v>43560</v>
      </c>
      <c r="C1237" s="27">
        <v>19.172799999999999</v>
      </c>
      <c r="E1237" s="30">
        <v>0.89100699999999999</v>
      </c>
      <c r="G1237" s="27">
        <v>43.587155000000003</v>
      </c>
      <c r="I1237" s="29">
        <v>6.9311600000000002</v>
      </c>
      <c r="K1237" s="29">
        <v>3.862139</v>
      </c>
      <c r="M1237" s="41">
        <v>664.89994799999999</v>
      </c>
      <c r="O1237" s="26">
        <v>3127.2166069999998</v>
      </c>
      <c r="Q1237" s="26">
        <v>6198.4940569999999</v>
      </c>
      <c r="S1237" s="26">
        <v>1604.9460280000001</v>
      </c>
      <c r="U1237" s="29">
        <v>3.298362</v>
      </c>
      <c r="W1237" s="14">
        <v>33.748995999999998</v>
      </c>
      <c r="Y1237" s="29">
        <v>8.7384380000000004</v>
      </c>
      <c r="AA1237" s="41">
        <v>606.56179399999996</v>
      </c>
      <c r="AC1237" s="27">
        <v>50.656554999999997</v>
      </c>
      <c r="AE1237" s="27">
        <v>1</v>
      </c>
      <c r="AG1237" s="29">
        <v>7.6729440000000002</v>
      </c>
      <c r="AI1237" s="29">
        <v>8.75</v>
      </c>
      <c r="AK1237" s="27">
        <v>24.439995</v>
      </c>
      <c r="AM1237" s="27">
        <v>32.843879999999999</v>
      </c>
      <c r="AO1237" s="29">
        <v>6.7692439999999996</v>
      </c>
      <c r="AP1237" s="11"/>
    </row>
    <row r="1238" spans="2:42" hidden="1" outlineLevel="1" x14ac:dyDescent="0.25">
      <c r="B1238" s="21">
        <v>43561</v>
      </c>
      <c r="C1238" s="27">
        <v>19.172799999999999</v>
      </c>
      <c r="E1238" s="30">
        <v>0.89156000000000002</v>
      </c>
      <c r="G1238" s="27">
        <v>43.920999999999999</v>
      </c>
      <c r="I1238" s="29">
        <v>6.9450750000000001</v>
      </c>
      <c r="K1238" s="29">
        <v>3.8739499999999998</v>
      </c>
      <c r="M1238" s="41">
        <v>665.3</v>
      </c>
      <c r="O1238" s="26">
        <v>3124.49</v>
      </c>
      <c r="Q1238" s="26">
        <v>6196.4250000000002</v>
      </c>
      <c r="S1238" s="26">
        <v>1599.5168639999999</v>
      </c>
      <c r="U1238" s="29">
        <v>3.2966250000000001</v>
      </c>
      <c r="W1238" s="14">
        <v>33.804000000000002</v>
      </c>
      <c r="Y1238" s="29">
        <v>8.7259840000000004</v>
      </c>
      <c r="AA1238" s="41">
        <v>607.61749999999995</v>
      </c>
      <c r="AC1238" s="27">
        <v>50.602499999999999</v>
      </c>
      <c r="AE1238" s="27">
        <v>1</v>
      </c>
      <c r="AG1238" s="29">
        <v>7.6708999999999996</v>
      </c>
      <c r="AI1238" s="29">
        <v>8.75</v>
      </c>
      <c r="AK1238" s="27">
        <v>24.46</v>
      </c>
      <c r="AM1238" s="27">
        <v>32.83</v>
      </c>
      <c r="AO1238" s="29">
        <v>6.7864250000000004</v>
      </c>
      <c r="AP1238" s="11"/>
    </row>
    <row r="1239" spans="2:42" hidden="1" outlineLevel="1" x14ac:dyDescent="0.25">
      <c r="B1239" s="21">
        <v>43562</v>
      </c>
      <c r="C1239" s="27">
        <v>19.172799999999999</v>
      </c>
      <c r="E1239" s="30">
        <v>0.891544</v>
      </c>
      <c r="G1239" s="27">
        <v>43.924854000000003</v>
      </c>
      <c r="I1239" s="29">
        <v>6.9450750000000001</v>
      </c>
      <c r="K1239" s="29">
        <v>3.8736090000000001</v>
      </c>
      <c r="M1239" s="41">
        <v>665.30013799999995</v>
      </c>
      <c r="O1239" s="26">
        <v>3124.4902390000002</v>
      </c>
      <c r="Q1239" s="26">
        <v>6196.4250000000002</v>
      </c>
      <c r="S1239" s="26">
        <v>1599.657586</v>
      </c>
      <c r="U1239" s="29">
        <v>3.2967339999999998</v>
      </c>
      <c r="W1239" s="14">
        <v>33.804000000000002</v>
      </c>
      <c r="Y1239" s="29">
        <v>8.7267530000000004</v>
      </c>
      <c r="AA1239" s="41">
        <v>607.61749999999995</v>
      </c>
      <c r="AC1239" s="27">
        <v>50.605770999999997</v>
      </c>
      <c r="AE1239" s="27">
        <v>1</v>
      </c>
      <c r="AG1239" s="29">
        <v>7.6708999999999996</v>
      </c>
      <c r="AI1239" s="29">
        <v>8.75</v>
      </c>
      <c r="AK1239" s="27">
        <v>24.461751</v>
      </c>
      <c r="AM1239" s="27">
        <v>32.830365999999998</v>
      </c>
      <c r="AO1239" s="29">
        <v>6.7864250000000004</v>
      </c>
      <c r="AP1239" s="11"/>
    </row>
    <row r="1240" spans="2:42" hidden="1" outlineLevel="1" x14ac:dyDescent="0.25">
      <c r="B1240" s="21">
        <v>43563</v>
      </c>
      <c r="C1240" s="27">
        <v>19.080500000000001</v>
      </c>
      <c r="E1240" s="30">
        <v>0.88924599999999998</v>
      </c>
      <c r="G1240" s="27">
        <v>43.836185</v>
      </c>
      <c r="I1240" s="29">
        <v>6.9220879999999996</v>
      </c>
      <c r="K1240" s="29">
        <v>3.863737</v>
      </c>
      <c r="M1240" s="41">
        <v>664.37636999999995</v>
      </c>
      <c r="O1240" s="26">
        <v>3119.7331319999998</v>
      </c>
      <c r="Q1240" s="26">
        <v>6200.1821149999996</v>
      </c>
      <c r="S1240" s="26">
        <v>1604.7185460000001</v>
      </c>
      <c r="U1240" s="29">
        <v>3.2955719999999999</v>
      </c>
      <c r="W1240" s="14">
        <v>33.829127999999997</v>
      </c>
      <c r="Y1240" s="29">
        <v>8.7555650000000007</v>
      </c>
      <c r="AA1240" s="41">
        <v>607.47161300000005</v>
      </c>
      <c r="AC1240" s="27">
        <v>50.645100999999997</v>
      </c>
      <c r="AE1240" s="27">
        <v>1</v>
      </c>
      <c r="AG1240" s="29">
        <v>7.6691520000000004</v>
      </c>
      <c r="AI1240" s="29">
        <v>8.75</v>
      </c>
      <c r="AK1240" s="27">
        <v>24.447364</v>
      </c>
      <c r="AM1240" s="27">
        <v>32.907454000000001</v>
      </c>
      <c r="AO1240" s="29">
        <v>6.768211</v>
      </c>
      <c r="AP1240" s="11"/>
    </row>
    <row r="1241" spans="2:42" hidden="1" outlineLevel="1" x14ac:dyDescent="0.25">
      <c r="B1241" s="21">
        <v>43564</v>
      </c>
      <c r="C1241" s="27">
        <v>18.970099999999999</v>
      </c>
      <c r="E1241" s="30">
        <v>0.88740600000000003</v>
      </c>
      <c r="G1241" s="27">
        <v>43.653700999999998</v>
      </c>
      <c r="I1241" s="29">
        <v>6.9153599999999997</v>
      </c>
      <c r="K1241" s="29">
        <v>3.851372</v>
      </c>
      <c r="M1241" s="41">
        <v>663.80546700000002</v>
      </c>
      <c r="O1241" s="26">
        <v>3109.6560049999998</v>
      </c>
      <c r="Q1241" s="26">
        <v>6197.3834040000002</v>
      </c>
      <c r="S1241" s="26">
        <v>1609.1433500000001</v>
      </c>
      <c r="U1241" s="29">
        <v>3.2917399999999999</v>
      </c>
      <c r="W1241" s="14">
        <v>33.803116000000003</v>
      </c>
      <c r="Y1241" s="29">
        <v>8.7769159999999999</v>
      </c>
      <c r="AA1241" s="41">
        <v>606.27686100000005</v>
      </c>
      <c r="AC1241" s="27">
        <v>50.571306</v>
      </c>
      <c r="AE1241" s="27">
        <v>1</v>
      </c>
      <c r="AG1241" s="29">
        <v>7.6542149999999998</v>
      </c>
      <c r="AI1241" s="29">
        <v>8.75</v>
      </c>
      <c r="AK1241" s="27">
        <v>24.437664000000002</v>
      </c>
      <c r="AM1241" s="27">
        <v>32.896693999999997</v>
      </c>
      <c r="AO1241" s="29">
        <v>6.760561</v>
      </c>
      <c r="AP1241" s="11"/>
    </row>
    <row r="1242" spans="2:42" hidden="1" outlineLevel="1" x14ac:dyDescent="0.25">
      <c r="B1242" s="21">
        <v>43565</v>
      </c>
      <c r="C1242" s="27">
        <v>18.922899999999998</v>
      </c>
      <c r="E1242" s="30">
        <v>0.88758000000000004</v>
      </c>
      <c r="G1242" s="27">
        <v>43.234551000000003</v>
      </c>
      <c r="I1242" s="29">
        <v>6.9192939999999998</v>
      </c>
      <c r="K1242" s="29">
        <v>3.8389199999999999</v>
      </c>
      <c r="M1242" s="41">
        <v>663.67117499999995</v>
      </c>
      <c r="O1242" s="26">
        <v>3099.4002730000002</v>
      </c>
      <c r="Q1242" s="26">
        <v>6192.2164119999998</v>
      </c>
      <c r="S1242" s="26">
        <v>1613.0176140000001</v>
      </c>
      <c r="U1242" s="29">
        <v>3.2937180000000001</v>
      </c>
      <c r="W1242" s="14">
        <v>33.856394000000002</v>
      </c>
      <c r="Y1242" s="29">
        <v>8.8192699999999995</v>
      </c>
      <c r="AA1242" s="41">
        <v>605.31486199999995</v>
      </c>
      <c r="AC1242" s="27">
        <v>50.596117</v>
      </c>
      <c r="AE1242" s="27">
        <v>1</v>
      </c>
      <c r="AG1242" s="29">
        <v>7.6504859999999999</v>
      </c>
      <c r="AI1242" s="29">
        <v>8.75</v>
      </c>
      <c r="AK1242" s="27">
        <v>24.450398</v>
      </c>
      <c r="AM1242" s="27">
        <v>32.930452000000002</v>
      </c>
      <c r="AO1242" s="29">
        <v>6.7560339999999997</v>
      </c>
      <c r="AP1242" s="11"/>
    </row>
    <row r="1243" spans="2:42" hidden="1" outlineLevel="1" x14ac:dyDescent="0.25">
      <c r="B1243" s="21">
        <v>43566</v>
      </c>
      <c r="C1243" s="27">
        <v>18.835999999999999</v>
      </c>
      <c r="E1243" s="30">
        <v>0.88737600000000005</v>
      </c>
      <c r="G1243" s="27">
        <v>42.911436000000002</v>
      </c>
      <c r="I1243" s="29">
        <v>6.9189410000000002</v>
      </c>
      <c r="K1243" s="29">
        <v>3.8376570000000001</v>
      </c>
      <c r="M1243" s="41">
        <v>663.32579999999996</v>
      </c>
      <c r="O1243" s="26">
        <v>3103.2567760000002</v>
      </c>
      <c r="Q1243" s="26">
        <v>6209.942763</v>
      </c>
      <c r="S1243" s="26">
        <v>1618.1676640000001</v>
      </c>
      <c r="U1243" s="29">
        <v>3.2946840000000002</v>
      </c>
      <c r="W1243" s="14">
        <v>33.936579999999999</v>
      </c>
      <c r="Y1243" s="29">
        <v>8.8430660000000003</v>
      </c>
      <c r="AA1243" s="41">
        <v>603.70676200000003</v>
      </c>
      <c r="AC1243" s="27">
        <v>50.60539</v>
      </c>
      <c r="AE1243" s="27">
        <v>1</v>
      </c>
      <c r="AG1243" s="29">
        <v>7.6476430000000004</v>
      </c>
      <c r="AI1243" s="29">
        <v>8.75</v>
      </c>
      <c r="AK1243" s="27">
        <v>24.445782000000001</v>
      </c>
      <c r="AM1243" s="27">
        <v>32.869020999999996</v>
      </c>
      <c r="AO1243" s="29">
        <v>6.7506320000000004</v>
      </c>
      <c r="AP1243" s="11"/>
    </row>
    <row r="1244" spans="2:42" hidden="1" outlineLevel="1" x14ac:dyDescent="0.25">
      <c r="B1244" s="21">
        <v>43567</v>
      </c>
      <c r="C1244" s="27">
        <v>18.8432</v>
      </c>
      <c r="E1244" s="30">
        <v>0.88506200000000002</v>
      </c>
      <c r="G1244" s="27">
        <v>42.4953</v>
      </c>
      <c r="I1244" s="29">
        <v>6.9190740000000002</v>
      </c>
      <c r="K1244" s="29">
        <v>3.8675419999999998</v>
      </c>
      <c r="M1244" s="41">
        <v>662.31966299999999</v>
      </c>
      <c r="O1244" s="26">
        <v>3113.4018839999999</v>
      </c>
      <c r="Q1244" s="26">
        <v>6217.7759569999998</v>
      </c>
      <c r="S1244" s="26">
        <v>1607.6884250000001</v>
      </c>
      <c r="U1244" s="29">
        <v>3.2960479999999999</v>
      </c>
      <c r="W1244" s="14">
        <v>33.953857999999997</v>
      </c>
      <c r="Y1244" s="29">
        <v>8.7792019999999997</v>
      </c>
      <c r="AA1244" s="41">
        <v>602.35765400000003</v>
      </c>
      <c r="AC1244" s="27">
        <v>50.645955000000001</v>
      </c>
      <c r="AE1244" s="27">
        <v>1</v>
      </c>
      <c r="AG1244" s="29">
        <v>7.6436960000000003</v>
      </c>
      <c r="AI1244" s="29">
        <v>8.75</v>
      </c>
      <c r="AK1244" s="27">
        <v>24.460467000000001</v>
      </c>
      <c r="AM1244" s="27">
        <v>32.902538999999997</v>
      </c>
      <c r="AO1244" s="29">
        <v>6.7659120000000001</v>
      </c>
      <c r="AP1244" s="11"/>
    </row>
    <row r="1245" spans="2:42" hidden="1" outlineLevel="1" x14ac:dyDescent="0.25">
      <c r="B1245" s="21">
        <v>43568</v>
      </c>
      <c r="C1245" s="27">
        <v>18.8432</v>
      </c>
      <c r="E1245" s="30">
        <v>0.88502599999999998</v>
      </c>
      <c r="G1245" s="27">
        <v>42.18</v>
      </c>
      <c r="I1245" s="29">
        <v>6.9250249999999998</v>
      </c>
      <c r="K1245" s="29">
        <v>3.8813499999999999</v>
      </c>
      <c r="M1245" s="41">
        <v>661.09500000000003</v>
      </c>
      <c r="O1245" s="26">
        <v>3114.85</v>
      </c>
      <c r="Q1245" s="26">
        <v>6207.875</v>
      </c>
      <c r="S1245" s="26">
        <v>1599.4148279999999</v>
      </c>
      <c r="U1245" s="29">
        <v>3.2942499999999999</v>
      </c>
      <c r="W1245" s="14">
        <v>33.921500000000002</v>
      </c>
      <c r="Y1245" s="29">
        <v>8.7396180000000001</v>
      </c>
      <c r="AA1245" s="41">
        <v>602.0675</v>
      </c>
      <c r="AC1245" s="27">
        <v>50.645000000000003</v>
      </c>
      <c r="AE1245" s="27">
        <v>1</v>
      </c>
      <c r="AG1245" s="29">
        <v>7.6361499999999998</v>
      </c>
      <c r="AI1245" s="29">
        <v>8.75</v>
      </c>
      <c r="AK1245" s="27">
        <v>24.482500000000002</v>
      </c>
      <c r="AM1245" s="27">
        <v>32.96</v>
      </c>
      <c r="AO1245" s="29">
        <v>6.7652749999999999</v>
      </c>
      <c r="AP1245" s="11"/>
    </row>
    <row r="1246" spans="2:42" hidden="1" outlineLevel="1" x14ac:dyDescent="0.25">
      <c r="B1246" s="21">
        <v>43569</v>
      </c>
      <c r="C1246" s="27">
        <v>18.8432</v>
      </c>
      <c r="E1246" s="30">
        <v>0.88498699999999997</v>
      </c>
      <c r="G1246" s="27">
        <v>42.176617999999998</v>
      </c>
      <c r="I1246" s="29">
        <v>6.9238559999999998</v>
      </c>
      <c r="K1246" s="29">
        <v>3.8813409999999999</v>
      </c>
      <c r="M1246" s="41">
        <v>661.09442200000001</v>
      </c>
      <c r="O1246" s="26">
        <v>3114.846904</v>
      </c>
      <c r="Q1246" s="26">
        <v>6207.8318369999997</v>
      </c>
      <c r="S1246" s="26">
        <v>1599.40742</v>
      </c>
      <c r="U1246" s="29">
        <v>3.2940839999999998</v>
      </c>
      <c r="W1246" s="14">
        <v>33.921253</v>
      </c>
      <c r="Y1246" s="29">
        <v>8.7395759999999996</v>
      </c>
      <c r="AA1246" s="41">
        <v>602.06328399999995</v>
      </c>
      <c r="AC1246" s="27">
        <v>50.633623</v>
      </c>
      <c r="AE1246" s="27">
        <v>1</v>
      </c>
      <c r="AG1246" s="29">
        <v>7.6360950000000001</v>
      </c>
      <c r="AI1246" s="29">
        <v>8.75</v>
      </c>
      <c r="AK1246" s="27">
        <v>24.476489999999998</v>
      </c>
      <c r="AM1246" s="27">
        <v>32.948355999999997</v>
      </c>
      <c r="AO1246" s="29">
        <v>6.7646280000000001</v>
      </c>
      <c r="AP1246" s="11"/>
    </row>
    <row r="1247" spans="2:42" hidden="1" outlineLevel="1" x14ac:dyDescent="0.25">
      <c r="B1247" s="21">
        <v>43570</v>
      </c>
      <c r="C1247" s="27">
        <v>18.771899999999999</v>
      </c>
      <c r="E1247" s="30">
        <v>0.88433799999999996</v>
      </c>
      <c r="G1247" s="27">
        <v>41.898826</v>
      </c>
      <c r="I1247" s="29">
        <v>6.9216920000000002</v>
      </c>
      <c r="K1247" s="29">
        <v>3.8769979999999999</v>
      </c>
      <c r="M1247" s="41">
        <v>661.59518700000001</v>
      </c>
      <c r="O1247" s="26">
        <v>3126.5593260000001</v>
      </c>
      <c r="Q1247" s="26">
        <v>6212.4935519999999</v>
      </c>
      <c r="S1247" s="26">
        <v>1602.405818</v>
      </c>
      <c r="U1247" s="29">
        <v>3.2961659999999999</v>
      </c>
      <c r="W1247" s="14">
        <v>33.993490000000001</v>
      </c>
      <c r="Y1247" s="29">
        <v>8.7680179999999996</v>
      </c>
      <c r="AA1247" s="41">
        <v>601.46563600000002</v>
      </c>
      <c r="AC1247" s="27">
        <v>50.595134999999999</v>
      </c>
      <c r="AE1247" s="27">
        <v>1</v>
      </c>
      <c r="AG1247" s="29">
        <v>7.6391619999999998</v>
      </c>
      <c r="AI1247" s="29">
        <v>8.75</v>
      </c>
      <c r="AK1247" s="27">
        <v>24.458829999999999</v>
      </c>
      <c r="AM1247" s="27">
        <v>32.898004</v>
      </c>
      <c r="AO1247" s="29">
        <v>6.7651050000000001</v>
      </c>
      <c r="AP1247" s="11"/>
    </row>
    <row r="1248" spans="2:42" hidden="1" outlineLevel="1" x14ac:dyDescent="0.25">
      <c r="B1248" s="21">
        <v>43571</v>
      </c>
      <c r="C1248" s="27">
        <v>18.8489</v>
      </c>
      <c r="E1248" s="30">
        <v>0.88525799999999999</v>
      </c>
      <c r="G1248" s="27">
        <v>41.895479000000002</v>
      </c>
      <c r="I1248" s="29">
        <v>6.9186680000000003</v>
      </c>
      <c r="K1248" s="29">
        <v>3.8841299999999999</v>
      </c>
      <c r="M1248" s="41">
        <v>661.91206199999999</v>
      </c>
      <c r="O1248" s="26">
        <v>3149.58763</v>
      </c>
      <c r="Q1248" s="26">
        <v>6212.9640879999997</v>
      </c>
      <c r="S1248" s="26">
        <v>1599.583854</v>
      </c>
      <c r="U1248" s="29">
        <v>3.2961520000000002</v>
      </c>
      <c r="W1248" s="14">
        <v>34.064515999999998</v>
      </c>
      <c r="Y1248" s="29">
        <v>8.7701949999999993</v>
      </c>
      <c r="AA1248" s="41">
        <v>600.15914799999996</v>
      </c>
      <c r="AC1248" s="27">
        <v>50.585903999999999</v>
      </c>
      <c r="AE1248" s="27">
        <v>1</v>
      </c>
      <c r="AG1248" s="29">
        <v>7.6375339999999996</v>
      </c>
      <c r="AI1248" s="29">
        <v>8.75</v>
      </c>
      <c r="AK1248" s="27">
        <v>24.454988</v>
      </c>
      <c r="AM1248" s="27">
        <v>32.919324000000003</v>
      </c>
      <c r="AO1248" s="29">
        <v>6.7663739999999999</v>
      </c>
      <c r="AP1248" s="11"/>
    </row>
    <row r="1249" spans="2:42" hidden="1" outlineLevel="1" x14ac:dyDescent="0.25">
      <c r="B1249" s="21">
        <v>43572</v>
      </c>
      <c r="C1249" s="27">
        <v>18.951599999999999</v>
      </c>
      <c r="E1249" s="30">
        <v>0.88482000000000005</v>
      </c>
      <c r="G1249" s="27">
        <v>42.060217999999999</v>
      </c>
      <c r="I1249" s="29">
        <v>6.9227540000000003</v>
      </c>
      <c r="K1249" s="29">
        <v>3.9162520000000001</v>
      </c>
      <c r="M1249" s="41">
        <v>661.46994199999995</v>
      </c>
      <c r="O1249" s="26">
        <v>3161.9705490000001</v>
      </c>
      <c r="Q1249" s="26">
        <v>6221.9571379999998</v>
      </c>
      <c r="S1249" s="26">
        <v>1588.7599680000001</v>
      </c>
      <c r="U1249" s="29">
        <v>3.2969900000000001</v>
      </c>
      <c r="W1249" s="14">
        <v>34.143301999999998</v>
      </c>
      <c r="Y1249" s="29">
        <v>8.7183779999999995</v>
      </c>
      <c r="AA1249" s="41">
        <v>598.48753999999997</v>
      </c>
      <c r="AC1249" s="27">
        <v>50.624187999999997</v>
      </c>
      <c r="AE1249" s="27">
        <v>1</v>
      </c>
      <c r="AG1249" s="29">
        <v>7.6348900000000004</v>
      </c>
      <c r="AI1249" s="29">
        <v>8.75</v>
      </c>
      <c r="AK1249" s="27">
        <v>24.468899</v>
      </c>
      <c r="AM1249" s="27">
        <v>32.943344000000003</v>
      </c>
      <c r="AO1249" s="29">
        <v>6.7697159999999998</v>
      </c>
      <c r="AP1249" s="11"/>
    </row>
    <row r="1250" spans="2:42" hidden="1" outlineLevel="1" x14ac:dyDescent="0.25">
      <c r="B1250" s="21">
        <v>43573</v>
      </c>
      <c r="C1250" s="27">
        <v>18.951599999999999</v>
      </c>
      <c r="E1250" s="30">
        <v>0.88820900000000003</v>
      </c>
      <c r="G1250" s="27">
        <v>41.702717999999997</v>
      </c>
      <c r="I1250" s="29">
        <v>6.9231619999999996</v>
      </c>
      <c r="K1250" s="29">
        <v>3.934339</v>
      </c>
      <c r="M1250" s="41">
        <v>662.15423699999997</v>
      </c>
      <c r="O1250" s="26">
        <v>3156.1858849999999</v>
      </c>
      <c r="Q1250" s="26">
        <v>6233.9169910000001</v>
      </c>
      <c r="S1250" s="26">
        <v>1584.495459</v>
      </c>
      <c r="U1250" s="29">
        <v>3.2978540000000001</v>
      </c>
      <c r="W1250" s="14">
        <v>34.229123999999999</v>
      </c>
      <c r="Y1250" s="29">
        <v>8.7001089999999994</v>
      </c>
      <c r="AA1250" s="41">
        <v>595.86008000000004</v>
      </c>
      <c r="AC1250" s="27">
        <v>50.657375000000002</v>
      </c>
      <c r="AE1250" s="27">
        <v>1</v>
      </c>
      <c r="AG1250" s="29">
        <v>7.630865</v>
      </c>
      <c r="AI1250" s="29">
        <v>8.75</v>
      </c>
      <c r="AK1250" s="27">
        <v>24.465381000000001</v>
      </c>
      <c r="AM1250" s="27">
        <v>32.942100000000003</v>
      </c>
      <c r="AO1250" s="29">
        <v>6.7707940000000004</v>
      </c>
      <c r="AP1250" s="11"/>
    </row>
    <row r="1251" spans="2:42" hidden="1" outlineLevel="1" x14ac:dyDescent="0.25">
      <c r="B1251" s="21">
        <v>43574</v>
      </c>
      <c r="C1251" s="27">
        <v>18.951599999999999</v>
      </c>
      <c r="E1251" s="30">
        <v>0.88941999999999999</v>
      </c>
      <c r="G1251" s="27">
        <v>41.675386000000003</v>
      </c>
      <c r="I1251" s="29">
        <v>6.9252399999999996</v>
      </c>
      <c r="K1251" s="29">
        <v>3.9263819999999998</v>
      </c>
      <c r="M1251" s="41">
        <v>662.19980299999997</v>
      </c>
      <c r="O1251" s="26">
        <v>3151.719454</v>
      </c>
      <c r="Q1251" s="26">
        <v>6233.33727</v>
      </c>
      <c r="S1251" s="26">
        <v>1587.558454</v>
      </c>
      <c r="U1251" s="29">
        <v>3.2949660000000001</v>
      </c>
      <c r="W1251" s="14">
        <v>34.296322000000004</v>
      </c>
      <c r="Y1251" s="29">
        <v>8.7348540000000003</v>
      </c>
      <c r="AA1251" s="41">
        <v>594.95669199999998</v>
      </c>
      <c r="AC1251" s="27">
        <v>50.695154000000002</v>
      </c>
      <c r="AE1251" s="27">
        <v>1</v>
      </c>
      <c r="AG1251" s="29">
        <v>7.6347379999999996</v>
      </c>
      <c r="AI1251" s="29">
        <v>8.75</v>
      </c>
      <c r="AK1251" s="27">
        <v>24.46782</v>
      </c>
      <c r="AM1251" s="27">
        <v>32.948172</v>
      </c>
      <c r="AO1251" s="29">
        <v>6.7792339999999998</v>
      </c>
      <c r="AP1251" s="11"/>
    </row>
    <row r="1252" spans="2:42" hidden="1" outlineLevel="1" x14ac:dyDescent="0.25">
      <c r="B1252" s="21">
        <v>43575</v>
      </c>
      <c r="C1252" s="27">
        <v>18.951599999999999</v>
      </c>
      <c r="E1252" s="30">
        <v>0.88930799999999999</v>
      </c>
      <c r="G1252" s="27">
        <v>41.670250000000003</v>
      </c>
      <c r="I1252" s="29">
        <v>6.9232750000000003</v>
      </c>
      <c r="K1252" s="29">
        <v>3.927025</v>
      </c>
      <c r="M1252" s="41">
        <v>662.20500000000004</v>
      </c>
      <c r="O1252" s="26">
        <v>3151.25</v>
      </c>
      <c r="Q1252" s="26">
        <v>6230.2</v>
      </c>
      <c r="S1252" s="26">
        <v>1586.4995759999999</v>
      </c>
      <c r="U1252" s="29">
        <v>3.2934999999999999</v>
      </c>
      <c r="W1252" s="14">
        <v>34.296999999999997</v>
      </c>
      <c r="Y1252" s="29">
        <v>8.7335899999999995</v>
      </c>
      <c r="AA1252" s="41">
        <v>594.96500000000003</v>
      </c>
      <c r="AC1252" s="27">
        <v>50.6175</v>
      </c>
      <c r="AE1252" s="27">
        <v>1</v>
      </c>
      <c r="AG1252" s="29">
        <v>7.6349</v>
      </c>
      <c r="AI1252" s="29">
        <v>8.75</v>
      </c>
      <c r="AK1252" s="27">
        <v>24.486499999999999</v>
      </c>
      <c r="AM1252" s="27">
        <v>33.08</v>
      </c>
      <c r="AO1252" s="29">
        <v>6.7793749999999999</v>
      </c>
      <c r="AP1252" s="11"/>
    </row>
    <row r="1253" spans="2:42" hidden="1" outlineLevel="1" x14ac:dyDescent="0.25">
      <c r="B1253" s="21">
        <v>43576</v>
      </c>
      <c r="C1253" s="27">
        <v>18.951599999999999</v>
      </c>
      <c r="E1253" s="30">
        <v>0.88932299999999997</v>
      </c>
      <c r="G1253" s="27">
        <v>41.670273999999999</v>
      </c>
      <c r="I1253" s="29">
        <v>6.9232750000000003</v>
      </c>
      <c r="K1253" s="29">
        <v>3.9269560000000001</v>
      </c>
      <c r="M1253" s="41">
        <v>662.204474</v>
      </c>
      <c r="O1253" s="26">
        <v>3151.2533020000001</v>
      </c>
      <c r="Q1253" s="26">
        <v>6230.2</v>
      </c>
      <c r="S1253" s="26">
        <v>1586.5274549999999</v>
      </c>
      <c r="U1253" s="29">
        <v>3.2936260000000002</v>
      </c>
      <c r="W1253" s="14">
        <v>34.296999999999997</v>
      </c>
      <c r="Y1253" s="29">
        <v>8.7337439999999997</v>
      </c>
      <c r="AA1253" s="41">
        <v>594.96500000000003</v>
      </c>
      <c r="AC1253" s="27">
        <v>50.616301999999997</v>
      </c>
      <c r="AE1253" s="27">
        <v>1</v>
      </c>
      <c r="AG1253" s="29">
        <v>7.6349</v>
      </c>
      <c r="AI1253" s="29">
        <v>8.75</v>
      </c>
      <c r="AK1253" s="27">
        <v>24.487711999999998</v>
      </c>
      <c r="AM1253" s="27">
        <v>33.078055999999997</v>
      </c>
      <c r="AO1253" s="29">
        <v>6.7793749999999999</v>
      </c>
      <c r="AP1253" s="11"/>
    </row>
    <row r="1254" spans="2:42" hidden="1" outlineLevel="1" x14ac:dyDescent="0.25">
      <c r="B1254" s="21">
        <v>43577</v>
      </c>
      <c r="C1254" s="27">
        <v>18.847999999999999</v>
      </c>
      <c r="E1254" s="30">
        <v>0.88885899999999995</v>
      </c>
      <c r="G1254" s="27">
        <v>41.814732999999997</v>
      </c>
      <c r="I1254" s="29">
        <v>6.9200840000000001</v>
      </c>
      <c r="K1254" s="29">
        <v>3.9277500000000001</v>
      </c>
      <c r="M1254" s="41">
        <v>663.09087699999998</v>
      </c>
      <c r="O1254" s="26">
        <v>3151.4738179999999</v>
      </c>
      <c r="Q1254" s="26">
        <v>6237.6199779999997</v>
      </c>
      <c r="S1254" s="26">
        <v>1588.096417</v>
      </c>
      <c r="U1254" s="29">
        <v>3.2997640000000001</v>
      </c>
      <c r="W1254" s="14">
        <v>34.282541999999999</v>
      </c>
      <c r="Y1254" s="29">
        <v>8.7283170000000005</v>
      </c>
      <c r="AA1254" s="41">
        <v>595.05495800000006</v>
      </c>
      <c r="AC1254" s="27">
        <v>50.656500999999999</v>
      </c>
      <c r="AE1254" s="27">
        <v>1</v>
      </c>
      <c r="AG1254" s="29">
        <v>7.630414</v>
      </c>
      <c r="AI1254" s="29">
        <v>8.75</v>
      </c>
      <c r="AK1254" s="27">
        <v>24.464161000000001</v>
      </c>
      <c r="AM1254" s="27">
        <v>32.949854999999999</v>
      </c>
      <c r="AO1254" s="29">
        <v>6.7766120000000001</v>
      </c>
      <c r="AP1254" s="11"/>
    </row>
    <row r="1255" spans="2:42" hidden="1" outlineLevel="1" x14ac:dyDescent="0.25">
      <c r="B1255" s="21">
        <v>43578</v>
      </c>
      <c r="C1255" s="27">
        <v>18.835899999999999</v>
      </c>
      <c r="E1255" s="30">
        <v>0.89015</v>
      </c>
      <c r="G1255" s="27">
        <v>42.245192000000003</v>
      </c>
      <c r="I1255" s="29">
        <v>6.9171420000000001</v>
      </c>
      <c r="K1255" s="29">
        <v>3.9344239999999999</v>
      </c>
      <c r="M1255" s="41">
        <v>666.11665400000004</v>
      </c>
      <c r="O1255" s="26">
        <v>3166.5700879999999</v>
      </c>
      <c r="Q1255" s="26">
        <v>6247.5177039999999</v>
      </c>
      <c r="S1255" s="26">
        <v>1587.9185230000001</v>
      </c>
      <c r="U1255" s="29">
        <v>3.306467</v>
      </c>
      <c r="W1255" s="14">
        <v>34.321193999999998</v>
      </c>
      <c r="Y1255" s="29">
        <v>8.7233280000000004</v>
      </c>
      <c r="AA1255" s="41">
        <v>596.17925600000001</v>
      </c>
      <c r="AC1255" s="27">
        <v>50.646742000000003</v>
      </c>
      <c r="AE1255" s="27">
        <v>1</v>
      </c>
      <c r="AG1255" s="29">
        <v>7.62338</v>
      </c>
      <c r="AI1255" s="29">
        <v>8.75</v>
      </c>
      <c r="AK1255" s="27">
        <v>24.45234</v>
      </c>
      <c r="AM1255" s="27">
        <v>32.931936</v>
      </c>
      <c r="AO1255" s="29">
        <v>6.7775869999999996</v>
      </c>
      <c r="AP1255" s="11"/>
    </row>
    <row r="1256" spans="2:42" hidden="1" outlineLevel="1" x14ac:dyDescent="0.25">
      <c r="B1256" s="21">
        <v>43579</v>
      </c>
      <c r="C1256" s="27">
        <v>18.957799999999999</v>
      </c>
      <c r="E1256" s="30">
        <v>0.89349199999999995</v>
      </c>
      <c r="G1256" s="27">
        <v>43.008997000000001</v>
      </c>
      <c r="I1256" s="29">
        <v>6.9211710000000002</v>
      </c>
      <c r="K1256" s="29">
        <v>3.9484919999999999</v>
      </c>
      <c r="M1256" s="41">
        <v>670.32304199999999</v>
      </c>
      <c r="O1256" s="26">
        <v>3195.6806980000001</v>
      </c>
      <c r="Q1256" s="26">
        <v>6262.1710800000001</v>
      </c>
      <c r="S1256" s="26">
        <v>1585.9722879999999</v>
      </c>
      <c r="U1256" s="29">
        <v>3.3173840000000001</v>
      </c>
      <c r="W1256" s="14">
        <v>34.461041999999999</v>
      </c>
      <c r="Y1256" s="29">
        <v>8.7276620000000005</v>
      </c>
      <c r="AA1256" s="41">
        <v>599.764724</v>
      </c>
      <c r="AC1256" s="27">
        <v>50.692720000000001</v>
      </c>
      <c r="AE1256" s="27">
        <v>1</v>
      </c>
      <c r="AG1256" s="29">
        <v>7.6259540000000001</v>
      </c>
      <c r="AI1256" s="29">
        <v>8.75</v>
      </c>
      <c r="AK1256" s="27">
        <v>24.468053999999999</v>
      </c>
      <c r="AM1256" s="27">
        <v>32.967190000000002</v>
      </c>
      <c r="AO1256" s="29">
        <v>6.7877840000000003</v>
      </c>
      <c r="AP1256" s="11"/>
    </row>
    <row r="1257" spans="2:42" hidden="1" outlineLevel="1" x14ac:dyDescent="0.25">
      <c r="B1257" s="21">
        <v>43580</v>
      </c>
      <c r="C1257" s="27">
        <v>19.0046</v>
      </c>
      <c r="E1257" s="30">
        <v>0.89749800000000002</v>
      </c>
      <c r="G1257" s="27">
        <v>44.490096000000001</v>
      </c>
      <c r="I1257" s="29">
        <v>6.9257080000000002</v>
      </c>
      <c r="K1257" s="29">
        <v>3.9768140000000001</v>
      </c>
      <c r="M1257" s="41">
        <v>674.26094499999999</v>
      </c>
      <c r="O1257" s="26">
        <v>3226.161681</v>
      </c>
      <c r="Q1257" s="26">
        <v>6270.7044239999996</v>
      </c>
      <c r="S1257" s="26">
        <v>1576.8229859999999</v>
      </c>
      <c r="U1257" s="29">
        <v>3.329116</v>
      </c>
      <c r="W1257" s="14">
        <v>34.555481999999998</v>
      </c>
      <c r="Y1257" s="29">
        <v>8.6892519999999998</v>
      </c>
      <c r="AA1257" s="41">
        <v>602.363876</v>
      </c>
      <c r="AC1257" s="27">
        <v>50.807968000000002</v>
      </c>
      <c r="AE1257" s="27">
        <v>1</v>
      </c>
      <c r="AG1257" s="29">
        <v>7.6373699999999998</v>
      </c>
      <c r="AI1257" s="29">
        <v>8.75</v>
      </c>
      <c r="AK1257" s="27">
        <v>24.488990000000001</v>
      </c>
      <c r="AM1257" s="27">
        <v>32.988128000000003</v>
      </c>
      <c r="AO1257" s="29">
        <v>6.7911060000000001</v>
      </c>
      <c r="AP1257" s="11"/>
    </row>
    <row r="1258" spans="2:42" hidden="1" outlineLevel="1" x14ac:dyDescent="0.25">
      <c r="B1258" s="21">
        <v>43581</v>
      </c>
      <c r="C1258" s="27">
        <v>19.094200000000001</v>
      </c>
      <c r="E1258" s="30">
        <v>0.89726300000000003</v>
      </c>
      <c r="G1258" s="27">
        <v>45.227679999999999</v>
      </c>
      <c r="I1258" s="29">
        <v>6.918139</v>
      </c>
      <c r="K1258" s="29">
        <v>3.9432260000000001</v>
      </c>
      <c r="M1258" s="41">
        <v>674.67521099999999</v>
      </c>
      <c r="O1258" s="26">
        <v>3231.0145940000002</v>
      </c>
      <c r="Q1258" s="26">
        <v>6261.2911729999996</v>
      </c>
      <c r="S1258" s="26">
        <v>1587.86761</v>
      </c>
      <c r="U1258" s="29">
        <v>3.3270140000000001</v>
      </c>
      <c r="W1258" s="14">
        <v>34.549933000000003</v>
      </c>
      <c r="Y1258" s="29">
        <v>8.7618620000000007</v>
      </c>
      <c r="AA1258" s="41">
        <v>601.44065000000001</v>
      </c>
      <c r="AC1258" s="27">
        <v>50.789943999999998</v>
      </c>
      <c r="AE1258" s="27">
        <v>1</v>
      </c>
      <c r="AG1258" s="29">
        <v>7.6383219999999996</v>
      </c>
      <c r="AI1258" s="29">
        <v>8.75</v>
      </c>
      <c r="AK1258" s="27">
        <v>24.461801999999999</v>
      </c>
      <c r="AM1258" s="27">
        <v>32.927422</v>
      </c>
      <c r="AO1258" s="29">
        <v>6.7764350000000002</v>
      </c>
      <c r="AP1258" s="11"/>
    </row>
    <row r="1259" spans="2:42" hidden="1" outlineLevel="1" x14ac:dyDescent="0.25">
      <c r="B1259" s="21">
        <v>43582</v>
      </c>
      <c r="C1259" s="27">
        <v>19.094200000000001</v>
      </c>
      <c r="E1259" s="30">
        <v>0.89701399999999998</v>
      </c>
      <c r="G1259" s="27">
        <v>45.91</v>
      </c>
      <c r="I1259" s="29">
        <v>6.9182750000000004</v>
      </c>
      <c r="K1259" s="29">
        <v>3.93065</v>
      </c>
      <c r="M1259" s="41">
        <v>675.13499999999999</v>
      </c>
      <c r="O1259" s="26">
        <v>3228.8649999999998</v>
      </c>
      <c r="Q1259" s="26">
        <v>6264.4750000000004</v>
      </c>
      <c r="S1259" s="26">
        <v>1593.7562929999999</v>
      </c>
      <c r="U1259" s="29">
        <v>3.32775</v>
      </c>
      <c r="W1259" s="14">
        <v>34.587499999999999</v>
      </c>
      <c r="Y1259" s="29">
        <v>8.7994420000000009</v>
      </c>
      <c r="AA1259" s="41">
        <v>601.07749999999999</v>
      </c>
      <c r="AC1259" s="27">
        <v>50.63</v>
      </c>
      <c r="AE1259" s="27">
        <v>1</v>
      </c>
      <c r="AG1259" s="29">
        <v>7.6433499999999999</v>
      </c>
      <c r="AI1259" s="29">
        <v>8.75</v>
      </c>
      <c r="AK1259" s="27">
        <v>24.494250000000001</v>
      </c>
      <c r="AM1259" s="27">
        <v>33</v>
      </c>
      <c r="AO1259" s="29">
        <v>6.7734750000000004</v>
      </c>
      <c r="AP1259" s="11"/>
    </row>
    <row r="1260" spans="2:42" hidden="1" outlineLevel="1" x14ac:dyDescent="0.25">
      <c r="B1260" s="21">
        <v>43583</v>
      </c>
      <c r="C1260" s="27">
        <v>19.094200000000001</v>
      </c>
      <c r="E1260" s="30">
        <v>0.89700400000000002</v>
      </c>
      <c r="G1260" s="27">
        <v>45.807997</v>
      </c>
      <c r="I1260" s="29">
        <v>6.917198</v>
      </c>
      <c r="K1260" s="29">
        <v>3.9306640000000002</v>
      </c>
      <c r="M1260" s="41">
        <v>675.13469599999996</v>
      </c>
      <c r="O1260" s="26">
        <v>3228.8160360000002</v>
      </c>
      <c r="Q1260" s="26">
        <v>6263.4996430000001</v>
      </c>
      <c r="S1260" s="26">
        <v>1593.502596</v>
      </c>
      <c r="U1260" s="29">
        <v>3.327712</v>
      </c>
      <c r="W1260" s="14">
        <v>34.582861999999999</v>
      </c>
      <c r="Y1260" s="29">
        <v>8.7982329999999997</v>
      </c>
      <c r="AA1260" s="41">
        <v>600.93324600000005</v>
      </c>
      <c r="AC1260" s="27">
        <v>50.649495000000002</v>
      </c>
      <c r="AE1260" s="27">
        <v>1</v>
      </c>
      <c r="AG1260" s="29">
        <v>7.6421590000000004</v>
      </c>
      <c r="AI1260" s="29">
        <v>8.75</v>
      </c>
      <c r="AK1260" s="27">
        <v>24.484635000000001</v>
      </c>
      <c r="AM1260" s="27">
        <v>32.978025000000002</v>
      </c>
      <c r="AO1260" s="29">
        <v>6.7724219999999997</v>
      </c>
      <c r="AP1260" s="11"/>
    </row>
    <row r="1261" spans="2:42" hidden="1" outlineLevel="1" x14ac:dyDescent="0.25">
      <c r="B1261" s="21">
        <v>43584</v>
      </c>
      <c r="C1261" s="27">
        <v>18.941400000000002</v>
      </c>
      <c r="E1261" s="30">
        <v>0.89563199999999998</v>
      </c>
      <c r="G1261" s="27">
        <v>45.268714000000003</v>
      </c>
      <c r="I1261" s="29">
        <v>6.908315</v>
      </c>
      <c r="K1261" s="29">
        <v>3.9341309999999998</v>
      </c>
      <c r="M1261" s="41">
        <v>676.40930600000002</v>
      </c>
      <c r="O1261" s="26">
        <v>3238.0992150000002</v>
      </c>
      <c r="Q1261" s="26">
        <v>6265.3889259999996</v>
      </c>
      <c r="S1261" s="26">
        <v>1592.5818139999999</v>
      </c>
      <c r="U1261" s="29">
        <v>3.3214079999999999</v>
      </c>
      <c r="W1261" s="14">
        <v>34.620981</v>
      </c>
      <c r="Y1261" s="29">
        <v>8.8001900000000006</v>
      </c>
      <c r="AA1261" s="41">
        <v>599.70966199999998</v>
      </c>
      <c r="AC1261" s="27">
        <v>50.809662000000003</v>
      </c>
      <c r="AE1261" s="27">
        <v>1</v>
      </c>
      <c r="AG1261" s="29">
        <v>7.6403020000000001</v>
      </c>
      <c r="AI1261" s="29">
        <v>8.75</v>
      </c>
      <c r="AK1261" s="27">
        <v>24.456199000000002</v>
      </c>
      <c r="AM1261" s="27">
        <v>32.855791000000004</v>
      </c>
      <c r="AO1261" s="29">
        <v>6.7646420000000003</v>
      </c>
      <c r="AP1261" s="12"/>
    </row>
    <row r="1262" spans="2:42" hidden="1" outlineLevel="1" x14ac:dyDescent="0.25">
      <c r="B1262" s="21">
        <v>43585</v>
      </c>
      <c r="C1262" s="49">
        <v>19.012</v>
      </c>
      <c r="E1262" s="30">
        <v>0.89251199999999997</v>
      </c>
      <c r="G1262" s="27">
        <v>44.285845000000002</v>
      </c>
      <c r="I1262" s="29">
        <v>6.9109489999999996</v>
      </c>
      <c r="K1262" s="29">
        <v>3.9374340000000001</v>
      </c>
      <c r="M1262" s="41">
        <v>678.10091499999999</v>
      </c>
      <c r="O1262" s="26">
        <v>3244.4971260000002</v>
      </c>
      <c r="Q1262" s="26">
        <v>6273.28748</v>
      </c>
      <c r="S1262" s="26">
        <v>1593.2512839999999</v>
      </c>
      <c r="U1262" s="29">
        <v>3.3116970000000001</v>
      </c>
      <c r="W1262" s="14">
        <v>34.648878000000003</v>
      </c>
      <c r="Y1262" s="29">
        <v>8.7998840000000005</v>
      </c>
      <c r="AA1262" s="41">
        <v>598.17916600000001</v>
      </c>
      <c r="AC1262" s="27">
        <v>50.740228999999999</v>
      </c>
      <c r="AE1262" s="27">
        <v>1</v>
      </c>
      <c r="AG1262" s="29">
        <v>7.6439620000000001</v>
      </c>
      <c r="AI1262" s="29">
        <v>8.75</v>
      </c>
      <c r="AK1262" s="27">
        <v>24.439487</v>
      </c>
      <c r="AM1262" s="27">
        <v>32.893914000000002</v>
      </c>
      <c r="AO1262" s="29">
        <v>6.770556</v>
      </c>
      <c r="AP1262" s="12"/>
    </row>
    <row r="1263" spans="2:42" ht="13" collapsed="1" x14ac:dyDescent="0.3">
      <c r="B1263" s="25" t="s">
        <v>178</v>
      </c>
      <c r="C1263" s="19">
        <v>19.004100000000001</v>
      </c>
      <c r="E1263" s="24">
        <v>0.89017900000000005</v>
      </c>
      <c r="G1263" s="19">
        <v>43.141199999999998</v>
      </c>
      <c r="I1263" s="23">
        <v>6.92211</v>
      </c>
      <c r="J1263" s="9"/>
      <c r="K1263" s="23">
        <v>3.8986499999999999</v>
      </c>
      <c r="M1263" s="42">
        <v>666.81700000000001</v>
      </c>
      <c r="O1263" s="31">
        <v>3156.24</v>
      </c>
      <c r="Q1263" s="31">
        <v>6223.41</v>
      </c>
      <c r="S1263" s="31">
        <v>1596.39</v>
      </c>
      <c r="U1263" s="23">
        <v>3.30409</v>
      </c>
      <c r="W1263" s="23">
        <v>34.098599999999998</v>
      </c>
      <c r="Y1263" s="23">
        <v>8.7463499999999996</v>
      </c>
      <c r="AA1263" s="42">
        <v>601.10599999999999</v>
      </c>
      <c r="AC1263" s="19">
        <v>50.651600000000002</v>
      </c>
      <c r="AE1263" s="19">
        <v>1</v>
      </c>
      <c r="AG1263" s="23">
        <v>7.6481500000000002</v>
      </c>
      <c r="AI1263" s="23">
        <v>8.75</v>
      </c>
      <c r="AK1263" s="23">
        <v>24.462520000000001</v>
      </c>
      <c r="AM1263" s="23">
        <v>32.921520000000001</v>
      </c>
      <c r="AO1263" s="23">
        <v>6.7712700000000003</v>
      </c>
      <c r="AP1263" s="10"/>
    </row>
    <row r="1264" spans="2:42" hidden="1" outlineLevel="1" x14ac:dyDescent="0.25">
      <c r="B1264" s="21">
        <v>43586</v>
      </c>
      <c r="C1264" s="27">
        <v>19.012</v>
      </c>
      <c r="E1264" s="30">
        <v>0.89108299999999996</v>
      </c>
      <c r="G1264" s="27">
        <v>44.297117</v>
      </c>
      <c r="I1264" s="29">
        <v>6.9076000000000004</v>
      </c>
      <c r="K1264" s="29">
        <v>3.920372</v>
      </c>
      <c r="M1264" s="41">
        <v>677.77713200000005</v>
      </c>
      <c r="O1264" s="26">
        <v>3237.4147349999998</v>
      </c>
      <c r="Q1264" s="26">
        <v>6269.7855570000002</v>
      </c>
      <c r="S1264" s="26">
        <v>1599.2956160000001</v>
      </c>
      <c r="U1264" s="29">
        <v>3.3080229999999999</v>
      </c>
      <c r="W1264" s="14">
        <v>34.650897999999998</v>
      </c>
      <c r="Y1264" s="29">
        <v>8.8387019999999996</v>
      </c>
      <c r="AA1264" s="41">
        <v>597.556016</v>
      </c>
      <c r="AC1264" s="27">
        <v>50.751949000000003</v>
      </c>
      <c r="AE1264" s="27">
        <v>1</v>
      </c>
      <c r="AG1264" s="29">
        <v>7.6481380000000003</v>
      </c>
      <c r="AI1264" s="29">
        <v>8.75</v>
      </c>
      <c r="AK1264" s="27">
        <v>24.449387999999999</v>
      </c>
      <c r="AM1264" s="27">
        <v>32.909481999999997</v>
      </c>
      <c r="AO1264" s="29">
        <v>6.7754009999999996</v>
      </c>
      <c r="AP1264" s="11"/>
    </row>
    <row r="1265" spans="2:42" hidden="1" outlineLevel="1" x14ac:dyDescent="0.25">
      <c r="B1265" s="21">
        <v>43587</v>
      </c>
      <c r="C1265" s="27">
        <v>19.009899999999998</v>
      </c>
      <c r="E1265" s="30">
        <v>0.89346199999999998</v>
      </c>
      <c r="G1265" s="27">
        <v>44.509928000000002</v>
      </c>
      <c r="I1265" s="29">
        <v>6.9114469999999999</v>
      </c>
      <c r="K1265" s="29">
        <v>3.9410059999999998</v>
      </c>
      <c r="M1265" s="41">
        <v>680.90790500000003</v>
      </c>
      <c r="O1265" s="26">
        <v>3244.8477459999999</v>
      </c>
      <c r="Q1265" s="26">
        <v>6268.4181200000003</v>
      </c>
      <c r="S1265" s="26">
        <v>1590.574648</v>
      </c>
      <c r="U1265" s="29">
        <v>3.3124220000000002</v>
      </c>
      <c r="W1265" s="14">
        <v>34.866750000000003</v>
      </c>
      <c r="Y1265" s="29">
        <v>8.8472000000000008</v>
      </c>
      <c r="AA1265" s="41">
        <v>596.73169600000006</v>
      </c>
      <c r="AC1265" s="27">
        <v>50.886493000000002</v>
      </c>
      <c r="AE1265" s="27">
        <v>1</v>
      </c>
      <c r="AG1265" s="29">
        <v>7.6514639999999998</v>
      </c>
      <c r="AI1265" s="29">
        <v>8.75</v>
      </c>
      <c r="AK1265" s="27">
        <v>24.473027999999999</v>
      </c>
      <c r="AM1265" s="27">
        <v>32.942594</v>
      </c>
      <c r="AO1265" s="29">
        <v>6.7769539999999999</v>
      </c>
      <c r="AP1265" s="11"/>
    </row>
    <row r="1266" spans="2:42" hidden="1" outlineLevel="1" x14ac:dyDescent="0.25">
      <c r="B1266" s="21">
        <v>43588</v>
      </c>
      <c r="C1266" s="27">
        <v>19.101400000000002</v>
      </c>
      <c r="E1266" s="30">
        <v>0.89459</v>
      </c>
      <c r="G1266" s="27">
        <v>44.615982000000002</v>
      </c>
      <c r="I1266" s="29">
        <v>6.9172190000000002</v>
      </c>
      <c r="K1266" s="29">
        <v>3.953824</v>
      </c>
      <c r="M1266" s="41">
        <v>680.52507200000002</v>
      </c>
      <c r="O1266" s="26">
        <v>3252.4914180000001</v>
      </c>
      <c r="Q1266" s="26">
        <v>6283.7635639999999</v>
      </c>
      <c r="S1266" s="26">
        <v>1589.299064</v>
      </c>
      <c r="U1266" s="29">
        <v>3.3136580000000002</v>
      </c>
      <c r="W1266" s="14">
        <v>35.048541</v>
      </c>
      <c r="Y1266" s="29">
        <v>8.8644949999999998</v>
      </c>
      <c r="AA1266" s="41">
        <v>596.44553800000006</v>
      </c>
      <c r="AC1266" s="27">
        <v>50.845556000000002</v>
      </c>
      <c r="AE1266" s="27">
        <v>1</v>
      </c>
      <c r="AG1266" s="29">
        <v>7.658334</v>
      </c>
      <c r="AI1266" s="29">
        <v>8.75</v>
      </c>
      <c r="AK1266" s="27">
        <v>24.485620000000001</v>
      </c>
      <c r="AM1266" s="27">
        <v>32.994382000000002</v>
      </c>
      <c r="AO1266" s="29">
        <v>6.7811579999999996</v>
      </c>
      <c r="AP1266" s="11"/>
    </row>
    <row r="1267" spans="2:42" hidden="1" outlineLevel="1" x14ac:dyDescent="0.25">
      <c r="B1267" s="21">
        <v>43589</v>
      </c>
      <c r="C1267" s="27">
        <v>19.101400000000002</v>
      </c>
      <c r="E1267" s="30">
        <v>0.89273000000000002</v>
      </c>
      <c r="G1267" s="27">
        <v>44.477699999999999</v>
      </c>
      <c r="I1267" s="29">
        <v>6.9095500000000003</v>
      </c>
      <c r="K1267" s="29">
        <v>3.9390999999999998</v>
      </c>
      <c r="M1267" s="41">
        <v>677.09249999999997</v>
      </c>
      <c r="O1267" s="26">
        <v>3242.1774999999998</v>
      </c>
      <c r="Q1267" s="26">
        <v>6293</v>
      </c>
      <c r="S1267" s="26">
        <v>1597.5845240000001</v>
      </c>
      <c r="U1267" s="29">
        <v>3.3142</v>
      </c>
      <c r="W1267" s="14">
        <v>35.042499999999997</v>
      </c>
      <c r="Y1267" s="29">
        <v>8.8960980000000003</v>
      </c>
      <c r="AA1267" s="41">
        <v>596.23249999999996</v>
      </c>
      <c r="AC1267" s="27">
        <v>50.615000000000002</v>
      </c>
      <c r="AE1267" s="27">
        <v>1</v>
      </c>
      <c r="AG1267" s="29">
        <v>7.6562749999999999</v>
      </c>
      <c r="AI1267" s="29">
        <v>8.75</v>
      </c>
      <c r="AK1267" s="27">
        <v>24.513974999999999</v>
      </c>
      <c r="AM1267" s="27">
        <v>33.059750000000001</v>
      </c>
      <c r="AO1267" s="29">
        <v>6.7727500000000003</v>
      </c>
      <c r="AP1267" s="11"/>
    </row>
    <row r="1268" spans="2:42" hidden="1" outlineLevel="1" x14ac:dyDescent="0.25">
      <c r="B1268" s="21">
        <v>43590</v>
      </c>
      <c r="C1268" s="27">
        <v>19.101400000000002</v>
      </c>
      <c r="E1268" s="30">
        <v>0.89286799999999999</v>
      </c>
      <c r="G1268" s="27">
        <v>44.483490000000003</v>
      </c>
      <c r="I1268" s="29">
        <v>6.9095500000000003</v>
      </c>
      <c r="K1268" s="29">
        <v>3.9390640000000001</v>
      </c>
      <c r="M1268" s="41">
        <v>677.08091200000001</v>
      </c>
      <c r="O1268" s="26">
        <v>3241.9972899999998</v>
      </c>
      <c r="Q1268" s="26">
        <v>6293</v>
      </c>
      <c r="S1268" s="26">
        <v>1597.598925</v>
      </c>
      <c r="U1268" s="29">
        <v>3.313571</v>
      </c>
      <c r="W1268" s="14">
        <v>35.037444000000001</v>
      </c>
      <c r="Y1268" s="29">
        <v>8.8948929999999997</v>
      </c>
      <c r="AA1268" s="41">
        <v>596.23249999999996</v>
      </c>
      <c r="AC1268" s="27">
        <v>50.615000000000002</v>
      </c>
      <c r="AE1268" s="27">
        <v>1</v>
      </c>
      <c r="AG1268" s="29">
        <v>7.6562749999999999</v>
      </c>
      <c r="AI1268" s="29">
        <v>8.75</v>
      </c>
      <c r="AK1268" s="27">
        <v>24.513672</v>
      </c>
      <c r="AM1268" s="27">
        <v>33.060355999999999</v>
      </c>
      <c r="AO1268" s="29">
        <v>6.7727500000000003</v>
      </c>
      <c r="AP1268" s="11"/>
    </row>
    <row r="1269" spans="2:42" hidden="1" outlineLevel="1" x14ac:dyDescent="0.25">
      <c r="B1269" s="21">
        <v>43591</v>
      </c>
      <c r="C1269" s="27">
        <v>19.001200000000001</v>
      </c>
      <c r="E1269" s="30">
        <v>0.89331199999999999</v>
      </c>
      <c r="G1269" s="27">
        <v>44.647886999999997</v>
      </c>
      <c r="I1269" s="29">
        <v>6.8953119999999997</v>
      </c>
      <c r="K1269" s="29">
        <v>3.950529</v>
      </c>
      <c r="M1269" s="41">
        <v>678.906024</v>
      </c>
      <c r="O1269" s="26">
        <v>3246.6564790000002</v>
      </c>
      <c r="Q1269" s="26">
        <v>6286.7760060000001</v>
      </c>
      <c r="S1269" s="26">
        <v>1591.3874479999999</v>
      </c>
      <c r="U1269" s="29">
        <v>3.30619</v>
      </c>
      <c r="W1269" s="14">
        <v>34.997301999999998</v>
      </c>
      <c r="Y1269" s="29">
        <v>8.8589129999999994</v>
      </c>
      <c r="AA1269" s="41">
        <v>595.20066499999996</v>
      </c>
      <c r="AC1269" s="27">
        <v>50.765712000000001</v>
      </c>
      <c r="AE1269" s="27">
        <v>1</v>
      </c>
      <c r="AG1269" s="29">
        <v>7.6528609999999997</v>
      </c>
      <c r="AI1269" s="29">
        <v>8.75</v>
      </c>
      <c r="AK1269" s="27">
        <v>24.456498</v>
      </c>
      <c r="AM1269" s="27">
        <v>32.916809999999998</v>
      </c>
      <c r="AO1269" s="29">
        <v>6.7598279999999997</v>
      </c>
      <c r="AP1269" s="11"/>
    </row>
    <row r="1270" spans="2:42" hidden="1" outlineLevel="1" x14ac:dyDescent="0.25">
      <c r="B1270" s="21">
        <v>43592</v>
      </c>
      <c r="C1270" s="27">
        <v>18.978100000000001</v>
      </c>
      <c r="E1270" s="30">
        <v>0.89331499999999997</v>
      </c>
      <c r="G1270" s="27">
        <v>44.873027</v>
      </c>
      <c r="I1270" s="29">
        <v>6.9082949999999999</v>
      </c>
      <c r="K1270" s="29">
        <v>3.973719</v>
      </c>
      <c r="M1270" s="41">
        <v>682.34522000000004</v>
      </c>
      <c r="O1270" s="26">
        <v>3268.6297979999999</v>
      </c>
      <c r="Q1270" s="26">
        <v>6293.9278619999995</v>
      </c>
      <c r="S1270" s="26">
        <v>1583.900529</v>
      </c>
      <c r="U1270" s="29">
        <v>3.3108149999999998</v>
      </c>
      <c r="W1270" s="14">
        <v>35.025982999999997</v>
      </c>
      <c r="Y1270" s="29">
        <v>8.8144390000000001</v>
      </c>
      <c r="AA1270" s="41">
        <v>595.05400399999996</v>
      </c>
      <c r="AC1270" s="27">
        <v>50.559311999999998</v>
      </c>
      <c r="AE1270" s="27">
        <v>1</v>
      </c>
      <c r="AG1270" s="29">
        <v>7.65862</v>
      </c>
      <c r="AI1270" s="29">
        <v>8.75</v>
      </c>
      <c r="AK1270" s="27">
        <v>24.473507999999999</v>
      </c>
      <c r="AM1270" s="27">
        <v>32.968842000000002</v>
      </c>
      <c r="AO1270" s="29">
        <v>6.7756879999999997</v>
      </c>
      <c r="AP1270" s="11"/>
    </row>
    <row r="1271" spans="2:42" hidden="1" outlineLevel="1" x14ac:dyDescent="0.25">
      <c r="B1271" s="21">
        <v>43593</v>
      </c>
      <c r="C1271" s="27">
        <v>19.049900000000001</v>
      </c>
      <c r="E1271" s="30">
        <v>0.89298</v>
      </c>
      <c r="G1271" s="27">
        <v>45.176786</v>
      </c>
      <c r="I1271" s="29">
        <v>6.9127780000000003</v>
      </c>
      <c r="K1271" s="29">
        <v>3.9519440000000001</v>
      </c>
      <c r="M1271" s="41">
        <v>685.13667799999996</v>
      </c>
      <c r="O1271" s="26">
        <v>3291.7512019999999</v>
      </c>
      <c r="Q1271" s="26">
        <v>6303.2863539999998</v>
      </c>
      <c r="S1271" s="26">
        <v>1594.995868</v>
      </c>
      <c r="U1271" s="29">
        <v>3.3155269999999999</v>
      </c>
      <c r="W1271" s="14">
        <v>35.010516000000003</v>
      </c>
      <c r="Y1271" s="29">
        <v>8.8590929999999997</v>
      </c>
      <c r="AA1271" s="41">
        <v>595.40858300000002</v>
      </c>
      <c r="AC1271" s="27">
        <v>50.608930000000001</v>
      </c>
      <c r="AE1271" s="27">
        <v>1</v>
      </c>
      <c r="AG1271" s="29">
        <v>7.6616280000000003</v>
      </c>
      <c r="AI1271" s="29">
        <v>8.75</v>
      </c>
      <c r="AK1271" s="27">
        <v>24.483888</v>
      </c>
      <c r="AM1271" s="27">
        <v>33.021175999999997</v>
      </c>
      <c r="AO1271" s="29">
        <v>6.7793840000000003</v>
      </c>
      <c r="AP1271" s="11"/>
    </row>
    <row r="1272" spans="2:42" hidden="1" outlineLevel="1" x14ac:dyDescent="0.25">
      <c r="B1272" s="21">
        <v>43594</v>
      </c>
      <c r="C1272" s="27">
        <v>19.0837</v>
      </c>
      <c r="E1272" s="30">
        <v>0.89242200000000005</v>
      </c>
      <c r="G1272" s="27">
        <v>45.218325999999998</v>
      </c>
      <c r="I1272" s="29">
        <v>6.9120189999999999</v>
      </c>
      <c r="K1272" s="29">
        <v>3.940858</v>
      </c>
      <c r="M1272" s="41">
        <v>684.98535800000002</v>
      </c>
      <c r="O1272" s="26">
        <v>3293.5853699999998</v>
      </c>
      <c r="Q1272" s="26">
        <v>6308.6782519999997</v>
      </c>
      <c r="S1272" s="26">
        <v>1600.850839</v>
      </c>
      <c r="U1272" s="29">
        <v>3.3187790000000001</v>
      </c>
      <c r="W1272" s="14">
        <v>35.054749999999999</v>
      </c>
      <c r="Y1272" s="29">
        <v>8.8952380000000009</v>
      </c>
      <c r="AA1272" s="41">
        <v>595.27461200000005</v>
      </c>
      <c r="AC1272" s="27">
        <v>50.640811999999997</v>
      </c>
      <c r="AE1272" s="27">
        <v>1</v>
      </c>
      <c r="AG1272" s="29">
        <v>7.6615820000000001</v>
      </c>
      <c r="AI1272" s="29">
        <v>8.75</v>
      </c>
      <c r="AK1272" s="27">
        <v>24.479657</v>
      </c>
      <c r="AM1272" s="27">
        <v>33.008786000000001</v>
      </c>
      <c r="AO1272" s="29">
        <v>6.7777700000000003</v>
      </c>
      <c r="AP1272" s="11"/>
    </row>
    <row r="1273" spans="2:42" hidden="1" outlineLevel="1" x14ac:dyDescent="0.25">
      <c r="B1273" s="21">
        <v>43595</v>
      </c>
      <c r="C1273" s="27">
        <v>19.2623</v>
      </c>
      <c r="E1273" s="30">
        <v>0.890266</v>
      </c>
      <c r="G1273" s="27">
        <v>45.072501000000003</v>
      </c>
      <c r="I1273" s="29">
        <v>6.9020530000000004</v>
      </c>
      <c r="K1273" s="29">
        <v>3.9508779999999999</v>
      </c>
      <c r="M1273" s="41">
        <v>685.45371799999998</v>
      </c>
      <c r="O1273" s="26">
        <v>3279.0343809999999</v>
      </c>
      <c r="Q1273" s="26">
        <v>6343.9715230000002</v>
      </c>
      <c r="S1273" s="26">
        <v>1605.7255110000001</v>
      </c>
      <c r="U1273" s="29">
        <v>3.3120989999999999</v>
      </c>
      <c r="W1273" s="14">
        <v>35.010382</v>
      </c>
      <c r="Y1273" s="29">
        <v>8.8614540000000002</v>
      </c>
      <c r="AA1273" s="41">
        <v>594.48531800000001</v>
      </c>
      <c r="AC1273" s="27">
        <v>50.562137</v>
      </c>
      <c r="AE1273" s="27">
        <v>1</v>
      </c>
      <c r="AG1273" s="29">
        <v>7.6540140000000001</v>
      </c>
      <c r="AI1273" s="29">
        <v>8.75</v>
      </c>
      <c r="AK1273" s="27">
        <v>24.475096000000001</v>
      </c>
      <c r="AM1273" s="27">
        <v>32.945478999999999</v>
      </c>
      <c r="AO1273" s="29">
        <v>6.7682520000000004</v>
      </c>
      <c r="AP1273" s="11"/>
    </row>
    <row r="1274" spans="2:42" hidden="1" outlineLevel="1" x14ac:dyDescent="0.25">
      <c r="B1274" s="21">
        <v>43596</v>
      </c>
      <c r="C1274" s="27">
        <v>19.2623</v>
      </c>
      <c r="E1274" s="30">
        <v>0.89018600000000003</v>
      </c>
      <c r="G1274" s="27">
        <v>44.815125000000002</v>
      </c>
      <c r="I1274" s="29">
        <v>6.9096500000000001</v>
      </c>
      <c r="K1274" s="29">
        <v>3.9586000000000001</v>
      </c>
      <c r="M1274" s="41">
        <v>686</v>
      </c>
      <c r="O1274" s="26">
        <v>3280.7975000000001</v>
      </c>
      <c r="Q1274" s="26">
        <v>6348.625</v>
      </c>
      <c r="S1274" s="26">
        <v>1603.78027</v>
      </c>
      <c r="U1274" s="29">
        <v>3.314975</v>
      </c>
      <c r="W1274" s="14">
        <v>35.082500000000003</v>
      </c>
      <c r="Y1274" s="29">
        <v>8.8624179999999999</v>
      </c>
      <c r="AA1274" s="41">
        <v>594.8075</v>
      </c>
      <c r="AC1274" s="27">
        <v>50.685000000000002</v>
      </c>
      <c r="AE1274" s="27">
        <v>1</v>
      </c>
      <c r="AG1274" s="29">
        <v>7.6582249999999998</v>
      </c>
      <c r="AI1274" s="29">
        <v>8.75</v>
      </c>
      <c r="AK1274" s="27">
        <v>24.569974999999999</v>
      </c>
      <c r="AM1274" s="27">
        <v>33.124749999999999</v>
      </c>
      <c r="AO1274" s="29">
        <v>6.7771499999999998</v>
      </c>
      <c r="AP1274" s="11"/>
    </row>
    <row r="1275" spans="2:42" hidden="1" outlineLevel="1" x14ac:dyDescent="0.25">
      <c r="B1275" s="21">
        <v>43597</v>
      </c>
      <c r="C1275" s="27">
        <v>19.2623</v>
      </c>
      <c r="E1275" s="30">
        <v>0.89016099999999998</v>
      </c>
      <c r="G1275" s="27">
        <v>44.814636</v>
      </c>
      <c r="I1275" s="29">
        <v>6.9096500000000001</v>
      </c>
      <c r="K1275" s="29">
        <v>3.9587500000000002</v>
      </c>
      <c r="M1275" s="41">
        <v>686.03361199999995</v>
      </c>
      <c r="O1275" s="26">
        <v>3280.500415</v>
      </c>
      <c r="Q1275" s="26">
        <v>6348.625</v>
      </c>
      <c r="S1275" s="26">
        <v>1603.7173660000001</v>
      </c>
      <c r="U1275" s="29">
        <v>3.3149769999999998</v>
      </c>
      <c r="W1275" s="14">
        <v>35.080641999999997</v>
      </c>
      <c r="Y1275" s="29">
        <v>8.8616030000000006</v>
      </c>
      <c r="AA1275" s="41">
        <v>594.8075</v>
      </c>
      <c r="AC1275" s="27">
        <v>50.685000000000002</v>
      </c>
      <c r="AE1275" s="27">
        <v>1</v>
      </c>
      <c r="AG1275" s="29">
        <v>7.6582249999999998</v>
      </c>
      <c r="AI1275" s="29">
        <v>8.75</v>
      </c>
      <c r="AK1275" s="27">
        <v>24.569974999999999</v>
      </c>
      <c r="AM1275" s="27">
        <v>33.124749999999999</v>
      </c>
      <c r="AO1275" s="29">
        <v>6.7771499999999998</v>
      </c>
      <c r="AP1275" s="11"/>
    </row>
    <row r="1276" spans="2:42" hidden="1" outlineLevel="1" x14ac:dyDescent="0.25">
      <c r="B1276" s="21">
        <v>43598</v>
      </c>
      <c r="C1276" s="27">
        <v>19.1374</v>
      </c>
      <c r="E1276" s="30">
        <v>0.890123</v>
      </c>
      <c r="G1276" s="27">
        <v>45.017496999999999</v>
      </c>
      <c r="I1276" s="29">
        <v>6.9097530000000003</v>
      </c>
      <c r="K1276" s="29">
        <v>3.9734530000000001</v>
      </c>
      <c r="M1276" s="41">
        <v>690.25530800000001</v>
      </c>
      <c r="O1276" s="26">
        <v>3286.066002</v>
      </c>
      <c r="Q1276" s="26">
        <v>6356.4381450000001</v>
      </c>
      <c r="S1276" s="26">
        <v>1599.7396739999999</v>
      </c>
      <c r="U1276" s="29">
        <v>3.3209360000000001</v>
      </c>
      <c r="W1276" s="14">
        <v>35.110819999999997</v>
      </c>
      <c r="Y1276" s="29">
        <v>8.8363820000000004</v>
      </c>
      <c r="AA1276" s="41">
        <v>594.87821799999995</v>
      </c>
      <c r="AC1276" s="27">
        <v>50.568669999999997</v>
      </c>
      <c r="AE1276" s="27">
        <v>1</v>
      </c>
      <c r="AG1276" s="29">
        <v>7.6594059999999997</v>
      </c>
      <c r="AI1276" s="29">
        <v>8.75</v>
      </c>
      <c r="AK1276" s="27">
        <v>24.366429</v>
      </c>
      <c r="AM1276" s="27">
        <v>32.764206000000001</v>
      </c>
      <c r="AO1276" s="29">
        <v>6.7772699999999997</v>
      </c>
      <c r="AP1276" s="11"/>
    </row>
    <row r="1277" spans="2:42" hidden="1" outlineLevel="1" x14ac:dyDescent="0.25">
      <c r="B1277" s="21">
        <v>43599</v>
      </c>
      <c r="C1277" s="27">
        <v>19.192799999999998</v>
      </c>
      <c r="E1277" s="30">
        <v>0.89102599999999998</v>
      </c>
      <c r="G1277" s="27">
        <v>45.064646000000003</v>
      </c>
      <c r="I1277" s="29">
        <v>6.9089840000000002</v>
      </c>
      <c r="K1277" s="29">
        <v>3.9850099999999999</v>
      </c>
      <c r="M1277" s="41">
        <v>693.07633199999998</v>
      </c>
      <c r="O1277" s="26">
        <v>3293.863382</v>
      </c>
      <c r="Q1277" s="26">
        <v>6356.6716200000001</v>
      </c>
      <c r="S1277" s="26">
        <v>1595.1623569999999</v>
      </c>
      <c r="U1277" s="29">
        <v>3.325958</v>
      </c>
      <c r="W1277" s="14">
        <v>35.156728000000001</v>
      </c>
      <c r="Y1277" s="29">
        <v>8.8222939999999994</v>
      </c>
      <c r="AA1277" s="41">
        <v>594.82605100000001</v>
      </c>
      <c r="AC1277" s="27">
        <v>50.565123999999997</v>
      </c>
      <c r="AE1277" s="27">
        <v>1</v>
      </c>
      <c r="AG1277" s="29">
        <v>7.6567660000000002</v>
      </c>
      <c r="AI1277" s="29">
        <v>8.75</v>
      </c>
      <c r="AK1277" s="27">
        <v>24.228998000000001</v>
      </c>
      <c r="AM1277" s="27">
        <v>32.553100000000001</v>
      </c>
      <c r="AO1277" s="29">
        <v>6.7716139999999996</v>
      </c>
      <c r="AP1277" s="11"/>
    </row>
    <row r="1278" spans="2:42" hidden="1" outlineLevel="1" x14ac:dyDescent="0.25">
      <c r="B1278" s="21">
        <v>43600</v>
      </c>
      <c r="C1278" s="27">
        <v>19.142700000000001</v>
      </c>
      <c r="E1278" s="30">
        <v>0.89258300000000002</v>
      </c>
      <c r="G1278" s="27">
        <v>44.992393</v>
      </c>
      <c r="I1278" s="29">
        <v>6.9178870000000003</v>
      </c>
      <c r="K1278" s="29">
        <v>3.9869520000000001</v>
      </c>
      <c r="M1278" s="41">
        <v>692.41579400000001</v>
      </c>
      <c r="O1278" s="26">
        <v>3291.6072300000001</v>
      </c>
      <c r="Q1278" s="26">
        <v>6353.1341519999996</v>
      </c>
      <c r="S1278" s="26">
        <v>1593.4928500000001</v>
      </c>
      <c r="U1278" s="29">
        <v>3.3249219999999999</v>
      </c>
      <c r="W1278" s="14">
        <v>35.232092000000002</v>
      </c>
      <c r="Y1278" s="29">
        <v>8.8368780000000005</v>
      </c>
      <c r="AA1278" s="41">
        <v>594.875767</v>
      </c>
      <c r="AC1278" s="27">
        <v>50.630687000000002</v>
      </c>
      <c r="AE1278" s="27">
        <v>1</v>
      </c>
      <c r="AG1278" s="29">
        <v>7.6620920000000003</v>
      </c>
      <c r="AI1278" s="29">
        <v>8.75</v>
      </c>
      <c r="AK1278" s="27">
        <v>24.249517999999998</v>
      </c>
      <c r="AM1278" s="27">
        <v>33.040706</v>
      </c>
      <c r="AO1278" s="29">
        <v>6.7789419999999998</v>
      </c>
      <c r="AP1278" s="11"/>
    </row>
    <row r="1279" spans="2:42" hidden="1" outlineLevel="1" x14ac:dyDescent="0.25">
      <c r="B1279" s="21">
        <v>43601</v>
      </c>
      <c r="C1279" s="27">
        <v>19.1236</v>
      </c>
      <c r="E1279" s="30">
        <v>0.89334599999999997</v>
      </c>
      <c r="G1279" s="27">
        <v>44.895561999999998</v>
      </c>
      <c r="I1279" s="29">
        <v>6.9063670000000004</v>
      </c>
      <c r="K1279" s="29">
        <v>4.0139659999999999</v>
      </c>
      <c r="M1279" s="41">
        <v>693.11180200000001</v>
      </c>
      <c r="O1279" s="26">
        <v>3289.8699919999999</v>
      </c>
      <c r="Q1279" s="26">
        <v>6357.7982259999999</v>
      </c>
      <c r="S1279" s="26">
        <v>1583.9311479999999</v>
      </c>
      <c r="U1279" s="29">
        <v>3.3202980000000002</v>
      </c>
      <c r="W1279" s="14">
        <v>35.214596999999998</v>
      </c>
      <c r="Y1279" s="29">
        <v>8.7730519999999999</v>
      </c>
      <c r="AA1279" s="41">
        <v>592.55062499999997</v>
      </c>
      <c r="AC1279" s="27">
        <v>50.599863999999997</v>
      </c>
      <c r="AE1279" s="27">
        <v>1</v>
      </c>
      <c r="AG1279" s="29">
        <v>7.6565260000000004</v>
      </c>
      <c r="AI1279" s="29">
        <v>8.75</v>
      </c>
      <c r="AK1279" s="27">
        <v>24.235295000000001</v>
      </c>
      <c r="AM1279" s="27">
        <v>32.98612</v>
      </c>
      <c r="AO1279" s="29">
        <v>6.7699689999999997</v>
      </c>
      <c r="AP1279" s="11"/>
    </row>
    <row r="1280" spans="2:42" hidden="1" outlineLevel="1" x14ac:dyDescent="0.25">
      <c r="B1280" s="21">
        <v>43602</v>
      </c>
      <c r="C1280" s="27">
        <v>19.071000000000002</v>
      </c>
      <c r="E1280" s="30">
        <v>0.89536800000000005</v>
      </c>
      <c r="G1280" s="27">
        <v>44.862136</v>
      </c>
      <c r="I1280" s="29">
        <v>6.9191820000000002</v>
      </c>
      <c r="K1280" s="29">
        <v>4.0698319999999999</v>
      </c>
      <c r="M1280" s="41">
        <v>695.69165599999997</v>
      </c>
      <c r="O1280" s="26">
        <v>3307.0306099999998</v>
      </c>
      <c r="Q1280" s="26">
        <v>6349.0064430000002</v>
      </c>
      <c r="S1280" s="26">
        <v>1560.028374</v>
      </c>
      <c r="U1280" s="29">
        <v>3.3220040000000002</v>
      </c>
      <c r="W1280" s="14">
        <v>35.268464000000002</v>
      </c>
      <c r="Y1280" s="29">
        <v>8.6658580000000001</v>
      </c>
      <c r="AA1280" s="41">
        <v>590.66307900000004</v>
      </c>
      <c r="AC1280" s="27">
        <v>50.681856000000003</v>
      </c>
      <c r="AE1280" s="27">
        <v>1</v>
      </c>
      <c r="AG1280" s="29">
        <v>7.6646640000000001</v>
      </c>
      <c r="AI1280" s="29">
        <v>8.75</v>
      </c>
      <c r="AK1280" s="27">
        <v>24.284559999999999</v>
      </c>
      <c r="AM1280" s="27">
        <v>33.043570000000003</v>
      </c>
      <c r="AO1280" s="29">
        <v>6.765447</v>
      </c>
      <c r="AP1280" s="11"/>
    </row>
    <row r="1281" spans="2:42" hidden="1" outlineLevel="1" x14ac:dyDescent="0.25">
      <c r="B1281" s="21">
        <v>43603</v>
      </c>
      <c r="C1281" s="27">
        <v>19.071000000000002</v>
      </c>
      <c r="E1281" s="30">
        <v>0.89626600000000001</v>
      </c>
      <c r="G1281" s="27">
        <v>44.997725000000003</v>
      </c>
      <c r="I1281" s="29">
        <v>6.9097499999999998</v>
      </c>
      <c r="K1281" s="29">
        <v>4.0976249999999999</v>
      </c>
      <c r="M1281" s="41">
        <v>696.6825</v>
      </c>
      <c r="O1281" s="26">
        <v>3320.0374999999999</v>
      </c>
      <c r="Q1281" s="26">
        <v>6321.375</v>
      </c>
      <c r="S1281" s="26">
        <v>1542.705363</v>
      </c>
      <c r="U1281" s="29">
        <v>3.3269250000000001</v>
      </c>
      <c r="W1281" s="14">
        <v>35.222499999999997</v>
      </c>
      <c r="Y1281" s="29">
        <v>8.5958679999999994</v>
      </c>
      <c r="AA1281" s="41">
        <v>589.09749999999997</v>
      </c>
      <c r="AC1281" s="27">
        <v>50.697499999999998</v>
      </c>
      <c r="AE1281" s="27">
        <v>1</v>
      </c>
      <c r="AG1281" s="29">
        <v>7.6601499999999998</v>
      </c>
      <c r="AI1281" s="29">
        <v>8.75</v>
      </c>
      <c r="AK1281" s="27">
        <v>24.011975</v>
      </c>
      <c r="AM1281" s="27">
        <v>33.139749999999999</v>
      </c>
      <c r="AO1281" s="29">
        <v>6.7413499999999997</v>
      </c>
      <c r="AP1281" s="11"/>
    </row>
    <row r="1282" spans="2:42" hidden="1" outlineLevel="1" x14ac:dyDescent="0.25">
      <c r="B1282" s="21">
        <v>43604</v>
      </c>
      <c r="C1282" s="27">
        <v>19.071000000000002</v>
      </c>
      <c r="E1282" s="30">
        <v>0.8962</v>
      </c>
      <c r="G1282" s="27">
        <v>44.994320000000002</v>
      </c>
      <c r="I1282" s="29">
        <v>6.9097499999999998</v>
      </c>
      <c r="K1282" s="29">
        <v>4.0977139999999999</v>
      </c>
      <c r="M1282" s="41">
        <v>696.75591199999997</v>
      </c>
      <c r="O1282" s="26">
        <v>3320.0374999999999</v>
      </c>
      <c r="Q1282" s="26">
        <v>6321.375</v>
      </c>
      <c r="S1282" s="26">
        <v>1542.6714219999999</v>
      </c>
      <c r="U1282" s="29">
        <v>3.3269250000000001</v>
      </c>
      <c r="W1282" s="14">
        <v>35.222499999999997</v>
      </c>
      <c r="Y1282" s="29">
        <v>8.5956779999999995</v>
      </c>
      <c r="AA1282" s="41">
        <v>589.09749999999997</v>
      </c>
      <c r="AC1282" s="27">
        <v>50.697499999999998</v>
      </c>
      <c r="AE1282" s="27">
        <v>1</v>
      </c>
      <c r="AG1282" s="29">
        <v>7.6601499999999998</v>
      </c>
      <c r="AI1282" s="29">
        <v>8.75</v>
      </c>
      <c r="AK1282" s="27">
        <v>24.011975</v>
      </c>
      <c r="AM1282" s="27">
        <v>33.139749999999999</v>
      </c>
      <c r="AO1282" s="29">
        <v>6.7413499999999997</v>
      </c>
      <c r="AP1282" s="11"/>
    </row>
    <row r="1283" spans="2:42" hidden="1" outlineLevel="1" x14ac:dyDescent="0.25">
      <c r="B1283" s="21">
        <v>43605</v>
      </c>
      <c r="C1283" s="27">
        <v>19.145399999999999</v>
      </c>
      <c r="E1283" s="30">
        <v>0.89584399999999997</v>
      </c>
      <c r="G1283" s="27">
        <v>45.059403000000003</v>
      </c>
      <c r="I1283" s="29">
        <v>6.9110180000000003</v>
      </c>
      <c r="K1283" s="29">
        <v>4.0996410000000001</v>
      </c>
      <c r="M1283" s="41">
        <v>697.43990599999995</v>
      </c>
      <c r="O1283" s="26">
        <v>3332.53143</v>
      </c>
      <c r="Q1283" s="26">
        <v>6321.0244700000003</v>
      </c>
      <c r="S1283" s="26">
        <v>1541.859755</v>
      </c>
      <c r="U1283" s="29">
        <v>3.328532</v>
      </c>
      <c r="W1283" s="14">
        <v>35.233209000000002</v>
      </c>
      <c r="Y1283" s="29">
        <v>8.5942500000000006</v>
      </c>
      <c r="AA1283" s="41">
        <v>589.20358999999996</v>
      </c>
      <c r="AC1283" s="27">
        <v>50.693392000000003</v>
      </c>
      <c r="AE1283" s="27">
        <v>1</v>
      </c>
      <c r="AG1283" s="29">
        <v>7.6607940000000001</v>
      </c>
      <c r="AI1283" s="29">
        <v>8.75</v>
      </c>
      <c r="AK1283" s="27">
        <v>24.412420000000001</v>
      </c>
      <c r="AM1283" s="27">
        <v>33.036662</v>
      </c>
      <c r="AO1283" s="29">
        <v>6.7506149999999998</v>
      </c>
      <c r="AP1283" s="11"/>
    </row>
    <row r="1284" spans="2:42" hidden="1" outlineLevel="1" x14ac:dyDescent="0.25">
      <c r="B1284" s="21">
        <v>43606</v>
      </c>
      <c r="C1284" s="27">
        <v>19.090800000000002</v>
      </c>
      <c r="E1284" s="30">
        <v>0.8962</v>
      </c>
      <c r="G1284" s="27">
        <v>45.01323</v>
      </c>
      <c r="I1284" s="29">
        <v>6.9063920000000003</v>
      </c>
      <c r="K1284" s="29">
        <v>4.0787079999999998</v>
      </c>
      <c r="M1284" s="41">
        <v>696.04281800000001</v>
      </c>
      <c r="O1284" s="26">
        <v>3347.6300489999999</v>
      </c>
      <c r="Q1284" s="26">
        <v>6306.2926649999999</v>
      </c>
      <c r="S1284" s="26">
        <v>1546.16273</v>
      </c>
      <c r="U1284" s="29">
        <v>3.3422190000000001</v>
      </c>
      <c r="W1284" s="14">
        <v>35.224843999999997</v>
      </c>
      <c r="Y1284" s="29">
        <v>8.6363020000000006</v>
      </c>
      <c r="AA1284" s="41">
        <v>587.62825999999995</v>
      </c>
      <c r="AC1284" s="27">
        <v>50.573296999999997</v>
      </c>
      <c r="AE1284" s="27">
        <v>1</v>
      </c>
      <c r="AG1284" s="29">
        <v>7.6633719999999999</v>
      </c>
      <c r="AI1284" s="29">
        <v>8.75</v>
      </c>
      <c r="AK1284" s="27">
        <v>24.484649999999998</v>
      </c>
      <c r="AM1284" s="27">
        <v>32.996765000000003</v>
      </c>
      <c r="AO1284" s="29">
        <v>6.7670560000000002</v>
      </c>
      <c r="AP1284" s="11"/>
    </row>
    <row r="1285" spans="2:42" hidden="1" outlineLevel="1" x14ac:dyDescent="0.25">
      <c r="B1285" s="21">
        <v>43607</v>
      </c>
      <c r="C1285" s="27">
        <v>19.030899999999999</v>
      </c>
      <c r="E1285" s="30">
        <v>0.89607899999999996</v>
      </c>
      <c r="G1285" s="27">
        <v>44.795952</v>
      </c>
      <c r="I1285" s="29">
        <v>6.9062580000000002</v>
      </c>
      <c r="K1285" s="29">
        <v>4.036759</v>
      </c>
      <c r="M1285" s="41">
        <v>696.28725399999996</v>
      </c>
      <c r="O1285" s="26">
        <v>3341.0162780000001</v>
      </c>
      <c r="Q1285" s="26">
        <v>6298.9408039999998</v>
      </c>
      <c r="S1285" s="26">
        <v>1560.4155559999999</v>
      </c>
      <c r="U1285" s="29">
        <v>3.3443550000000002</v>
      </c>
      <c r="W1285" s="14">
        <v>35.263491999999999</v>
      </c>
      <c r="Y1285" s="29">
        <v>8.7356470000000002</v>
      </c>
      <c r="AA1285" s="41">
        <v>586.48889999999994</v>
      </c>
      <c r="AC1285" s="27">
        <v>50.505164000000001</v>
      </c>
      <c r="AE1285" s="27">
        <v>1</v>
      </c>
      <c r="AG1285" s="29">
        <v>7.6674709999999999</v>
      </c>
      <c r="AI1285" s="29">
        <v>8.75</v>
      </c>
      <c r="AK1285" s="27">
        <v>24.464980000000001</v>
      </c>
      <c r="AM1285" s="27">
        <v>32.882809000000002</v>
      </c>
      <c r="AO1285" s="29">
        <v>6.7696420000000002</v>
      </c>
      <c r="AP1285" s="11"/>
    </row>
    <row r="1286" spans="2:42" hidden="1" outlineLevel="1" x14ac:dyDescent="0.25">
      <c r="B1286" s="21">
        <v>43608</v>
      </c>
      <c r="C1286" s="27">
        <v>18.9755</v>
      </c>
      <c r="E1286" s="30">
        <v>0.89634400000000003</v>
      </c>
      <c r="G1286" s="27">
        <v>44.969582000000003</v>
      </c>
      <c r="I1286" s="29">
        <v>6.9182050000000004</v>
      </c>
      <c r="K1286" s="29">
        <v>4.0431759999999999</v>
      </c>
      <c r="M1286" s="41">
        <v>697.51289599999996</v>
      </c>
      <c r="O1286" s="26">
        <v>3354.3301919999999</v>
      </c>
      <c r="Q1286" s="26">
        <v>6317.7329680000003</v>
      </c>
      <c r="S1286" s="26">
        <v>1562.5850089999999</v>
      </c>
      <c r="U1286" s="29">
        <v>3.3500740000000002</v>
      </c>
      <c r="W1286" s="14">
        <v>35.310012</v>
      </c>
      <c r="Y1286" s="29">
        <v>8.7332879999999999</v>
      </c>
      <c r="AA1286" s="41">
        <v>587.62425099999996</v>
      </c>
      <c r="AC1286" s="27">
        <v>50.572879</v>
      </c>
      <c r="AE1286" s="27">
        <v>1</v>
      </c>
      <c r="AG1286" s="29">
        <v>7.6774639999999996</v>
      </c>
      <c r="AI1286" s="29">
        <v>8.75</v>
      </c>
      <c r="AK1286" s="27">
        <v>24.506658000000002</v>
      </c>
      <c r="AM1286" s="27">
        <v>33.063822999999999</v>
      </c>
      <c r="AO1286" s="29">
        <v>6.7832439999999998</v>
      </c>
      <c r="AP1286" s="11"/>
    </row>
    <row r="1287" spans="2:42" hidden="1" outlineLevel="1" x14ac:dyDescent="0.25">
      <c r="B1287" s="21">
        <v>43609</v>
      </c>
      <c r="C1287" s="27">
        <v>19.0122</v>
      </c>
      <c r="E1287" s="30">
        <v>0.893289</v>
      </c>
      <c r="G1287" s="27">
        <v>45.031562999999998</v>
      </c>
      <c r="I1287" s="29">
        <v>6.8959419999999998</v>
      </c>
      <c r="K1287" s="29">
        <v>4.034967</v>
      </c>
      <c r="M1287" s="41">
        <v>695.68619699999999</v>
      </c>
      <c r="O1287" s="26">
        <v>3365.5942449999998</v>
      </c>
      <c r="Q1287" s="26">
        <v>6311.497128</v>
      </c>
      <c r="S1287" s="26">
        <v>1564.2146760000001</v>
      </c>
      <c r="U1287" s="29">
        <v>3.3441040000000002</v>
      </c>
      <c r="W1287" s="14">
        <v>35.221752000000002</v>
      </c>
      <c r="Y1287" s="29">
        <v>8.7291550000000004</v>
      </c>
      <c r="AA1287" s="41">
        <v>588.87450999999999</v>
      </c>
      <c r="AC1287" s="27">
        <v>50.484565000000003</v>
      </c>
      <c r="AE1287" s="27">
        <v>1</v>
      </c>
      <c r="AG1287" s="29">
        <v>7.6674699999999998</v>
      </c>
      <c r="AI1287" s="29">
        <v>8.75</v>
      </c>
      <c r="AK1287" s="27">
        <v>24.478335999999999</v>
      </c>
      <c r="AM1287" s="27">
        <v>32.981054999999998</v>
      </c>
      <c r="AO1287" s="29">
        <v>6.7691590000000001</v>
      </c>
      <c r="AP1287" s="11"/>
    </row>
    <row r="1288" spans="2:42" hidden="1" outlineLevel="1" x14ac:dyDescent="0.25">
      <c r="B1288" s="21">
        <v>43610</v>
      </c>
      <c r="C1288" s="27">
        <v>19.0122</v>
      </c>
      <c r="E1288" s="30">
        <v>0.89241099999999995</v>
      </c>
      <c r="G1288" s="27">
        <v>44.955750000000002</v>
      </c>
      <c r="I1288" s="29">
        <v>6.9091500000000003</v>
      </c>
      <c r="K1288" s="29">
        <v>4.0263249999999999</v>
      </c>
      <c r="M1288" s="41">
        <v>694.57500000000005</v>
      </c>
      <c r="O1288" s="26">
        <v>3357.0925000000002</v>
      </c>
      <c r="Q1288" s="26">
        <v>6313.65</v>
      </c>
      <c r="S1288" s="26">
        <v>1568.108559</v>
      </c>
      <c r="U1288" s="29">
        <v>3.3483499999999999</v>
      </c>
      <c r="W1288" s="14">
        <v>35.29</v>
      </c>
      <c r="Y1288" s="29">
        <v>8.7648320000000002</v>
      </c>
      <c r="AA1288" s="41">
        <v>591.09</v>
      </c>
      <c r="AC1288" s="27">
        <v>50.704999999999998</v>
      </c>
      <c r="AE1288" s="27">
        <v>1</v>
      </c>
      <c r="AG1288" s="29">
        <v>7.6757749999999998</v>
      </c>
      <c r="AI1288" s="29">
        <v>8.75</v>
      </c>
      <c r="AK1288" s="27">
        <v>24.545974999999999</v>
      </c>
      <c r="AM1288" s="27">
        <v>33.20975</v>
      </c>
      <c r="AO1288" s="29">
        <v>6.7871499999999996</v>
      </c>
      <c r="AP1288" s="11"/>
    </row>
    <row r="1289" spans="2:42" hidden="1" outlineLevel="1" x14ac:dyDescent="0.25">
      <c r="B1289" s="21">
        <v>43611</v>
      </c>
      <c r="C1289" s="27">
        <v>19.0122</v>
      </c>
      <c r="E1289" s="30">
        <v>0.89236599999999999</v>
      </c>
      <c r="G1289" s="27">
        <v>44.964562000000001</v>
      </c>
      <c r="I1289" s="29">
        <v>6.9084969999999997</v>
      </c>
      <c r="K1289" s="29">
        <v>4.0263479999999996</v>
      </c>
      <c r="M1289" s="41">
        <v>694.57500000000005</v>
      </c>
      <c r="O1289" s="26">
        <v>3357.0925000000002</v>
      </c>
      <c r="Q1289" s="26">
        <v>6313.0462100000004</v>
      </c>
      <c r="S1289" s="26">
        <v>1567.9495059999999</v>
      </c>
      <c r="U1289" s="29">
        <v>3.3481550000000002</v>
      </c>
      <c r="W1289" s="14">
        <v>35.286679999999997</v>
      </c>
      <c r="Y1289" s="29">
        <v>8.7639600000000009</v>
      </c>
      <c r="AA1289" s="41">
        <v>591.03209100000004</v>
      </c>
      <c r="AC1289" s="27">
        <v>50.691113000000001</v>
      </c>
      <c r="AE1289" s="27">
        <v>1</v>
      </c>
      <c r="AG1289" s="29">
        <v>7.6750309999999997</v>
      </c>
      <c r="AI1289" s="29">
        <v>8.75</v>
      </c>
      <c r="AK1289" s="27">
        <v>24.533625000000001</v>
      </c>
      <c r="AM1289" s="27">
        <v>33.190209000000003</v>
      </c>
      <c r="AO1289" s="29">
        <v>6.7864909999999998</v>
      </c>
      <c r="AP1289" s="11"/>
    </row>
    <row r="1290" spans="2:42" hidden="1" outlineLevel="1" x14ac:dyDescent="0.25">
      <c r="B1290" s="21">
        <v>43612</v>
      </c>
      <c r="C1290" s="27">
        <v>19.065799999999999</v>
      </c>
      <c r="E1290" s="30">
        <v>0.89300800000000002</v>
      </c>
      <c r="G1290" s="27">
        <v>44.941783000000001</v>
      </c>
      <c r="I1290" s="29">
        <v>6.9011579999999997</v>
      </c>
      <c r="K1290" s="29">
        <v>4.0283439999999997</v>
      </c>
      <c r="M1290" s="41">
        <v>695.790029</v>
      </c>
      <c r="O1290" s="26">
        <v>3362.6326979999999</v>
      </c>
      <c r="Q1290" s="26">
        <v>6305.5076399999998</v>
      </c>
      <c r="S1290" s="26">
        <v>1565.299364</v>
      </c>
      <c r="U1290" s="29">
        <v>3.345224</v>
      </c>
      <c r="W1290" s="14">
        <v>35.223351999999998</v>
      </c>
      <c r="Y1290" s="29">
        <v>8.7439239999999998</v>
      </c>
      <c r="AA1290" s="41">
        <v>590.91292799999997</v>
      </c>
      <c r="AC1290" s="27">
        <v>50.506194999999998</v>
      </c>
      <c r="AE1290" s="27">
        <v>1</v>
      </c>
      <c r="AG1290" s="29">
        <v>7.6722440000000001</v>
      </c>
      <c r="AI1290" s="29">
        <v>8.75</v>
      </c>
      <c r="AK1290" s="27">
        <v>24.441189999999999</v>
      </c>
      <c r="AM1290" s="27">
        <v>32.940198000000002</v>
      </c>
      <c r="AO1290" s="29">
        <v>6.7785320000000002</v>
      </c>
      <c r="AP1290" s="11"/>
    </row>
    <row r="1291" spans="2:42" hidden="1" outlineLevel="1" x14ac:dyDescent="0.25">
      <c r="B1291" s="21">
        <v>43613</v>
      </c>
      <c r="C1291" s="27">
        <v>19.052099999999999</v>
      </c>
      <c r="E1291" s="30">
        <v>0.89448399999999995</v>
      </c>
      <c r="G1291" s="27">
        <v>44.831167999999998</v>
      </c>
      <c r="I1291" s="29">
        <v>6.9059299999999997</v>
      </c>
      <c r="K1291" s="29">
        <v>4.0341579999999997</v>
      </c>
      <c r="M1291" s="41">
        <v>702.38355000000001</v>
      </c>
      <c r="O1291" s="26">
        <v>3362.9359639999998</v>
      </c>
      <c r="Q1291" s="26">
        <v>6293.6433280000001</v>
      </c>
      <c r="S1291" s="26">
        <v>1560.1007079999999</v>
      </c>
      <c r="U1291" s="29">
        <v>3.3484500000000001</v>
      </c>
      <c r="W1291" s="14">
        <v>35.232356000000003</v>
      </c>
      <c r="Y1291" s="29">
        <v>8.7335419999999999</v>
      </c>
      <c r="AA1291" s="41">
        <v>591.27258200000006</v>
      </c>
      <c r="AC1291" s="27">
        <v>50.503810000000001</v>
      </c>
      <c r="AE1291" s="27">
        <v>1</v>
      </c>
      <c r="AG1291" s="29">
        <v>7.6750759999999998</v>
      </c>
      <c r="AI1291" s="29">
        <v>8.75</v>
      </c>
      <c r="AK1291" s="27">
        <v>24.469352000000001</v>
      </c>
      <c r="AM1291" s="27">
        <v>33.009230000000002</v>
      </c>
      <c r="AO1291" s="29">
        <v>6.7813059999999998</v>
      </c>
      <c r="AP1291" s="11"/>
    </row>
    <row r="1292" spans="2:42" hidden="1" outlineLevel="1" x14ac:dyDescent="0.25">
      <c r="B1292" s="21">
        <v>43614</v>
      </c>
      <c r="C1292" s="27">
        <v>19.165199999999999</v>
      </c>
      <c r="E1292" s="30">
        <v>0.89691200000000004</v>
      </c>
      <c r="G1292" s="27">
        <v>44.576644000000002</v>
      </c>
      <c r="I1292" s="29">
        <v>6.92197</v>
      </c>
      <c r="K1292" s="29">
        <v>4.0055379999999996</v>
      </c>
      <c r="M1292" s="41">
        <v>707.10758999999996</v>
      </c>
      <c r="O1292" s="26">
        <v>3369.5816020000002</v>
      </c>
      <c r="Q1292" s="26">
        <v>6305.6960779999999</v>
      </c>
      <c r="S1292" s="26">
        <v>1574.256306</v>
      </c>
      <c r="U1292" s="29">
        <v>3.3537210000000002</v>
      </c>
      <c r="W1292" s="14">
        <v>35.205407999999998</v>
      </c>
      <c r="Y1292" s="29">
        <v>8.7892119999999991</v>
      </c>
      <c r="AA1292" s="41">
        <v>591.27956600000005</v>
      </c>
      <c r="AC1292" s="27">
        <v>50.573797999999996</v>
      </c>
      <c r="AE1292" s="27">
        <v>1</v>
      </c>
      <c r="AG1292" s="29">
        <v>7.6911310000000004</v>
      </c>
      <c r="AI1292" s="29">
        <v>8.75</v>
      </c>
      <c r="AK1292" s="27">
        <v>24.499424000000001</v>
      </c>
      <c r="AM1292" s="27">
        <v>33.073416000000002</v>
      </c>
      <c r="AO1292" s="29">
        <v>6.7919179999999999</v>
      </c>
      <c r="AP1292" s="12"/>
    </row>
    <row r="1293" spans="2:42" hidden="1" outlineLevel="1" x14ac:dyDescent="0.25">
      <c r="B1293" s="21">
        <v>43615</v>
      </c>
      <c r="C1293" s="27">
        <v>19.2395</v>
      </c>
      <c r="E1293" s="30">
        <v>0.89809499999999998</v>
      </c>
      <c r="G1293" s="27">
        <v>44.460953000000003</v>
      </c>
      <c r="I1293" s="29">
        <v>6.915254</v>
      </c>
      <c r="K1293" s="29">
        <v>3.973678</v>
      </c>
      <c r="M1293" s="41">
        <v>706.88209500000005</v>
      </c>
      <c r="O1293" s="26">
        <v>3358.5010790000001</v>
      </c>
      <c r="Q1293" s="26">
        <v>6314.4331689999999</v>
      </c>
      <c r="S1293" s="26">
        <v>1589.077464</v>
      </c>
      <c r="U1293" s="29">
        <v>3.3578790000000001</v>
      </c>
      <c r="W1293" s="14">
        <v>35.162998000000002</v>
      </c>
      <c r="Y1293" s="29">
        <v>8.8490110000000008</v>
      </c>
      <c r="AA1293" s="41">
        <v>590.42912799999999</v>
      </c>
      <c r="AC1293" s="27">
        <v>50.581082000000002</v>
      </c>
      <c r="AE1293" s="27">
        <v>1</v>
      </c>
      <c r="AG1293" s="29">
        <v>7.7001499999999998</v>
      </c>
      <c r="AI1293" s="29">
        <v>8.75</v>
      </c>
      <c r="AK1293" s="27">
        <v>24.506522</v>
      </c>
      <c r="AM1293" s="27">
        <v>33.139414000000002</v>
      </c>
      <c r="AO1293" s="29">
        <v>6.778168</v>
      </c>
      <c r="AP1293" s="12"/>
    </row>
    <row r="1294" spans="2:42" hidden="1" outlineLevel="1" x14ac:dyDescent="0.25">
      <c r="B1294" s="21">
        <v>43616</v>
      </c>
      <c r="C1294" s="49">
        <v>19.068300000000001</v>
      </c>
      <c r="E1294" s="30">
        <v>0.89675800000000006</v>
      </c>
      <c r="G1294" s="27">
        <v>44.670529999999999</v>
      </c>
      <c r="I1294" s="29">
        <v>6.9132239999999996</v>
      </c>
      <c r="K1294" s="29">
        <v>3.956928</v>
      </c>
      <c r="M1294" s="41">
        <v>709.94096100000002</v>
      </c>
      <c r="O1294" s="26">
        <v>3366.3120720000002</v>
      </c>
      <c r="Q1294" s="26">
        <v>6305.6940800000002</v>
      </c>
      <c r="S1294" s="26">
        <v>1593.5956659999999</v>
      </c>
      <c r="U1294" s="29">
        <v>3.3665620000000001</v>
      </c>
      <c r="W1294" s="14">
        <v>35.192822</v>
      </c>
      <c r="Y1294" s="29">
        <v>8.8940160000000006</v>
      </c>
      <c r="AA1294" s="41">
        <v>589.79659200000003</v>
      </c>
      <c r="AC1294" s="27">
        <v>50.573</v>
      </c>
      <c r="AE1294" s="27">
        <v>1</v>
      </c>
      <c r="AG1294" s="29">
        <v>7.7058010000000001</v>
      </c>
      <c r="AI1294" s="29">
        <v>8.75</v>
      </c>
      <c r="AK1294" s="27">
        <v>24.496538000000001</v>
      </c>
      <c r="AM1294" s="27">
        <v>33.057687999999999</v>
      </c>
      <c r="AO1294" s="29">
        <v>6.7759359999999997</v>
      </c>
      <c r="AP1294" s="11"/>
    </row>
    <row r="1295" spans="2:42" ht="13" collapsed="1" x14ac:dyDescent="0.3">
      <c r="B1295" s="25" t="s">
        <v>179</v>
      </c>
      <c r="C1295" s="19">
        <v>19.093699999999998</v>
      </c>
      <c r="E1295" s="24">
        <v>0.89368000000000003</v>
      </c>
      <c r="G1295" s="19">
        <v>44.841900000000003</v>
      </c>
      <c r="I1295" s="23">
        <v>6.9096700000000002</v>
      </c>
      <c r="J1295" s="9"/>
      <c r="K1295" s="23">
        <v>3.9983200000000001</v>
      </c>
      <c r="M1295" s="42">
        <v>691.43399999999997</v>
      </c>
      <c r="O1295" s="31">
        <v>3307.86</v>
      </c>
      <c r="Q1295" s="31">
        <v>6314.99</v>
      </c>
      <c r="S1295" s="31">
        <v>1579.68</v>
      </c>
      <c r="U1295" s="23">
        <v>3.3290600000000001</v>
      </c>
      <c r="W1295" s="23">
        <v>35.134929999999997</v>
      </c>
      <c r="Y1295" s="23">
        <v>8.7886399999999991</v>
      </c>
      <c r="AA1295" s="42">
        <v>592.57600000000002</v>
      </c>
      <c r="AC1295" s="19">
        <v>50.633099999999999</v>
      </c>
      <c r="AE1295" s="19">
        <v>1</v>
      </c>
      <c r="AG1295" s="23">
        <v>7.6653900000000004</v>
      </c>
      <c r="AI1295" s="23">
        <v>8.75</v>
      </c>
      <c r="AK1295" s="23">
        <v>24.42493</v>
      </c>
      <c r="AM1295" s="23">
        <v>33.0105</v>
      </c>
      <c r="AO1295" s="23">
        <v>6.7728799999999998</v>
      </c>
      <c r="AP1295" s="10"/>
    </row>
    <row r="1296" spans="2:42" hidden="1" outlineLevel="1" x14ac:dyDescent="0.25">
      <c r="B1296" s="21">
        <v>43617</v>
      </c>
      <c r="C1296" s="27">
        <v>19.068300000000001</v>
      </c>
      <c r="E1296" s="30">
        <v>0.89534000000000002</v>
      </c>
      <c r="G1296" s="27">
        <v>44.782975</v>
      </c>
      <c r="I1296" s="29">
        <v>6.9122500000000002</v>
      </c>
      <c r="K1296" s="29">
        <v>3.9210750000000001</v>
      </c>
      <c r="M1296" s="41">
        <v>709.69</v>
      </c>
      <c r="O1296" s="26">
        <v>3372.0974999999999</v>
      </c>
      <c r="Q1296" s="26">
        <v>6304.875</v>
      </c>
      <c r="S1296" s="26">
        <v>1607.9605019999999</v>
      </c>
      <c r="U1296" s="29">
        <v>3.3802249999999998</v>
      </c>
      <c r="W1296" s="14">
        <v>35.234999999999999</v>
      </c>
      <c r="Y1296" s="29">
        <v>8.9860959999999999</v>
      </c>
      <c r="AA1296" s="41">
        <v>589.46749999999997</v>
      </c>
      <c r="AC1296" s="27">
        <v>50.575000000000003</v>
      </c>
      <c r="AE1296" s="27">
        <v>1</v>
      </c>
      <c r="AG1296" s="29">
        <v>7.7062249999999999</v>
      </c>
      <c r="AI1296" s="29">
        <v>8.75</v>
      </c>
      <c r="AK1296" s="27">
        <v>24.546475000000001</v>
      </c>
      <c r="AM1296" s="27">
        <v>33.299750000000003</v>
      </c>
      <c r="AO1296" s="29">
        <v>6.7749499999999996</v>
      </c>
      <c r="AP1296" s="11"/>
    </row>
    <row r="1297" spans="2:42" hidden="1" outlineLevel="1" x14ac:dyDescent="0.25">
      <c r="B1297" s="21">
        <v>43618</v>
      </c>
      <c r="C1297" s="27">
        <v>19.068300000000001</v>
      </c>
      <c r="E1297" s="30">
        <v>0.89532599999999996</v>
      </c>
      <c r="G1297" s="27">
        <v>44.742567999999999</v>
      </c>
      <c r="I1297" s="29">
        <v>6.9088649999999996</v>
      </c>
      <c r="K1297" s="29">
        <v>3.9214120000000001</v>
      </c>
      <c r="M1297" s="41">
        <v>709.68881499999998</v>
      </c>
      <c r="O1297" s="26">
        <v>3371.995844</v>
      </c>
      <c r="Q1297" s="26">
        <v>6303.0785180000003</v>
      </c>
      <c r="S1297" s="26">
        <v>1607.363732</v>
      </c>
      <c r="U1297" s="29">
        <v>3.3783319999999999</v>
      </c>
      <c r="W1297" s="14">
        <v>35.223581000000003</v>
      </c>
      <c r="Y1297" s="29">
        <v>8.9824110000000008</v>
      </c>
      <c r="AA1297" s="41">
        <v>589.30096900000001</v>
      </c>
      <c r="AC1297" s="27">
        <v>50.549121999999997</v>
      </c>
      <c r="AE1297" s="27">
        <v>1</v>
      </c>
      <c r="AG1297" s="29">
        <v>7.7040350000000002</v>
      </c>
      <c r="AI1297" s="29">
        <v>8.75</v>
      </c>
      <c r="AK1297" s="27">
        <v>24.531904000000001</v>
      </c>
      <c r="AM1297" s="27">
        <v>33.250224000000003</v>
      </c>
      <c r="AO1297" s="29">
        <v>6.7716260000000004</v>
      </c>
      <c r="AP1297" s="11"/>
    </row>
    <row r="1298" spans="2:42" hidden="1" outlineLevel="1" x14ac:dyDescent="0.25">
      <c r="B1298" s="21">
        <v>43619</v>
      </c>
      <c r="C1298" s="27">
        <v>19.642600000000002</v>
      </c>
      <c r="E1298" s="30">
        <v>0.89266400000000001</v>
      </c>
      <c r="G1298" s="27">
        <v>44.806646000000001</v>
      </c>
      <c r="I1298" s="29">
        <v>6.8909549999999999</v>
      </c>
      <c r="K1298" s="29">
        <v>3.912102</v>
      </c>
      <c r="M1298" s="41">
        <v>707.48887300000001</v>
      </c>
      <c r="O1298" s="26">
        <v>3373.1300160000001</v>
      </c>
      <c r="Q1298" s="26">
        <v>6294.7245409999996</v>
      </c>
      <c r="S1298" s="26">
        <v>1609.073885</v>
      </c>
      <c r="U1298" s="29">
        <v>3.3732449999999998</v>
      </c>
      <c r="W1298" s="14">
        <v>35.205601999999999</v>
      </c>
      <c r="Y1298" s="29">
        <v>8.9992350000000005</v>
      </c>
      <c r="AA1298" s="41">
        <v>588.66011200000003</v>
      </c>
      <c r="AC1298" s="27">
        <v>50.411982999999999</v>
      </c>
      <c r="AE1298" s="27">
        <v>1</v>
      </c>
      <c r="AG1298" s="29">
        <v>7.6974030000000004</v>
      </c>
      <c r="AI1298" s="29">
        <v>8.75</v>
      </c>
      <c r="AK1298" s="27">
        <v>24.503302000000001</v>
      </c>
      <c r="AM1298" s="27">
        <v>33.071195000000003</v>
      </c>
      <c r="AO1298" s="29">
        <v>6.7539259999999999</v>
      </c>
      <c r="AP1298" s="11"/>
    </row>
    <row r="1299" spans="2:42" hidden="1" outlineLevel="1" x14ac:dyDescent="0.25">
      <c r="B1299" s="21">
        <v>43620</v>
      </c>
      <c r="C1299" s="27">
        <v>19.760899999999999</v>
      </c>
      <c r="E1299" s="30">
        <v>0.88881600000000005</v>
      </c>
      <c r="G1299" s="27">
        <v>44.792507999999998</v>
      </c>
      <c r="I1299" s="29">
        <v>6.8917520000000003</v>
      </c>
      <c r="K1299" s="29">
        <v>3.8740209999999999</v>
      </c>
      <c r="M1299" s="41">
        <v>700.156204</v>
      </c>
      <c r="O1299" s="26">
        <v>3348.5211020000002</v>
      </c>
      <c r="Q1299" s="26">
        <v>6278.586096</v>
      </c>
      <c r="S1299" s="26">
        <v>1620.7025060000001</v>
      </c>
      <c r="U1299" s="29">
        <v>3.357586</v>
      </c>
      <c r="W1299" s="14">
        <v>35.149858000000002</v>
      </c>
      <c r="Y1299" s="29">
        <v>9.0732540000000004</v>
      </c>
      <c r="AA1299" s="41">
        <v>587.442767</v>
      </c>
      <c r="AC1299" s="27">
        <v>50.566794000000002</v>
      </c>
      <c r="AE1299" s="27">
        <v>1</v>
      </c>
      <c r="AG1299" s="29">
        <v>7.6978090000000003</v>
      </c>
      <c r="AI1299" s="29">
        <v>8.75</v>
      </c>
      <c r="AK1299" s="27">
        <v>24.496469999999999</v>
      </c>
      <c r="AM1299" s="27">
        <v>33.054955999999997</v>
      </c>
      <c r="AO1299" s="29">
        <v>6.7531619999999997</v>
      </c>
      <c r="AP1299" s="11"/>
    </row>
    <row r="1300" spans="2:42" hidden="1" outlineLevel="1" x14ac:dyDescent="0.25">
      <c r="B1300" s="21">
        <v>43621</v>
      </c>
      <c r="C1300" s="27">
        <v>19.6007</v>
      </c>
      <c r="E1300" s="30">
        <v>0.88856000000000002</v>
      </c>
      <c r="G1300" s="27">
        <v>44.760502000000002</v>
      </c>
      <c r="I1300" s="29">
        <v>6.9165279999999996</v>
      </c>
      <c r="K1300" s="29">
        <v>3.8645149999999999</v>
      </c>
      <c r="M1300" s="41">
        <v>693.26951399999996</v>
      </c>
      <c r="O1300" s="26">
        <v>3296.9931630000001</v>
      </c>
      <c r="Q1300" s="26">
        <v>6288.1260119999997</v>
      </c>
      <c r="S1300" s="26">
        <v>1627.157682</v>
      </c>
      <c r="U1300" s="29">
        <v>3.3523540000000001</v>
      </c>
      <c r="W1300" s="14">
        <v>35.220517999999998</v>
      </c>
      <c r="Y1300" s="29">
        <v>9.1138580000000005</v>
      </c>
      <c r="AA1300" s="41">
        <v>587.48217099999999</v>
      </c>
      <c r="AC1300" s="27">
        <v>50.279195999999999</v>
      </c>
      <c r="AE1300" s="27">
        <v>1</v>
      </c>
      <c r="AG1300" s="29">
        <v>7.7153460000000003</v>
      </c>
      <c r="AI1300" s="29">
        <v>8.75</v>
      </c>
      <c r="AK1300" s="27">
        <v>24.513762</v>
      </c>
      <c r="AM1300" s="27">
        <v>33.095565999999998</v>
      </c>
      <c r="AO1300" s="29">
        <v>6.7781840000000004</v>
      </c>
      <c r="AP1300" s="11"/>
    </row>
    <row r="1301" spans="2:42" hidden="1" outlineLevel="1" x14ac:dyDescent="0.25">
      <c r="B1301" s="21">
        <v>43622</v>
      </c>
      <c r="C1301" s="27">
        <v>19.541799999999999</v>
      </c>
      <c r="E1301" s="30">
        <v>0.88846000000000003</v>
      </c>
      <c r="G1301" s="27">
        <v>44.922452</v>
      </c>
      <c r="I1301" s="29">
        <v>6.9220730000000001</v>
      </c>
      <c r="K1301" s="29">
        <v>3.8791679999999999</v>
      </c>
      <c r="M1301" s="41">
        <v>693.21709399999997</v>
      </c>
      <c r="O1301" s="26">
        <v>3298.7626719999998</v>
      </c>
      <c r="Q1301" s="26">
        <v>6286.5445810000001</v>
      </c>
      <c r="S1301" s="26">
        <v>1620.603564</v>
      </c>
      <c r="U1301" s="29">
        <v>3.3436880000000002</v>
      </c>
      <c r="W1301" s="14">
        <v>35.168481999999997</v>
      </c>
      <c r="Y1301" s="29">
        <v>9.0660159999999994</v>
      </c>
      <c r="AA1301" s="41">
        <v>588.09720800000002</v>
      </c>
      <c r="AC1301" s="27">
        <v>50.618025000000003</v>
      </c>
      <c r="AE1301" s="27">
        <v>1</v>
      </c>
      <c r="AG1301" s="29">
        <v>7.7206720000000004</v>
      </c>
      <c r="AI1301" s="29">
        <v>8.75</v>
      </c>
      <c r="AK1301" s="27">
        <v>24.548969</v>
      </c>
      <c r="AM1301" s="27">
        <v>33.185558</v>
      </c>
      <c r="AO1301" s="29">
        <v>6.7855400000000001</v>
      </c>
      <c r="AP1301" s="11"/>
    </row>
    <row r="1302" spans="2:42" hidden="1" outlineLevel="1" x14ac:dyDescent="0.25">
      <c r="B1302" s="21">
        <v>43623</v>
      </c>
      <c r="C1302" s="27">
        <v>19.708400000000001</v>
      </c>
      <c r="E1302" s="30">
        <v>0.88505500000000004</v>
      </c>
      <c r="G1302" s="27">
        <v>44.875348000000002</v>
      </c>
      <c r="I1302" s="29">
        <v>6.8974380000000002</v>
      </c>
      <c r="K1302" s="29">
        <v>3.8745669999999999</v>
      </c>
      <c r="M1302" s="41">
        <v>692.93090099999995</v>
      </c>
      <c r="O1302" s="26">
        <v>3282.4418620000001</v>
      </c>
      <c r="Q1302" s="26">
        <v>6278.1118139999999</v>
      </c>
      <c r="S1302" s="26">
        <v>1620.3516440000001</v>
      </c>
      <c r="U1302" s="29">
        <v>3.3394020000000002</v>
      </c>
      <c r="W1302" s="14">
        <v>35.065803000000002</v>
      </c>
      <c r="Y1302" s="29">
        <v>9.0502870000000009</v>
      </c>
      <c r="AA1302" s="41">
        <v>588.35752200000002</v>
      </c>
      <c r="AC1302" s="27">
        <v>50.543956999999999</v>
      </c>
      <c r="AE1302" s="27">
        <v>1</v>
      </c>
      <c r="AG1302" s="29">
        <v>7.7072139999999996</v>
      </c>
      <c r="AI1302" s="29">
        <v>8.75</v>
      </c>
      <c r="AK1302" s="27">
        <v>24.516566000000001</v>
      </c>
      <c r="AM1302" s="27">
        <v>33.056128000000001</v>
      </c>
      <c r="AO1302" s="29">
        <v>6.760599</v>
      </c>
      <c r="AP1302" s="11"/>
    </row>
    <row r="1303" spans="2:42" hidden="1" outlineLevel="1" x14ac:dyDescent="0.25">
      <c r="B1303" s="21">
        <v>43624</v>
      </c>
      <c r="C1303" s="27">
        <v>19.708400000000001</v>
      </c>
      <c r="E1303" s="30">
        <v>0.88233600000000001</v>
      </c>
      <c r="G1303" s="27">
        <v>44.845275000000001</v>
      </c>
      <c r="I1303" s="29">
        <v>6.9082499999999998</v>
      </c>
      <c r="K1303" s="29">
        <v>3.8805000000000001</v>
      </c>
      <c r="M1303" s="41">
        <v>692.6</v>
      </c>
      <c r="O1303" s="26">
        <v>3268.1025</v>
      </c>
      <c r="Q1303" s="26">
        <v>6282.375</v>
      </c>
      <c r="S1303" s="26">
        <v>1618.9719399999999</v>
      </c>
      <c r="U1303" s="29">
        <v>3.3370500000000001</v>
      </c>
      <c r="W1303" s="14">
        <v>35.192500000000003</v>
      </c>
      <c r="Y1303" s="29">
        <v>9.0690939999999998</v>
      </c>
      <c r="AA1303" s="41">
        <v>589.62</v>
      </c>
      <c r="AC1303" s="27">
        <v>50.997500000000002</v>
      </c>
      <c r="AE1303" s="27">
        <v>1</v>
      </c>
      <c r="AG1303" s="29">
        <v>7.7102500000000003</v>
      </c>
      <c r="AI1303" s="29">
        <v>8.75</v>
      </c>
      <c r="AK1303" s="27">
        <v>24.619475000000001</v>
      </c>
      <c r="AM1303" s="27">
        <v>33.394750000000002</v>
      </c>
      <c r="AO1303" s="29">
        <v>6.7711499999999996</v>
      </c>
      <c r="AP1303" s="11"/>
    </row>
    <row r="1304" spans="2:42" hidden="1" outlineLevel="1" x14ac:dyDescent="0.25">
      <c r="B1304" s="21">
        <v>43625</v>
      </c>
      <c r="C1304" s="27">
        <v>19.708400000000001</v>
      </c>
      <c r="E1304" s="30">
        <v>0.88244599999999995</v>
      </c>
      <c r="G1304" s="27">
        <v>44.847158</v>
      </c>
      <c r="I1304" s="29">
        <v>6.9082499999999998</v>
      </c>
      <c r="K1304" s="29">
        <v>3.8803320000000001</v>
      </c>
      <c r="M1304" s="41">
        <v>692.66329599999995</v>
      </c>
      <c r="O1304" s="26">
        <v>3268.1615929999998</v>
      </c>
      <c r="Q1304" s="26">
        <v>6282.375</v>
      </c>
      <c r="S1304" s="26">
        <v>1619.04233</v>
      </c>
      <c r="U1304" s="29">
        <v>3.3366560000000001</v>
      </c>
      <c r="W1304" s="14">
        <v>35.182383999999999</v>
      </c>
      <c r="Y1304" s="29">
        <v>9.0668799999999994</v>
      </c>
      <c r="AA1304" s="41">
        <v>589.62</v>
      </c>
      <c r="AC1304" s="27">
        <v>51.004998000000001</v>
      </c>
      <c r="AE1304" s="27">
        <v>1</v>
      </c>
      <c r="AG1304" s="29">
        <v>7.7102500000000003</v>
      </c>
      <c r="AI1304" s="29">
        <v>8.75</v>
      </c>
      <c r="AK1304" s="27">
        <v>24.619475000000001</v>
      </c>
      <c r="AM1304" s="27">
        <v>33.394750000000002</v>
      </c>
      <c r="AO1304" s="29">
        <v>6.7711499999999996</v>
      </c>
      <c r="AP1304" s="11"/>
    </row>
    <row r="1305" spans="2:42" hidden="1" outlineLevel="1" x14ac:dyDescent="0.25">
      <c r="B1305" s="21">
        <v>43626</v>
      </c>
      <c r="C1305" s="27">
        <v>19.652799999999999</v>
      </c>
      <c r="E1305" s="30">
        <v>0.88414999999999999</v>
      </c>
      <c r="G1305" s="27">
        <v>44.857509999999998</v>
      </c>
      <c r="I1305" s="29">
        <v>6.8812300000000004</v>
      </c>
      <c r="K1305" s="29">
        <v>3.8806319999999999</v>
      </c>
      <c r="M1305" s="41">
        <v>696.48362799999995</v>
      </c>
      <c r="O1305" s="26">
        <v>3264.0406200000002</v>
      </c>
      <c r="Q1305" s="26">
        <v>6271.9092460000002</v>
      </c>
      <c r="S1305" s="26">
        <v>1616.2203320000001</v>
      </c>
      <c r="U1305" s="29">
        <v>3.330559</v>
      </c>
      <c r="W1305" s="14">
        <v>35.154153999999998</v>
      </c>
      <c r="Y1305" s="29">
        <v>9.0588999999999995</v>
      </c>
      <c r="AA1305" s="41">
        <v>589.19717100000003</v>
      </c>
      <c r="AC1305" s="27">
        <v>50.551468</v>
      </c>
      <c r="AE1305" s="27">
        <v>1</v>
      </c>
      <c r="AG1305" s="29">
        <v>7.6999639999999996</v>
      </c>
      <c r="AI1305" s="29">
        <v>8.75</v>
      </c>
      <c r="AK1305" s="27">
        <v>24.537863999999999</v>
      </c>
      <c r="AM1305" s="27">
        <v>33.092703999999998</v>
      </c>
      <c r="AO1305" s="29">
        <v>6.74383</v>
      </c>
      <c r="AP1305" s="11"/>
    </row>
    <row r="1306" spans="2:42" hidden="1" outlineLevel="1" x14ac:dyDescent="0.25">
      <c r="B1306" s="21">
        <v>43627</v>
      </c>
      <c r="C1306" s="27">
        <v>19.204000000000001</v>
      </c>
      <c r="E1306" s="30">
        <v>0.88337600000000005</v>
      </c>
      <c r="G1306" s="27">
        <v>44.800176999999998</v>
      </c>
      <c r="I1306" s="29">
        <v>6.9125139999999998</v>
      </c>
      <c r="K1306" s="29">
        <v>3.872376</v>
      </c>
      <c r="M1306" s="41">
        <v>697.06218999999999</v>
      </c>
      <c r="O1306" s="26">
        <v>3256.2865470000002</v>
      </c>
      <c r="Q1306" s="26">
        <v>6269.028558</v>
      </c>
      <c r="S1306" s="26">
        <v>1618.922311</v>
      </c>
      <c r="U1306" s="29">
        <v>3.3335680000000001</v>
      </c>
      <c r="W1306" s="14">
        <v>35.379783000000003</v>
      </c>
      <c r="Y1306" s="29">
        <v>9.1364839999999994</v>
      </c>
      <c r="AA1306" s="41">
        <v>589.72857899999997</v>
      </c>
      <c r="AC1306" s="27">
        <v>50.859775999999997</v>
      </c>
      <c r="AE1306" s="27">
        <v>1</v>
      </c>
      <c r="AG1306" s="29">
        <v>7.702305</v>
      </c>
      <c r="AI1306" s="29">
        <v>8.75</v>
      </c>
      <c r="AK1306" s="27">
        <v>24.63982</v>
      </c>
      <c r="AM1306" s="27">
        <v>33.301659999999998</v>
      </c>
      <c r="AO1306" s="29">
        <v>6.7612220000000001</v>
      </c>
      <c r="AP1306" s="11"/>
    </row>
    <row r="1307" spans="2:42" hidden="1" outlineLevel="1" x14ac:dyDescent="0.25">
      <c r="B1307" s="21">
        <v>43628</v>
      </c>
      <c r="C1307" s="27">
        <v>19.122199999999999</v>
      </c>
      <c r="E1307" s="30">
        <v>0.88369200000000003</v>
      </c>
      <c r="G1307" s="27">
        <v>44.247872000000001</v>
      </c>
      <c r="I1307" s="29">
        <v>6.9060319999999997</v>
      </c>
      <c r="K1307" s="29">
        <v>3.855</v>
      </c>
      <c r="M1307" s="41">
        <v>694.53860599999996</v>
      </c>
      <c r="O1307" s="26">
        <v>3259.3317999999999</v>
      </c>
      <c r="Q1307" s="26">
        <v>6263.5902699999997</v>
      </c>
      <c r="S1307" s="26">
        <v>1624.808906</v>
      </c>
      <c r="U1307" s="29">
        <v>3.3307259999999999</v>
      </c>
      <c r="W1307" s="14">
        <v>35.365564999999997</v>
      </c>
      <c r="Y1307" s="29">
        <v>9.1739739999999994</v>
      </c>
      <c r="AA1307" s="41">
        <v>588.96745899999996</v>
      </c>
      <c r="AC1307" s="27">
        <v>51.227156000000001</v>
      </c>
      <c r="AE1307" s="27">
        <v>1</v>
      </c>
      <c r="AG1307" s="29">
        <v>7.6947919999999996</v>
      </c>
      <c r="AI1307" s="29">
        <v>8.75</v>
      </c>
      <c r="AK1307" s="27">
        <v>24.542597000000001</v>
      </c>
      <c r="AM1307" s="27">
        <v>33.133293999999999</v>
      </c>
      <c r="AO1307" s="29">
        <v>6.7741699999999998</v>
      </c>
      <c r="AP1307" s="11"/>
    </row>
    <row r="1308" spans="2:42" hidden="1" outlineLevel="1" x14ac:dyDescent="0.25">
      <c r="B1308" s="21">
        <v>43629</v>
      </c>
      <c r="C1308" s="27">
        <v>19.138300000000001</v>
      </c>
      <c r="E1308" s="30">
        <v>0.88604099999999997</v>
      </c>
      <c r="G1308" s="27">
        <v>43.60915</v>
      </c>
      <c r="I1308" s="29">
        <v>6.9222619999999999</v>
      </c>
      <c r="K1308" s="29">
        <v>3.8579919999999999</v>
      </c>
      <c r="M1308" s="41">
        <v>696.94284800000003</v>
      </c>
      <c r="O1308" s="26">
        <v>3267.4189799999999</v>
      </c>
      <c r="Q1308" s="26">
        <v>6262.8291159999999</v>
      </c>
      <c r="S1308" s="26">
        <v>1623.3512820000001</v>
      </c>
      <c r="U1308" s="29">
        <v>3.3366150000000001</v>
      </c>
      <c r="W1308" s="14">
        <v>35.419082000000003</v>
      </c>
      <c r="Y1308" s="29">
        <v>9.1807350000000003</v>
      </c>
      <c r="AA1308" s="41">
        <v>588.43918399999995</v>
      </c>
      <c r="AC1308" s="27">
        <v>51.323140000000002</v>
      </c>
      <c r="AE1308" s="27">
        <v>1</v>
      </c>
      <c r="AG1308" s="29">
        <v>7.6941699999999997</v>
      </c>
      <c r="AI1308" s="29">
        <v>8.75</v>
      </c>
      <c r="AK1308" s="27">
        <v>24.529969000000001</v>
      </c>
      <c r="AM1308" s="27">
        <v>33.190491000000002</v>
      </c>
      <c r="AO1308" s="29">
        <v>6.7937050000000001</v>
      </c>
      <c r="AP1308" s="11"/>
    </row>
    <row r="1309" spans="2:42" hidden="1" outlineLevel="1" x14ac:dyDescent="0.25">
      <c r="B1309" s="21">
        <v>43630</v>
      </c>
      <c r="C1309" s="27">
        <v>19.1645</v>
      </c>
      <c r="E1309" s="30">
        <v>0.889158</v>
      </c>
      <c r="G1309" s="27">
        <v>43.694693999999998</v>
      </c>
      <c r="I1309" s="29">
        <v>6.915178</v>
      </c>
      <c r="K1309" s="29">
        <v>3.870428</v>
      </c>
      <c r="M1309" s="41">
        <v>698.17774999999995</v>
      </c>
      <c r="O1309" s="26">
        <v>3269.3205750000002</v>
      </c>
      <c r="Q1309" s="26">
        <v>6255.4141200000004</v>
      </c>
      <c r="S1309" s="26">
        <v>1616.219308</v>
      </c>
      <c r="U1309" s="29">
        <v>3.3355739999999998</v>
      </c>
      <c r="W1309" s="14">
        <v>35.356583999999998</v>
      </c>
      <c r="Y1309" s="29">
        <v>9.1350859999999994</v>
      </c>
      <c r="AA1309" s="41">
        <v>588.00330599999995</v>
      </c>
      <c r="AC1309" s="27">
        <v>51.355310000000003</v>
      </c>
      <c r="AE1309" s="27">
        <v>1</v>
      </c>
      <c r="AG1309" s="29">
        <v>7.6914439999999997</v>
      </c>
      <c r="AI1309" s="29">
        <v>8.75</v>
      </c>
      <c r="AK1309" s="27">
        <v>24.541812</v>
      </c>
      <c r="AM1309" s="27">
        <v>33.135860000000001</v>
      </c>
      <c r="AO1309" s="29">
        <v>6.7857859999999999</v>
      </c>
      <c r="AP1309" s="11"/>
    </row>
    <row r="1310" spans="2:42" hidden="1" outlineLevel="1" x14ac:dyDescent="0.25">
      <c r="B1310" s="21">
        <v>43631</v>
      </c>
      <c r="C1310" s="27">
        <v>19.1645</v>
      </c>
      <c r="E1310" s="30">
        <v>0.89208900000000002</v>
      </c>
      <c r="G1310" s="27">
        <v>43.990074999999997</v>
      </c>
      <c r="I1310" s="29">
        <v>6.9153500000000001</v>
      </c>
      <c r="K1310" s="29">
        <v>3.8987500000000002</v>
      </c>
      <c r="M1310" s="41">
        <v>699.72249999999997</v>
      </c>
      <c r="O1310" s="26">
        <v>3270.9724999999999</v>
      </c>
      <c r="Q1310" s="26">
        <v>6252.625</v>
      </c>
      <c r="S1310" s="26">
        <v>1603.762825</v>
      </c>
      <c r="U1310" s="29">
        <v>3.3355000000000001</v>
      </c>
      <c r="W1310" s="14">
        <v>35.322499999999998</v>
      </c>
      <c r="Y1310" s="29">
        <v>9.0599860000000003</v>
      </c>
      <c r="AA1310" s="41">
        <v>587.78</v>
      </c>
      <c r="AC1310" s="27">
        <v>51.155000000000001</v>
      </c>
      <c r="AE1310" s="27">
        <v>1</v>
      </c>
      <c r="AG1310" s="29">
        <v>7.6911750000000003</v>
      </c>
      <c r="AI1310" s="29">
        <v>8.75</v>
      </c>
      <c r="AK1310" s="27">
        <v>24.612974999999999</v>
      </c>
      <c r="AM1310" s="27">
        <v>33.399749999999997</v>
      </c>
      <c r="AO1310" s="29">
        <v>6.7860500000000004</v>
      </c>
      <c r="AP1310" s="11"/>
    </row>
    <row r="1311" spans="2:42" hidden="1" outlineLevel="1" x14ac:dyDescent="0.25">
      <c r="B1311" s="21">
        <v>43632</v>
      </c>
      <c r="C1311" s="27">
        <v>19.1645</v>
      </c>
      <c r="E1311" s="30">
        <v>0.89204399999999995</v>
      </c>
      <c r="G1311" s="27">
        <v>43.954898999999997</v>
      </c>
      <c r="I1311" s="29">
        <v>6.9164680000000001</v>
      </c>
      <c r="K1311" s="29">
        <v>3.8986700000000001</v>
      </c>
      <c r="M1311" s="41">
        <v>699.705646</v>
      </c>
      <c r="O1311" s="26">
        <v>3271.0872089999998</v>
      </c>
      <c r="Q1311" s="26">
        <v>6253.2013059999999</v>
      </c>
      <c r="S1311" s="26">
        <v>1603.9437479999999</v>
      </c>
      <c r="U1311" s="29">
        <v>3.33622</v>
      </c>
      <c r="W1311" s="14">
        <v>35.327474000000002</v>
      </c>
      <c r="Y1311" s="29">
        <v>9.0614500000000007</v>
      </c>
      <c r="AA1311" s="41">
        <v>587.74733200000003</v>
      </c>
      <c r="AC1311" s="27">
        <v>51.204213000000003</v>
      </c>
      <c r="AE1311" s="27">
        <v>1</v>
      </c>
      <c r="AG1311" s="29">
        <v>7.6924060000000001</v>
      </c>
      <c r="AI1311" s="29">
        <v>8.75</v>
      </c>
      <c r="AK1311" s="27">
        <v>24.602826</v>
      </c>
      <c r="AM1311" s="27">
        <v>33.363182000000002</v>
      </c>
      <c r="AO1311" s="29">
        <v>6.7871589999999999</v>
      </c>
      <c r="AP1311" s="11"/>
    </row>
    <row r="1312" spans="2:42" hidden="1" outlineLevel="1" x14ac:dyDescent="0.25">
      <c r="B1312" s="21">
        <v>43633</v>
      </c>
      <c r="C1312" s="27">
        <v>19.148700000000002</v>
      </c>
      <c r="E1312" s="30">
        <v>0.89113500000000001</v>
      </c>
      <c r="G1312" s="27">
        <v>43.909790000000001</v>
      </c>
      <c r="I1312" s="29">
        <v>6.9315530000000001</v>
      </c>
      <c r="K1312" s="29">
        <v>3.8947349999999998</v>
      </c>
      <c r="M1312" s="41">
        <v>699.86762699999997</v>
      </c>
      <c r="O1312" s="26">
        <v>3282.9383979999998</v>
      </c>
      <c r="Q1312" s="26">
        <v>6245.514322</v>
      </c>
      <c r="S1312" s="26">
        <v>1603.5906399999999</v>
      </c>
      <c r="U1312" s="29">
        <v>3.3495780000000002</v>
      </c>
      <c r="W1312" s="14">
        <v>35.390405000000001</v>
      </c>
      <c r="Y1312" s="29">
        <v>9.0867579999999997</v>
      </c>
      <c r="AA1312" s="41">
        <v>587.16441199999997</v>
      </c>
      <c r="AC1312" s="27">
        <v>51.577558000000003</v>
      </c>
      <c r="AE1312" s="27">
        <v>1</v>
      </c>
      <c r="AG1312" s="29">
        <v>7.7070460000000001</v>
      </c>
      <c r="AI1312" s="29">
        <v>8.75</v>
      </c>
      <c r="AK1312" s="27">
        <v>24.599364000000001</v>
      </c>
      <c r="AM1312" s="27">
        <v>33.130414999999999</v>
      </c>
      <c r="AO1312" s="29">
        <v>6.802054</v>
      </c>
      <c r="AP1312" s="11"/>
    </row>
    <row r="1313" spans="2:42" hidden="1" outlineLevel="1" x14ac:dyDescent="0.25">
      <c r="B1313" s="21">
        <v>43634</v>
      </c>
      <c r="C1313" s="27">
        <v>19.192399999999999</v>
      </c>
      <c r="E1313" s="30">
        <v>0.89230100000000001</v>
      </c>
      <c r="G1313" s="27">
        <v>43.791530999999999</v>
      </c>
      <c r="I1313" s="29">
        <v>6.9111260000000003</v>
      </c>
      <c r="K1313" s="29">
        <v>3.8745859999999999</v>
      </c>
      <c r="M1313" s="41">
        <v>698.26206300000001</v>
      </c>
      <c r="O1313" s="26">
        <v>3273.7914860000001</v>
      </c>
      <c r="Q1313" s="26">
        <v>6201.2834290000001</v>
      </c>
      <c r="S1313" s="26">
        <v>1600.5150000000001</v>
      </c>
      <c r="U1313" s="29">
        <v>3.341618</v>
      </c>
      <c r="W1313" s="14">
        <v>35.322915999999999</v>
      </c>
      <c r="Y1313" s="29">
        <v>9.1166149999999995</v>
      </c>
      <c r="AA1313" s="41">
        <v>585.33116800000005</v>
      </c>
      <c r="AC1313" s="27">
        <v>50.801955999999997</v>
      </c>
      <c r="AE1313" s="27">
        <v>1</v>
      </c>
      <c r="AG1313" s="29">
        <v>7.6953319999999996</v>
      </c>
      <c r="AI1313" s="29">
        <v>8.75</v>
      </c>
      <c r="AK1313" s="27">
        <v>24.543430000000001</v>
      </c>
      <c r="AM1313" s="27">
        <v>33.143712000000001</v>
      </c>
      <c r="AO1313" s="29">
        <v>6.7753540000000001</v>
      </c>
      <c r="AP1313" s="11"/>
    </row>
    <row r="1314" spans="2:42" hidden="1" outlineLevel="1" x14ac:dyDescent="0.25">
      <c r="B1314" s="21">
        <v>43635</v>
      </c>
      <c r="C1314" s="27">
        <v>19.101099999999999</v>
      </c>
      <c r="E1314" s="30">
        <v>0.89207599999999998</v>
      </c>
      <c r="G1314" s="27">
        <v>43.424281999999998</v>
      </c>
      <c r="I1314" s="29">
        <v>6.9118649999999997</v>
      </c>
      <c r="K1314" s="29">
        <v>3.85975</v>
      </c>
      <c r="M1314" s="41">
        <v>694.429844</v>
      </c>
      <c r="O1314" s="26">
        <v>3252.8221939999999</v>
      </c>
      <c r="Q1314" s="26">
        <v>6211.8832689999999</v>
      </c>
      <c r="S1314" s="26">
        <v>1609.413004</v>
      </c>
      <c r="U1314" s="29">
        <v>3.3390610000000001</v>
      </c>
      <c r="W1314" s="14">
        <v>35.343530000000001</v>
      </c>
      <c r="Y1314" s="29">
        <v>9.1569760000000002</v>
      </c>
      <c r="AA1314" s="41">
        <v>585.30021899999997</v>
      </c>
      <c r="AC1314" s="27">
        <v>50.819364</v>
      </c>
      <c r="AE1314" s="27">
        <v>1</v>
      </c>
      <c r="AG1314" s="29">
        <v>7.696847</v>
      </c>
      <c r="AI1314" s="29">
        <v>8.75</v>
      </c>
      <c r="AK1314" s="27">
        <v>24.557770000000001</v>
      </c>
      <c r="AM1314" s="27">
        <v>33.153823000000003</v>
      </c>
      <c r="AO1314" s="29">
        <v>6.7725179999999998</v>
      </c>
      <c r="AP1314" s="11"/>
    </row>
    <row r="1315" spans="2:42" hidden="1" outlineLevel="1" x14ac:dyDescent="0.25">
      <c r="B1315" s="21">
        <v>43636</v>
      </c>
      <c r="C1315" s="27">
        <v>19.1753</v>
      </c>
      <c r="E1315" s="30">
        <v>0.886104</v>
      </c>
      <c r="G1315" s="27">
        <v>43.33746</v>
      </c>
      <c r="I1315" s="29">
        <v>6.9093419999999997</v>
      </c>
      <c r="K1315" s="29">
        <v>3.8390360000000001</v>
      </c>
      <c r="M1315" s="41">
        <v>687.74948600000005</v>
      </c>
      <c r="O1315" s="26">
        <v>3221.5296880000001</v>
      </c>
      <c r="Q1315" s="26">
        <v>6190.583877</v>
      </c>
      <c r="S1315" s="26">
        <v>1612.549266</v>
      </c>
      <c r="U1315" s="29">
        <v>3.3218700000000001</v>
      </c>
      <c r="W1315" s="14">
        <v>35.288687000000003</v>
      </c>
      <c r="Y1315" s="29">
        <v>9.1921040000000005</v>
      </c>
      <c r="AA1315" s="41">
        <v>584.00787000000003</v>
      </c>
      <c r="AC1315" s="27">
        <v>50.758724000000001</v>
      </c>
      <c r="AE1315" s="27">
        <v>1</v>
      </c>
      <c r="AG1315" s="29">
        <v>7.6881399999999998</v>
      </c>
      <c r="AI1315" s="29">
        <v>8.75</v>
      </c>
      <c r="AK1315" s="27">
        <v>24.528621999999999</v>
      </c>
      <c r="AM1315" s="27">
        <v>33.118625999999999</v>
      </c>
      <c r="AO1315" s="29">
        <v>6.7641140000000002</v>
      </c>
      <c r="AP1315" s="11"/>
    </row>
    <row r="1316" spans="2:42" hidden="1" outlineLevel="1" x14ac:dyDescent="0.25">
      <c r="B1316" s="21">
        <v>43637</v>
      </c>
      <c r="C1316" s="27">
        <v>18.980399999999999</v>
      </c>
      <c r="E1316" s="30">
        <v>0.88299700000000003</v>
      </c>
      <c r="G1316" s="27">
        <v>43.118014000000002</v>
      </c>
      <c r="I1316" s="29">
        <v>6.9218859999999998</v>
      </c>
      <c r="K1316" s="29">
        <v>3.832211</v>
      </c>
      <c r="M1316" s="41">
        <v>684.09375599999998</v>
      </c>
      <c r="O1316" s="26">
        <v>3196.6670399999998</v>
      </c>
      <c r="Q1316" s="26">
        <v>6214.8046979999999</v>
      </c>
      <c r="S1316" s="26">
        <v>1621.7404739999999</v>
      </c>
      <c r="U1316" s="29">
        <v>3.3175500000000002</v>
      </c>
      <c r="W1316" s="14">
        <v>35.320348000000003</v>
      </c>
      <c r="Y1316" s="29">
        <v>9.2167309999999993</v>
      </c>
      <c r="AA1316" s="41">
        <v>584.68025599999999</v>
      </c>
      <c r="AC1316" s="27">
        <v>50.748438</v>
      </c>
      <c r="AE1316" s="27">
        <v>1</v>
      </c>
      <c r="AG1316" s="29">
        <v>7.6991420000000002</v>
      </c>
      <c r="AI1316" s="29">
        <v>8.75</v>
      </c>
      <c r="AK1316" s="27">
        <v>24.557251000000001</v>
      </c>
      <c r="AM1316" s="27">
        <v>33.008063999999997</v>
      </c>
      <c r="AO1316" s="29">
        <v>6.7694900000000002</v>
      </c>
      <c r="AP1316" s="11"/>
    </row>
    <row r="1317" spans="2:42" hidden="1" outlineLevel="1" x14ac:dyDescent="0.25">
      <c r="B1317" s="21">
        <v>43638</v>
      </c>
      <c r="C1317" s="27">
        <v>18.980399999999999</v>
      </c>
      <c r="E1317" s="30">
        <v>0.87957700000000005</v>
      </c>
      <c r="G1317" s="27">
        <v>42.788224999999997</v>
      </c>
      <c r="I1317" s="29">
        <v>6.9067499999999997</v>
      </c>
      <c r="K1317" s="29">
        <v>3.8215499999999998</v>
      </c>
      <c r="M1317" s="41">
        <v>683.85</v>
      </c>
      <c r="O1317" s="26">
        <v>3202.2975000000001</v>
      </c>
      <c r="Q1317" s="26">
        <v>6214.2250000000004</v>
      </c>
      <c r="S1317" s="26">
        <v>1626.112746</v>
      </c>
      <c r="U1317" s="29">
        <v>3.3049750000000002</v>
      </c>
      <c r="W1317" s="14">
        <v>35.237499999999997</v>
      </c>
      <c r="Y1317" s="29">
        <v>9.2207679999999996</v>
      </c>
      <c r="AA1317" s="41">
        <v>584.02750000000003</v>
      </c>
      <c r="AC1317" s="27">
        <v>50.914999999999999</v>
      </c>
      <c r="AE1317" s="27">
        <v>1</v>
      </c>
      <c r="AG1317" s="29">
        <v>7.69055</v>
      </c>
      <c r="AI1317" s="29">
        <v>8.75</v>
      </c>
      <c r="AK1317" s="27">
        <v>24.635974999999998</v>
      </c>
      <c r="AM1317" s="27">
        <v>32.875250000000001</v>
      </c>
      <c r="AO1317" s="29">
        <v>6.7548500000000002</v>
      </c>
      <c r="AP1317" s="11"/>
    </row>
    <row r="1318" spans="2:42" hidden="1" outlineLevel="1" x14ac:dyDescent="0.25">
      <c r="B1318" s="21">
        <v>43639</v>
      </c>
      <c r="C1318" s="27">
        <v>18.980399999999999</v>
      </c>
      <c r="E1318" s="30">
        <v>0.879525</v>
      </c>
      <c r="G1318" s="27">
        <v>42.785328999999997</v>
      </c>
      <c r="I1318" s="29">
        <v>6.9067499999999997</v>
      </c>
      <c r="K1318" s="29">
        <v>3.8215840000000001</v>
      </c>
      <c r="M1318" s="41">
        <v>683.83322499999997</v>
      </c>
      <c r="O1318" s="26">
        <v>3202.3290870000001</v>
      </c>
      <c r="Q1318" s="26">
        <v>6214.2250000000004</v>
      </c>
      <c r="S1318" s="26">
        <v>1626.098178</v>
      </c>
      <c r="U1318" s="29">
        <v>3.304894</v>
      </c>
      <c r="W1318" s="14">
        <v>35.237706000000003</v>
      </c>
      <c r="Y1318" s="29">
        <v>9.2207369999999997</v>
      </c>
      <c r="AA1318" s="41">
        <v>584.02750000000003</v>
      </c>
      <c r="AC1318" s="27">
        <v>50.914999999999999</v>
      </c>
      <c r="AE1318" s="27">
        <v>1</v>
      </c>
      <c r="AG1318" s="29">
        <v>7.69055</v>
      </c>
      <c r="AI1318" s="29">
        <v>8.75</v>
      </c>
      <c r="AK1318" s="27">
        <v>24.635974999999998</v>
      </c>
      <c r="AM1318" s="27">
        <v>32.875250000000001</v>
      </c>
      <c r="AO1318" s="29">
        <v>6.7548500000000002</v>
      </c>
      <c r="AP1318" s="11"/>
    </row>
    <row r="1319" spans="2:42" hidden="1" outlineLevel="1" x14ac:dyDescent="0.25">
      <c r="B1319" s="21">
        <v>43640</v>
      </c>
      <c r="C1319" s="27">
        <v>19.066099999999999</v>
      </c>
      <c r="E1319" s="30">
        <v>0.87806600000000001</v>
      </c>
      <c r="G1319" s="27">
        <v>42.653874000000002</v>
      </c>
      <c r="I1319" s="29">
        <v>6.8955279999999997</v>
      </c>
      <c r="K1319" s="29">
        <v>3.8232400000000002</v>
      </c>
      <c r="M1319" s="41">
        <v>683.19667400000003</v>
      </c>
      <c r="O1319" s="26">
        <v>3197.5594850000002</v>
      </c>
      <c r="Q1319" s="26">
        <v>6195.6311159999996</v>
      </c>
      <c r="S1319" s="26">
        <v>1620.5306539999999</v>
      </c>
      <c r="U1319" s="29">
        <v>3.2999930000000002</v>
      </c>
      <c r="W1319" s="14">
        <v>35.158033000000003</v>
      </c>
      <c r="Y1319" s="29">
        <v>9.1959079999999993</v>
      </c>
      <c r="AA1319" s="41">
        <v>582.82747400000005</v>
      </c>
      <c r="AC1319" s="27">
        <v>50.597079999999998</v>
      </c>
      <c r="AE1319" s="27">
        <v>1</v>
      </c>
      <c r="AG1319" s="29">
        <v>7.6778029999999999</v>
      </c>
      <c r="AI1319" s="29">
        <v>8.75</v>
      </c>
      <c r="AK1319" s="27">
        <v>24.446573000000001</v>
      </c>
      <c r="AM1319" s="27">
        <v>33.024239999999999</v>
      </c>
      <c r="AO1319" s="29">
        <v>6.7478980000000002</v>
      </c>
      <c r="AP1319" s="11"/>
    </row>
    <row r="1320" spans="2:42" hidden="1" outlineLevel="1" x14ac:dyDescent="0.25">
      <c r="B1320" s="21">
        <v>43641</v>
      </c>
      <c r="C1320" s="27">
        <v>19.183299999999999</v>
      </c>
      <c r="E1320" s="30">
        <v>0.87824599999999997</v>
      </c>
      <c r="G1320" s="27">
        <v>42.389898000000002</v>
      </c>
      <c r="I1320" s="29">
        <v>6.9113660000000001</v>
      </c>
      <c r="K1320" s="29">
        <v>3.8344860000000001</v>
      </c>
      <c r="M1320" s="41">
        <v>680.44023000000004</v>
      </c>
      <c r="O1320" s="26">
        <v>3192.9811300000001</v>
      </c>
      <c r="Q1320" s="26">
        <v>6198.9128039999996</v>
      </c>
      <c r="S1320" s="26">
        <v>1616.6348559999999</v>
      </c>
      <c r="U1320" s="29">
        <v>3.3001999999999998</v>
      </c>
      <c r="W1320" s="14">
        <v>35.204881999999998</v>
      </c>
      <c r="Y1320" s="29">
        <v>9.1811579999999999</v>
      </c>
      <c r="AA1320" s="41">
        <v>584.64696400000003</v>
      </c>
      <c r="AC1320" s="27">
        <v>50.245986000000002</v>
      </c>
      <c r="AE1320" s="27">
        <v>1</v>
      </c>
      <c r="AG1320" s="29">
        <v>7.7025940000000004</v>
      </c>
      <c r="AI1320" s="29">
        <v>8.75</v>
      </c>
      <c r="AK1320" s="27">
        <v>24.474024</v>
      </c>
      <c r="AM1320" s="27">
        <v>32.948597999999997</v>
      </c>
      <c r="AO1320" s="29">
        <v>6.7715199999999998</v>
      </c>
      <c r="AP1320" s="11"/>
    </row>
    <row r="1321" spans="2:42" hidden="1" outlineLevel="1" x14ac:dyDescent="0.25">
      <c r="B1321" s="21">
        <v>43642</v>
      </c>
      <c r="C1321" s="27">
        <v>19.2271</v>
      </c>
      <c r="E1321" s="30">
        <v>0.87981600000000004</v>
      </c>
      <c r="G1321" s="27">
        <v>42.512791999999997</v>
      </c>
      <c r="I1321" s="29">
        <v>6.9151800000000003</v>
      </c>
      <c r="K1321" s="29">
        <v>3.8463039999999999</v>
      </c>
      <c r="M1321" s="41">
        <v>681.06874000000005</v>
      </c>
      <c r="O1321" s="26">
        <v>3187.0536339999999</v>
      </c>
      <c r="Q1321" s="26">
        <v>6209.2663460000003</v>
      </c>
      <c r="S1321" s="26">
        <v>1614.3588339999999</v>
      </c>
      <c r="U1321" s="29">
        <v>3.3046009999999999</v>
      </c>
      <c r="W1321" s="14">
        <v>35.208866999999998</v>
      </c>
      <c r="Y1321" s="29">
        <v>9.1539839999999995</v>
      </c>
      <c r="AA1321" s="41">
        <v>584.56294000000003</v>
      </c>
      <c r="AC1321" s="27">
        <v>50.606015999999997</v>
      </c>
      <c r="AE1321" s="27">
        <v>1</v>
      </c>
      <c r="AG1321" s="29">
        <v>7.7074230000000004</v>
      </c>
      <c r="AI1321" s="29">
        <v>8.75</v>
      </c>
      <c r="AK1321" s="27">
        <v>24.516411000000002</v>
      </c>
      <c r="AM1321" s="27">
        <v>33.115094999999997</v>
      </c>
      <c r="AO1321" s="29">
        <v>6.7821100000000003</v>
      </c>
      <c r="AP1321" s="11"/>
    </row>
    <row r="1322" spans="2:42" hidden="1" outlineLevel="1" x14ac:dyDescent="0.25">
      <c r="B1322" s="21">
        <v>43643</v>
      </c>
      <c r="C1322" s="27">
        <v>19.144200000000001</v>
      </c>
      <c r="E1322" s="30">
        <v>0.87976100000000002</v>
      </c>
      <c r="G1322" s="27">
        <v>42.720576000000001</v>
      </c>
      <c r="I1322" s="29">
        <v>6.9087300000000003</v>
      </c>
      <c r="K1322" s="29">
        <v>3.8443109999999998</v>
      </c>
      <c r="M1322" s="41">
        <v>679.961184</v>
      </c>
      <c r="O1322" s="26">
        <v>3190.890112</v>
      </c>
      <c r="Q1322" s="26">
        <v>6213.3909160000003</v>
      </c>
      <c r="S1322" s="26">
        <v>1616.2698740000001</v>
      </c>
      <c r="U1322" s="29">
        <v>3.2953030000000001</v>
      </c>
      <c r="W1322" s="14">
        <v>35.173617999999998</v>
      </c>
      <c r="Y1322" s="29">
        <v>9.1495639999999998</v>
      </c>
      <c r="AA1322" s="41">
        <v>583.71129599999995</v>
      </c>
      <c r="AC1322" s="27">
        <v>50.608080000000001</v>
      </c>
      <c r="AE1322" s="27">
        <v>1</v>
      </c>
      <c r="AG1322" s="29">
        <v>7.7033769999999997</v>
      </c>
      <c r="AI1322" s="29">
        <v>8.75</v>
      </c>
      <c r="AK1322" s="27">
        <v>24.520249</v>
      </c>
      <c r="AM1322" s="27">
        <v>33.049543</v>
      </c>
      <c r="AO1322" s="29">
        <v>6.7770140000000003</v>
      </c>
      <c r="AP1322" s="11"/>
    </row>
    <row r="1323" spans="2:42" hidden="1" outlineLevel="1" x14ac:dyDescent="0.25">
      <c r="B1323" s="21">
        <v>43644</v>
      </c>
      <c r="C1323" s="27">
        <v>19.168500000000002</v>
      </c>
      <c r="E1323" s="30">
        <v>0.879166</v>
      </c>
      <c r="G1323" s="27">
        <v>42.595390000000002</v>
      </c>
      <c r="I1323" s="29">
        <v>6.914059</v>
      </c>
      <c r="K1323" s="29">
        <v>3.8284400000000001</v>
      </c>
      <c r="M1323" s="41">
        <v>679.664086</v>
      </c>
      <c r="O1323" s="26">
        <v>3202.9435640000002</v>
      </c>
      <c r="Q1323" s="26">
        <v>6210.8796480000001</v>
      </c>
      <c r="S1323" s="26">
        <v>1622.31863</v>
      </c>
      <c r="U1323" s="29">
        <v>3.2946559999999998</v>
      </c>
      <c r="W1323" s="14">
        <v>35.219631999999997</v>
      </c>
      <c r="Y1323" s="29">
        <v>9.1995260000000005</v>
      </c>
      <c r="AA1323" s="41">
        <v>583.48622399999999</v>
      </c>
      <c r="AC1323" s="27">
        <v>50.616157999999999</v>
      </c>
      <c r="AE1323" s="27">
        <v>1</v>
      </c>
      <c r="AG1323" s="29">
        <v>7.7075940000000003</v>
      </c>
      <c r="AI1323" s="29">
        <v>8.75</v>
      </c>
      <c r="AK1323" s="27">
        <v>24.532540000000001</v>
      </c>
      <c r="AM1323" s="27">
        <v>33.068708000000001</v>
      </c>
      <c r="AO1323" s="29">
        <v>6.7763499999999999</v>
      </c>
      <c r="AP1323" s="11"/>
    </row>
    <row r="1324" spans="2:42" hidden="1" outlineLevel="1" x14ac:dyDescent="0.25">
      <c r="B1324" s="21">
        <v>43645</v>
      </c>
      <c r="C1324" s="27">
        <v>19.168500000000002</v>
      </c>
      <c r="E1324" s="30">
        <v>0.87937600000000005</v>
      </c>
      <c r="G1324" s="27">
        <v>42.479500000000002</v>
      </c>
      <c r="I1324" s="29">
        <v>6.9162499999999998</v>
      </c>
      <c r="K1324" s="29">
        <v>3.8483000000000001</v>
      </c>
      <c r="M1324" s="41">
        <v>677.48249999999996</v>
      </c>
      <c r="O1324" s="26">
        <v>3213.1475</v>
      </c>
      <c r="Q1324" s="26">
        <v>6205.2</v>
      </c>
      <c r="S1324" s="26">
        <v>1612.464078</v>
      </c>
      <c r="U1324" s="29">
        <v>3.291175</v>
      </c>
      <c r="W1324" s="14">
        <v>35.252499999999998</v>
      </c>
      <c r="Y1324" s="29">
        <v>9.1605699999999999</v>
      </c>
      <c r="AA1324" s="41">
        <v>583.16750000000002</v>
      </c>
      <c r="AC1324" s="27">
        <v>51.002499999999998</v>
      </c>
      <c r="AE1324" s="27">
        <v>1</v>
      </c>
      <c r="AG1324" s="29">
        <v>7.7090500000000004</v>
      </c>
      <c r="AI1324" s="29">
        <v>8.75</v>
      </c>
      <c r="AK1324" s="27">
        <v>24.591474999999999</v>
      </c>
      <c r="AM1324" s="27">
        <v>33.208750000000002</v>
      </c>
      <c r="AO1324" s="29">
        <v>6.7745499999999996</v>
      </c>
      <c r="AP1324" s="11"/>
    </row>
    <row r="1325" spans="2:42" hidden="1" outlineLevel="1" x14ac:dyDescent="0.25">
      <c r="B1325" s="21">
        <v>43646</v>
      </c>
      <c r="C1325" s="49">
        <v>19.168500000000002</v>
      </c>
      <c r="E1325" s="30">
        <v>0.87943400000000005</v>
      </c>
      <c r="G1325" s="27">
        <v>42.476964000000002</v>
      </c>
      <c r="I1325" s="29">
        <v>6.9162499999999998</v>
      </c>
      <c r="K1325" s="29">
        <v>3.8484660000000002</v>
      </c>
      <c r="M1325" s="41">
        <v>677.49129200000004</v>
      </c>
      <c r="O1325" s="26">
        <v>3213.1009370000002</v>
      </c>
      <c r="Q1325" s="26">
        <v>6205.2</v>
      </c>
      <c r="S1325" s="26">
        <v>1612.3947499999999</v>
      </c>
      <c r="U1325" s="29">
        <v>3.2912810000000001</v>
      </c>
      <c r="W1325" s="14">
        <v>35.251468000000003</v>
      </c>
      <c r="Y1325" s="29">
        <v>9.1599059999999994</v>
      </c>
      <c r="AA1325" s="41">
        <v>583.16750000000002</v>
      </c>
      <c r="AC1325" s="27">
        <v>51.002499999999998</v>
      </c>
      <c r="AE1325" s="27">
        <v>1</v>
      </c>
      <c r="AG1325" s="29">
        <v>7.7090500000000004</v>
      </c>
      <c r="AI1325" s="29">
        <v>8.75</v>
      </c>
      <c r="AK1325" s="27">
        <v>24.591474999999999</v>
      </c>
      <c r="AM1325" s="27">
        <v>33.208750000000002</v>
      </c>
      <c r="AO1325" s="29">
        <v>6.7745499999999996</v>
      </c>
      <c r="AP1325" s="11"/>
    </row>
    <row r="1326" spans="2:42" ht="13" collapsed="1" x14ac:dyDescent="0.3">
      <c r="B1326" s="25" t="s">
        <v>180</v>
      </c>
      <c r="C1326" s="19">
        <v>19.270099999999999</v>
      </c>
      <c r="E1326" s="24">
        <v>0.885571</v>
      </c>
      <c r="G1326" s="19">
        <v>43.783799999999999</v>
      </c>
      <c r="I1326" s="23">
        <v>6.9100700000000002</v>
      </c>
      <c r="J1326" s="9"/>
      <c r="K1326" s="23">
        <v>3.8652799999999998</v>
      </c>
      <c r="M1326" s="42">
        <v>692.19100000000003</v>
      </c>
      <c r="O1326" s="31">
        <v>3258.96</v>
      </c>
      <c r="Q1326" s="31">
        <v>6245.28</v>
      </c>
      <c r="S1326" s="31">
        <v>1615.78</v>
      </c>
      <c r="U1326" s="23">
        <v>3.3298000000000001</v>
      </c>
      <c r="W1326" s="23">
        <v>35.252600000000001</v>
      </c>
      <c r="Y1326" s="23">
        <v>9.1208399999999994</v>
      </c>
      <c r="AA1326" s="42">
        <v>586.601</v>
      </c>
      <c r="AC1326" s="19">
        <v>50.814599999999999</v>
      </c>
      <c r="AE1326" s="19">
        <v>1</v>
      </c>
      <c r="AG1326" s="23">
        <v>7.7006699999999997</v>
      </c>
      <c r="AI1326" s="23">
        <v>8.75</v>
      </c>
      <c r="AK1326" s="23">
        <v>24.554500000000001</v>
      </c>
      <c r="AM1326" s="23">
        <v>33.145000000000003</v>
      </c>
      <c r="AO1326" s="23">
        <v>6.7716500000000002</v>
      </c>
      <c r="AP1326" s="10"/>
    </row>
    <row r="1327" spans="2:42" ht="11.5" hidden="1" customHeight="1" outlineLevel="1" x14ac:dyDescent="0.25">
      <c r="B1327" s="21">
        <v>43647</v>
      </c>
      <c r="C1327" s="27">
        <v>19.2087</v>
      </c>
      <c r="E1327" s="30">
        <v>0.88324800000000003</v>
      </c>
      <c r="G1327" s="27">
        <v>42.430726</v>
      </c>
      <c r="I1327" s="29">
        <v>6.9260279999999996</v>
      </c>
      <c r="K1327" s="29">
        <v>3.84111</v>
      </c>
      <c r="M1327" s="41">
        <v>678.83270600000003</v>
      </c>
      <c r="O1327" s="26">
        <v>3210.6136580000002</v>
      </c>
      <c r="Q1327" s="26">
        <v>6207.4580130000004</v>
      </c>
      <c r="S1327" s="26">
        <v>1616.070293</v>
      </c>
      <c r="U1327" s="29">
        <v>3.295058</v>
      </c>
      <c r="W1327" s="14">
        <v>35.286000000000001</v>
      </c>
      <c r="Y1327" s="29">
        <v>9.1864469999999994</v>
      </c>
      <c r="AA1327" s="41">
        <v>583.21093800000006</v>
      </c>
      <c r="AC1327" s="27">
        <v>50.622917999999999</v>
      </c>
      <c r="AE1327" s="27">
        <v>1</v>
      </c>
      <c r="AG1327" s="29">
        <v>7.715732</v>
      </c>
      <c r="AI1327" s="29">
        <v>8.75</v>
      </c>
      <c r="AK1327" s="27">
        <v>24.514240000000001</v>
      </c>
      <c r="AM1327" s="27">
        <v>33.154291999999998</v>
      </c>
      <c r="AO1327" s="29">
        <v>6.7858869999999998</v>
      </c>
      <c r="AP1327" s="11"/>
    </row>
    <row r="1328" spans="2:42" ht="11.5" hidden="1" customHeight="1" outlineLevel="1" x14ac:dyDescent="0.25">
      <c r="B1328" s="21">
        <v>43648</v>
      </c>
      <c r="C1328" s="27">
        <v>19.076000000000001</v>
      </c>
      <c r="E1328" s="30">
        <v>0.88556500000000005</v>
      </c>
      <c r="G1328" s="27">
        <v>42.340021999999998</v>
      </c>
      <c r="I1328" s="29">
        <v>6.9247500000000004</v>
      </c>
      <c r="K1328" s="29">
        <v>3.8442430000000001</v>
      </c>
      <c r="M1328" s="41">
        <v>680.71653100000003</v>
      </c>
      <c r="O1328" s="26">
        <v>3210.2791830000001</v>
      </c>
      <c r="Q1328" s="26">
        <v>6205.4316580000004</v>
      </c>
      <c r="S1328" s="26">
        <v>1614.2270430000001</v>
      </c>
      <c r="U1328" s="29">
        <v>3.2951169999999999</v>
      </c>
      <c r="W1328" s="14">
        <v>35.291643000000001</v>
      </c>
      <c r="Y1328" s="29">
        <v>9.1804240000000004</v>
      </c>
      <c r="AA1328" s="41">
        <v>582.38550299999997</v>
      </c>
      <c r="AC1328" s="27">
        <v>50.872016000000002</v>
      </c>
      <c r="AE1328" s="27">
        <v>1</v>
      </c>
      <c r="AG1328" s="29">
        <v>7.722194</v>
      </c>
      <c r="AI1328" s="29">
        <v>8.75</v>
      </c>
      <c r="AK1328" s="27">
        <v>24.56287</v>
      </c>
      <c r="AM1328" s="27">
        <v>33.193778000000002</v>
      </c>
      <c r="AO1328" s="29">
        <v>6.7867139999999999</v>
      </c>
      <c r="AP1328" s="11"/>
    </row>
    <row r="1329" spans="2:42" ht="11.5" hidden="1" customHeight="1" outlineLevel="1" x14ac:dyDescent="0.25">
      <c r="B1329" s="21">
        <v>43649</v>
      </c>
      <c r="C1329" s="27">
        <v>19.069400000000002</v>
      </c>
      <c r="E1329" s="30">
        <v>0.88607800000000003</v>
      </c>
      <c r="G1329" s="27">
        <v>42.120775999999999</v>
      </c>
      <c r="I1329" s="29">
        <v>6.914949</v>
      </c>
      <c r="K1329" s="29">
        <v>3.841418</v>
      </c>
      <c r="M1329" s="41">
        <v>679.90766099999996</v>
      </c>
      <c r="O1329" s="26">
        <v>3207.8374119999999</v>
      </c>
      <c r="Q1329" s="26">
        <v>6201.1846340000002</v>
      </c>
      <c r="S1329" s="26">
        <v>1614.308698</v>
      </c>
      <c r="U1329" s="29">
        <v>3.2940960000000001</v>
      </c>
      <c r="W1329" s="14">
        <v>35.167693999999997</v>
      </c>
      <c r="Y1329" s="29">
        <v>9.1549119999999995</v>
      </c>
      <c r="AA1329" s="41">
        <v>581.04748600000005</v>
      </c>
      <c r="AC1329" s="27">
        <v>50.901077999999998</v>
      </c>
      <c r="AE1329" s="27">
        <v>1</v>
      </c>
      <c r="AG1329" s="29">
        <v>7.7133820000000002</v>
      </c>
      <c r="AI1329" s="29">
        <v>8.75</v>
      </c>
      <c r="AK1329" s="27">
        <v>24.547108000000001</v>
      </c>
      <c r="AM1329" s="27">
        <v>33.193716000000002</v>
      </c>
      <c r="AO1329" s="29">
        <v>6.7737319999999999</v>
      </c>
      <c r="AP1329" s="11"/>
    </row>
    <row r="1330" spans="2:42" ht="11.5" hidden="1" customHeight="1" outlineLevel="1" x14ac:dyDescent="0.25">
      <c r="B1330" s="21">
        <v>43650</v>
      </c>
      <c r="C1330" s="27">
        <v>19.0502</v>
      </c>
      <c r="E1330" s="30">
        <v>0.88616700000000004</v>
      </c>
      <c r="G1330" s="27">
        <v>41.912413999999998</v>
      </c>
      <c r="I1330" s="29">
        <v>6.9155430000000004</v>
      </c>
      <c r="K1330" s="29">
        <v>3.812503</v>
      </c>
      <c r="M1330" s="41">
        <v>678.55009700000005</v>
      </c>
      <c r="O1330" s="26">
        <v>3202.4966380000001</v>
      </c>
      <c r="Q1330" s="26">
        <v>6201.0168540000004</v>
      </c>
      <c r="S1330" s="26">
        <v>1626.5077160000001</v>
      </c>
      <c r="U1330" s="29">
        <v>3.2931859999999999</v>
      </c>
      <c r="W1330" s="14">
        <v>35.177067999999998</v>
      </c>
      <c r="Y1330" s="29">
        <v>9.2267949999999992</v>
      </c>
      <c r="AA1330" s="41">
        <v>579.72609999999997</v>
      </c>
      <c r="AC1330" s="27">
        <v>50.825961999999997</v>
      </c>
      <c r="AE1330" s="27">
        <v>1</v>
      </c>
      <c r="AG1330" s="29">
        <v>7.71014</v>
      </c>
      <c r="AI1330" s="29">
        <v>8.75</v>
      </c>
      <c r="AK1330" s="27">
        <v>24.501898000000001</v>
      </c>
      <c r="AM1330" s="27">
        <v>32.973616</v>
      </c>
      <c r="AO1330" s="29">
        <v>6.7720979999999997</v>
      </c>
      <c r="AP1330" s="11"/>
    </row>
    <row r="1331" spans="2:42" ht="11.5" hidden="1" customHeight="1" outlineLevel="1" x14ac:dyDescent="0.25">
      <c r="B1331" s="21">
        <v>43651</v>
      </c>
      <c r="C1331" s="27">
        <v>18.994700000000002</v>
      </c>
      <c r="E1331" s="30">
        <v>0.88894799999999996</v>
      </c>
      <c r="G1331" s="27">
        <v>41.807732000000001</v>
      </c>
      <c r="I1331" s="29">
        <v>6.9101160000000004</v>
      </c>
      <c r="K1331" s="29">
        <v>3.8112659999999998</v>
      </c>
      <c r="M1331" s="41">
        <v>681.45581700000002</v>
      </c>
      <c r="O1331" s="26">
        <v>3206.9871029999999</v>
      </c>
      <c r="Q1331" s="26">
        <v>6183.7505019999999</v>
      </c>
      <c r="S1331" s="26">
        <v>1622.5053499999999</v>
      </c>
      <c r="U1331" s="29">
        <v>3.2939400000000001</v>
      </c>
      <c r="W1331" s="14">
        <v>35.190845000000003</v>
      </c>
      <c r="Y1331" s="29">
        <v>9.2334189999999996</v>
      </c>
      <c r="AA1331" s="41">
        <v>579.81026999999995</v>
      </c>
      <c r="AC1331" s="27">
        <v>50.892270000000003</v>
      </c>
      <c r="AE1331" s="27">
        <v>1</v>
      </c>
      <c r="AG1331" s="29">
        <v>7.7040319999999998</v>
      </c>
      <c r="AI1331" s="29">
        <v>8.75</v>
      </c>
      <c r="AK1331" s="27">
        <v>24.536038000000001</v>
      </c>
      <c r="AM1331" s="27">
        <v>33.067458000000002</v>
      </c>
      <c r="AO1331" s="29">
        <v>6.7662690000000003</v>
      </c>
      <c r="AP1331" s="11"/>
    </row>
    <row r="1332" spans="2:42" ht="11.5" hidden="1" customHeight="1" outlineLevel="1" x14ac:dyDescent="0.25">
      <c r="B1332" s="21">
        <v>43652</v>
      </c>
      <c r="C1332" s="27">
        <v>18.994700000000002</v>
      </c>
      <c r="E1332" s="30">
        <v>0.89079699999999995</v>
      </c>
      <c r="G1332" s="27">
        <v>41.804474999999996</v>
      </c>
      <c r="I1332" s="29">
        <v>6.91005</v>
      </c>
      <c r="K1332" s="29">
        <v>3.8218000000000001</v>
      </c>
      <c r="M1332" s="41">
        <v>683.97249999999997</v>
      </c>
      <c r="O1332" s="26">
        <v>3222.2024999999999</v>
      </c>
      <c r="Q1332" s="26">
        <v>6178.65</v>
      </c>
      <c r="S1332" s="26">
        <v>1616.69795</v>
      </c>
      <c r="U1332" s="29">
        <v>3.2928250000000001</v>
      </c>
      <c r="W1332" s="14">
        <v>35.162500000000001</v>
      </c>
      <c r="Y1332" s="29">
        <v>9.2005400000000002</v>
      </c>
      <c r="AA1332" s="41">
        <v>580.66250000000002</v>
      </c>
      <c r="AC1332" s="27">
        <v>50.975000000000001</v>
      </c>
      <c r="AE1332" s="27">
        <v>1</v>
      </c>
      <c r="AG1332" s="29">
        <v>7.7038000000000002</v>
      </c>
      <c r="AI1332" s="29">
        <v>8.75</v>
      </c>
      <c r="AK1332" s="27">
        <v>24.619475000000001</v>
      </c>
      <c r="AM1332" s="27">
        <v>33.232750000000003</v>
      </c>
      <c r="AO1332" s="29">
        <v>6.7662500000000003</v>
      </c>
      <c r="AP1332" s="11"/>
    </row>
    <row r="1333" spans="2:42" ht="11.5" hidden="1" customHeight="1" outlineLevel="1" x14ac:dyDescent="0.25">
      <c r="B1333" s="21">
        <v>43653</v>
      </c>
      <c r="C1333" s="27">
        <v>18.994700000000002</v>
      </c>
      <c r="E1333" s="30">
        <v>0.89078599999999997</v>
      </c>
      <c r="G1333" s="27">
        <v>41.803511999999998</v>
      </c>
      <c r="I1333" s="29">
        <v>6.91005</v>
      </c>
      <c r="K1333" s="29">
        <v>3.8217989999999999</v>
      </c>
      <c r="M1333" s="41">
        <v>683.97757200000001</v>
      </c>
      <c r="O1333" s="26">
        <v>3222.2024999999999</v>
      </c>
      <c r="Q1333" s="26">
        <v>6178.65</v>
      </c>
      <c r="S1333" s="26">
        <v>1616.698308</v>
      </c>
      <c r="U1333" s="29">
        <v>3.2928250000000001</v>
      </c>
      <c r="W1333" s="14">
        <v>35.162500000000001</v>
      </c>
      <c r="Y1333" s="29">
        <v>9.2005420000000004</v>
      </c>
      <c r="AA1333" s="41">
        <v>580.66250000000002</v>
      </c>
      <c r="AC1333" s="27">
        <v>50.975000000000001</v>
      </c>
      <c r="AE1333" s="27">
        <v>1</v>
      </c>
      <c r="AG1333" s="29">
        <v>7.7036499999999997</v>
      </c>
      <c r="AI1333" s="29">
        <v>8.75</v>
      </c>
      <c r="AK1333" s="27">
        <v>24.619475000000001</v>
      </c>
      <c r="AM1333" s="27">
        <v>33.232750000000003</v>
      </c>
      <c r="AO1333" s="29">
        <v>6.7662500000000003</v>
      </c>
      <c r="AP1333" s="11"/>
    </row>
    <row r="1334" spans="2:42" ht="11.5" hidden="1" customHeight="1" outlineLevel="1" x14ac:dyDescent="0.25">
      <c r="B1334" s="21">
        <v>43654</v>
      </c>
      <c r="C1334" s="27">
        <v>19.044599999999999</v>
      </c>
      <c r="E1334" s="30">
        <v>0.89122400000000002</v>
      </c>
      <c r="G1334" s="27">
        <v>41.822634000000001</v>
      </c>
      <c r="I1334" s="29">
        <v>6.916868</v>
      </c>
      <c r="K1334" s="29">
        <v>3.8141479999999999</v>
      </c>
      <c r="M1334" s="41">
        <v>685.19822299999998</v>
      </c>
      <c r="O1334" s="26">
        <v>3212.5548800000001</v>
      </c>
      <c r="Q1334" s="26">
        <v>6178.7922079999998</v>
      </c>
      <c r="S1334" s="26">
        <v>1619.9816960000001</v>
      </c>
      <c r="U1334" s="29">
        <v>3.295274</v>
      </c>
      <c r="W1334" s="14">
        <v>35.226292000000001</v>
      </c>
      <c r="Y1334" s="29">
        <v>9.2357420000000001</v>
      </c>
      <c r="AA1334" s="41">
        <v>580.97947599999998</v>
      </c>
      <c r="AC1334" s="27">
        <v>50.966495999999999</v>
      </c>
      <c r="AE1334" s="27">
        <v>1</v>
      </c>
      <c r="AG1334" s="29">
        <v>7.709168</v>
      </c>
      <c r="AI1334" s="29">
        <v>8.75</v>
      </c>
      <c r="AK1334" s="27">
        <v>24.560051999999999</v>
      </c>
      <c r="AM1334" s="27">
        <v>33.098798000000002</v>
      </c>
      <c r="AO1334" s="29">
        <v>6.7736539999999996</v>
      </c>
      <c r="AP1334" s="11"/>
    </row>
    <row r="1335" spans="2:42" ht="11.5" hidden="1" customHeight="1" outlineLevel="1" x14ac:dyDescent="0.25">
      <c r="B1335" s="21">
        <v>43655</v>
      </c>
      <c r="C1335" s="27">
        <v>18.9116</v>
      </c>
      <c r="E1335" s="30">
        <v>0.89219400000000004</v>
      </c>
      <c r="G1335" s="27">
        <v>41.80377</v>
      </c>
      <c r="I1335" s="29">
        <v>6.9119200000000003</v>
      </c>
      <c r="K1335" s="29">
        <v>3.80261</v>
      </c>
      <c r="M1335" s="41">
        <v>688.50744099999997</v>
      </c>
      <c r="O1335" s="26">
        <v>3216.129023</v>
      </c>
      <c r="Q1335" s="26">
        <v>6170.3158000000003</v>
      </c>
      <c r="S1335" s="26">
        <v>1622.6691229999999</v>
      </c>
      <c r="U1335" s="29">
        <v>3.2902019999999998</v>
      </c>
      <c r="W1335" s="14">
        <v>35.163317999999997</v>
      </c>
      <c r="Y1335" s="29">
        <v>9.2472019999999997</v>
      </c>
      <c r="AA1335" s="41">
        <v>580.87111600000003</v>
      </c>
      <c r="AC1335" s="27">
        <v>50.884022000000002</v>
      </c>
      <c r="AE1335" s="27">
        <v>1</v>
      </c>
      <c r="AG1335" s="29">
        <v>7.7021319999999998</v>
      </c>
      <c r="AI1335" s="29">
        <v>8.75</v>
      </c>
      <c r="AK1335" s="27">
        <v>24.511144999999999</v>
      </c>
      <c r="AM1335" s="27">
        <v>33.080309999999997</v>
      </c>
      <c r="AO1335" s="29">
        <v>6.7721080000000002</v>
      </c>
      <c r="AP1335" s="11"/>
    </row>
    <row r="1336" spans="2:42" ht="11.5" hidden="1" customHeight="1" outlineLevel="1" x14ac:dyDescent="0.25">
      <c r="B1336" s="21">
        <v>43656</v>
      </c>
      <c r="C1336" s="27">
        <v>19.004300000000001</v>
      </c>
      <c r="E1336" s="30">
        <v>0.890324</v>
      </c>
      <c r="G1336" s="27">
        <v>41.839002000000001</v>
      </c>
      <c r="I1336" s="29">
        <v>6.9093119999999999</v>
      </c>
      <c r="K1336" s="29">
        <v>3.7826939999999998</v>
      </c>
      <c r="M1336" s="41">
        <v>687.24621400000001</v>
      </c>
      <c r="O1336" s="26">
        <v>3214.5499049999999</v>
      </c>
      <c r="Q1336" s="26">
        <v>6159.7722350000004</v>
      </c>
      <c r="S1336" s="26">
        <v>1628.4220419999999</v>
      </c>
      <c r="U1336" s="29">
        <v>3.2909079999999999</v>
      </c>
      <c r="W1336" s="14">
        <v>35.201109000000002</v>
      </c>
      <c r="Y1336" s="29">
        <v>9.305866</v>
      </c>
      <c r="AA1336" s="41">
        <v>581.37172799999996</v>
      </c>
      <c r="AC1336" s="27">
        <v>50.864705999999998</v>
      </c>
      <c r="AE1336" s="27">
        <v>1</v>
      </c>
      <c r="AG1336" s="29">
        <v>7.694089</v>
      </c>
      <c r="AI1336" s="29">
        <v>8.75</v>
      </c>
      <c r="AK1336" s="27">
        <v>24.529104</v>
      </c>
      <c r="AM1336" s="27">
        <v>33.170681999999999</v>
      </c>
      <c r="AO1336" s="29">
        <v>6.7775480000000003</v>
      </c>
      <c r="AP1336" s="11"/>
    </row>
    <row r="1337" spans="2:42" ht="11.5" hidden="1" customHeight="1" outlineLevel="1" x14ac:dyDescent="0.25">
      <c r="B1337" s="21">
        <v>43657</v>
      </c>
      <c r="C1337" s="27">
        <v>19.2425</v>
      </c>
      <c r="E1337" s="30">
        <v>0.88779799999999998</v>
      </c>
      <c r="G1337" s="27">
        <v>41.787418000000002</v>
      </c>
      <c r="I1337" s="29">
        <v>6.8953119999999997</v>
      </c>
      <c r="K1337" s="29">
        <v>3.7568459999999999</v>
      </c>
      <c r="M1337" s="41">
        <v>684.19952799999999</v>
      </c>
      <c r="O1337" s="26">
        <v>3205.6542140000001</v>
      </c>
      <c r="Q1337" s="26">
        <v>6130.0621950000004</v>
      </c>
      <c r="S1337" s="26">
        <v>1631.7184580000001</v>
      </c>
      <c r="U1337" s="29">
        <v>3.2831869999999999</v>
      </c>
      <c r="W1337" s="14">
        <v>35.126671999999999</v>
      </c>
      <c r="Y1337" s="29">
        <v>9.3500779999999999</v>
      </c>
      <c r="AA1337" s="41">
        <v>580.95337199999994</v>
      </c>
      <c r="AC1337" s="27">
        <v>50.746650000000002</v>
      </c>
      <c r="AE1337" s="27">
        <v>1</v>
      </c>
      <c r="AG1337" s="29">
        <v>7.6817380000000002</v>
      </c>
      <c r="AI1337" s="29">
        <v>8.75</v>
      </c>
      <c r="AK1337" s="27">
        <v>24.503698</v>
      </c>
      <c r="AM1337" s="27">
        <v>32.993437999999998</v>
      </c>
      <c r="AO1337" s="29">
        <v>6.7640640000000003</v>
      </c>
      <c r="AP1337" s="11"/>
    </row>
    <row r="1338" spans="2:42" ht="11.5" hidden="1" customHeight="1" outlineLevel="1" x14ac:dyDescent="0.25">
      <c r="B1338" s="21">
        <v>43658</v>
      </c>
      <c r="C1338" s="27">
        <v>19.122699999999998</v>
      </c>
      <c r="E1338" s="30">
        <v>0.88785800000000004</v>
      </c>
      <c r="G1338" s="27">
        <v>41.666055999999998</v>
      </c>
      <c r="I1338" s="29">
        <v>6.9109119999999997</v>
      </c>
      <c r="K1338" s="29">
        <v>3.7489940000000002</v>
      </c>
      <c r="M1338" s="41">
        <v>680.50743999999997</v>
      </c>
      <c r="O1338" s="26">
        <v>3203.6492619999999</v>
      </c>
      <c r="Q1338" s="26">
        <v>6122.6737679999997</v>
      </c>
      <c r="S1338" s="26">
        <v>1633.1654639999999</v>
      </c>
      <c r="U1338" s="29">
        <v>3.2869799999999998</v>
      </c>
      <c r="W1338" s="14">
        <v>35.216484000000001</v>
      </c>
      <c r="Y1338" s="29">
        <v>9.3936240000000009</v>
      </c>
      <c r="AA1338" s="41">
        <v>581.42410400000006</v>
      </c>
      <c r="AC1338" s="27">
        <v>50.890354000000002</v>
      </c>
      <c r="AE1338" s="27">
        <v>1</v>
      </c>
      <c r="AG1338" s="29">
        <v>7.6870830000000003</v>
      </c>
      <c r="AI1338" s="29">
        <v>8.75</v>
      </c>
      <c r="AK1338" s="27">
        <v>24.532644000000001</v>
      </c>
      <c r="AM1338" s="27">
        <v>33.062573</v>
      </c>
      <c r="AO1338" s="29">
        <v>6.7776829999999997</v>
      </c>
      <c r="AP1338" s="11"/>
    </row>
    <row r="1339" spans="2:42" ht="11.5" hidden="1" customHeight="1" outlineLevel="1" x14ac:dyDescent="0.25">
      <c r="B1339" s="21">
        <v>43659</v>
      </c>
      <c r="C1339" s="27">
        <v>19.122699999999998</v>
      </c>
      <c r="E1339" s="30">
        <v>0.88726400000000005</v>
      </c>
      <c r="G1339" s="27">
        <v>41.589300000000001</v>
      </c>
      <c r="I1339" s="29">
        <v>6.9092000000000002</v>
      </c>
      <c r="K1339" s="29">
        <v>3.7387000000000001</v>
      </c>
      <c r="M1339" s="41">
        <v>679.81500000000005</v>
      </c>
      <c r="O1339" s="26">
        <v>3202.4749999999999</v>
      </c>
      <c r="Q1339" s="26">
        <v>6116.8</v>
      </c>
      <c r="S1339" s="26">
        <v>1636.0893579999999</v>
      </c>
      <c r="U1339" s="29">
        <v>3.285625</v>
      </c>
      <c r="W1339" s="14">
        <v>35.177500000000002</v>
      </c>
      <c r="Y1339" s="29">
        <v>9.4090530000000001</v>
      </c>
      <c r="AA1339" s="41">
        <v>580.59500000000003</v>
      </c>
      <c r="AC1339" s="27">
        <v>50.93</v>
      </c>
      <c r="AE1339" s="27">
        <v>1</v>
      </c>
      <c r="AG1339" s="29">
        <v>7.680625</v>
      </c>
      <c r="AI1339" s="29">
        <v>8.75</v>
      </c>
      <c r="AK1339" s="27">
        <v>24.582474999999999</v>
      </c>
      <c r="AM1339" s="27">
        <v>33.197749999999999</v>
      </c>
      <c r="AO1339" s="29">
        <v>6.7690000000000001</v>
      </c>
      <c r="AP1339" s="11"/>
    </row>
    <row r="1340" spans="2:42" ht="11.5" hidden="1" customHeight="1" outlineLevel="1" x14ac:dyDescent="0.25">
      <c r="B1340" s="21">
        <v>43660</v>
      </c>
      <c r="C1340" s="27">
        <v>19.122699999999998</v>
      </c>
      <c r="E1340" s="30">
        <v>0.88726000000000005</v>
      </c>
      <c r="G1340" s="27">
        <v>41.588982999999999</v>
      </c>
      <c r="I1340" s="29">
        <v>6.9092000000000002</v>
      </c>
      <c r="K1340" s="29">
        <v>3.7385760000000001</v>
      </c>
      <c r="M1340" s="41">
        <v>679.81284700000003</v>
      </c>
      <c r="O1340" s="26">
        <v>3202.471712</v>
      </c>
      <c r="Q1340" s="26">
        <v>6116.8</v>
      </c>
      <c r="S1340" s="26">
        <v>1636.143464</v>
      </c>
      <c r="U1340" s="29">
        <v>3.2856740000000002</v>
      </c>
      <c r="W1340" s="14">
        <v>35.180183999999997</v>
      </c>
      <c r="Y1340" s="29">
        <v>9.4100800000000007</v>
      </c>
      <c r="AA1340" s="41">
        <v>580.59500000000003</v>
      </c>
      <c r="AC1340" s="27">
        <v>50.93</v>
      </c>
      <c r="AE1340" s="27">
        <v>1</v>
      </c>
      <c r="AG1340" s="29">
        <v>7.680625</v>
      </c>
      <c r="AI1340" s="29">
        <v>8.75</v>
      </c>
      <c r="AK1340" s="27">
        <v>24.582474999999999</v>
      </c>
      <c r="AM1340" s="27">
        <v>33.197749999999999</v>
      </c>
      <c r="AO1340" s="29">
        <v>6.7690000000000001</v>
      </c>
      <c r="AP1340" s="11"/>
    </row>
    <row r="1341" spans="2:42" ht="11.5" hidden="1" customHeight="1" outlineLevel="1" x14ac:dyDescent="0.25">
      <c r="B1341" s="21">
        <v>43661</v>
      </c>
      <c r="C1341" s="27">
        <v>19.0307</v>
      </c>
      <c r="E1341" s="30">
        <v>0.88754299999999997</v>
      </c>
      <c r="G1341" s="27">
        <v>41.875611999999997</v>
      </c>
      <c r="I1341" s="29">
        <v>6.9051780000000003</v>
      </c>
      <c r="K1341" s="29">
        <v>3.7445759999999999</v>
      </c>
      <c r="M1341" s="41">
        <v>679.54779599999995</v>
      </c>
      <c r="O1341" s="26">
        <v>3192.612944</v>
      </c>
      <c r="Q1341" s="26">
        <v>6107.1713540000001</v>
      </c>
      <c r="S1341" s="26">
        <v>1630.9549500000001</v>
      </c>
      <c r="U1341" s="29">
        <v>3.2836319999999999</v>
      </c>
      <c r="W1341" s="14">
        <v>35.103555</v>
      </c>
      <c r="Y1341" s="29">
        <v>9.3745619999999992</v>
      </c>
      <c r="AA1341" s="41">
        <v>580.16044399999998</v>
      </c>
      <c r="AC1341" s="27">
        <v>50.783445999999998</v>
      </c>
      <c r="AE1341" s="27">
        <v>1</v>
      </c>
      <c r="AG1341" s="29">
        <v>7.6793380000000004</v>
      </c>
      <c r="AI1341" s="29">
        <v>8.75</v>
      </c>
      <c r="AK1341" s="27">
        <v>24.502950999999999</v>
      </c>
      <c r="AM1341" s="27">
        <v>33.059291999999999</v>
      </c>
      <c r="AO1341" s="29">
        <v>6.776084</v>
      </c>
      <c r="AP1341" s="11"/>
    </row>
    <row r="1342" spans="2:42" ht="11.5" hidden="1" customHeight="1" outlineLevel="1" x14ac:dyDescent="0.25">
      <c r="B1342" s="21">
        <v>43662</v>
      </c>
      <c r="C1342" s="27">
        <v>18.9803</v>
      </c>
      <c r="E1342" s="30">
        <v>0.89035399999999998</v>
      </c>
      <c r="G1342" s="27">
        <v>42.508980000000001</v>
      </c>
      <c r="I1342" s="29">
        <v>6.910711</v>
      </c>
      <c r="K1342" s="29">
        <v>3.7596099999999999</v>
      </c>
      <c r="M1342" s="41">
        <v>680.43848200000002</v>
      </c>
      <c r="O1342" s="26">
        <v>3194.3079050000001</v>
      </c>
      <c r="Q1342" s="26">
        <v>6101.0592999999999</v>
      </c>
      <c r="S1342" s="26">
        <v>1622.804856</v>
      </c>
      <c r="U1342" s="29">
        <v>3.2861760000000002</v>
      </c>
      <c r="W1342" s="14">
        <v>35.140912</v>
      </c>
      <c r="Y1342" s="29">
        <v>9.3469999999999995</v>
      </c>
      <c r="AA1342" s="41">
        <v>579.38366599999995</v>
      </c>
      <c r="AC1342" s="27">
        <v>50.802173000000003</v>
      </c>
      <c r="AE1342" s="27">
        <v>1</v>
      </c>
      <c r="AG1342" s="29">
        <v>7.6828700000000003</v>
      </c>
      <c r="AI1342" s="29">
        <v>8.75</v>
      </c>
      <c r="AK1342" s="27">
        <v>24.479374</v>
      </c>
      <c r="AM1342" s="27">
        <v>32.969752</v>
      </c>
      <c r="AO1342" s="29">
        <v>6.7816830000000001</v>
      </c>
      <c r="AP1342" s="11"/>
    </row>
    <row r="1343" spans="2:42" ht="11.5" hidden="1" customHeight="1" outlineLevel="1" x14ac:dyDescent="0.25">
      <c r="B1343" s="21">
        <v>43663</v>
      </c>
      <c r="C1343" s="27">
        <v>19.078099999999999</v>
      </c>
      <c r="E1343" s="30">
        <v>0.89139999999999997</v>
      </c>
      <c r="G1343" s="27">
        <v>42.608812999999998</v>
      </c>
      <c r="I1343" s="29">
        <v>6.912274</v>
      </c>
      <c r="K1343" s="29">
        <v>3.7650600000000001</v>
      </c>
      <c r="M1343" s="41">
        <v>682.92508099999998</v>
      </c>
      <c r="O1343" s="26">
        <v>3193.1977339999999</v>
      </c>
      <c r="Q1343" s="26">
        <v>6092.1340840000003</v>
      </c>
      <c r="S1343" s="26">
        <v>1618.0876599999999</v>
      </c>
      <c r="U1343" s="29">
        <v>3.2877879999999999</v>
      </c>
      <c r="W1343" s="14">
        <v>35.133721999999999</v>
      </c>
      <c r="Y1343" s="29">
        <v>9.3315579999999994</v>
      </c>
      <c r="AA1343" s="41">
        <v>577.86554799999999</v>
      </c>
      <c r="AC1343" s="27">
        <v>50.820960999999997</v>
      </c>
      <c r="AE1343" s="27">
        <v>1</v>
      </c>
      <c r="AG1343" s="29">
        <v>7.6770680000000002</v>
      </c>
      <c r="AI1343" s="29">
        <v>8.75</v>
      </c>
      <c r="AK1343" s="27">
        <v>24.531724000000001</v>
      </c>
      <c r="AM1343" s="27">
        <v>33.098784999999999</v>
      </c>
      <c r="AO1343" s="29">
        <v>6.7813600000000003</v>
      </c>
      <c r="AP1343" s="11"/>
    </row>
    <row r="1344" spans="2:42" ht="11.5" hidden="1" customHeight="1" outlineLevel="1" x14ac:dyDescent="0.25">
      <c r="B1344" s="21">
        <v>43664</v>
      </c>
      <c r="C1344" s="27">
        <v>19.023299999999999</v>
      </c>
      <c r="E1344" s="30">
        <v>0.889764</v>
      </c>
      <c r="G1344" s="27">
        <v>42.438777999999999</v>
      </c>
      <c r="I1344" s="29">
        <v>6.9093239999999998</v>
      </c>
      <c r="K1344" s="29">
        <v>3.7502680000000002</v>
      </c>
      <c r="M1344" s="41">
        <v>682.57016999999996</v>
      </c>
      <c r="O1344" s="26">
        <v>3187.06005</v>
      </c>
      <c r="Q1344" s="26">
        <v>6047.8547179999996</v>
      </c>
      <c r="S1344" s="26">
        <v>1612.6600430000001</v>
      </c>
      <c r="U1344" s="29">
        <v>3.2854000000000001</v>
      </c>
      <c r="W1344" s="14">
        <v>35.120680999999998</v>
      </c>
      <c r="Y1344" s="29">
        <v>9.3648819999999997</v>
      </c>
      <c r="AA1344" s="41">
        <v>577.17246</v>
      </c>
      <c r="AC1344" s="27">
        <v>50.828315000000003</v>
      </c>
      <c r="AE1344" s="27">
        <v>1</v>
      </c>
      <c r="AG1344" s="29">
        <v>7.66995</v>
      </c>
      <c r="AI1344" s="29">
        <v>8.75</v>
      </c>
      <c r="AK1344" s="27">
        <v>24.521075</v>
      </c>
      <c r="AM1344" s="27">
        <v>33.097844000000002</v>
      </c>
      <c r="AO1344" s="29">
        <v>6.7746399999999998</v>
      </c>
      <c r="AP1344" s="11"/>
    </row>
    <row r="1345" spans="2:42" ht="11.5" hidden="1" customHeight="1" outlineLevel="1" x14ac:dyDescent="0.25">
      <c r="B1345" s="21">
        <v>43665</v>
      </c>
      <c r="C1345" s="27">
        <v>19.0108</v>
      </c>
      <c r="E1345" s="30">
        <v>0.88975599999999999</v>
      </c>
      <c r="G1345" s="27">
        <v>42.387222000000001</v>
      </c>
      <c r="I1345" s="29">
        <v>6.9036780000000002</v>
      </c>
      <c r="K1345" s="29">
        <v>3.7313459999999998</v>
      </c>
      <c r="M1345" s="41">
        <v>685.29912000000002</v>
      </c>
      <c r="O1345" s="26">
        <v>3172.6307780000002</v>
      </c>
      <c r="Q1345" s="26">
        <v>5994.8737959999999</v>
      </c>
      <c r="S1345" s="26">
        <v>1606.640588</v>
      </c>
      <c r="U1345" s="29">
        <v>3.2829999999999999</v>
      </c>
      <c r="W1345" s="14">
        <v>35.079391999999999</v>
      </c>
      <c r="Y1345" s="29">
        <v>9.4013100000000005</v>
      </c>
      <c r="AA1345" s="41">
        <v>576.93079</v>
      </c>
      <c r="AC1345" s="27">
        <v>50.895242000000003</v>
      </c>
      <c r="AE1345" s="27">
        <v>1</v>
      </c>
      <c r="AG1345" s="29">
        <v>7.6632400000000001</v>
      </c>
      <c r="AI1345" s="29">
        <v>8.75</v>
      </c>
      <c r="AK1345" s="27">
        <v>24.497962000000001</v>
      </c>
      <c r="AM1345" s="27">
        <v>33.058996</v>
      </c>
      <c r="AO1345" s="29">
        <v>6.7660460000000002</v>
      </c>
      <c r="AP1345" s="11"/>
    </row>
    <row r="1346" spans="2:42" ht="11.5" hidden="1" customHeight="1" outlineLevel="1" x14ac:dyDescent="0.25">
      <c r="B1346" s="21">
        <v>43666</v>
      </c>
      <c r="C1346" s="27">
        <v>19.0108</v>
      </c>
      <c r="E1346" s="30">
        <v>0.89120200000000005</v>
      </c>
      <c r="G1346" s="27">
        <v>42.382975000000002</v>
      </c>
      <c r="I1346" s="29">
        <v>6.9106500000000004</v>
      </c>
      <c r="K1346" s="29">
        <v>3.7483</v>
      </c>
      <c r="M1346" s="41">
        <v>688.3175</v>
      </c>
      <c r="O1346" s="26">
        <v>3170.65</v>
      </c>
      <c r="Q1346" s="26">
        <v>5988.4750000000004</v>
      </c>
      <c r="S1346" s="26">
        <v>1597.66353</v>
      </c>
      <c r="U1346" s="29">
        <v>3.2837749999999999</v>
      </c>
      <c r="W1346" s="14">
        <v>35.122500000000002</v>
      </c>
      <c r="Y1346" s="29">
        <v>9.3702810000000003</v>
      </c>
      <c r="AA1346" s="41">
        <v>577.64750000000004</v>
      </c>
      <c r="AC1346" s="27">
        <v>51.024999999999999</v>
      </c>
      <c r="AE1346" s="27">
        <v>1</v>
      </c>
      <c r="AG1346" s="29">
        <v>7.6694500000000003</v>
      </c>
      <c r="AI1346" s="29">
        <v>8.75</v>
      </c>
      <c r="AK1346" s="27">
        <v>24.610975</v>
      </c>
      <c r="AM1346" s="27">
        <v>33.27075</v>
      </c>
      <c r="AO1346" s="29">
        <v>6.7699499999999997</v>
      </c>
      <c r="AP1346" s="11"/>
    </row>
    <row r="1347" spans="2:42" ht="11.5" hidden="1" customHeight="1" outlineLevel="1" x14ac:dyDescent="0.25">
      <c r="B1347" s="21">
        <v>43667</v>
      </c>
      <c r="C1347" s="27">
        <v>19.0108</v>
      </c>
      <c r="E1347" s="30">
        <v>0.89123600000000003</v>
      </c>
      <c r="G1347" s="27">
        <v>42.388649999999998</v>
      </c>
      <c r="I1347" s="29">
        <v>6.9106829999999997</v>
      </c>
      <c r="K1347" s="29">
        <v>3.7483029999999999</v>
      </c>
      <c r="M1347" s="41">
        <v>688.31542000000002</v>
      </c>
      <c r="O1347" s="26">
        <v>3170.653409</v>
      </c>
      <c r="Q1347" s="26">
        <v>5988.4750000000004</v>
      </c>
      <c r="S1347" s="26">
        <v>1597.6626120000001</v>
      </c>
      <c r="U1347" s="29">
        <v>3.283874</v>
      </c>
      <c r="W1347" s="14">
        <v>35.12312</v>
      </c>
      <c r="Y1347" s="29">
        <v>9.370438</v>
      </c>
      <c r="AA1347" s="41">
        <v>577.44311200000004</v>
      </c>
      <c r="AC1347" s="27">
        <v>51.019632000000001</v>
      </c>
      <c r="AE1347" s="27">
        <v>1</v>
      </c>
      <c r="AG1347" s="29">
        <v>7.6694129999999996</v>
      </c>
      <c r="AI1347" s="29">
        <v>8.75</v>
      </c>
      <c r="AK1347" s="27">
        <v>24.611222999999999</v>
      </c>
      <c r="AM1347" s="27">
        <v>33.27075</v>
      </c>
      <c r="AO1347" s="29">
        <v>6.7700699999999996</v>
      </c>
      <c r="AP1347" s="11"/>
    </row>
    <row r="1348" spans="2:42" ht="11.5" hidden="1" customHeight="1" outlineLevel="1" x14ac:dyDescent="0.25">
      <c r="B1348" s="21">
        <v>43668</v>
      </c>
      <c r="C1348" s="27">
        <v>19.0123</v>
      </c>
      <c r="E1348" s="30">
        <v>0.89164600000000005</v>
      </c>
      <c r="G1348" s="27">
        <v>42.431792000000002</v>
      </c>
      <c r="I1348" s="29">
        <v>6.9148899999999998</v>
      </c>
      <c r="K1348" s="29">
        <v>3.743884</v>
      </c>
      <c r="M1348" s="41">
        <v>688.72921499999995</v>
      </c>
      <c r="O1348" s="26">
        <v>3177.2344149999999</v>
      </c>
      <c r="Q1348" s="26">
        <v>5982.2249499999998</v>
      </c>
      <c r="S1348" s="26">
        <v>1597.8802860000001</v>
      </c>
      <c r="U1348" s="29">
        <v>3.289301</v>
      </c>
      <c r="W1348" s="14">
        <v>35.114984</v>
      </c>
      <c r="Y1348" s="29">
        <v>9.3793389999999999</v>
      </c>
      <c r="AA1348" s="41">
        <v>575.03748199999995</v>
      </c>
      <c r="AC1348" s="27">
        <v>50.981867999999999</v>
      </c>
      <c r="AE1348" s="27">
        <v>1</v>
      </c>
      <c r="AG1348" s="29">
        <v>7.6715999999999998</v>
      </c>
      <c r="AI1348" s="29">
        <v>8.75</v>
      </c>
      <c r="AK1348" s="27">
        <v>24.52854</v>
      </c>
      <c r="AM1348" s="27">
        <v>33.108539999999998</v>
      </c>
      <c r="AO1348" s="29">
        <v>6.7767799999999996</v>
      </c>
      <c r="AP1348" s="11"/>
    </row>
    <row r="1349" spans="2:42" ht="11.5" hidden="1" customHeight="1" outlineLevel="1" x14ac:dyDescent="0.25">
      <c r="B1349" s="21">
        <v>43669</v>
      </c>
      <c r="C1349" s="27">
        <v>19.065899999999999</v>
      </c>
      <c r="E1349" s="30">
        <v>0.89503299999999997</v>
      </c>
      <c r="G1349" s="27">
        <v>42.531813999999997</v>
      </c>
      <c r="I1349" s="29">
        <v>6.9203960000000002</v>
      </c>
      <c r="K1349" s="29">
        <v>3.7550759999999999</v>
      </c>
      <c r="M1349" s="41">
        <v>691.04592300000002</v>
      </c>
      <c r="O1349" s="26">
        <v>3182.368156</v>
      </c>
      <c r="Q1349" s="26">
        <v>5983.3905930000001</v>
      </c>
      <c r="S1349" s="26">
        <v>1593.434264</v>
      </c>
      <c r="U1349" s="29">
        <v>3.2867980000000001</v>
      </c>
      <c r="W1349" s="14">
        <v>35.059021000000001</v>
      </c>
      <c r="Y1349" s="29">
        <v>9.3364969999999996</v>
      </c>
      <c r="AA1349" s="41">
        <v>574.41767200000004</v>
      </c>
      <c r="AC1349" s="27">
        <v>51.029409999999999</v>
      </c>
      <c r="AE1349" s="27">
        <v>1</v>
      </c>
      <c r="AG1349" s="29">
        <v>7.6659100000000002</v>
      </c>
      <c r="AI1349" s="29">
        <v>8.75</v>
      </c>
      <c r="AK1349" s="27">
        <v>24.528555999999998</v>
      </c>
      <c r="AM1349" s="27">
        <v>33.265751999999999</v>
      </c>
      <c r="AO1349" s="29">
        <v>6.7653780000000001</v>
      </c>
      <c r="AP1349" s="11"/>
    </row>
    <row r="1350" spans="2:42" ht="11.5" hidden="1" customHeight="1" outlineLevel="1" x14ac:dyDescent="0.25">
      <c r="B1350" s="21">
        <v>43670</v>
      </c>
      <c r="C1350" s="27">
        <v>19.131499999999999</v>
      </c>
      <c r="E1350" s="30">
        <v>0.89740699999999995</v>
      </c>
      <c r="G1350" s="27">
        <v>42.712767999999997</v>
      </c>
      <c r="I1350" s="29">
        <v>6.921894</v>
      </c>
      <c r="K1350" s="29">
        <v>3.76939</v>
      </c>
      <c r="M1350" s="41">
        <v>691.90785400000004</v>
      </c>
      <c r="O1350" s="26">
        <v>3192.8913619999998</v>
      </c>
      <c r="Q1350" s="26">
        <v>5986.3356999999996</v>
      </c>
      <c r="S1350" s="26">
        <v>1588.1584989999999</v>
      </c>
      <c r="U1350" s="29">
        <v>3.2923900000000001</v>
      </c>
      <c r="W1350" s="14">
        <v>34.876842000000003</v>
      </c>
      <c r="Y1350" s="29">
        <v>9.2526820000000001</v>
      </c>
      <c r="AA1350" s="41">
        <v>574.59572600000001</v>
      </c>
      <c r="AC1350" s="27">
        <v>51.093116000000002</v>
      </c>
      <c r="AE1350" s="27">
        <v>1</v>
      </c>
      <c r="AG1350" s="29">
        <v>7.6640459999999999</v>
      </c>
      <c r="AI1350" s="29">
        <v>8.75</v>
      </c>
      <c r="AK1350" s="27">
        <v>24.551098</v>
      </c>
      <c r="AM1350" s="27">
        <v>33.601331999999999</v>
      </c>
      <c r="AO1350" s="29">
        <v>6.7732780000000004</v>
      </c>
      <c r="AP1350" s="11"/>
    </row>
    <row r="1351" spans="2:42" ht="11.5" hidden="1" customHeight="1" outlineLevel="1" x14ac:dyDescent="0.25">
      <c r="B1351" s="21">
        <v>43671</v>
      </c>
      <c r="C1351" s="27">
        <v>19.089400000000001</v>
      </c>
      <c r="E1351" s="30">
        <v>0.89754999999999996</v>
      </c>
      <c r="G1351" s="27">
        <v>43.034230000000001</v>
      </c>
      <c r="I1351" s="29">
        <v>6.913583</v>
      </c>
      <c r="K1351" s="29">
        <v>3.7771620000000001</v>
      </c>
      <c r="M1351" s="41">
        <v>693.44785400000001</v>
      </c>
      <c r="O1351" s="26">
        <v>3205.1125299999999</v>
      </c>
      <c r="Q1351" s="26">
        <v>5995.4697919999999</v>
      </c>
      <c r="S1351" s="26">
        <v>1587.3099219999999</v>
      </c>
      <c r="U1351" s="29">
        <v>3.2951260000000002</v>
      </c>
      <c r="W1351" s="14">
        <v>34.597915999999998</v>
      </c>
      <c r="Y1351" s="29">
        <v>9.1598039999999994</v>
      </c>
      <c r="AA1351" s="41">
        <v>574.46377399999994</v>
      </c>
      <c r="AC1351" s="27">
        <v>51.026518000000003</v>
      </c>
      <c r="AE1351" s="27">
        <v>1</v>
      </c>
      <c r="AG1351" s="29">
        <v>7.658881</v>
      </c>
      <c r="AI1351" s="29">
        <v>8.75</v>
      </c>
      <c r="AK1351" s="27">
        <v>24.540154000000001</v>
      </c>
      <c r="AM1351" s="27">
        <v>33.253062</v>
      </c>
      <c r="AO1351" s="29">
        <v>6.7786439999999999</v>
      </c>
      <c r="AP1351" s="11"/>
    </row>
    <row r="1352" spans="2:42" ht="11.5" hidden="1" customHeight="1" outlineLevel="1" x14ac:dyDescent="0.25">
      <c r="B1352" s="21">
        <v>43672</v>
      </c>
      <c r="C1352" s="27">
        <v>19.0623</v>
      </c>
      <c r="E1352" s="30">
        <v>0.89807099999999995</v>
      </c>
      <c r="G1352" s="27">
        <v>43.302957999999997</v>
      </c>
      <c r="I1352" s="29">
        <v>6.9081270000000004</v>
      </c>
      <c r="K1352" s="29">
        <v>3.7761290000000001</v>
      </c>
      <c r="M1352" s="41">
        <v>696.557863</v>
      </c>
      <c r="O1352" s="26">
        <v>3222.3942929999998</v>
      </c>
      <c r="Q1352" s="26">
        <v>5999.0610710000001</v>
      </c>
      <c r="S1352" s="26">
        <v>1588.7010419999999</v>
      </c>
      <c r="U1352" s="29">
        <v>3.2960310000000002</v>
      </c>
      <c r="W1352" s="14">
        <v>34.138592000000003</v>
      </c>
      <c r="Y1352" s="29">
        <v>9.0406879999999994</v>
      </c>
      <c r="AA1352" s="41">
        <v>573.99503900000002</v>
      </c>
      <c r="AC1352" s="27">
        <v>51.009995000000004</v>
      </c>
      <c r="AE1352" s="27">
        <v>1</v>
      </c>
      <c r="AG1352" s="29">
        <v>7.6593080000000002</v>
      </c>
      <c r="AI1352" s="29">
        <v>8.75</v>
      </c>
      <c r="AK1352" s="27">
        <v>24.533638</v>
      </c>
      <c r="AM1352" s="27">
        <v>33.031756000000001</v>
      </c>
      <c r="AO1352" s="29">
        <v>6.7732260000000002</v>
      </c>
      <c r="AP1352" s="11"/>
    </row>
    <row r="1353" spans="2:42" ht="11.5" hidden="1" customHeight="1" outlineLevel="1" x14ac:dyDescent="0.25">
      <c r="B1353" s="21">
        <v>43673</v>
      </c>
      <c r="C1353" s="27">
        <v>19.0623</v>
      </c>
      <c r="E1353" s="30">
        <v>0.89863400000000004</v>
      </c>
      <c r="G1353" s="27">
        <v>43.275100000000002</v>
      </c>
      <c r="I1353" s="29">
        <v>6.9088500000000002</v>
      </c>
      <c r="K1353" s="29">
        <v>3.7778749999999999</v>
      </c>
      <c r="M1353" s="41">
        <v>695.23249999999996</v>
      </c>
      <c r="O1353" s="26">
        <v>3238.3874999999998</v>
      </c>
      <c r="Q1353" s="26">
        <v>5997.25</v>
      </c>
      <c r="S1353" s="26">
        <v>1587.4817660000001</v>
      </c>
      <c r="U1353" s="29">
        <v>3.3000500000000001</v>
      </c>
      <c r="W1353" s="14">
        <v>34.0075</v>
      </c>
      <c r="Y1353" s="29">
        <v>9.0017940000000003</v>
      </c>
      <c r="AA1353" s="41">
        <v>573.97</v>
      </c>
      <c r="AC1353" s="27">
        <v>51.067500000000003</v>
      </c>
      <c r="AE1353" s="27">
        <v>1</v>
      </c>
      <c r="AG1353" s="29">
        <v>7.6642999999999999</v>
      </c>
      <c r="AI1353" s="29">
        <v>8.75</v>
      </c>
      <c r="AK1353" s="27">
        <v>24.576474999999999</v>
      </c>
      <c r="AM1353" s="27">
        <v>33.368499999999997</v>
      </c>
      <c r="AO1353" s="29">
        <v>6.7739500000000001</v>
      </c>
      <c r="AP1353" s="11"/>
    </row>
    <row r="1354" spans="2:42" ht="11.5" hidden="1" customHeight="1" outlineLevel="1" x14ac:dyDescent="0.25">
      <c r="B1354" s="21">
        <v>43674</v>
      </c>
      <c r="C1354" s="27">
        <v>19.0623</v>
      </c>
      <c r="E1354" s="30">
        <v>0.89861400000000002</v>
      </c>
      <c r="G1354" s="27">
        <v>43.273595999999998</v>
      </c>
      <c r="I1354" s="29">
        <v>6.9088500000000002</v>
      </c>
      <c r="K1354" s="29">
        <v>3.7776339999999999</v>
      </c>
      <c r="M1354" s="41">
        <v>695.22532200000001</v>
      </c>
      <c r="O1354" s="26">
        <v>3238.428836</v>
      </c>
      <c r="Q1354" s="26">
        <v>5997.25</v>
      </c>
      <c r="S1354" s="26">
        <v>1587.5826999999999</v>
      </c>
      <c r="U1354" s="29">
        <v>3.3000500000000001</v>
      </c>
      <c r="W1354" s="14">
        <v>34.0075</v>
      </c>
      <c r="Y1354" s="29">
        <v>9.0023680000000006</v>
      </c>
      <c r="AA1354" s="41">
        <v>573.97</v>
      </c>
      <c r="AC1354" s="27">
        <v>51.067500000000003</v>
      </c>
      <c r="AE1354" s="27">
        <v>1</v>
      </c>
      <c r="AG1354" s="29">
        <v>7.6642999999999999</v>
      </c>
      <c r="AI1354" s="29">
        <v>8.75</v>
      </c>
      <c r="AK1354" s="27">
        <v>24.576474999999999</v>
      </c>
      <c r="AM1354" s="27">
        <v>33.368499999999997</v>
      </c>
      <c r="AO1354" s="29">
        <v>6.7739500000000001</v>
      </c>
      <c r="AP1354" s="11"/>
    </row>
    <row r="1355" spans="2:42" ht="11.5" hidden="1" customHeight="1" outlineLevel="1" x14ac:dyDescent="0.25">
      <c r="B1355" s="21">
        <v>43675</v>
      </c>
      <c r="C1355" s="27">
        <v>19.069900000000001</v>
      </c>
      <c r="E1355" s="30">
        <v>0.89825699999999997</v>
      </c>
      <c r="G1355" s="27">
        <v>43.511733999999997</v>
      </c>
      <c r="I1355" s="29">
        <v>6.9129860000000001</v>
      </c>
      <c r="K1355" s="29">
        <v>3.7807439999999999</v>
      </c>
      <c r="M1355" s="41">
        <v>696.37279799999999</v>
      </c>
      <c r="O1355" s="26">
        <v>3248.3947469999998</v>
      </c>
      <c r="Q1355" s="26">
        <v>6007.5873380000003</v>
      </c>
      <c r="S1355" s="26">
        <v>1589.01863</v>
      </c>
      <c r="U1355" s="29">
        <v>3.300036</v>
      </c>
      <c r="W1355" s="14">
        <v>34.051963999999998</v>
      </c>
      <c r="Y1355" s="29">
        <v>9.0067599999999999</v>
      </c>
      <c r="AA1355" s="41">
        <v>573.83671100000004</v>
      </c>
      <c r="AC1355" s="27">
        <v>51.007078</v>
      </c>
      <c r="AE1355" s="27">
        <v>1</v>
      </c>
      <c r="AG1355" s="29">
        <v>7.6762379999999997</v>
      </c>
      <c r="AI1355" s="29">
        <v>8.75</v>
      </c>
      <c r="AK1355" s="27">
        <v>24.526178000000002</v>
      </c>
      <c r="AM1355" s="27">
        <v>33.119273999999997</v>
      </c>
      <c r="AO1355" s="29">
        <v>6.7767939999999998</v>
      </c>
      <c r="AP1355" s="11"/>
    </row>
    <row r="1356" spans="2:42" ht="11.5" hidden="1" customHeight="1" outlineLevel="1" x14ac:dyDescent="0.25">
      <c r="B1356" s="21">
        <v>43676</v>
      </c>
      <c r="C1356" s="27">
        <v>19.09</v>
      </c>
      <c r="E1356" s="30">
        <v>0.89709300000000003</v>
      </c>
      <c r="G1356" s="27">
        <v>43.812342000000001</v>
      </c>
      <c r="I1356" s="29">
        <v>6.9102439999999996</v>
      </c>
      <c r="K1356" s="29">
        <v>3.785625</v>
      </c>
      <c r="M1356" s="41">
        <v>698.05146200000001</v>
      </c>
      <c r="O1356" s="26">
        <v>3282.228216</v>
      </c>
      <c r="Q1356" s="26">
        <v>6001.3736900000004</v>
      </c>
      <c r="S1356" s="26">
        <v>1585.3201280000001</v>
      </c>
      <c r="U1356" s="29">
        <v>3.2940990000000001</v>
      </c>
      <c r="W1356" s="14">
        <v>34.131687999999997</v>
      </c>
      <c r="Y1356" s="29">
        <v>9.0161700000000007</v>
      </c>
      <c r="AA1356" s="41">
        <v>572.68312000000003</v>
      </c>
      <c r="AC1356" s="27">
        <v>51.091554000000002</v>
      </c>
      <c r="AE1356" s="27">
        <v>1</v>
      </c>
      <c r="AG1356" s="29">
        <v>7.679278</v>
      </c>
      <c r="AI1356" s="29">
        <v>8.75</v>
      </c>
      <c r="AK1356" s="27">
        <v>24.516030000000001</v>
      </c>
      <c r="AM1356" s="27">
        <v>33.106031999999999</v>
      </c>
      <c r="AO1356" s="29">
        <v>6.7723180000000003</v>
      </c>
      <c r="AP1356" s="12"/>
    </row>
    <row r="1357" spans="2:42" ht="11.5" hidden="1" customHeight="1" outlineLevel="1" x14ac:dyDescent="0.25">
      <c r="B1357" s="21">
        <v>43677</v>
      </c>
      <c r="C1357" s="49">
        <v>19.0747</v>
      </c>
      <c r="E1357" s="30">
        <v>0.89846800000000004</v>
      </c>
      <c r="G1357" s="27">
        <v>43.858552000000003</v>
      </c>
      <c r="I1357" s="29">
        <v>6.9107940000000001</v>
      </c>
      <c r="K1357" s="29">
        <v>3.7878340000000001</v>
      </c>
      <c r="M1357" s="41">
        <v>700.60611800000004</v>
      </c>
      <c r="O1357" s="26">
        <v>3293.4419619999999</v>
      </c>
      <c r="Q1357" s="26">
        <v>6006.5714420000004</v>
      </c>
      <c r="S1357" s="26">
        <v>1585.7672359999999</v>
      </c>
      <c r="U1357" s="29">
        <v>3.2979539999999998</v>
      </c>
      <c r="W1357" s="14">
        <v>34.203437000000001</v>
      </c>
      <c r="Y1357" s="29">
        <v>9.0298459999999992</v>
      </c>
      <c r="AA1357" s="41">
        <v>572.05926699999998</v>
      </c>
      <c r="AC1357" s="27">
        <v>51.080553999999999</v>
      </c>
      <c r="AE1357" s="27">
        <v>1</v>
      </c>
      <c r="AG1357" s="29">
        <v>7.6866880000000002</v>
      </c>
      <c r="AI1357" s="29">
        <v>8.75</v>
      </c>
      <c r="AK1357" s="27">
        <v>24.506143000000002</v>
      </c>
      <c r="AM1357" s="27">
        <v>33.125211999999998</v>
      </c>
      <c r="AO1357" s="29">
        <v>6.7742560000000003</v>
      </c>
      <c r="AP1357" s="12"/>
    </row>
    <row r="1358" spans="2:42" ht="13" collapsed="1" x14ac:dyDescent="0.3">
      <c r="B1358" s="25" t="s">
        <v>181</v>
      </c>
      <c r="C1358" s="19">
        <v>19.058900000000001</v>
      </c>
      <c r="E1358" s="24">
        <v>0.89153400000000005</v>
      </c>
      <c r="G1358" s="19">
        <v>42.408200000000001</v>
      </c>
      <c r="I1358" s="23">
        <v>6.9118500000000003</v>
      </c>
      <c r="J1358" s="9"/>
      <c r="K1358" s="23">
        <v>3.77921</v>
      </c>
      <c r="M1358" s="42">
        <v>686.68700000000001</v>
      </c>
      <c r="O1358" s="31">
        <v>3209.75</v>
      </c>
      <c r="Q1358" s="31">
        <v>6084.77</v>
      </c>
      <c r="S1358" s="31">
        <v>1610.08</v>
      </c>
      <c r="U1358" s="23">
        <v>3.2909799999999998</v>
      </c>
      <c r="W1358" s="23">
        <v>34.927199999999999</v>
      </c>
      <c r="Y1358" s="23">
        <v>9.2425999999999995</v>
      </c>
      <c r="AA1358" s="42">
        <v>578.06200000000001</v>
      </c>
      <c r="AC1358" s="19">
        <v>50.932499999999997</v>
      </c>
      <c r="AE1358" s="19">
        <v>1</v>
      </c>
      <c r="AG1358" s="23">
        <v>7.6841999999999997</v>
      </c>
      <c r="AI1358" s="23">
        <v>8.75</v>
      </c>
      <c r="AK1358" s="23">
        <v>24.54327</v>
      </c>
      <c r="AM1358" s="23">
        <v>33.162059999999997</v>
      </c>
      <c r="AO1358" s="23">
        <v>6.7735099999999999</v>
      </c>
      <c r="AP1358" s="10"/>
    </row>
    <row r="1359" spans="2:42" hidden="1" outlineLevel="1" x14ac:dyDescent="0.25">
      <c r="B1359" s="21">
        <v>43678</v>
      </c>
      <c r="C1359" s="27">
        <v>18.992899999999999</v>
      </c>
      <c r="E1359" s="30">
        <v>0.904416</v>
      </c>
      <c r="G1359" s="27">
        <v>44.039698000000001</v>
      </c>
      <c r="I1359" s="29">
        <v>6.9372959999999999</v>
      </c>
      <c r="K1359" s="29">
        <v>3.8242120000000002</v>
      </c>
      <c r="M1359" s="41">
        <v>704.72722799999997</v>
      </c>
      <c r="O1359" s="26">
        <v>3311.66419</v>
      </c>
      <c r="Q1359" s="26">
        <v>6012.7694220000003</v>
      </c>
      <c r="S1359" s="26">
        <v>1572.3033949999999</v>
      </c>
      <c r="U1359" s="29">
        <v>3.3107980000000001</v>
      </c>
      <c r="W1359" s="14">
        <v>34.388458</v>
      </c>
      <c r="Y1359" s="29">
        <v>8.9923300000000008</v>
      </c>
      <c r="AA1359" s="41">
        <v>573.12939700000004</v>
      </c>
      <c r="AC1359" s="27">
        <v>51.265552</v>
      </c>
      <c r="AE1359" s="27">
        <v>1</v>
      </c>
      <c r="AG1359" s="29">
        <v>7.6996060000000002</v>
      </c>
      <c r="AI1359" s="29">
        <v>8.75</v>
      </c>
      <c r="AK1359" s="27">
        <v>24.551596</v>
      </c>
      <c r="AM1359" s="27">
        <v>33.298377000000002</v>
      </c>
      <c r="AO1359" s="29">
        <v>6.7947030000000002</v>
      </c>
      <c r="AP1359" s="11"/>
    </row>
    <row r="1360" spans="2:42" hidden="1" outlineLevel="1" x14ac:dyDescent="0.25">
      <c r="B1360" s="21">
        <v>43679</v>
      </c>
      <c r="C1360" s="27">
        <v>19.162700000000001</v>
      </c>
      <c r="E1360" s="30">
        <v>0.90113799999999999</v>
      </c>
      <c r="G1360" s="27">
        <v>44.450884000000002</v>
      </c>
      <c r="I1360" s="29">
        <v>6.8962440000000003</v>
      </c>
      <c r="K1360" s="29">
        <v>3.860131</v>
      </c>
      <c r="M1360" s="41">
        <v>709.39391999999998</v>
      </c>
      <c r="O1360" s="26">
        <v>3343.5859489999998</v>
      </c>
      <c r="Q1360" s="26">
        <v>6008.2220479999996</v>
      </c>
      <c r="S1360" s="26">
        <v>1556.4944860000001</v>
      </c>
      <c r="U1360" s="29">
        <v>3.3287949999999999</v>
      </c>
      <c r="W1360" s="14">
        <v>34.269081</v>
      </c>
      <c r="Y1360" s="29">
        <v>8.8777200000000001</v>
      </c>
      <c r="AA1360" s="41">
        <v>571.37013000000002</v>
      </c>
      <c r="AC1360" s="27">
        <v>51.139184</v>
      </c>
      <c r="AE1360" s="27">
        <v>1</v>
      </c>
      <c r="AG1360" s="29">
        <v>7.6735179999999996</v>
      </c>
      <c r="AI1360" s="29">
        <v>8.75</v>
      </c>
      <c r="AK1360" s="27">
        <v>24.503654000000001</v>
      </c>
      <c r="AM1360" s="27">
        <v>33.197608000000002</v>
      </c>
      <c r="AO1360" s="29">
        <v>6.7527109999999997</v>
      </c>
      <c r="AP1360" s="11"/>
    </row>
    <row r="1361" spans="2:42" hidden="1" outlineLevel="1" x14ac:dyDescent="0.25">
      <c r="B1361" s="21">
        <v>43680</v>
      </c>
      <c r="C1361" s="27">
        <v>19.162700000000001</v>
      </c>
      <c r="E1361" s="30">
        <v>0.90022000000000002</v>
      </c>
      <c r="G1361" s="27">
        <v>44.589599999999997</v>
      </c>
      <c r="I1361" s="29">
        <v>6.9042500000000002</v>
      </c>
      <c r="K1361" s="29">
        <v>3.8881999999999999</v>
      </c>
      <c r="M1361" s="41">
        <v>713.10249999999996</v>
      </c>
      <c r="O1361" s="26">
        <v>3384.5</v>
      </c>
      <c r="Q1361" s="26">
        <v>6025.4</v>
      </c>
      <c r="S1361" s="26">
        <v>1549.6749219999999</v>
      </c>
      <c r="U1361" s="29">
        <v>3.3535249999999999</v>
      </c>
      <c r="W1361" s="14">
        <v>34.33</v>
      </c>
      <c r="Y1361" s="29">
        <v>8.8292900000000003</v>
      </c>
      <c r="AA1361" s="41">
        <v>571.64</v>
      </c>
      <c r="AC1361" s="27">
        <v>51.197499999999998</v>
      </c>
      <c r="AE1361" s="27">
        <v>1</v>
      </c>
      <c r="AG1361" s="29">
        <v>7.6766249999999996</v>
      </c>
      <c r="AI1361" s="29">
        <v>8.75</v>
      </c>
      <c r="AK1361" s="27">
        <v>24.579975000000001</v>
      </c>
      <c r="AM1361" s="27">
        <v>33.188249999999996</v>
      </c>
      <c r="AO1361" s="29">
        <v>6.7628500000000003</v>
      </c>
      <c r="AP1361" s="11"/>
    </row>
    <row r="1362" spans="2:42" hidden="1" outlineLevel="1" x14ac:dyDescent="0.25">
      <c r="B1362" s="21">
        <v>43681</v>
      </c>
      <c r="C1362" s="27">
        <v>19.162700000000001</v>
      </c>
      <c r="E1362" s="30">
        <v>0.90021899999999999</v>
      </c>
      <c r="G1362" s="27">
        <v>44.586855999999997</v>
      </c>
      <c r="I1362" s="29">
        <v>6.9042500000000002</v>
      </c>
      <c r="K1362" s="29">
        <v>3.8880499999999998</v>
      </c>
      <c r="M1362" s="41">
        <v>713.11338799999999</v>
      </c>
      <c r="O1362" s="26">
        <v>3384.2608660000001</v>
      </c>
      <c r="Q1362" s="26">
        <v>6025.4</v>
      </c>
      <c r="S1362" s="26">
        <v>1549.7349839999999</v>
      </c>
      <c r="U1362" s="29">
        <v>3.3535629999999998</v>
      </c>
      <c r="W1362" s="14">
        <v>34.335613000000002</v>
      </c>
      <c r="Y1362" s="29">
        <v>8.8310759999999995</v>
      </c>
      <c r="AA1362" s="41">
        <v>571.64</v>
      </c>
      <c r="AC1362" s="27">
        <v>51.197499999999998</v>
      </c>
      <c r="AE1362" s="27">
        <v>1</v>
      </c>
      <c r="AG1362" s="29">
        <v>7.6766249999999996</v>
      </c>
      <c r="AI1362" s="29">
        <v>8.75</v>
      </c>
      <c r="AK1362" s="27">
        <v>24.579975000000001</v>
      </c>
      <c r="AM1362" s="27">
        <v>33.188249999999996</v>
      </c>
      <c r="AO1362" s="29">
        <v>6.7628500000000003</v>
      </c>
      <c r="AP1362" s="11"/>
    </row>
    <row r="1363" spans="2:42" hidden="1" outlineLevel="1" x14ac:dyDescent="0.25">
      <c r="B1363" s="21">
        <v>43682</v>
      </c>
      <c r="C1363" s="27">
        <v>19.311599999999999</v>
      </c>
      <c r="E1363" s="30">
        <v>0.89546599999999998</v>
      </c>
      <c r="G1363" s="27">
        <v>44.938187999999997</v>
      </c>
      <c r="I1363" s="29">
        <v>6.9042389999999996</v>
      </c>
      <c r="K1363" s="29">
        <v>3.9206159999999999</v>
      </c>
      <c r="M1363" s="41">
        <v>717.39076399999999</v>
      </c>
      <c r="O1363" s="26">
        <v>3395.5852420000001</v>
      </c>
      <c r="Q1363" s="26">
        <v>6022.2429959999999</v>
      </c>
      <c r="S1363" s="26">
        <v>1536.058446</v>
      </c>
      <c r="U1363" s="29">
        <v>3.3570739999999999</v>
      </c>
      <c r="W1363" s="14">
        <v>34.540100000000002</v>
      </c>
      <c r="Y1363" s="29">
        <v>8.8099070000000008</v>
      </c>
      <c r="AA1363" s="41">
        <v>571.56870500000002</v>
      </c>
      <c r="AC1363" s="27">
        <v>50.997123999999999</v>
      </c>
      <c r="AE1363" s="27">
        <v>1</v>
      </c>
      <c r="AG1363" s="29">
        <v>7.6783200000000003</v>
      </c>
      <c r="AI1363" s="29">
        <v>8.75</v>
      </c>
      <c r="AK1363" s="27">
        <v>24.510497999999998</v>
      </c>
      <c r="AM1363" s="27">
        <v>33.213335999999998</v>
      </c>
      <c r="AO1363" s="29">
        <v>6.7630520000000001</v>
      </c>
      <c r="AP1363" s="11"/>
    </row>
    <row r="1364" spans="2:42" hidden="1" outlineLevel="1" x14ac:dyDescent="0.25">
      <c r="B1364" s="21">
        <v>43683</v>
      </c>
      <c r="C1364" s="27">
        <v>19.5731</v>
      </c>
      <c r="E1364" s="30">
        <v>0.89257600000000004</v>
      </c>
      <c r="G1364" s="27">
        <v>45.361874999999998</v>
      </c>
      <c r="I1364" s="29">
        <v>6.8975280000000003</v>
      </c>
      <c r="K1364" s="29">
        <v>3.968515</v>
      </c>
      <c r="M1364" s="41">
        <v>718.48429099999998</v>
      </c>
      <c r="O1364" s="26">
        <v>3428.240119</v>
      </c>
      <c r="Q1364" s="26">
        <v>6013.48326</v>
      </c>
      <c r="S1364" s="26">
        <v>1515.310968</v>
      </c>
      <c r="U1364" s="29">
        <v>3.376242</v>
      </c>
      <c r="W1364" s="14">
        <v>34.588631999999997</v>
      </c>
      <c r="Y1364" s="29">
        <v>8.7157820000000008</v>
      </c>
      <c r="AA1364" s="41">
        <v>570.94635000000005</v>
      </c>
      <c r="AC1364" s="27">
        <v>50.964489999999998</v>
      </c>
      <c r="AE1364" s="27">
        <v>1</v>
      </c>
      <c r="AG1364" s="29">
        <v>7.6666619999999996</v>
      </c>
      <c r="AI1364" s="29">
        <v>8.75</v>
      </c>
      <c r="AK1364" s="27">
        <v>24.475349999999999</v>
      </c>
      <c r="AM1364" s="27">
        <v>33.375915999999997</v>
      </c>
      <c r="AO1364" s="29">
        <v>6.7514620000000001</v>
      </c>
      <c r="AP1364" s="11"/>
    </row>
    <row r="1365" spans="2:42" hidden="1" outlineLevel="1" x14ac:dyDescent="0.25">
      <c r="B1365" s="21">
        <v>43684</v>
      </c>
      <c r="C1365" s="27">
        <v>19.629100000000001</v>
      </c>
      <c r="E1365" s="30">
        <v>0.89221399999999995</v>
      </c>
      <c r="G1365" s="27">
        <v>45.416739999999997</v>
      </c>
      <c r="I1365" s="29">
        <v>6.9091480000000001</v>
      </c>
      <c r="K1365" s="29">
        <v>3.9685600000000001</v>
      </c>
      <c r="M1365" s="41">
        <v>715.59755500000006</v>
      </c>
      <c r="O1365" s="26">
        <v>3434.7574760000002</v>
      </c>
      <c r="Q1365" s="26">
        <v>6036.1507439999996</v>
      </c>
      <c r="S1365" s="26">
        <v>1521.0053600000001</v>
      </c>
      <c r="U1365" s="29">
        <v>3.3797459999999999</v>
      </c>
      <c r="W1365" s="14">
        <v>34.971181999999999</v>
      </c>
      <c r="Y1365" s="29">
        <v>8.8120849999999997</v>
      </c>
      <c r="AA1365" s="41">
        <v>571.69110599999999</v>
      </c>
      <c r="AC1365" s="27">
        <v>51.013055999999999</v>
      </c>
      <c r="AE1365" s="27">
        <v>1</v>
      </c>
      <c r="AG1365" s="29">
        <v>7.671818</v>
      </c>
      <c r="AI1365" s="29">
        <v>8.75</v>
      </c>
      <c r="AK1365" s="27">
        <v>24.481821</v>
      </c>
      <c r="AM1365" s="27">
        <v>33.503979000000001</v>
      </c>
      <c r="AO1365" s="29">
        <v>6.7601199999999997</v>
      </c>
      <c r="AP1365" s="11"/>
    </row>
    <row r="1366" spans="2:42" hidden="1" outlineLevel="1" x14ac:dyDescent="0.25">
      <c r="B1366" s="21">
        <v>43685</v>
      </c>
      <c r="C1366" s="27">
        <v>19.6953</v>
      </c>
      <c r="E1366" s="30">
        <v>0.89263999999999999</v>
      </c>
      <c r="G1366" s="27">
        <v>45.39752</v>
      </c>
      <c r="I1366" s="29">
        <v>6.9099839999999997</v>
      </c>
      <c r="K1366" s="29">
        <v>3.9496180000000001</v>
      </c>
      <c r="M1366" s="41">
        <v>712.43627900000001</v>
      </c>
      <c r="O1366" s="26">
        <v>3409.1031659999999</v>
      </c>
      <c r="Q1366" s="26">
        <v>6053.0081339999997</v>
      </c>
      <c r="S1366" s="26">
        <v>1532.5686410000001</v>
      </c>
      <c r="U1366" s="29">
        <v>3.382358</v>
      </c>
      <c r="W1366" s="14">
        <v>35.133687999999999</v>
      </c>
      <c r="Y1366" s="29">
        <v>8.895486</v>
      </c>
      <c r="AA1366" s="41">
        <v>571.37465799999995</v>
      </c>
      <c r="AC1366" s="27">
        <v>51.010275999999998</v>
      </c>
      <c r="AE1366" s="27">
        <v>1</v>
      </c>
      <c r="AG1366" s="29">
        <v>7.6632660000000001</v>
      </c>
      <c r="AI1366" s="29">
        <v>8.75</v>
      </c>
      <c r="AK1366" s="27">
        <v>24.500945000000002</v>
      </c>
      <c r="AM1366" s="27">
        <v>33.502972</v>
      </c>
      <c r="AO1366" s="29">
        <v>6.7628500000000003</v>
      </c>
      <c r="AP1366" s="11"/>
    </row>
    <row r="1367" spans="2:42" hidden="1" outlineLevel="1" x14ac:dyDescent="0.25">
      <c r="B1367" s="21">
        <v>43686</v>
      </c>
      <c r="C1367" s="27">
        <v>19.511800000000001</v>
      </c>
      <c r="E1367" s="30">
        <v>0.89291299999999996</v>
      </c>
      <c r="G1367" s="27">
        <v>45.235396000000001</v>
      </c>
      <c r="I1367" s="29">
        <v>6.9178280000000001</v>
      </c>
      <c r="K1367" s="29">
        <v>3.929084</v>
      </c>
      <c r="M1367" s="41">
        <v>710.54836</v>
      </c>
      <c r="O1367" s="26">
        <v>3406.3239859999999</v>
      </c>
      <c r="Q1367" s="26">
        <v>6059.4119140000003</v>
      </c>
      <c r="S1367" s="26">
        <v>1542.2077159999999</v>
      </c>
      <c r="U1367" s="29">
        <v>3.3839419999999998</v>
      </c>
      <c r="W1367" s="14">
        <v>35.262247000000002</v>
      </c>
      <c r="Y1367" s="29">
        <v>8.9747070000000004</v>
      </c>
      <c r="AA1367" s="41">
        <v>571.47058400000003</v>
      </c>
      <c r="AC1367" s="27">
        <v>51.072679999999998</v>
      </c>
      <c r="AE1367" s="27">
        <v>1</v>
      </c>
      <c r="AG1367" s="29">
        <v>7.6682759999999996</v>
      </c>
      <c r="AI1367" s="29">
        <v>8.75</v>
      </c>
      <c r="AK1367" s="27">
        <v>24.484055999999999</v>
      </c>
      <c r="AM1367" s="27">
        <v>33.537640000000003</v>
      </c>
      <c r="AO1367" s="29">
        <v>6.7750409999999999</v>
      </c>
      <c r="AP1367" s="11"/>
    </row>
    <row r="1368" spans="2:42" hidden="1" outlineLevel="1" x14ac:dyDescent="0.25">
      <c r="B1368" s="21">
        <v>43687</v>
      </c>
      <c r="C1368" s="27">
        <v>19.511800000000001</v>
      </c>
      <c r="E1368" s="30">
        <v>0.89280599999999999</v>
      </c>
      <c r="G1368" s="27">
        <v>45.247999999999998</v>
      </c>
      <c r="I1368" s="29">
        <v>6.9126500000000002</v>
      </c>
      <c r="K1368" s="29">
        <v>3.9424999999999999</v>
      </c>
      <c r="M1368" s="41">
        <v>710.12249999999995</v>
      </c>
      <c r="O1368" s="26">
        <v>3396.9324999999999</v>
      </c>
      <c r="Q1368" s="26">
        <v>6054.5</v>
      </c>
      <c r="S1368" s="26">
        <v>1535.7121480000001</v>
      </c>
      <c r="U1368" s="29">
        <v>3.383</v>
      </c>
      <c r="W1368" s="14">
        <v>35.302500000000002</v>
      </c>
      <c r="Y1368" s="29">
        <v>8.9543739999999996</v>
      </c>
      <c r="AA1368" s="41">
        <v>570.98749999999995</v>
      </c>
      <c r="AC1368" s="27">
        <v>51.244999999999997</v>
      </c>
      <c r="AE1368" s="27">
        <v>1</v>
      </c>
      <c r="AG1368" s="29">
        <v>7.66655</v>
      </c>
      <c r="AI1368" s="29">
        <v>8.75</v>
      </c>
      <c r="AK1368" s="27">
        <v>24.480225000000001</v>
      </c>
      <c r="AM1368" s="27">
        <v>33.531500000000001</v>
      </c>
      <c r="AO1368" s="29">
        <v>6.7754500000000002</v>
      </c>
      <c r="AP1368" s="11"/>
    </row>
    <row r="1369" spans="2:42" hidden="1" outlineLevel="1" x14ac:dyDescent="0.25">
      <c r="B1369" s="21">
        <v>43688</v>
      </c>
      <c r="C1369" s="27">
        <v>19.511800000000001</v>
      </c>
      <c r="E1369" s="30">
        <v>0.89278800000000003</v>
      </c>
      <c r="G1369" s="27">
        <v>45.242840000000001</v>
      </c>
      <c r="I1369" s="29">
        <v>6.9126500000000002</v>
      </c>
      <c r="K1369" s="29">
        <v>3.942469</v>
      </c>
      <c r="M1369" s="41">
        <v>710.11978599999998</v>
      </c>
      <c r="O1369" s="26">
        <v>3396.8224610000002</v>
      </c>
      <c r="Q1369" s="26">
        <v>6054.5</v>
      </c>
      <c r="S1369" s="26">
        <v>1535.724866</v>
      </c>
      <c r="U1369" s="29">
        <v>3.3831280000000001</v>
      </c>
      <c r="W1369" s="14">
        <v>35.303944999999999</v>
      </c>
      <c r="Y1369" s="29">
        <v>8.9548120000000004</v>
      </c>
      <c r="AA1369" s="41">
        <v>570.98749999999995</v>
      </c>
      <c r="AC1369" s="27">
        <v>51.244999999999997</v>
      </c>
      <c r="AE1369" s="27">
        <v>1</v>
      </c>
      <c r="AG1369" s="29">
        <v>7.66655</v>
      </c>
      <c r="AI1369" s="29">
        <v>8.75</v>
      </c>
      <c r="AK1369" s="27">
        <v>24.480225000000001</v>
      </c>
      <c r="AM1369" s="27">
        <v>33.533186000000001</v>
      </c>
      <c r="AO1369" s="29">
        <v>6.7754500000000002</v>
      </c>
      <c r="AP1369" s="11"/>
    </row>
    <row r="1370" spans="2:42" hidden="1" outlineLevel="1" x14ac:dyDescent="0.25">
      <c r="B1370" s="21">
        <v>43689</v>
      </c>
      <c r="C1370" s="27">
        <v>19.4283</v>
      </c>
      <c r="E1370" s="30">
        <v>0.89244400000000002</v>
      </c>
      <c r="G1370" s="27">
        <v>47.396458000000003</v>
      </c>
      <c r="I1370" s="29">
        <v>6.9109480000000003</v>
      </c>
      <c r="K1370" s="29">
        <v>3.96326</v>
      </c>
      <c r="M1370" s="41">
        <v>712.88773000000003</v>
      </c>
      <c r="O1370" s="26">
        <v>3405.470276</v>
      </c>
      <c r="Q1370" s="26">
        <v>6058.276057</v>
      </c>
      <c r="S1370" s="26">
        <v>1528.62338</v>
      </c>
      <c r="U1370" s="29">
        <v>3.3830460000000002</v>
      </c>
      <c r="W1370" s="14">
        <v>35.294654999999999</v>
      </c>
      <c r="Y1370" s="29">
        <v>8.9054880000000001</v>
      </c>
      <c r="AA1370" s="41">
        <v>571.58580400000005</v>
      </c>
      <c r="AC1370" s="27">
        <v>51.019398000000002</v>
      </c>
      <c r="AE1370" s="27">
        <v>1</v>
      </c>
      <c r="AG1370" s="29">
        <v>7.6648820000000004</v>
      </c>
      <c r="AI1370" s="29">
        <v>8.75</v>
      </c>
      <c r="AK1370" s="27">
        <v>24.479389000000001</v>
      </c>
      <c r="AM1370" s="27">
        <v>33.54101</v>
      </c>
      <c r="AO1370" s="29">
        <v>6.7726519999999999</v>
      </c>
      <c r="AP1370" s="11"/>
    </row>
    <row r="1371" spans="2:42" hidden="1" outlineLevel="1" x14ac:dyDescent="0.25">
      <c r="B1371" s="21">
        <v>43690</v>
      </c>
      <c r="C1371" s="27">
        <v>19.580300000000001</v>
      </c>
      <c r="E1371" s="30">
        <v>0.89355300000000004</v>
      </c>
      <c r="G1371" s="27">
        <v>54.217084</v>
      </c>
      <c r="I1371" s="29">
        <v>6.9098100000000002</v>
      </c>
      <c r="K1371" s="29">
        <v>3.9759009999999999</v>
      </c>
      <c r="M1371" s="41">
        <v>710.25089300000002</v>
      </c>
      <c r="O1371" s="26">
        <v>3409.8054539999998</v>
      </c>
      <c r="Q1371" s="26">
        <v>6069.4571040000001</v>
      </c>
      <c r="S1371" s="26">
        <v>1526.5743649999999</v>
      </c>
      <c r="U1371" s="29">
        <v>3.3802539999999999</v>
      </c>
      <c r="W1371" s="14">
        <v>35.389873999999999</v>
      </c>
      <c r="Y1371" s="29">
        <v>8.9011270000000007</v>
      </c>
      <c r="AA1371" s="41">
        <v>572.16400399999998</v>
      </c>
      <c r="AC1371" s="27">
        <v>50.945067999999999</v>
      </c>
      <c r="AE1371" s="27">
        <v>1</v>
      </c>
      <c r="AG1371" s="29">
        <v>7.6653260000000003</v>
      </c>
      <c r="AI1371" s="29">
        <v>8.75</v>
      </c>
      <c r="AK1371" s="27">
        <v>24.478097999999999</v>
      </c>
      <c r="AM1371" s="27">
        <v>33.510268000000003</v>
      </c>
      <c r="AO1371" s="29">
        <v>6.7691739999999996</v>
      </c>
      <c r="AP1371" s="11"/>
    </row>
    <row r="1372" spans="2:42" hidden="1" outlineLevel="1" x14ac:dyDescent="0.25">
      <c r="B1372" s="21">
        <v>43691</v>
      </c>
      <c r="C1372" s="27">
        <v>19.463000000000001</v>
      </c>
      <c r="E1372" s="30">
        <v>0.89591799999999999</v>
      </c>
      <c r="G1372" s="27">
        <v>57.381549999999997</v>
      </c>
      <c r="I1372" s="29">
        <v>6.9230299999999998</v>
      </c>
      <c r="K1372" s="29">
        <v>3.9954779999999999</v>
      </c>
      <c r="M1372" s="41">
        <v>707.52346299999999</v>
      </c>
      <c r="O1372" s="26">
        <v>3434.50279</v>
      </c>
      <c r="Q1372" s="26">
        <v>6089.2376260000001</v>
      </c>
      <c r="S1372" s="26">
        <v>1524.0445099999999</v>
      </c>
      <c r="U1372" s="29">
        <v>3.39</v>
      </c>
      <c r="W1372" s="14">
        <v>35.709324000000002</v>
      </c>
      <c r="Y1372" s="29">
        <v>8.9374680000000009</v>
      </c>
      <c r="AA1372" s="41">
        <v>572.46059700000001</v>
      </c>
      <c r="AC1372" s="27">
        <v>51.117111999999999</v>
      </c>
      <c r="AE1372" s="27">
        <v>1</v>
      </c>
      <c r="AG1372" s="29">
        <v>7.6765429999999997</v>
      </c>
      <c r="AI1372" s="29">
        <v>8.75</v>
      </c>
      <c r="AK1372" s="27">
        <v>24.508745999999999</v>
      </c>
      <c r="AM1372" s="27">
        <v>33.550133000000002</v>
      </c>
      <c r="AO1372" s="29">
        <v>6.7866580000000001</v>
      </c>
      <c r="AP1372" s="11"/>
    </row>
    <row r="1373" spans="2:42" hidden="1" outlineLevel="1" x14ac:dyDescent="0.25">
      <c r="B1373" s="21">
        <v>43692</v>
      </c>
      <c r="C1373" s="27">
        <v>19.5763</v>
      </c>
      <c r="E1373" s="30">
        <v>0.89847999999999995</v>
      </c>
      <c r="G1373" s="27">
        <v>58.890714000000003</v>
      </c>
      <c r="I1373" s="29">
        <v>6.9197059999999997</v>
      </c>
      <c r="K1373" s="29">
        <v>4.0290379999999999</v>
      </c>
      <c r="M1373" s="41">
        <v>711.16110300000003</v>
      </c>
      <c r="O1373" s="26">
        <v>3448.9369120000001</v>
      </c>
      <c r="Q1373" s="26">
        <v>6096.2972719999998</v>
      </c>
      <c r="S1373" s="26">
        <v>1513.10337</v>
      </c>
      <c r="U1373" s="29">
        <v>3.3951280000000001</v>
      </c>
      <c r="W1373" s="14">
        <v>35.991622999999997</v>
      </c>
      <c r="Y1373" s="29">
        <v>8.9330890000000007</v>
      </c>
      <c r="AA1373" s="41">
        <v>572.18462799999998</v>
      </c>
      <c r="AC1373" s="27">
        <v>51.236226000000002</v>
      </c>
      <c r="AE1373" s="27">
        <v>1</v>
      </c>
      <c r="AG1373" s="29">
        <v>7.6774699999999996</v>
      </c>
      <c r="AI1373" s="29">
        <v>8.75</v>
      </c>
      <c r="AK1373" s="27">
        <v>24.512125999999999</v>
      </c>
      <c r="AM1373" s="27">
        <v>33.55941</v>
      </c>
      <c r="AO1373" s="29">
        <v>6.7881450000000001</v>
      </c>
      <c r="AP1373" s="11"/>
    </row>
    <row r="1374" spans="2:42" hidden="1" outlineLevel="1" x14ac:dyDescent="0.25">
      <c r="B1374" s="21">
        <v>43693</v>
      </c>
      <c r="C1374" s="27">
        <v>19.636500000000002</v>
      </c>
      <c r="E1374" s="30">
        <v>0.90158000000000005</v>
      </c>
      <c r="G1374" s="27">
        <v>56.439298999999998</v>
      </c>
      <c r="I1374" s="29">
        <v>6.921176</v>
      </c>
      <c r="K1374" s="29">
        <v>3.9945339999999998</v>
      </c>
      <c r="M1374" s="41">
        <v>710.11337100000003</v>
      </c>
      <c r="O1374" s="26">
        <v>3457.2317849999999</v>
      </c>
      <c r="Q1374" s="26">
        <v>6100.2295119999999</v>
      </c>
      <c r="S1374" s="26">
        <v>1527.1572309999999</v>
      </c>
      <c r="U1374" s="29">
        <v>3.3923019999999999</v>
      </c>
      <c r="W1374" s="14">
        <v>36.116824000000001</v>
      </c>
      <c r="Y1374" s="29">
        <v>9.0415880000000008</v>
      </c>
      <c r="AA1374" s="41">
        <v>571.39292</v>
      </c>
      <c r="AC1374" s="27">
        <v>51.258229</v>
      </c>
      <c r="AE1374" s="27">
        <v>1</v>
      </c>
      <c r="AG1374" s="29">
        <v>7.6803780000000001</v>
      </c>
      <c r="AI1374" s="29">
        <v>8.75</v>
      </c>
      <c r="AK1374" s="27">
        <v>24.519686</v>
      </c>
      <c r="AM1374" s="27">
        <v>33.564736000000003</v>
      </c>
      <c r="AO1374" s="29">
        <v>6.7906409999999999</v>
      </c>
      <c r="AP1374" s="11"/>
    </row>
    <row r="1375" spans="2:42" hidden="1" outlineLevel="1" x14ac:dyDescent="0.25">
      <c r="B1375" s="21">
        <v>43694</v>
      </c>
      <c r="C1375" s="27">
        <v>19.636500000000002</v>
      </c>
      <c r="E1375" s="30">
        <v>0.90168499999999996</v>
      </c>
      <c r="G1375" s="27">
        <v>54.839024999999999</v>
      </c>
      <c r="I1375" s="29">
        <v>6.9079499999999996</v>
      </c>
      <c r="K1375" s="29">
        <v>4.0054749999999997</v>
      </c>
      <c r="M1375" s="41">
        <v>708.23249999999996</v>
      </c>
      <c r="O1375" s="26">
        <v>3435.4850000000001</v>
      </c>
      <c r="Q1375" s="26">
        <v>6094.8</v>
      </c>
      <c r="S1375" s="26">
        <v>1521.63282</v>
      </c>
      <c r="U1375" s="29">
        <v>3.3830249999999999</v>
      </c>
      <c r="W1375" s="14">
        <v>36.19</v>
      </c>
      <c r="Y1375" s="29">
        <v>9.0351479999999995</v>
      </c>
      <c r="AA1375" s="41">
        <v>570.22500000000002</v>
      </c>
      <c r="AC1375" s="27">
        <v>51.244999999999997</v>
      </c>
      <c r="AE1375" s="27">
        <v>1</v>
      </c>
      <c r="AG1375" s="29">
        <v>7.6738749999999998</v>
      </c>
      <c r="AI1375" s="29">
        <v>8.75</v>
      </c>
      <c r="AK1375" s="27">
        <v>24.498474999999999</v>
      </c>
      <c r="AM1375" s="27">
        <v>33.533499999999997</v>
      </c>
      <c r="AO1375" s="29">
        <v>6.77705</v>
      </c>
      <c r="AP1375" s="11"/>
    </row>
    <row r="1376" spans="2:42" hidden="1" outlineLevel="1" x14ac:dyDescent="0.25">
      <c r="B1376" s="21">
        <v>43695</v>
      </c>
      <c r="C1376" s="27">
        <v>19.636500000000002</v>
      </c>
      <c r="E1376" s="30">
        <v>0.90163599999999999</v>
      </c>
      <c r="G1376" s="27">
        <v>54.835605999999999</v>
      </c>
      <c r="I1376" s="29">
        <v>6.9079550000000003</v>
      </c>
      <c r="K1376" s="29">
        <v>4.0055800000000001</v>
      </c>
      <c r="M1376" s="41">
        <v>708.20967800000005</v>
      </c>
      <c r="O1376" s="26">
        <v>3436.0042319999998</v>
      </c>
      <c r="Q1376" s="26">
        <v>6095.4500690000004</v>
      </c>
      <c r="S1376" s="26">
        <v>1521.754942</v>
      </c>
      <c r="U1376" s="29">
        <v>3.3832140000000002</v>
      </c>
      <c r="W1376" s="14">
        <v>36.189998000000003</v>
      </c>
      <c r="Y1376" s="29">
        <v>9.03491</v>
      </c>
      <c r="AA1376" s="41">
        <v>570.22405800000001</v>
      </c>
      <c r="AC1376" s="27">
        <v>51.244999999999997</v>
      </c>
      <c r="AE1376" s="27">
        <v>1</v>
      </c>
      <c r="AG1376" s="29">
        <v>7.6743360000000003</v>
      </c>
      <c r="AI1376" s="29">
        <v>8.75</v>
      </c>
      <c r="AK1376" s="27">
        <v>24.499275999999998</v>
      </c>
      <c r="AM1376" s="27">
        <v>33.534253999999997</v>
      </c>
      <c r="AO1376" s="29">
        <v>6.77705</v>
      </c>
      <c r="AP1376" s="11"/>
    </row>
    <row r="1377" spans="2:42" hidden="1" outlineLevel="1" x14ac:dyDescent="0.25">
      <c r="B1377" s="21">
        <v>43696</v>
      </c>
      <c r="C1377" s="27">
        <v>19.5669</v>
      </c>
      <c r="E1377" s="30">
        <v>0.90150200000000003</v>
      </c>
      <c r="G1377" s="27">
        <v>54.829236000000002</v>
      </c>
      <c r="I1377" s="29">
        <v>6.9030760000000004</v>
      </c>
      <c r="K1377" s="29">
        <v>4.0271980000000003</v>
      </c>
      <c r="M1377" s="41">
        <v>710.57070699999997</v>
      </c>
      <c r="O1377" s="26">
        <v>3439.9990120000002</v>
      </c>
      <c r="Q1377" s="26">
        <v>6104.9610400000001</v>
      </c>
      <c r="S1377" s="26">
        <v>1515.945193</v>
      </c>
      <c r="U1377" s="29">
        <v>3.3820329999999998</v>
      </c>
      <c r="W1377" s="14">
        <v>36.180757</v>
      </c>
      <c r="Y1377" s="29">
        <v>8.9841239999999996</v>
      </c>
      <c r="AA1377" s="41">
        <v>570.09742800000004</v>
      </c>
      <c r="AC1377" s="27">
        <v>51.180511000000003</v>
      </c>
      <c r="AE1377" s="27">
        <v>1</v>
      </c>
      <c r="AG1377" s="29">
        <v>7.6768340000000004</v>
      </c>
      <c r="AI1377" s="29">
        <v>8.75</v>
      </c>
      <c r="AK1377" s="27">
        <v>24.496388</v>
      </c>
      <c r="AM1377" s="27">
        <v>33.525967999999999</v>
      </c>
      <c r="AO1377" s="29">
        <v>6.7728960000000002</v>
      </c>
      <c r="AP1377" s="11"/>
    </row>
    <row r="1378" spans="2:42" hidden="1" outlineLevel="1" x14ac:dyDescent="0.25">
      <c r="B1378" s="21">
        <v>43697</v>
      </c>
      <c r="C1378" s="27">
        <v>19.815300000000001</v>
      </c>
      <c r="E1378" s="30">
        <v>0.90185999999999999</v>
      </c>
      <c r="G1378" s="27">
        <v>54.876275999999997</v>
      </c>
      <c r="I1378" s="29">
        <v>6.9137560000000002</v>
      </c>
      <c r="K1378" s="29">
        <v>4.0606720000000003</v>
      </c>
      <c r="M1378" s="41">
        <v>711.69968400000005</v>
      </c>
      <c r="O1378" s="26">
        <v>3425.8031700000001</v>
      </c>
      <c r="Q1378" s="26">
        <v>6115.0167160000001</v>
      </c>
      <c r="S1378" s="26">
        <v>1505.9253719999999</v>
      </c>
      <c r="U1378" s="29">
        <v>3.3840439999999998</v>
      </c>
      <c r="W1378" s="14">
        <v>36.231312000000003</v>
      </c>
      <c r="Y1378" s="29">
        <v>8.9225019999999997</v>
      </c>
      <c r="AA1378" s="41">
        <v>568.84746299999995</v>
      </c>
      <c r="AC1378" s="27">
        <v>51.19726</v>
      </c>
      <c r="AE1378" s="27">
        <v>1</v>
      </c>
      <c r="AG1378" s="29">
        <v>7.681406</v>
      </c>
      <c r="AI1378" s="29">
        <v>8.75</v>
      </c>
      <c r="AK1378" s="27">
        <v>24.511016000000001</v>
      </c>
      <c r="AM1378" s="27">
        <v>33.537900999999998</v>
      </c>
      <c r="AO1378" s="29">
        <v>6.7756489999999996</v>
      </c>
      <c r="AP1378" s="11"/>
    </row>
    <row r="1379" spans="2:42" hidden="1" outlineLevel="1" x14ac:dyDescent="0.25">
      <c r="B1379" s="21">
        <v>43698</v>
      </c>
      <c r="C1379" s="27">
        <v>19.752199999999998</v>
      </c>
      <c r="E1379" s="30">
        <v>0.90127299999999999</v>
      </c>
      <c r="G1379" s="27">
        <v>54.838476</v>
      </c>
      <c r="I1379" s="29">
        <v>6.9078590000000002</v>
      </c>
      <c r="K1379" s="29">
        <v>4.0398699999999996</v>
      </c>
      <c r="M1379" s="41">
        <v>710.08155699999998</v>
      </c>
      <c r="O1379" s="26">
        <v>3400.6143419999999</v>
      </c>
      <c r="Q1379" s="26">
        <v>6120.2838819999997</v>
      </c>
      <c r="S1379" s="26">
        <v>1514.9824530000001</v>
      </c>
      <c r="U1379" s="29">
        <v>3.3809260000000001</v>
      </c>
      <c r="W1379" s="14">
        <v>36.261868999999997</v>
      </c>
      <c r="Y1379" s="29">
        <v>8.9760170000000006</v>
      </c>
      <c r="AA1379" s="41">
        <v>567.85443999999995</v>
      </c>
      <c r="AC1379" s="27">
        <v>51.139681000000003</v>
      </c>
      <c r="AE1379" s="27">
        <v>1</v>
      </c>
      <c r="AG1379" s="29">
        <v>7.6781839999999999</v>
      </c>
      <c r="AI1379" s="29">
        <v>8.75</v>
      </c>
      <c r="AK1379" s="27">
        <v>24.495674999999999</v>
      </c>
      <c r="AM1379" s="27">
        <v>33.522253999999997</v>
      </c>
      <c r="AO1379" s="29">
        <v>6.7611600000000003</v>
      </c>
      <c r="AP1379" s="11"/>
    </row>
    <row r="1380" spans="2:42" hidden="1" outlineLevel="1" x14ac:dyDescent="0.25">
      <c r="B1380" s="21">
        <v>43699</v>
      </c>
      <c r="C1380" s="27">
        <v>19.6798</v>
      </c>
      <c r="E1380" s="30">
        <v>0.90214399999999995</v>
      </c>
      <c r="G1380" s="27">
        <v>55.016753999999999</v>
      </c>
      <c r="I1380" s="29">
        <v>6.9207179999999999</v>
      </c>
      <c r="K1380" s="29">
        <v>4.0430250000000001</v>
      </c>
      <c r="M1380" s="41">
        <v>713.01027199999999</v>
      </c>
      <c r="O1380" s="26">
        <v>3385.8284920000001</v>
      </c>
      <c r="Q1380" s="26">
        <v>6141.4331570000004</v>
      </c>
      <c r="S1380" s="26">
        <v>1519.0310320000001</v>
      </c>
      <c r="U1380" s="29">
        <v>3.3789929999999999</v>
      </c>
      <c r="W1380" s="14">
        <v>36.513680000000001</v>
      </c>
      <c r="Y1380" s="29">
        <v>9.0312999999999999</v>
      </c>
      <c r="AA1380" s="41">
        <v>566.58603200000005</v>
      </c>
      <c r="AC1380" s="27">
        <v>51.184724000000003</v>
      </c>
      <c r="AE1380" s="27">
        <v>1</v>
      </c>
      <c r="AG1380" s="29">
        <v>7.6833340000000003</v>
      </c>
      <c r="AI1380" s="29">
        <v>8.75</v>
      </c>
      <c r="AK1380" s="27">
        <v>24.516539999999999</v>
      </c>
      <c r="AM1380" s="27">
        <v>33.540863999999999</v>
      </c>
      <c r="AO1380" s="29">
        <v>6.7739060000000002</v>
      </c>
      <c r="AP1380" s="11"/>
    </row>
    <row r="1381" spans="2:42" hidden="1" outlineLevel="1" x14ac:dyDescent="0.25">
      <c r="B1381" s="21">
        <v>43700</v>
      </c>
      <c r="C1381" s="27">
        <v>19.746700000000001</v>
      </c>
      <c r="E1381" s="30">
        <v>0.90121200000000001</v>
      </c>
      <c r="G1381" s="27">
        <v>55.175479000000003</v>
      </c>
      <c r="I1381" s="29">
        <v>6.9108669999999996</v>
      </c>
      <c r="K1381" s="29">
        <v>4.0884489999999998</v>
      </c>
      <c r="M1381" s="41">
        <v>716.88369</v>
      </c>
      <c r="O1381" s="26">
        <v>3396.2090819999999</v>
      </c>
      <c r="Q1381" s="26">
        <v>6156.7080900000001</v>
      </c>
      <c r="S1381" s="26">
        <v>1505.891208</v>
      </c>
      <c r="U1381" s="29">
        <v>3.3729469999999999</v>
      </c>
      <c r="W1381" s="14">
        <v>36.542290000000001</v>
      </c>
      <c r="Y1381" s="29">
        <v>8.9379600000000003</v>
      </c>
      <c r="AA1381" s="41">
        <v>565.31608800000004</v>
      </c>
      <c r="AC1381" s="27">
        <v>51.075035999999997</v>
      </c>
      <c r="AE1381" s="27">
        <v>1</v>
      </c>
      <c r="AG1381" s="29">
        <v>7.6772530000000003</v>
      </c>
      <c r="AI1381" s="29">
        <v>8.75</v>
      </c>
      <c r="AK1381" s="27">
        <v>24.504484000000001</v>
      </c>
      <c r="AM1381" s="27">
        <v>33.512680000000003</v>
      </c>
      <c r="AO1381" s="29">
        <v>6.7658040000000002</v>
      </c>
      <c r="AP1381" s="11"/>
    </row>
    <row r="1382" spans="2:42" hidden="1" outlineLevel="1" x14ac:dyDescent="0.25">
      <c r="B1382" s="21">
        <v>43701</v>
      </c>
      <c r="C1382" s="27">
        <v>19.746700000000001</v>
      </c>
      <c r="E1382" s="30">
        <v>0.89752100000000001</v>
      </c>
      <c r="G1382" s="27">
        <v>55.16</v>
      </c>
      <c r="I1382" s="29">
        <v>6.9153500000000001</v>
      </c>
      <c r="K1382" s="29">
        <v>4.1245000000000003</v>
      </c>
      <c r="M1382" s="41">
        <v>719.69</v>
      </c>
      <c r="O1382" s="26">
        <v>3411.5450000000001</v>
      </c>
      <c r="Q1382" s="26">
        <v>6165.375</v>
      </c>
      <c r="S1382" s="26">
        <v>1494.8281099999999</v>
      </c>
      <c r="U1382" s="29">
        <v>3.3748499999999999</v>
      </c>
      <c r="W1382" s="14">
        <v>36.520000000000003</v>
      </c>
      <c r="Y1382" s="29">
        <v>8.8544160000000005</v>
      </c>
      <c r="AA1382" s="41">
        <v>565.75750000000005</v>
      </c>
      <c r="AC1382" s="27">
        <v>51.075000000000003</v>
      </c>
      <c r="AE1382" s="27">
        <v>1</v>
      </c>
      <c r="AG1382" s="29">
        <v>7.6795749999999998</v>
      </c>
      <c r="AI1382" s="29">
        <v>8.75</v>
      </c>
      <c r="AK1382" s="27">
        <v>24.512225000000001</v>
      </c>
      <c r="AM1382" s="27">
        <v>33.522500000000001</v>
      </c>
      <c r="AO1382" s="29">
        <v>6.7708500000000003</v>
      </c>
      <c r="AP1382" s="11"/>
    </row>
    <row r="1383" spans="2:42" hidden="1" outlineLevel="1" x14ac:dyDescent="0.25">
      <c r="B1383" s="21">
        <v>43702</v>
      </c>
      <c r="C1383" s="27">
        <v>19.746700000000001</v>
      </c>
      <c r="E1383" s="30">
        <v>0.89744000000000002</v>
      </c>
      <c r="G1383" s="27">
        <v>55.094602000000002</v>
      </c>
      <c r="I1383" s="29">
        <v>6.9090230000000004</v>
      </c>
      <c r="K1383" s="29">
        <v>4.1245380000000003</v>
      </c>
      <c r="M1383" s="41">
        <v>717.64226299999996</v>
      </c>
      <c r="O1383" s="26">
        <v>3411.9048939999998</v>
      </c>
      <c r="Q1383" s="26">
        <v>6165.375</v>
      </c>
      <c r="S1383" s="26">
        <v>1494.81468</v>
      </c>
      <c r="U1383" s="29">
        <v>3.3748239999999998</v>
      </c>
      <c r="W1383" s="14">
        <v>36.510182</v>
      </c>
      <c r="Y1383" s="29">
        <v>8.8519559999999995</v>
      </c>
      <c r="AA1383" s="41">
        <v>565.75750000000005</v>
      </c>
      <c r="AC1383" s="27">
        <v>51.028348999999999</v>
      </c>
      <c r="AE1383" s="27">
        <v>1</v>
      </c>
      <c r="AG1383" s="29">
        <v>7.6795749999999998</v>
      </c>
      <c r="AI1383" s="29">
        <v>8.75</v>
      </c>
      <c r="AK1383" s="27">
        <v>24.512225000000001</v>
      </c>
      <c r="AM1383" s="27">
        <v>33.522500000000001</v>
      </c>
      <c r="AO1383" s="29">
        <v>6.76464</v>
      </c>
      <c r="AP1383" s="11"/>
    </row>
    <row r="1384" spans="2:42" hidden="1" outlineLevel="1" x14ac:dyDescent="0.25">
      <c r="B1384" s="21">
        <v>43703</v>
      </c>
      <c r="C1384" s="27">
        <v>19.840199999999999</v>
      </c>
      <c r="E1384" s="30">
        <v>0.89929300000000001</v>
      </c>
      <c r="G1384" s="27">
        <v>55.228214999999999</v>
      </c>
      <c r="I1384" s="29">
        <v>6.8657709999999996</v>
      </c>
      <c r="K1384" s="29">
        <v>4.1345850000000004</v>
      </c>
      <c r="M1384" s="41">
        <v>710.730458</v>
      </c>
      <c r="O1384" s="26">
        <v>3413.6271929999998</v>
      </c>
      <c r="Q1384" s="26">
        <v>6156.3789960000004</v>
      </c>
      <c r="S1384" s="26">
        <v>1489.00873</v>
      </c>
      <c r="U1384" s="29">
        <v>3.3711519999999999</v>
      </c>
      <c r="W1384" s="14">
        <v>36.289256000000002</v>
      </c>
      <c r="Y1384" s="29">
        <v>8.7770299999999999</v>
      </c>
      <c r="AA1384" s="41">
        <v>563.16435999999999</v>
      </c>
      <c r="AC1384" s="27">
        <v>50.975814</v>
      </c>
      <c r="AE1384" s="27">
        <v>1</v>
      </c>
      <c r="AG1384" s="29">
        <v>7.6361220000000003</v>
      </c>
      <c r="AI1384" s="29">
        <v>8.75</v>
      </c>
      <c r="AK1384" s="27">
        <v>24.411276000000001</v>
      </c>
      <c r="AM1384" s="27">
        <v>33.423206</v>
      </c>
      <c r="AO1384" s="29">
        <v>6.7224640000000004</v>
      </c>
      <c r="AP1384" s="11"/>
    </row>
    <row r="1385" spans="2:42" hidden="1" outlineLevel="1" x14ac:dyDescent="0.25">
      <c r="B1385" s="21">
        <v>43704</v>
      </c>
      <c r="C1385" s="27">
        <v>19.9086</v>
      </c>
      <c r="E1385" s="30">
        <v>0.90093599999999996</v>
      </c>
      <c r="G1385" s="27">
        <v>55.634062</v>
      </c>
      <c r="I1385" s="29">
        <v>6.9153979999999997</v>
      </c>
      <c r="K1385" s="29">
        <v>4.1492849999999999</v>
      </c>
      <c r="M1385" s="41">
        <v>720.99274400000002</v>
      </c>
      <c r="O1385" s="26">
        <v>3443.065376</v>
      </c>
      <c r="Q1385" s="26">
        <v>6191.6940990000003</v>
      </c>
      <c r="S1385" s="26">
        <v>1492.249507</v>
      </c>
      <c r="U1385" s="29">
        <v>3.381964</v>
      </c>
      <c r="W1385" s="14">
        <v>36.425102000000003</v>
      </c>
      <c r="Y1385" s="29">
        <v>8.7786899999999992</v>
      </c>
      <c r="AA1385" s="41">
        <v>565.80503599999997</v>
      </c>
      <c r="AC1385" s="27">
        <v>51.300992999999998</v>
      </c>
      <c r="AE1385" s="27">
        <v>1</v>
      </c>
      <c r="AG1385" s="29">
        <v>7.6659240000000004</v>
      </c>
      <c r="AI1385" s="29">
        <v>8.75</v>
      </c>
      <c r="AK1385" s="27">
        <v>24.499188</v>
      </c>
      <c r="AM1385" s="27">
        <v>33.571089000000001</v>
      </c>
      <c r="AO1385" s="29">
        <v>6.7754820000000002</v>
      </c>
      <c r="AP1385" s="11"/>
    </row>
    <row r="1386" spans="2:42" hidden="1" outlineLevel="1" x14ac:dyDescent="0.25">
      <c r="B1386" s="21">
        <v>43705</v>
      </c>
      <c r="C1386" s="27">
        <v>19.993400000000001</v>
      </c>
      <c r="E1386" s="30">
        <v>0.90211399999999997</v>
      </c>
      <c r="G1386" s="27">
        <v>57.021016000000003</v>
      </c>
      <c r="I1386" s="29">
        <v>6.9156399999999998</v>
      </c>
      <c r="K1386" s="29">
        <v>4.1424260000000004</v>
      </c>
      <c r="M1386" s="41">
        <v>723.67102199999999</v>
      </c>
      <c r="O1386" s="26">
        <v>3462.4612889999999</v>
      </c>
      <c r="Q1386" s="26">
        <v>6209.819039</v>
      </c>
      <c r="S1386" s="26">
        <v>1499.0988170000001</v>
      </c>
      <c r="U1386" s="29">
        <v>3.3911259999999999</v>
      </c>
      <c r="W1386" s="14">
        <v>36.528711999999999</v>
      </c>
      <c r="Y1386" s="29">
        <v>8.8182399999999994</v>
      </c>
      <c r="AA1386" s="41">
        <v>567.032242</v>
      </c>
      <c r="AC1386" s="27">
        <v>51.359611000000001</v>
      </c>
      <c r="AE1386" s="27">
        <v>1</v>
      </c>
      <c r="AG1386" s="29">
        <v>7.678725</v>
      </c>
      <c r="AI1386" s="29">
        <v>8.75</v>
      </c>
      <c r="AK1386" s="27">
        <v>24.557265000000001</v>
      </c>
      <c r="AM1386" s="27">
        <v>33.565080000000002</v>
      </c>
      <c r="AO1386" s="29">
        <v>6.7783319999999998</v>
      </c>
      <c r="AP1386" s="11"/>
    </row>
    <row r="1387" spans="2:42" hidden="1" outlineLevel="1" x14ac:dyDescent="0.25">
      <c r="B1387" s="21">
        <v>43706</v>
      </c>
      <c r="C1387" s="27">
        <v>20.031400000000001</v>
      </c>
      <c r="E1387" s="30">
        <v>0.90333300000000005</v>
      </c>
      <c r="G1387" s="27">
        <v>58.037739999999999</v>
      </c>
      <c r="I1387" s="29">
        <v>6.9133050000000003</v>
      </c>
      <c r="K1387" s="29">
        <v>4.1663079999999999</v>
      </c>
      <c r="M1387" s="41">
        <v>722.50483399999996</v>
      </c>
      <c r="O1387" s="26">
        <v>3467.5340200000001</v>
      </c>
      <c r="Q1387" s="26">
        <v>6213.4607820000001</v>
      </c>
      <c r="S1387" s="26">
        <v>1491.37095</v>
      </c>
      <c r="U1387" s="29">
        <v>3.3966069999999999</v>
      </c>
      <c r="W1387" s="14">
        <v>36.550328</v>
      </c>
      <c r="Y1387" s="29">
        <v>8.7728610000000007</v>
      </c>
      <c r="AA1387" s="41">
        <v>567.31144400000005</v>
      </c>
      <c r="AC1387" s="27">
        <v>51.278073999999997</v>
      </c>
      <c r="AE1387" s="27">
        <v>1</v>
      </c>
      <c r="AG1387" s="29">
        <v>7.6789949999999996</v>
      </c>
      <c r="AI1387" s="29">
        <v>8.75</v>
      </c>
      <c r="AK1387" s="27">
        <v>24.551176000000002</v>
      </c>
      <c r="AM1387" s="27">
        <v>33.565187999999999</v>
      </c>
      <c r="AO1387" s="29">
        <v>6.7797130000000001</v>
      </c>
      <c r="AP1387" s="11"/>
    </row>
    <row r="1388" spans="2:42" hidden="1" outlineLevel="1" x14ac:dyDescent="0.25">
      <c r="B1388" s="21">
        <v>43707</v>
      </c>
      <c r="C1388" s="27">
        <v>20.098800000000001</v>
      </c>
      <c r="E1388" s="30">
        <v>0.90728500000000001</v>
      </c>
      <c r="G1388" s="27">
        <v>58.511527999999998</v>
      </c>
      <c r="I1388" s="29">
        <v>6.914288</v>
      </c>
      <c r="K1388" s="29">
        <v>4.1553639999999996</v>
      </c>
      <c r="M1388" s="41">
        <v>720.94927199999995</v>
      </c>
      <c r="O1388" s="26">
        <v>3446.1779219999999</v>
      </c>
      <c r="Q1388" s="26">
        <v>6229.1089309999998</v>
      </c>
      <c r="S1388" s="26">
        <v>1499.064194</v>
      </c>
      <c r="U1388" s="29">
        <v>3.3965730000000001</v>
      </c>
      <c r="W1388" s="14">
        <v>36.597375</v>
      </c>
      <c r="Y1388" s="29">
        <v>8.8072890000000008</v>
      </c>
      <c r="AA1388" s="41">
        <v>567.79557899999998</v>
      </c>
      <c r="AC1388" s="27">
        <v>51.33764</v>
      </c>
      <c r="AE1388" s="27">
        <v>1</v>
      </c>
      <c r="AG1388" s="29">
        <v>7.6826780000000001</v>
      </c>
      <c r="AI1388" s="29">
        <v>8.75</v>
      </c>
      <c r="AK1388" s="27">
        <v>24.553044</v>
      </c>
      <c r="AM1388" s="27">
        <v>33.596404999999997</v>
      </c>
      <c r="AO1388" s="29">
        <v>6.7826510000000004</v>
      </c>
      <c r="AP1388" s="12"/>
    </row>
    <row r="1389" spans="2:42" hidden="1" outlineLevel="1" x14ac:dyDescent="0.25">
      <c r="B1389" s="21">
        <v>43708</v>
      </c>
      <c r="C1389" s="49">
        <v>20.098800000000001</v>
      </c>
      <c r="E1389" s="30">
        <v>0.90991</v>
      </c>
      <c r="G1389" s="27">
        <v>59.503799999999998</v>
      </c>
      <c r="I1389" s="29">
        <v>6.9096500000000001</v>
      </c>
      <c r="K1389" s="29">
        <v>4.1460999999999997</v>
      </c>
      <c r="M1389" s="41">
        <v>721.28499999999997</v>
      </c>
      <c r="O1389" s="26">
        <v>3435.0524999999998</v>
      </c>
      <c r="Q1389" s="26">
        <v>6238.1</v>
      </c>
      <c r="S1389" s="26">
        <v>1504.5810100000001</v>
      </c>
      <c r="U1389" s="29">
        <v>3.394225</v>
      </c>
      <c r="W1389" s="14">
        <v>36.64</v>
      </c>
      <c r="Y1389" s="29">
        <v>8.8372480000000007</v>
      </c>
      <c r="AA1389" s="41">
        <v>567.83249999999998</v>
      </c>
      <c r="AC1389" s="27">
        <v>51.384999999999998</v>
      </c>
      <c r="AE1389" s="27">
        <v>1</v>
      </c>
      <c r="AG1389" s="29">
        <v>7.6802000000000001</v>
      </c>
      <c r="AI1389" s="29">
        <v>8.75</v>
      </c>
      <c r="AK1389" s="27">
        <v>24.582474999999999</v>
      </c>
      <c r="AM1389" s="27">
        <v>33.638750000000002</v>
      </c>
      <c r="AO1389" s="29">
        <v>6.7787499999999996</v>
      </c>
      <c r="AP1389" s="12"/>
    </row>
    <row r="1390" spans="2:42" ht="13" collapsed="1" x14ac:dyDescent="0.3">
      <c r="B1390" s="25" t="s">
        <v>182</v>
      </c>
      <c r="C1390" s="19">
        <v>19.619599999999998</v>
      </c>
      <c r="E1390" s="24">
        <v>0.89898400000000001</v>
      </c>
      <c r="G1390" s="19">
        <v>51.852699999999999</v>
      </c>
      <c r="I1390" s="23">
        <v>6.9103700000000003</v>
      </c>
      <c r="J1390" s="9"/>
      <c r="K1390" s="23">
        <v>4.0146300000000004</v>
      </c>
      <c r="M1390" s="42">
        <v>713.649</v>
      </c>
      <c r="O1390" s="31">
        <v>3414.81</v>
      </c>
      <c r="Q1390" s="31">
        <v>6102.47</v>
      </c>
      <c r="S1390" s="31">
        <v>1520.53</v>
      </c>
      <c r="U1390" s="23">
        <v>3.3767499999999999</v>
      </c>
      <c r="W1390" s="23">
        <v>35.712859999999999</v>
      </c>
      <c r="Y1390" s="23">
        <v>8.8963199999999993</v>
      </c>
      <c r="AA1390" s="42">
        <v>569.55499999999995</v>
      </c>
      <c r="AC1390" s="19">
        <v>51.159100000000002</v>
      </c>
      <c r="AE1390" s="19">
        <v>1</v>
      </c>
      <c r="AG1390" s="23">
        <v>7.6741799999999998</v>
      </c>
      <c r="AI1390" s="23">
        <v>8.75</v>
      </c>
      <c r="AK1390" s="23">
        <v>24.510549999999999</v>
      </c>
      <c r="AM1390" s="23">
        <v>33.480930000000001</v>
      </c>
      <c r="AO1390" s="23">
        <v>6.7709700000000002</v>
      </c>
      <c r="AP1390" s="10"/>
    </row>
    <row r="1391" spans="2:42" hidden="1" outlineLevel="1" x14ac:dyDescent="0.25">
      <c r="B1391" s="21">
        <v>43709</v>
      </c>
      <c r="C1391" s="27">
        <v>20.098800000000001</v>
      </c>
      <c r="E1391" s="30">
        <v>0.90990800000000005</v>
      </c>
      <c r="G1391" s="27">
        <v>59.503610000000002</v>
      </c>
      <c r="I1391" s="29">
        <v>6.9096500000000001</v>
      </c>
      <c r="K1391" s="29">
        <v>4.1460090000000003</v>
      </c>
      <c r="M1391" s="41">
        <v>721.31598399999996</v>
      </c>
      <c r="O1391" s="26">
        <v>3435.94607</v>
      </c>
      <c r="Q1391" s="26">
        <v>6238.1</v>
      </c>
      <c r="S1391" s="26">
        <v>1504.6147430000001</v>
      </c>
      <c r="U1391" s="29">
        <v>3.3941650000000001</v>
      </c>
      <c r="W1391" s="14">
        <v>36.639173999999997</v>
      </c>
      <c r="Y1391" s="29">
        <v>8.8372440000000001</v>
      </c>
      <c r="AA1391" s="41">
        <v>567.83249999999998</v>
      </c>
      <c r="AC1391" s="27">
        <v>51.383750999999997</v>
      </c>
      <c r="AE1391" s="27">
        <v>1</v>
      </c>
      <c r="AG1391" s="29">
        <v>7.6802000000000001</v>
      </c>
      <c r="AI1391" s="29">
        <v>8.75</v>
      </c>
      <c r="AK1391" s="27">
        <v>24.582474999999999</v>
      </c>
      <c r="AM1391" s="27">
        <v>33.635157999999997</v>
      </c>
      <c r="AO1391" s="29">
        <v>6.7787499999999996</v>
      </c>
      <c r="AP1391" s="11"/>
    </row>
    <row r="1392" spans="2:42" hidden="1" outlineLevel="1" x14ac:dyDescent="0.25">
      <c r="B1392" s="21">
        <v>43710</v>
      </c>
      <c r="C1392" s="27">
        <v>20.069600000000001</v>
      </c>
      <c r="E1392" s="30">
        <v>0.91113100000000002</v>
      </c>
      <c r="G1392" s="27">
        <v>58.940933999999999</v>
      </c>
      <c r="I1392" s="29">
        <v>6.9330740000000004</v>
      </c>
      <c r="K1392" s="29">
        <v>4.1584469999999998</v>
      </c>
      <c r="M1392" s="41">
        <v>723.35666200000003</v>
      </c>
      <c r="O1392" s="26">
        <v>3449.5134600000001</v>
      </c>
      <c r="Q1392" s="26">
        <v>6247.2849749999996</v>
      </c>
      <c r="S1392" s="26">
        <v>1502.323562</v>
      </c>
      <c r="U1392" s="29">
        <v>3.3980959999999998</v>
      </c>
      <c r="W1392" s="14">
        <v>36.698388000000001</v>
      </c>
      <c r="Y1392" s="29">
        <v>8.8250460000000004</v>
      </c>
      <c r="AA1392" s="41">
        <v>568.91783399999997</v>
      </c>
      <c r="AC1392" s="27">
        <v>51.508324000000002</v>
      </c>
      <c r="AE1392" s="27">
        <v>1</v>
      </c>
      <c r="AG1392" s="29">
        <v>7.6912260000000003</v>
      </c>
      <c r="AI1392" s="29">
        <v>8.75</v>
      </c>
      <c r="AK1392" s="27">
        <v>24.549719</v>
      </c>
      <c r="AM1392" s="27">
        <v>33.563695000000003</v>
      </c>
      <c r="AO1392" s="29">
        <v>6.8059419999999999</v>
      </c>
      <c r="AP1392" s="11"/>
    </row>
    <row r="1393" spans="2:42" hidden="1" outlineLevel="1" x14ac:dyDescent="0.25">
      <c r="B1393" s="21">
        <v>43711</v>
      </c>
      <c r="C1393" s="27">
        <v>20.125299999999999</v>
      </c>
      <c r="E1393" s="30">
        <v>0.91300199999999998</v>
      </c>
      <c r="G1393" s="27">
        <v>57.148377000000004</v>
      </c>
      <c r="I1393" s="29">
        <v>6.9107479999999999</v>
      </c>
      <c r="K1393" s="29">
        <v>4.1784840000000001</v>
      </c>
      <c r="M1393" s="41">
        <v>725.67578400000002</v>
      </c>
      <c r="O1393" s="26">
        <v>3443.078638</v>
      </c>
      <c r="Q1393" s="26">
        <v>6248.0471459999999</v>
      </c>
      <c r="S1393" s="26">
        <v>1495.302162</v>
      </c>
      <c r="U1393" s="29">
        <v>3.4031600000000002</v>
      </c>
      <c r="W1393" s="14">
        <v>36.635345999999998</v>
      </c>
      <c r="Y1393" s="29">
        <v>8.7676420000000004</v>
      </c>
      <c r="AA1393" s="41">
        <v>569.05312400000003</v>
      </c>
      <c r="AC1393" s="27">
        <v>51.313659999999999</v>
      </c>
      <c r="AE1393" s="27">
        <v>1</v>
      </c>
      <c r="AG1393" s="29">
        <v>7.6867429999999999</v>
      </c>
      <c r="AI1393" s="29">
        <v>8.75</v>
      </c>
      <c r="AK1393" s="27">
        <v>24.551852</v>
      </c>
      <c r="AM1393" s="27">
        <v>33.576267000000001</v>
      </c>
      <c r="AO1393" s="29">
        <v>6.7751340000000004</v>
      </c>
      <c r="AP1393" s="11"/>
    </row>
    <row r="1394" spans="2:42" hidden="1" outlineLevel="1" x14ac:dyDescent="0.25">
      <c r="B1394" s="21">
        <v>43712</v>
      </c>
      <c r="C1394" s="27">
        <v>20.003900000000002</v>
      </c>
      <c r="E1394" s="30">
        <v>0.90845799999999999</v>
      </c>
      <c r="G1394" s="27">
        <v>55.898819000000003</v>
      </c>
      <c r="I1394" s="29">
        <v>6.8998660000000003</v>
      </c>
      <c r="K1394" s="29">
        <v>4.1383539999999996</v>
      </c>
      <c r="M1394" s="41">
        <v>724.39467400000001</v>
      </c>
      <c r="O1394" s="26">
        <v>3422.3717799999999</v>
      </c>
      <c r="Q1394" s="26">
        <v>6254.3141619999997</v>
      </c>
      <c r="S1394" s="26">
        <v>1511.3165300000001</v>
      </c>
      <c r="U1394" s="29">
        <v>3.3970039999999999</v>
      </c>
      <c r="W1394" s="14">
        <v>36.654232</v>
      </c>
      <c r="Y1394" s="29">
        <v>8.8572290000000002</v>
      </c>
      <c r="AA1394" s="41">
        <v>569.85608000000002</v>
      </c>
      <c r="AC1394" s="27">
        <v>51.227013999999997</v>
      </c>
      <c r="AE1394" s="27">
        <v>1</v>
      </c>
      <c r="AG1394" s="29">
        <v>7.6787580000000002</v>
      </c>
      <c r="AI1394" s="29">
        <v>8.75</v>
      </c>
      <c r="AK1394" s="27">
        <v>24.547640999999999</v>
      </c>
      <c r="AM1394" s="27">
        <v>33.523131999999997</v>
      </c>
      <c r="AO1394" s="29">
        <v>6.7676540000000003</v>
      </c>
      <c r="AP1394" s="11"/>
    </row>
    <row r="1395" spans="2:42" hidden="1" outlineLevel="1" x14ac:dyDescent="0.25">
      <c r="B1395" s="21">
        <v>43713</v>
      </c>
      <c r="C1395" s="27">
        <v>19.7806</v>
      </c>
      <c r="E1395" s="30">
        <v>0.90582600000000002</v>
      </c>
      <c r="G1395" s="27">
        <v>55.965612</v>
      </c>
      <c r="I1395" s="29">
        <v>6.9015399999999998</v>
      </c>
      <c r="K1395" s="29">
        <v>4.0951259999999996</v>
      </c>
      <c r="M1395" s="41">
        <v>720.16380600000002</v>
      </c>
      <c r="O1395" s="26">
        <v>3398.3721869999999</v>
      </c>
      <c r="Q1395" s="26">
        <v>6256.116188</v>
      </c>
      <c r="S1395" s="26">
        <v>1527.710687</v>
      </c>
      <c r="U1395" s="29">
        <v>3.377405</v>
      </c>
      <c r="W1395" s="14">
        <v>36.722588000000002</v>
      </c>
      <c r="Y1395" s="29">
        <v>8.9674250000000004</v>
      </c>
      <c r="AA1395" s="41">
        <v>571.81723799999997</v>
      </c>
      <c r="AC1395" s="27">
        <v>51.194113000000002</v>
      </c>
      <c r="AE1395" s="27">
        <v>1</v>
      </c>
      <c r="AG1395" s="29">
        <v>7.6814210000000003</v>
      </c>
      <c r="AI1395" s="29">
        <v>8.75</v>
      </c>
      <c r="AK1395" s="27">
        <v>24.542127000000001</v>
      </c>
      <c r="AM1395" s="27">
        <v>33.519337</v>
      </c>
      <c r="AO1395" s="29">
        <v>6.7678000000000003</v>
      </c>
      <c r="AP1395" s="11"/>
    </row>
    <row r="1396" spans="2:42" hidden="1" outlineLevel="1" x14ac:dyDescent="0.25">
      <c r="B1396" s="21">
        <v>43714</v>
      </c>
      <c r="C1396" s="27">
        <v>19.683399999999999</v>
      </c>
      <c r="E1396" s="30">
        <v>0.906192</v>
      </c>
      <c r="G1396" s="27">
        <v>55.937396</v>
      </c>
      <c r="I1396" s="29">
        <v>6.9213279999999999</v>
      </c>
      <c r="K1396" s="29">
        <v>4.0872440000000001</v>
      </c>
      <c r="M1396" s="41">
        <v>713.49314600000002</v>
      </c>
      <c r="O1396" s="26">
        <v>3374.8692120000001</v>
      </c>
      <c r="Q1396" s="26">
        <v>6254.9469339999996</v>
      </c>
      <c r="S1396" s="26">
        <v>1530.3703840000001</v>
      </c>
      <c r="U1396" s="29">
        <v>3.3576579999999998</v>
      </c>
      <c r="W1396" s="14">
        <v>36.726351000000001</v>
      </c>
      <c r="Y1396" s="29">
        <v>8.9856300000000005</v>
      </c>
      <c r="AA1396" s="41">
        <v>573.54136800000003</v>
      </c>
      <c r="AC1396" s="27">
        <v>51.383240999999998</v>
      </c>
      <c r="AE1396" s="27">
        <v>1</v>
      </c>
      <c r="AG1396" s="29">
        <v>7.6914220000000002</v>
      </c>
      <c r="AI1396" s="29">
        <v>8.75</v>
      </c>
      <c r="AK1396" s="27">
        <v>24.532046000000001</v>
      </c>
      <c r="AM1396" s="27">
        <v>33.560084000000003</v>
      </c>
      <c r="AO1396" s="29">
        <v>6.7803370000000003</v>
      </c>
      <c r="AP1396" s="11"/>
    </row>
    <row r="1397" spans="2:42" hidden="1" outlineLevel="1" x14ac:dyDescent="0.25">
      <c r="B1397" s="21">
        <v>43715</v>
      </c>
      <c r="C1397" s="27">
        <v>19.683399999999999</v>
      </c>
      <c r="E1397" s="30">
        <v>0.90680000000000005</v>
      </c>
      <c r="G1397" s="27">
        <v>55.812100000000001</v>
      </c>
      <c r="I1397" s="29">
        <v>6.9188499999999999</v>
      </c>
      <c r="K1397" s="29">
        <v>4.0621999999999998</v>
      </c>
      <c r="M1397" s="41">
        <v>711.7</v>
      </c>
      <c r="O1397" s="26">
        <v>3359.2824999999998</v>
      </c>
      <c r="Q1397" s="26">
        <v>6250.5</v>
      </c>
      <c r="S1397" s="26">
        <v>1538.7091740000001</v>
      </c>
      <c r="U1397" s="29">
        <v>3.338625</v>
      </c>
      <c r="W1397" s="14">
        <v>36.689749999999997</v>
      </c>
      <c r="Y1397" s="29">
        <v>9.0320099999999996</v>
      </c>
      <c r="AA1397" s="41">
        <v>573.88750000000005</v>
      </c>
      <c r="AC1397" s="27">
        <v>51.414999999999999</v>
      </c>
      <c r="AE1397" s="27">
        <v>1</v>
      </c>
      <c r="AG1397" s="29">
        <v>7.6890999999999998</v>
      </c>
      <c r="AI1397" s="29">
        <v>8.75</v>
      </c>
      <c r="AK1397" s="27">
        <v>24.496974999999999</v>
      </c>
      <c r="AM1397" s="27">
        <v>33.548749999999998</v>
      </c>
      <c r="AO1397" s="29">
        <v>6.7729499999999998</v>
      </c>
      <c r="AP1397" s="11"/>
    </row>
    <row r="1398" spans="2:42" hidden="1" outlineLevel="1" x14ac:dyDescent="0.25">
      <c r="B1398" s="21">
        <v>43716</v>
      </c>
      <c r="C1398" s="27">
        <v>19.683399999999999</v>
      </c>
      <c r="E1398" s="30">
        <v>0.906829</v>
      </c>
      <c r="G1398" s="27">
        <v>55.826824999999999</v>
      </c>
      <c r="I1398" s="29">
        <v>6.9187339999999997</v>
      </c>
      <c r="K1398" s="29">
        <v>4.0622420000000004</v>
      </c>
      <c r="M1398" s="41">
        <v>711.70062099999996</v>
      </c>
      <c r="O1398" s="26">
        <v>3359.2953419999999</v>
      </c>
      <c r="Q1398" s="26">
        <v>6250.5</v>
      </c>
      <c r="S1398" s="26">
        <v>1538.6936149999999</v>
      </c>
      <c r="U1398" s="29">
        <v>3.3388040000000001</v>
      </c>
      <c r="W1398" s="14">
        <v>36.689770000000003</v>
      </c>
      <c r="Y1398" s="29">
        <v>9.0319219999999998</v>
      </c>
      <c r="AA1398" s="41">
        <v>573.88750000000005</v>
      </c>
      <c r="AC1398" s="27">
        <v>51.411696999999997</v>
      </c>
      <c r="AE1398" s="27">
        <v>1</v>
      </c>
      <c r="AG1398" s="29">
        <v>7.6890999999999998</v>
      </c>
      <c r="AI1398" s="29">
        <v>8.75</v>
      </c>
      <c r="AK1398" s="27">
        <v>24.496974999999999</v>
      </c>
      <c r="AM1398" s="27">
        <v>33.548172000000001</v>
      </c>
      <c r="AO1398" s="29">
        <v>6.7730079999999999</v>
      </c>
      <c r="AP1398" s="11"/>
    </row>
    <row r="1399" spans="2:42" hidden="1" outlineLevel="1" x14ac:dyDescent="0.25">
      <c r="B1399" s="21">
        <v>43717</v>
      </c>
      <c r="C1399" s="27">
        <v>19.5623</v>
      </c>
      <c r="E1399" s="30">
        <v>0.90581</v>
      </c>
      <c r="G1399" s="27">
        <v>55.878177999999998</v>
      </c>
      <c r="I1399" s="29">
        <v>6.9067239999999996</v>
      </c>
      <c r="K1399" s="29">
        <v>4.0754739999999998</v>
      </c>
      <c r="M1399" s="41">
        <v>713.07185600000003</v>
      </c>
      <c r="O1399" s="26">
        <v>3372.8220080000001</v>
      </c>
      <c r="Q1399" s="26">
        <v>6249.9549399999996</v>
      </c>
      <c r="S1399" s="26">
        <v>1533.5655420000001</v>
      </c>
      <c r="U1399" s="29">
        <v>3.3475640000000002</v>
      </c>
      <c r="W1399" s="14">
        <v>36.626351</v>
      </c>
      <c r="Y1399" s="29">
        <v>8.9870479999999997</v>
      </c>
      <c r="AA1399" s="41">
        <v>574.68588799999998</v>
      </c>
      <c r="AC1399" s="27">
        <v>51.337916999999997</v>
      </c>
      <c r="AE1399" s="27">
        <v>1</v>
      </c>
      <c r="AG1399" s="29">
        <v>7.6871340000000004</v>
      </c>
      <c r="AI1399" s="29">
        <v>8.75</v>
      </c>
      <c r="AK1399" s="27">
        <v>24.534103999999999</v>
      </c>
      <c r="AM1399" s="27">
        <v>33.535348999999997</v>
      </c>
      <c r="AO1399" s="29">
        <v>6.7637359999999997</v>
      </c>
      <c r="AP1399" s="11"/>
    </row>
    <row r="1400" spans="2:42" hidden="1" outlineLevel="1" x14ac:dyDescent="0.25">
      <c r="B1400" s="21">
        <v>43718</v>
      </c>
      <c r="C1400" s="27">
        <v>19.5398</v>
      </c>
      <c r="E1400" s="30">
        <v>0.90553899999999998</v>
      </c>
      <c r="G1400" s="27">
        <v>56.004753000000001</v>
      </c>
      <c r="I1400" s="29">
        <v>6.9015060000000004</v>
      </c>
      <c r="K1400" s="29">
        <v>4.0958189999999997</v>
      </c>
      <c r="M1400" s="41">
        <v>714.35661800000003</v>
      </c>
      <c r="O1400" s="26">
        <v>3361.871482</v>
      </c>
      <c r="Q1400" s="26">
        <v>6261.9563420000004</v>
      </c>
      <c r="S1400" s="26">
        <v>1528.8773759999999</v>
      </c>
      <c r="U1400" s="29">
        <v>3.344538</v>
      </c>
      <c r="W1400" s="14">
        <v>36.496898999999999</v>
      </c>
      <c r="Y1400" s="29">
        <v>8.9107979999999998</v>
      </c>
      <c r="AA1400" s="41">
        <v>577.43738499999995</v>
      </c>
      <c r="AC1400" s="27">
        <v>51.285252999999997</v>
      </c>
      <c r="AE1400" s="27">
        <v>1</v>
      </c>
      <c r="AG1400" s="29">
        <v>7.6851250000000002</v>
      </c>
      <c r="AI1400" s="29">
        <v>8.75</v>
      </c>
      <c r="AK1400" s="27">
        <v>24.517924000000001</v>
      </c>
      <c r="AM1400" s="27">
        <v>33.519877999999999</v>
      </c>
      <c r="AO1400" s="29">
        <v>6.7594880000000002</v>
      </c>
      <c r="AP1400" s="11"/>
    </row>
    <row r="1401" spans="2:42" hidden="1" outlineLevel="1" x14ac:dyDescent="0.25">
      <c r="B1401" s="21">
        <v>43719</v>
      </c>
      <c r="C1401" s="27">
        <v>19.535399999999999</v>
      </c>
      <c r="E1401" s="30">
        <v>0.9073</v>
      </c>
      <c r="G1401" s="27">
        <v>56.040813999999997</v>
      </c>
      <c r="I1401" s="29">
        <v>6.9059549999999996</v>
      </c>
      <c r="K1401" s="29">
        <v>4.0730620000000002</v>
      </c>
      <c r="M1401" s="41">
        <v>714.12960999999996</v>
      </c>
      <c r="O1401" s="26">
        <v>3369.7364090000001</v>
      </c>
      <c r="Q1401" s="26">
        <v>6270.8438059999999</v>
      </c>
      <c r="S1401" s="26">
        <v>1539.6015319999999</v>
      </c>
      <c r="U1401" s="29">
        <v>3.3461400000000001</v>
      </c>
      <c r="W1401" s="14">
        <v>36.468063999999998</v>
      </c>
      <c r="Y1401" s="29">
        <v>8.9535049999999998</v>
      </c>
      <c r="AA1401" s="41">
        <v>577.225278</v>
      </c>
      <c r="AC1401" s="27">
        <v>51.312863999999998</v>
      </c>
      <c r="AE1401" s="27">
        <v>1</v>
      </c>
      <c r="AG1401" s="29">
        <v>7.6903800000000002</v>
      </c>
      <c r="AI1401" s="29">
        <v>8.75</v>
      </c>
      <c r="AK1401" s="27">
        <v>24.534292000000001</v>
      </c>
      <c r="AM1401" s="27">
        <v>33.522627999999997</v>
      </c>
      <c r="AO1401" s="29">
        <v>6.7738500000000004</v>
      </c>
      <c r="AP1401" s="11"/>
    </row>
    <row r="1402" spans="2:42" hidden="1" outlineLevel="1" x14ac:dyDescent="0.25">
      <c r="B1402" s="21">
        <v>43720</v>
      </c>
      <c r="C1402" s="27">
        <v>19.547799999999999</v>
      </c>
      <c r="E1402" s="30">
        <v>0.90649800000000003</v>
      </c>
      <c r="G1402" s="27">
        <v>56.155844000000002</v>
      </c>
      <c r="I1402" s="29">
        <v>6.9085619999999999</v>
      </c>
      <c r="K1402" s="29">
        <v>4.0617080000000003</v>
      </c>
      <c r="M1402" s="41">
        <v>712.87615000000005</v>
      </c>
      <c r="O1402" s="26">
        <v>3368.9637320000002</v>
      </c>
      <c r="Q1402" s="26">
        <v>6284.6824749999996</v>
      </c>
      <c r="S1402" s="26">
        <v>1547.3127899999999</v>
      </c>
      <c r="U1402" s="29">
        <v>3.3389500000000001</v>
      </c>
      <c r="W1402" s="14">
        <v>36.537702000000003</v>
      </c>
      <c r="Y1402" s="29">
        <v>8.9956770000000006</v>
      </c>
      <c r="AA1402" s="41">
        <v>577.04457200000002</v>
      </c>
      <c r="AC1402" s="27">
        <v>51.341824000000003</v>
      </c>
      <c r="AE1402" s="27">
        <v>1</v>
      </c>
      <c r="AG1402" s="29">
        <v>7.6924340000000004</v>
      </c>
      <c r="AI1402" s="29">
        <v>8.75</v>
      </c>
      <c r="AK1402" s="27">
        <v>24.566488</v>
      </c>
      <c r="AM1402" s="27">
        <v>33.548921</v>
      </c>
      <c r="AO1402" s="29">
        <v>6.7782080000000002</v>
      </c>
      <c r="AP1402" s="11"/>
    </row>
    <row r="1403" spans="2:42" hidden="1" outlineLevel="1" x14ac:dyDescent="0.25">
      <c r="B1403" s="21">
        <v>43721</v>
      </c>
      <c r="C1403" s="27">
        <v>19.426500000000001</v>
      </c>
      <c r="E1403" s="30">
        <v>0.90265600000000001</v>
      </c>
      <c r="G1403" s="27">
        <v>56.098106000000001</v>
      </c>
      <c r="I1403" s="29">
        <v>6.8994679999999997</v>
      </c>
      <c r="K1403" s="29">
        <v>4.0666260000000003</v>
      </c>
      <c r="M1403" s="41">
        <v>708.53538200000003</v>
      </c>
      <c r="O1403" s="26">
        <v>3360.8635899999999</v>
      </c>
      <c r="Q1403" s="26">
        <v>6284.3706119999997</v>
      </c>
      <c r="S1403" s="26">
        <v>1545.365577</v>
      </c>
      <c r="U1403" s="29">
        <v>3.323502</v>
      </c>
      <c r="W1403" s="14">
        <v>36.506411999999997</v>
      </c>
      <c r="Y1403" s="29">
        <v>8.9771079999999994</v>
      </c>
      <c r="AA1403" s="41">
        <v>576.49430099999995</v>
      </c>
      <c r="AC1403" s="27">
        <v>51.259453999999998</v>
      </c>
      <c r="AE1403" s="27">
        <v>1</v>
      </c>
      <c r="AG1403" s="29">
        <v>7.6911899999999997</v>
      </c>
      <c r="AI1403" s="29">
        <v>8.75</v>
      </c>
      <c r="AK1403" s="27">
        <v>24.519442000000002</v>
      </c>
      <c r="AM1403" s="27">
        <v>33.522376000000001</v>
      </c>
      <c r="AO1403" s="29">
        <v>6.7701479999999998</v>
      </c>
      <c r="AP1403" s="11"/>
    </row>
    <row r="1404" spans="2:42" hidden="1" outlineLevel="1" x14ac:dyDescent="0.25">
      <c r="B1404" s="21">
        <v>43722</v>
      </c>
      <c r="C1404" s="27">
        <v>19.426500000000001</v>
      </c>
      <c r="E1404" s="30">
        <v>0.90299200000000002</v>
      </c>
      <c r="G1404" s="27">
        <v>56.0807</v>
      </c>
      <c r="I1404" s="29">
        <v>6.9080500000000002</v>
      </c>
      <c r="K1404" s="29">
        <v>4.0867250000000004</v>
      </c>
      <c r="M1404" s="41">
        <v>707.5</v>
      </c>
      <c r="O1404" s="26">
        <v>3357.5974999999999</v>
      </c>
      <c r="Q1404" s="26">
        <v>6284.3</v>
      </c>
      <c r="S1404" s="26">
        <v>1537.756746</v>
      </c>
      <c r="U1404" s="29">
        <v>3.3159749999999999</v>
      </c>
      <c r="W1404" s="14">
        <v>36.5075</v>
      </c>
      <c r="Y1404" s="29">
        <v>8.9332499999999992</v>
      </c>
      <c r="AA1404" s="41">
        <v>576.73749999999995</v>
      </c>
      <c r="AC1404" s="27">
        <v>51.414999999999999</v>
      </c>
      <c r="AE1404" s="27">
        <v>1</v>
      </c>
      <c r="AG1404" s="29">
        <v>7.6961250000000003</v>
      </c>
      <c r="AI1404" s="29">
        <v>8.75</v>
      </c>
      <c r="AK1404" s="27">
        <v>24.547474999999999</v>
      </c>
      <c r="AM1404" s="27">
        <v>33.544499999999999</v>
      </c>
      <c r="AO1404" s="29">
        <v>6.7787499999999996</v>
      </c>
      <c r="AP1404" s="11"/>
    </row>
    <row r="1405" spans="2:42" hidden="1" outlineLevel="1" x14ac:dyDescent="0.25">
      <c r="B1405" s="21">
        <v>43723</v>
      </c>
      <c r="C1405" s="27">
        <v>19.426500000000001</v>
      </c>
      <c r="E1405" s="30">
        <v>0.90295800000000004</v>
      </c>
      <c r="G1405" s="27">
        <v>56.077077000000003</v>
      </c>
      <c r="I1405" s="29">
        <v>6.9080500000000002</v>
      </c>
      <c r="K1405" s="29">
        <v>4.0868209999999996</v>
      </c>
      <c r="M1405" s="41">
        <v>707.48049400000002</v>
      </c>
      <c r="O1405" s="26">
        <v>3357.5974999999999</v>
      </c>
      <c r="Q1405" s="26">
        <v>6284.3</v>
      </c>
      <c r="S1405" s="26">
        <v>1537.7192259999999</v>
      </c>
      <c r="U1405" s="29">
        <v>3.3159749999999999</v>
      </c>
      <c r="W1405" s="14">
        <v>36.5075</v>
      </c>
      <c r="Y1405" s="29">
        <v>8.9330370000000006</v>
      </c>
      <c r="AA1405" s="41">
        <v>576.73749999999995</v>
      </c>
      <c r="AC1405" s="27">
        <v>51.414999999999999</v>
      </c>
      <c r="AE1405" s="27">
        <v>1</v>
      </c>
      <c r="AG1405" s="29">
        <v>7.6961250000000003</v>
      </c>
      <c r="AI1405" s="29">
        <v>8.75</v>
      </c>
      <c r="AK1405" s="27">
        <v>24.547474999999999</v>
      </c>
      <c r="AM1405" s="27">
        <v>33.544499999999999</v>
      </c>
      <c r="AO1405" s="29">
        <v>6.7787499999999996</v>
      </c>
      <c r="AP1405" s="11"/>
    </row>
    <row r="1406" spans="2:42" hidden="1" outlineLevel="1" x14ac:dyDescent="0.25">
      <c r="B1406" s="21">
        <v>43724</v>
      </c>
      <c r="C1406" s="27">
        <v>19.426500000000001</v>
      </c>
      <c r="E1406" s="30">
        <v>0.90602000000000005</v>
      </c>
      <c r="G1406" s="27">
        <v>56.182116000000001</v>
      </c>
      <c r="I1406" s="29">
        <v>6.913138</v>
      </c>
      <c r="K1406" s="29">
        <v>4.0857200000000002</v>
      </c>
      <c r="M1406" s="41">
        <v>708.97809900000004</v>
      </c>
      <c r="O1406" s="26">
        <v>3363.9945969999999</v>
      </c>
      <c r="Q1406" s="26">
        <v>6287.1499160000003</v>
      </c>
      <c r="S1406" s="26">
        <v>1538.822328</v>
      </c>
      <c r="U1406" s="29">
        <v>3.3254009999999998</v>
      </c>
      <c r="W1406" s="14">
        <v>36.503991999999997</v>
      </c>
      <c r="Y1406" s="29">
        <v>8.9345630000000007</v>
      </c>
      <c r="AA1406" s="41">
        <v>576.88253199999997</v>
      </c>
      <c r="AC1406" s="27">
        <v>51.228726999999999</v>
      </c>
      <c r="AE1406" s="27">
        <v>1</v>
      </c>
      <c r="AG1406" s="29">
        <v>7.6997260000000001</v>
      </c>
      <c r="AI1406" s="29">
        <v>8.75</v>
      </c>
      <c r="AK1406" s="27">
        <v>24.606083999999999</v>
      </c>
      <c r="AM1406" s="27">
        <v>33.553358000000003</v>
      </c>
      <c r="AO1406" s="29">
        <v>6.7818639999999997</v>
      </c>
      <c r="AP1406" s="11"/>
    </row>
    <row r="1407" spans="2:42" hidden="1" outlineLevel="1" x14ac:dyDescent="0.25">
      <c r="B1407" s="21">
        <v>43725</v>
      </c>
      <c r="C1407" s="27">
        <v>19.366499999999998</v>
      </c>
      <c r="E1407" s="30">
        <v>0.90617199999999998</v>
      </c>
      <c r="G1407" s="27">
        <v>56.354391999999997</v>
      </c>
      <c r="I1407" s="29">
        <v>6.9197959999999998</v>
      </c>
      <c r="K1407" s="29">
        <v>4.0850379999999999</v>
      </c>
      <c r="M1407" s="41">
        <v>712.99509499999999</v>
      </c>
      <c r="O1407" s="26">
        <v>3372.3216379999999</v>
      </c>
      <c r="Q1407" s="26">
        <v>6317.22174</v>
      </c>
      <c r="S1407" s="26">
        <v>1546.4439339999999</v>
      </c>
      <c r="U1407" s="29">
        <v>3.3360750000000001</v>
      </c>
      <c r="W1407" s="14">
        <v>36.563217999999999</v>
      </c>
      <c r="Y1407" s="29">
        <v>8.9505560000000006</v>
      </c>
      <c r="AA1407" s="41">
        <v>577.53826000000004</v>
      </c>
      <c r="AC1407" s="27">
        <v>51.340305999999998</v>
      </c>
      <c r="AE1407" s="27">
        <v>1</v>
      </c>
      <c r="AG1407" s="29">
        <v>7.706836</v>
      </c>
      <c r="AI1407" s="29">
        <v>8.75</v>
      </c>
      <c r="AK1407" s="27">
        <v>24.639084</v>
      </c>
      <c r="AM1407" s="27">
        <v>33.569994000000001</v>
      </c>
      <c r="AO1407" s="29">
        <v>6.7847099999999996</v>
      </c>
      <c r="AP1407" s="11"/>
    </row>
    <row r="1408" spans="2:42" hidden="1" outlineLevel="1" x14ac:dyDescent="0.25">
      <c r="B1408" s="21">
        <v>43726</v>
      </c>
      <c r="C1408" s="27">
        <v>19.426200000000001</v>
      </c>
      <c r="E1408" s="30">
        <v>0.904775</v>
      </c>
      <c r="G1408" s="27">
        <v>56.488202000000001</v>
      </c>
      <c r="I1408" s="29">
        <v>6.9040020000000002</v>
      </c>
      <c r="K1408" s="29">
        <v>4.0885059999999998</v>
      </c>
      <c r="M1408" s="41">
        <v>715.98561199999995</v>
      </c>
      <c r="O1408" s="26">
        <v>3373.313756</v>
      </c>
      <c r="Q1408" s="26">
        <v>6330.7529780000004</v>
      </c>
      <c r="S1408" s="26">
        <v>1548.4389000000001</v>
      </c>
      <c r="U1408" s="29">
        <v>3.339162</v>
      </c>
      <c r="W1408" s="14">
        <v>36.510258</v>
      </c>
      <c r="Y1408" s="29">
        <v>8.9300029999999992</v>
      </c>
      <c r="AA1408" s="41">
        <v>576.76375199999995</v>
      </c>
      <c r="AC1408" s="27">
        <v>51.359937000000002</v>
      </c>
      <c r="AE1408" s="27">
        <v>1</v>
      </c>
      <c r="AG1408" s="29">
        <v>7.6963220000000003</v>
      </c>
      <c r="AI1408" s="29">
        <v>8.75</v>
      </c>
      <c r="AK1408" s="27">
        <v>24.584284</v>
      </c>
      <c r="AM1408" s="27">
        <v>33.513365999999998</v>
      </c>
      <c r="AO1408" s="29">
        <v>6.7681579999999997</v>
      </c>
      <c r="AP1408" s="11"/>
    </row>
    <row r="1409" spans="2:42" hidden="1" outlineLevel="1" x14ac:dyDescent="0.25">
      <c r="B1409" s="21">
        <v>43727</v>
      </c>
      <c r="C1409" s="27">
        <v>19.352799999999998</v>
      </c>
      <c r="E1409" s="30">
        <v>0.90516200000000002</v>
      </c>
      <c r="G1409" s="27">
        <v>56.502941</v>
      </c>
      <c r="I1409" s="29">
        <v>6.9126099999999999</v>
      </c>
      <c r="K1409" s="29">
        <v>4.1304309999999997</v>
      </c>
      <c r="M1409" s="41">
        <v>716.44256399999995</v>
      </c>
      <c r="O1409" s="26">
        <v>3377.8103799999999</v>
      </c>
      <c r="Q1409" s="26">
        <v>6349.4431039999999</v>
      </c>
      <c r="S1409" s="26">
        <v>1537.2469840000001</v>
      </c>
      <c r="U1409" s="29">
        <v>3.350508</v>
      </c>
      <c r="W1409" s="14">
        <v>36.719149999999999</v>
      </c>
      <c r="Y1409" s="29">
        <v>8.8899360000000005</v>
      </c>
      <c r="AA1409" s="41">
        <v>577.81977400000005</v>
      </c>
      <c r="AC1409" s="27">
        <v>51.490417000000001</v>
      </c>
      <c r="AE1409" s="27">
        <v>1</v>
      </c>
      <c r="AG1409" s="29">
        <v>7.7088299999999998</v>
      </c>
      <c r="AI1409" s="29">
        <v>8.75</v>
      </c>
      <c r="AK1409" s="27">
        <v>24.620863</v>
      </c>
      <c r="AM1409" s="27">
        <v>33.552669999999999</v>
      </c>
      <c r="AO1409" s="29">
        <v>6.7743679999999999</v>
      </c>
      <c r="AP1409" s="11"/>
    </row>
    <row r="1410" spans="2:42" hidden="1" outlineLevel="1" x14ac:dyDescent="0.25">
      <c r="B1410" s="21">
        <v>43728</v>
      </c>
      <c r="C1410" s="27">
        <v>19.398099999999999</v>
      </c>
      <c r="E1410" s="30">
        <v>0.90626399999999996</v>
      </c>
      <c r="G1410" s="27">
        <v>56.566206000000001</v>
      </c>
      <c r="I1410" s="29">
        <v>6.9160159999999999</v>
      </c>
      <c r="K1410" s="29">
        <v>4.164269</v>
      </c>
      <c r="M1410" s="41">
        <v>717.03258400000004</v>
      </c>
      <c r="O1410" s="26">
        <v>3387.1799940000001</v>
      </c>
      <c r="Q1410" s="26">
        <v>6359.0144700000001</v>
      </c>
      <c r="S1410" s="26">
        <v>1527.053463</v>
      </c>
      <c r="U1410" s="29">
        <v>3.35832</v>
      </c>
      <c r="W1410" s="14">
        <v>36.78463</v>
      </c>
      <c r="Y1410" s="29">
        <v>8.8334220000000006</v>
      </c>
      <c r="AA1410" s="41">
        <v>578.34628399999997</v>
      </c>
      <c r="AC1410" s="27">
        <v>51.487658000000003</v>
      </c>
      <c r="AE1410" s="27">
        <v>1</v>
      </c>
      <c r="AG1410" s="29">
        <v>7.7113940000000003</v>
      </c>
      <c r="AI1410" s="29">
        <v>8.75</v>
      </c>
      <c r="AK1410" s="27">
        <v>24.632072000000001</v>
      </c>
      <c r="AM1410" s="27">
        <v>33.570438000000003</v>
      </c>
      <c r="AO1410" s="29">
        <v>6.7747339999999996</v>
      </c>
      <c r="AP1410" s="11"/>
    </row>
    <row r="1411" spans="2:42" hidden="1" outlineLevel="1" x14ac:dyDescent="0.25">
      <c r="B1411" s="21">
        <v>43729</v>
      </c>
      <c r="C1411" s="27">
        <v>19.398099999999999</v>
      </c>
      <c r="E1411" s="30">
        <v>0.90742400000000001</v>
      </c>
      <c r="G1411" s="27">
        <v>56.662475000000001</v>
      </c>
      <c r="I1411" s="29">
        <v>6.9136499999999996</v>
      </c>
      <c r="K1411" s="29">
        <v>4.1471</v>
      </c>
      <c r="M1411" s="41">
        <v>717.70500000000004</v>
      </c>
      <c r="O1411" s="26">
        <v>3397.0225</v>
      </c>
      <c r="Q1411" s="26">
        <v>6359.85</v>
      </c>
      <c r="S1411" s="26">
        <v>1533.576112</v>
      </c>
      <c r="U1411" s="29">
        <v>3.359375</v>
      </c>
      <c r="W1411" s="14">
        <v>36.74</v>
      </c>
      <c r="Y1411" s="29">
        <v>8.8592300000000002</v>
      </c>
      <c r="AA1411" s="41">
        <v>578.34749999999997</v>
      </c>
      <c r="AC1411" s="27">
        <v>51.47</v>
      </c>
      <c r="AE1411" s="27">
        <v>1</v>
      </c>
      <c r="AG1411" s="29">
        <v>7.7085999999999997</v>
      </c>
      <c r="AI1411" s="29">
        <v>8.75</v>
      </c>
      <c r="AK1411" s="27">
        <v>24.644475</v>
      </c>
      <c r="AM1411" s="27">
        <v>33.568249999999999</v>
      </c>
      <c r="AO1411" s="29">
        <v>6.7734500000000004</v>
      </c>
      <c r="AP1411" s="11"/>
    </row>
    <row r="1412" spans="2:42" hidden="1" outlineLevel="1" x14ac:dyDescent="0.25">
      <c r="B1412" s="21">
        <v>43730</v>
      </c>
      <c r="C1412" s="27">
        <v>19.398099999999999</v>
      </c>
      <c r="E1412" s="30">
        <v>0.90745100000000001</v>
      </c>
      <c r="G1412" s="27">
        <v>56.664033000000003</v>
      </c>
      <c r="I1412" s="29">
        <v>6.9136499999999996</v>
      </c>
      <c r="K1412" s="29">
        <v>4.147208</v>
      </c>
      <c r="M1412" s="41">
        <v>717.70105000000001</v>
      </c>
      <c r="O1412" s="26">
        <v>3398.2449040000001</v>
      </c>
      <c r="Q1412" s="26">
        <v>6359.85</v>
      </c>
      <c r="S1412" s="26">
        <v>1533.5360780000001</v>
      </c>
      <c r="U1412" s="29">
        <v>3.3593820000000001</v>
      </c>
      <c r="W1412" s="14">
        <v>36.740825999999998</v>
      </c>
      <c r="Y1412" s="29">
        <v>8.8591960000000007</v>
      </c>
      <c r="AA1412" s="41">
        <v>578.34749999999997</v>
      </c>
      <c r="AC1412" s="27">
        <v>51.47</v>
      </c>
      <c r="AE1412" s="27">
        <v>1</v>
      </c>
      <c r="AG1412" s="29">
        <v>7.7085999999999997</v>
      </c>
      <c r="AI1412" s="29">
        <v>8.75</v>
      </c>
      <c r="AK1412" s="27">
        <v>24.644475</v>
      </c>
      <c r="AM1412" s="27">
        <v>33.568249999999999</v>
      </c>
      <c r="AO1412" s="29">
        <v>6.7734500000000004</v>
      </c>
      <c r="AP1412" s="11"/>
    </row>
    <row r="1413" spans="2:42" hidden="1" outlineLevel="1" x14ac:dyDescent="0.25">
      <c r="B1413" s="21">
        <v>43731</v>
      </c>
      <c r="C1413" s="27">
        <v>19.447800000000001</v>
      </c>
      <c r="E1413" s="30">
        <v>0.909219</v>
      </c>
      <c r="G1413" s="27">
        <v>56.760207999999999</v>
      </c>
      <c r="I1413" s="29">
        <v>6.9184099999999997</v>
      </c>
      <c r="K1413" s="29">
        <v>4.1592120000000001</v>
      </c>
      <c r="M1413" s="41">
        <v>720.28931</v>
      </c>
      <c r="O1413" s="26">
        <v>3413.9994919999999</v>
      </c>
      <c r="Q1413" s="26">
        <v>6365.7886019999996</v>
      </c>
      <c r="S1413" s="26">
        <v>1530.5382810000001</v>
      </c>
      <c r="U1413" s="29">
        <v>3.3630059999999999</v>
      </c>
      <c r="W1413" s="14">
        <v>36.804237999999998</v>
      </c>
      <c r="Y1413" s="29">
        <v>8.8488740000000004</v>
      </c>
      <c r="AA1413" s="41">
        <v>578.97733700000003</v>
      </c>
      <c r="AC1413" s="27">
        <v>51.495503999999997</v>
      </c>
      <c r="AE1413" s="27">
        <v>1</v>
      </c>
      <c r="AG1413" s="29">
        <v>7.71638</v>
      </c>
      <c r="AI1413" s="29">
        <v>8.75</v>
      </c>
      <c r="AK1413" s="27">
        <v>24.647326</v>
      </c>
      <c r="AM1413" s="27">
        <v>33.582389999999997</v>
      </c>
      <c r="AO1413" s="29">
        <v>6.7754770000000004</v>
      </c>
      <c r="AP1413" s="11"/>
    </row>
    <row r="1414" spans="2:42" hidden="1" outlineLevel="1" x14ac:dyDescent="0.25">
      <c r="B1414" s="21">
        <v>43732</v>
      </c>
      <c r="C1414" s="27">
        <v>19.445900000000002</v>
      </c>
      <c r="E1414" s="30">
        <v>0.90898599999999996</v>
      </c>
      <c r="G1414" s="27">
        <v>56.904164999999999</v>
      </c>
      <c r="I1414" s="29">
        <v>6.9117649999999999</v>
      </c>
      <c r="K1414" s="29">
        <v>4.1658989999999996</v>
      </c>
      <c r="M1414" s="41">
        <v>722.52169600000002</v>
      </c>
      <c r="O1414" s="26">
        <v>3434.4349990000001</v>
      </c>
      <c r="Q1414" s="26">
        <v>6360.499785</v>
      </c>
      <c r="S1414" s="26">
        <v>1526.813958</v>
      </c>
      <c r="U1414" s="29">
        <v>3.3524750000000001</v>
      </c>
      <c r="W1414" s="14">
        <v>36.759430000000002</v>
      </c>
      <c r="Y1414" s="29">
        <v>8.8239199999999993</v>
      </c>
      <c r="AA1414" s="41">
        <v>578.75477000000001</v>
      </c>
      <c r="AC1414" s="27">
        <v>51.749991999999999</v>
      </c>
      <c r="AE1414" s="27">
        <v>1</v>
      </c>
      <c r="AG1414" s="29">
        <v>7.713959</v>
      </c>
      <c r="AI1414" s="29">
        <v>8.75</v>
      </c>
      <c r="AK1414" s="27">
        <v>24.621995999999999</v>
      </c>
      <c r="AM1414" s="27">
        <v>33.575991999999999</v>
      </c>
      <c r="AO1414" s="29">
        <v>6.7714939999999997</v>
      </c>
      <c r="AP1414" s="11"/>
    </row>
    <row r="1415" spans="2:42" hidden="1" outlineLevel="1" x14ac:dyDescent="0.25">
      <c r="B1415" s="21">
        <v>43733</v>
      </c>
      <c r="C1415" s="27">
        <v>19.4587</v>
      </c>
      <c r="E1415" s="30">
        <v>0.910964</v>
      </c>
      <c r="G1415" s="27">
        <v>56.930588999999998</v>
      </c>
      <c r="I1415" s="29">
        <v>6.9057659999999998</v>
      </c>
      <c r="K1415" s="29">
        <v>4.1655119999999997</v>
      </c>
      <c r="M1415" s="41">
        <v>725.76680799999997</v>
      </c>
      <c r="O1415" s="26">
        <v>3436.8187760000001</v>
      </c>
      <c r="Q1415" s="26">
        <v>6353.964164</v>
      </c>
      <c r="S1415" s="26">
        <v>1525.386086</v>
      </c>
      <c r="U1415" s="29">
        <v>3.3464659999999999</v>
      </c>
      <c r="W1415" s="14">
        <v>36.741821999999999</v>
      </c>
      <c r="Y1415" s="29">
        <v>8.8205139999999993</v>
      </c>
      <c r="AA1415" s="41">
        <v>579.21360900000002</v>
      </c>
      <c r="AC1415" s="27">
        <v>51.733097999999998</v>
      </c>
      <c r="AE1415" s="27">
        <v>1</v>
      </c>
      <c r="AG1415" s="29">
        <v>7.7171070000000004</v>
      </c>
      <c r="AI1415" s="29">
        <v>8.75</v>
      </c>
      <c r="AK1415" s="27">
        <v>24.622475999999999</v>
      </c>
      <c r="AM1415" s="27">
        <v>33.537562000000001</v>
      </c>
      <c r="AO1415" s="29">
        <v>6.7731500000000002</v>
      </c>
      <c r="AP1415" s="11"/>
    </row>
    <row r="1416" spans="2:42" hidden="1" outlineLevel="1" x14ac:dyDescent="0.25">
      <c r="B1416" s="21">
        <v>43734</v>
      </c>
      <c r="C1416" s="27">
        <v>19.577500000000001</v>
      </c>
      <c r="E1416" s="30">
        <v>0.91405700000000001</v>
      </c>
      <c r="G1416" s="27">
        <v>57.072768000000003</v>
      </c>
      <c r="I1416" s="29">
        <v>6.9238720000000002</v>
      </c>
      <c r="K1416" s="29">
        <v>4.1524340000000004</v>
      </c>
      <c r="M1416" s="41">
        <v>726.91276000000005</v>
      </c>
      <c r="O1416" s="26">
        <v>3441.0926880000002</v>
      </c>
      <c r="Q1416" s="26">
        <v>6364.030659</v>
      </c>
      <c r="S1416" s="26">
        <v>1532.614016</v>
      </c>
      <c r="U1416" s="29">
        <v>3.358136</v>
      </c>
      <c r="W1416" s="14">
        <v>36.869174000000001</v>
      </c>
      <c r="Y1416" s="29">
        <v>8.878959</v>
      </c>
      <c r="AA1416" s="41">
        <v>580.58875699999999</v>
      </c>
      <c r="AC1416" s="27">
        <v>51.858868999999999</v>
      </c>
      <c r="AE1416" s="27">
        <v>1</v>
      </c>
      <c r="AG1416" s="29">
        <v>7.7287340000000002</v>
      </c>
      <c r="AI1416" s="29">
        <v>8.75</v>
      </c>
      <c r="AK1416" s="27">
        <v>24.648626</v>
      </c>
      <c r="AM1416" s="27">
        <v>33.634979000000001</v>
      </c>
      <c r="AO1416" s="29">
        <v>6.7920959999999999</v>
      </c>
      <c r="AP1416" s="11"/>
    </row>
    <row r="1417" spans="2:42" hidden="1" outlineLevel="1" x14ac:dyDescent="0.25">
      <c r="B1417" s="21">
        <v>43735</v>
      </c>
      <c r="C1417" s="27">
        <v>19.636299999999999</v>
      </c>
      <c r="E1417" s="30">
        <v>0.91481699999999999</v>
      </c>
      <c r="G1417" s="27">
        <v>57.238632000000003</v>
      </c>
      <c r="I1417" s="29">
        <v>6.9181929999999996</v>
      </c>
      <c r="K1417" s="29">
        <v>4.1644019999999999</v>
      </c>
      <c r="M1417" s="41">
        <v>726.89281000000005</v>
      </c>
      <c r="O1417" s="26">
        <v>3452.8247019999999</v>
      </c>
      <c r="Q1417" s="26">
        <v>6363.4046259999996</v>
      </c>
      <c r="S1417" s="26">
        <v>1528.0592280000001</v>
      </c>
      <c r="U1417" s="29">
        <v>3.3817300000000001</v>
      </c>
      <c r="W1417" s="14">
        <v>36.844214000000001</v>
      </c>
      <c r="Y1417" s="29">
        <v>8.8474500000000003</v>
      </c>
      <c r="AA1417" s="41">
        <v>580.08539699999994</v>
      </c>
      <c r="AC1417" s="27">
        <v>51.782390999999997</v>
      </c>
      <c r="AE1417" s="27">
        <v>1</v>
      </c>
      <c r="AG1417" s="29">
        <v>7.7269360000000002</v>
      </c>
      <c r="AI1417" s="29">
        <v>8.75</v>
      </c>
      <c r="AK1417" s="27">
        <v>24.634620000000002</v>
      </c>
      <c r="AM1417" s="27">
        <v>33.578060999999998</v>
      </c>
      <c r="AO1417" s="29">
        <v>6.7812039999999998</v>
      </c>
      <c r="AP1417" s="11"/>
    </row>
    <row r="1418" spans="2:42" hidden="1" outlineLevel="1" x14ac:dyDescent="0.25">
      <c r="B1418" s="21">
        <v>43736</v>
      </c>
      <c r="C1418" s="27">
        <v>19.636299999999999</v>
      </c>
      <c r="E1418" s="30">
        <v>0.91400199999999998</v>
      </c>
      <c r="G1418" s="27">
        <v>57.328000000000003</v>
      </c>
      <c r="I1418" s="29">
        <v>6.9171500000000004</v>
      </c>
      <c r="K1418" s="29">
        <v>4.1586999999999996</v>
      </c>
      <c r="M1418" s="41">
        <v>726.31</v>
      </c>
      <c r="O1418" s="26">
        <v>3462.6224999999999</v>
      </c>
      <c r="Q1418" s="26">
        <v>6362</v>
      </c>
      <c r="S1418" s="26">
        <v>1529.815464</v>
      </c>
      <c r="U1418" s="29">
        <v>3.3867250000000002</v>
      </c>
      <c r="W1418" s="14">
        <v>36.852499999999999</v>
      </c>
      <c r="Y1418" s="29">
        <v>8.8615700000000004</v>
      </c>
      <c r="AA1418" s="41">
        <v>579.82749999999999</v>
      </c>
      <c r="AC1418" s="27">
        <v>51.91</v>
      </c>
      <c r="AE1418" s="27">
        <v>1</v>
      </c>
      <c r="AG1418" s="29">
        <v>7.7273750000000003</v>
      </c>
      <c r="AI1418" s="29">
        <v>8.75</v>
      </c>
      <c r="AK1418" s="27">
        <v>24.645975</v>
      </c>
      <c r="AM1418" s="27">
        <v>33.58775</v>
      </c>
      <c r="AO1418" s="29">
        <v>6.7798499999999997</v>
      </c>
      <c r="AP1418" s="11"/>
    </row>
    <row r="1419" spans="2:42" hidden="1" outlineLevel="1" x14ac:dyDescent="0.25">
      <c r="B1419" s="21">
        <v>43737</v>
      </c>
      <c r="C1419" s="27">
        <v>19.636299999999999</v>
      </c>
      <c r="E1419" s="30">
        <v>0.91398000000000001</v>
      </c>
      <c r="G1419" s="27">
        <v>57.315033999999997</v>
      </c>
      <c r="I1419" s="29">
        <v>6.9171189999999996</v>
      </c>
      <c r="K1419" s="29">
        <v>4.1586869999999996</v>
      </c>
      <c r="M1419" s="41">
        <v>726.30742499999997</v>
      </c>
      <c r="O1419" s="26">
        <v>3462.1764619999999</v>
      </c>
      <c r="Q1419" s="26">
        <v>6364.9798659999997</v>
      </c>
      <c r="S1419" s="26">
        <v>1530.536959</v>
      </c>
      <c r="U1419" s="29">
        <v>3.3863569999999998</v>
      </c>
      <c r="W1419" s="14">
        <v>36.856476000000001</v>
      </c>
      <c r="Y1419" s="29">
        <v>8.8625530000000001</v>
      </c>
      <c r="AA1419" s="41">
        <v>580.14735199999996</v>
      </c>
      <c r="AC1419" s="27">
        <v>51.912498999999997</v>
      </c>
      <c r="AE1419" s="27">
        <v>1</v>
      </c>
      <c r="AG1419" s="29">
        <v>7.7274000000000003</v>
      </c>
      <c r="AI1419" s="29">
        <v>8.75</v>
      </c>
      <c r="AK1419" s="27">
        <v>24.645600000000002</v>
      </c>
      <c r="AM1419" s="27">
        <v>33.58775</v>
      </c>
      <c r="AO1419" s="29">
        <v>6.7798059999999998</v>
      </c>
      <c r="AP1419" s="11"/>
    </row>
    <row r="1420" spans="2:42" hidden="1" outlineLevel="1" x14ac:dyDescent="0.25">
      <c r="B1420" s="21">
        <v>43738</v>
      </c>
      <c r="C1420" s="49">
        <v>19.680800000000001</v>
      </c>
      <c r="E1420" s="30">
        <v>0.91600800000000004</v>
      </c>
      <c r="G1420" s="27">
        <v>57.400333000000003</v>
      </c>
      <c r="I1420" s="29">
        <v>6.9208340000000002</v>
      </c>
      <c r="K1420" s="29">
        <v>4.1585159999999997</v>
      </c>
      <c r="M1420" s="41">
        <v>727.30902000000003</v>
      </c>
      <c r="O1420" s="26">
        <v>3462.3912099999998</v>
      </c>
      <c r="Q1420" s="26">
        <v>6391.5546240000003</v>
      </c>
      <c r="S1420" s="26">
        <v>1536.991855</v>
      </c>
      <c r="U1420" s="29">
        <v>3.382225</v>
      </c>
      <c r="W1420" s="14">
        <v>36.891111000000002</v>
      </c>
      <c r="Y1420" s="29">
        <v>8.8712520000000001</v>
      </c>
      <c r="AA1420" s="41">
        <v>583.08123999999998</v>
      </c>
      <c r="AC1420" s="27">
        <v>52.117863999999997</v>
      </c>
      <c r="AE1420" s="27">
        <v>1</v>
      </c>
      <c r="AG1420" s="29">
        <v>7.7359439999999999</v>
      </c>
      <c r="AI1420" s="29">
        <v>8.75</v>
      </c>
      <c r="AK1420" s="27">
        <v>24.635646000000001</v>
      </c>
      <c r="AM1420" s="27">
        <v>33.589480000000002</v>
      </c>
      <c r="AO1420" s="29">
        <v>6.7795480000000001</v>
      </c>
      <c r="AP1420" s="12"/>
    </row>
    <row r="1421" spans="2:42" ht="13" collapsed="1" x14ac:dyDescent="0.3">
      <c r="B1421" s="25" t="s">
        <v>183</v>
      </c>
      <c r="C1421" s="19">
        <v>19.596</v>
      </c>
      <c r="E1421" s="24">
        <v>0.90824000000000005</v>
      </c>
      <c r="G1421" s="19">
        <v>56.658000000000001</v>
      </c>
      <c r="I1421" s="23">
        <v>6.9126000000000003</v>
      </c>
      <c r="J1421" s="9"/>
      <c r="K1421" s="23">
        <v>4.1201999999999996</v>
      </c>
      <c r="M1421" s="42">
        <v>717.96299999999997</v>
      </c>
      <c r="O1421" s="31">
        <v>3400.95</v>
      </c>
      <c r="Q1421" s="31">
        <v>6306.99</v>
      </c>
      <c r="S1421" s="31">
        <v>1530.84</v>
      </c>
      <c r="U1421" s="23">
        <v>3.3574299999999999</v>
      </c>
      <c r="W1421" s="23">
        <v>36.67624</v>
      </c>
      <c r="Y1421" s="23">
        <v>8.9022199999999998</v>
      </c>
      <c r="AA1421" s="42">
        <v>576.32899999999995</v>
      </c>
      <c r="AC1421" s="19">
        <v>51.487000000000002</v>
      </c>
      <c r="AE1421" s="19">
        <v>1</v>
      </c>
      <c r="AG1421" s="23">
        <v>7.7020200000000001</v>
      </c>
      <c r="AI1421" s="23">
        <v>8.75</v>
      </c>
      <c r="AK1421" s="23">
        <v>24.584689999999998</v>
      </c>
      <c r="AM1421" s="23">
        <v>33.559429999999999</v>
      </c>
      <c r="AO1421" s="23">
        <v>6.7762599999999997</v>
      </c>
      <c r="AP1421" s="10"/>
    </row>
    <row r="1422" spans="2:42" hidden="1" outlineLevel="1" x14ac:dyDescent="0.25">
      <c r="B1422" s="21">
        <v>43739</v>
      </c>
      <c r="C1422" s="27">
        <v>19.734500000000001</v>
      </c>
      <c r="E1422" s="30">
        <v>0.91666999999999998</v>
      </c>
      <c r="G1422" s="27">
        <v>57.607036000000001</v>
      </c>
      <c r="I1422" s="29">
        <v>6.9181629999999998</v>
      </c>
      <c r="K1422" s="29">
        <v>4.1611669999999998</v>
      </c>
      <c r="M1422" s="41">
        <v>729.15047700000002</v>
      </c>
      <c r="O1422" s="26">
        <v>3476.084116</v>
      </c>
      <c r="Q1422" s="26">
        <v>6387.6385540000001</v>
      </c>
      <c r="S1422" s="26">
        <v>1535.079788</v>
      </c>
      <c r="U1422" s="29">
        <v>3.3824860000000001</v>
      </c>
      <c r="W1422" s="14">
        <v>36.869438000000002</v>
      </c>
      <c r="Y1422" s="29">
        <v>8.8604280000000006</v>
      </c>
      <c r="AA1422" s="41">
        <v>582.313535</v>
      </c>
      <c r="AC1422" s="27">
        <v>52.217641999999998</v>
      </c>
      <c r="AE1422" s="27">
        <v>1</v>
      </c>
      <c r="AG1422" s="29">
        <v>7.7339869999999999</v>
      </c>
      <c r="AI1422" s="29">
        <v>8.75</v>
      </c>
      <c r="AK1422" s="27">
        <v>24.635978000000001</v>
      </c>
      <c r="AM1422" s="27">
        <v>33.610666000000002</v>
      </c>
      <c r="AO1422" s="29">
        <v>6.7759999999999998</v>
      </c>
      <c r="AP1422" s="11"/>
    </row>
    <row r="1423" spans="2:42" hidden="1" outlineLevel="1" x14ac:dyDescent="0.25">
      <c r="B1423" s="21">
        <v>43740</v>
      </c>
      <c r="C1423" s="27">
        <v>19.779199999999999</v>
      </c>
      <c r="E1423" s="30">
        <v>0.91403800000000002</v>
      </c>
      <c r="G1423" s="27">
        <v>57.688904000000001</v>
      </c>
      <c r="I1423" s="29">
        <v>6.8955950000000001</v>
      </c>
      <c r="K1423" s="29">
        <v>4.1502590000000001</v>
      </c>
      <c r="M1423" s="41">
        <v>728.00946599999997</v>
      </c>
      <c r="O1423" s="26">
        <v>3480.7382210000001</v>
      </c>
      <c r="Q1423" s="26">
        <v>6370.5251399999997</v>
      </c>
      <c r="S1423" s="26">
        <v>1534.9895670000001</v>
      </c>
      <c r="U1423" s="29">
        <v>3.3712520000000001</v>
      </c>
      <c r="W1423" s="14">
        <v>36.823329999999999</v>
      </c>
      <c r="Y1423" s="29">
        <v>8.8725989999999992</v>
      </c>
      <c r="AA1423" s="41">
        <v>579.39875199999994</v>
      </c>
      <c r="AC1423" s="27">
        <v>52.081609999999998</v>
      </c>
      <c r="AE1423" s="27">
        <v>1</v>
      </c>
      <c r="AG1423" s="29">
        <v>7.7216060000000004</v>
      </c>
      <c r="AI1423" s="29">
        <v>8.75</v>
      </c>
      <c r="AK1423" s="27">
        <v>24.543982</v>
      </c>
      <c r="AM1423" s="27">
        <v>33.520685999999998</v>
      </c>
      <c r="AO1423" s="29">
        <v>6.7542039999999997</v>
      </c>
      <c r="AP1423" s="11"/>
    </row>
    <row r="1424" spans="2:42" hidden="1" outlineLevel="1" x14ac:dyDescent="0.25">
      <c r="B1424" s="21">
        <v>43741</v>
      </c>
      <c r="C1424" s="27">
        <v>19.798500000000001</v>
      </c>
      <c r="E1424" s="30">
        <v>0.91195800000000005</v>
      </c>
      <c r="G1424" s="27">
        <v>57.755761999999997</v>
      </c>
      <c r="I1424" s="29">
        <v>6.896522</v>
      </c>
      <c r="K1424" s="29">
        <v>4.1111040000000001</v>
      </c>
      <c r="M1424" s="41">
        <v>721.84298999999999</v>
      </c>
      <c r="O1424" s="26">
        <v>3467.1385479999999</v>
      </c>
      <c r="Q1424" s="26">
        <v>6383.3426079999999</v>
      </c>
      <c r="S1424" s="26">
        <v>1552.7233060000001</v>
      </c>
      <c r="U1424" s="29">
        <v>3.3776039999999998</v>
      </c>
      <c r="W1424" s="14">
        <v>36.966320000000003</v>
      </c>
      <c r="Y1424" s="29">
        <v>8.9918829999999996</v>
      </c>
      <c r="AA1424" s="41">
        <v>579.39072999999996</v>
      </c>
      <c r="AC1424" s="27">
        <v>52.184413999999997</v>
      </c>
      <c r="AE1424" s="27">
        <v>1</v>
      </c>
      <c r="AG1424" s="29">
        <v>7.7407680000000001</v>
      </c>
      <c r="AI1424" s="29">
        <v>8.75</v>
      </c>
      <c r="AK1424" s="27">
        <v>24.567734000000002</v>
      </c>
      <c r="AM1424" s="27">
        <v>33.565064</v>
      </c>
      <c r="AO1424" s="29">
        <v>6.748939</v>
      </c>
      <c r="AP1424" s="11"/>
    </row>
    <row r="1425" spans="2:42" hidden="1" outlineLevel="1" x14ac:dyDescent="0.25">
      <c r="B1425" s="21">
        <v>43742</v>
      </c>
      <c r="C1425" s="27">
        <v>19.736799999999999</v>
      </c>
      <c r="E1425" s="30">
        <v>0.91095300000000001</v>
      </c>
      <c r="G1425" s="27">
        <v>57.67962</v>
      </c>
      <c r="I1425" s="29">
        <v>6.9023519999999996</v>
      </c>
      <c r="K1425" s="29">
        <v>4.0728559999999998</v>
      </c>
      <c r="M1425" s="41">
        <v>715.90325199999995</v>
      </c>
      <c r="O1425" s="26">
        <v>3453.395708</v>
      </c>
      <c r="Q1425" s="26">
        <v>6395.9401120000002</v>
      </c>
      <c r="S1425" s="26">
        <v>1570.3955539999999</v>
      </c>
      <c r="U1425" s="29">
        <v>3.3790680000000002</v>
      </c>
      <c r="W1425" s="14">
        <v>37.083402</v>
      </c>
      <c r="Y1425" s="29">
        <v>9.1050609999999992</v>
      </c>
      <c r="AA1425" s="41">
        <v>579.89631799999995</v>
      </c>
      <c r="AC1425" s="27">
        <v>52.168916000000003</v>
      </c>
      <c r="AE1425" s="27">
        <v>1</v>
      </c>
      <c r="AG1425" s="29">
        <v>7.7509199999999998</v>
      </c>
      <c r="AI1425" s="29">
        <v>8.75</v>
      </c>
      <c r="AK1425" s="27">
        <v>24.577960000000001</v>
      </c>
      <c r="AM1425" s="27">
        <v>33.596865999999999</v>
      </c>
      <c r="AO1425" s="29">
        <v>6.7540040000000001</v>
      </c>
      <c r="AP1425" s="11"/>
    </row>
    <row r="1426" spans="2:42" hidden="1" outlineLevel="1" x14ac:dyDescent="0.25">
      <c r="B1426" s="21">
        <v>43743</v>
      </c>
      <c r="C1426" s="27">
        <v>19.736799999999999</v>
      </c>
      <c r="E1426" s="30">
        <v>0.91081400000000001</v>
      </c>
      <c r="G1426" s="27">
        <v>57.656999999999996</v>
      </c>
      <c r="I1426" s="29">
        <v>6.9056749999999996</v>
      </c>
      <c r="K1426" s="29">
        <v>4.0565249999999997</v>
      </c>
      <c r="M1426" s="41">
        <v>715.29750000000001</v>
      </c>
      <c r="O1426" s="26">
        <v>3433.9974999999999</v>
      </c>
      <c r="Q1426" s="26">
        <v>6395.55</v>
      </c>
      <c r="S1426" s="26">
        <v>1576.63033</v>
      </c>
      <c r="U1426" s="29">
        <v>3.3787250000000002</v>
      </c>
      <c r="W1426" s="14">
        <v>37.183500000000002</v>
      </c>
      <c r="Y1426" s="29">
        <v>9.166442</v>
      </c>
      <c r="AA1426" s="41">
        <v>580.16999999999996</v>
      </c>
      <c r="AC1426" s="27">
        <v>52.402500000000003</v>
      </c>
      <c r="AE1426" s="27">
        <v>1</v>
      </c>
      <c r="AG1426" s="29">
        <v>7.7568999999999999</v>
      </c>
      <c r="AI1426" s="29">
        <v>8.75</v>
      </c>
      <c r="AK1426" s="27">
        <v>24.606974999999998</v>
      </c>
      <c r="AM1426" s="27">
        <v>33.64875</v>
      </c>
      <c r="AO1426" s="29">
        <v>6.7580749999999998</v>
      </c>
      <c r="AP1426" s="11"/>
    </row>
    <row r="1427" spans="2:42" hidden="1" outlineLevel="1" x14ac:dyDescent="0.25">
      <c r="B1427" s="21">
        <v>43744</v>
      </c>
      <c r="C1427" s="27">
        <v>19.736799999999999</v>
      </c>
      <c r="E1427" s="30">
        <v>0.91078700000000001</v>
      </c>
      <c r="G1427" s="27">
        <v>57.661923999999999</v>
      </c>
      <c r="I1427" s="29">
        <v>6.9056749999999996</v>
      </c>
      <c r="K1427" s="29">
        <v>4.056584</v>
      </c>
      <c r="M1427" s="41">
        <v>715.29353800000001</v>
      </c>
      <c r="O1427" s="26">
        <v>3434.0020300000001</v>
      </c>
      <c r="Q1427" s="26">
        <v>6395.55</v>
      </c>
      <c r="S1427" s="26">
        <v>1576.6061219999999</v>
      </c>
      <c r="U1427" s="29">
        <v>3.3787250000000002</v>
      </c>
      <c r="W1427" s="14">
        <v>37.183500000000002</v>
      </c>
      <c r="Y1427" s="29">
        <v>9.1663029999999992</v>
      </c>
      <c r="AA1427" s="41">
        <v>580.16999999999996</v>
      </c>
      <c r="AC1427" s="27">
        <v>52.402500000000003</v>
      </c>
      <c r="AE1427" s="27">
        <v>1</v>
      </c>
      <c r="AG1427" s="29">
        <v>7.7568999999999999</v>
      </c>
      <c r="AI1427" s="29">
        <v>8.75</v>
      </c>
      <c r="AK1427" s="27">
        <v>24.606974999999998</v>
      </c>
      <c r="AM1427" s="27">
        <v>33.64875</v>
      </c>
      <c r="AO1427" s="29">
        <v>6.7580749999999998</v>
      </c>
      <c r="AP1427" s="11"/>
    </row>
    <row r="1428" spans="2:42" hidden="1" outlineLevel="1" x14ac:dyDescent="0.25">
      <c r="B1428" s="21">
        <v>43745</v>
      </c>
      <c r="C1428" s="27">
        <v>19.525500000000001</v>
      </c>
      <c r="E1428" s="30">
        <v>0.91077399999999997</v>
      </c>
      <c r="G1428" s="27">
        <v>57.757758000000003</v>
      </c>
      <c r="I1428" s="29">
        <v>6.9165590000000003</v>
      </c>
      <c r="K1428" s="29">
        <v>4.0723789999999997</v>
      </c>
      <c r="M1428" s="41">
        <v>716.96225400000003</v>
      </c>
      <c r="O1428" s="26">
        <v>3442.5744759999998</v>
      </c>
      <c r="Q1428" s="26">
        <v>6396.5473760000004</v>
      </c>
      <c r="S1428" s="26">
        <v>1570.72649</v>
      </c>
      <c r="U1428" s="29">
        <v>3.3792059999999999</v>
      </c>
      <c r="W1428" s="14">
        <v>37.171259999999997</v>
      </c>
      <c r="Y1428" s="29">
        <v>9.1276960000000003</v>
      </c>
      <c r="AA1428" s="41">
        <v>581.26479500000005</v>
      </c>
      <c r="AC1428" s="27">
        <v>52.367871999999998</v>
      </c>
      <c r="AE1428" s="27">
        <v>1</v>
      </c>
      <c r="AG1428" s="29">
        <v>7.7552500000000002</v>
      </c>
      <c r="AI1428" s="29">
        <v>8.75</v>
      </c>
      <c r="AK1428" s="27">
        <v>24.639285000000001</v>
      </c>
      <c r="AM1428" s="27">
        <v>33.619096999999996</v>
      </c>
      <c r="AO1428" s="29">
        <v>6.7710800000000004</v>
      </c>
      <c r="AP1428" s="11"/>
    </row>
    <row r="1429" spans="2:42" hidden="1" outlineLevel="1" x14ac:dyDescent="0.25">
      <c r="B1429" s="21">
        <v>43746</v>
      </c>
      <c r="C1429" s="27">
        <v>19.552199999999999</v>
      </c>
      <c r="E1429" s="30">
        <v>0.91158399999999995</v>
      </c>
      <c r="G1429" s="27">
        <v>57.826118000000001</v>
      </c>
      <c r="I1429" s="29">
        <v>6.9164099999999999</v>
      </c>
      <c r="K1429" s="29">
        <v>4.0980359999999996</v>
      </c>
      <c r="M1429" s="41">
        <v>721.55971</v>
      </c>
      <c r="O1429" s="26">
        <v>3447.976678</v>
      </c>
      <c r="Q1429" s="26">
        <v>6397.8019519999998</v>
      </c>
      <c r="S1429" s="26">
        <v>1561.1988570000001</v>
      </c>
      <c r="U1429" s="29">
        <v>3.3806919999999998</v>
      </c>
      <c r="W1429" s="14">
        <v>37.173527999999997</v>
      </c>
      <c r="Y1429" s="29">
        <v>9.0710979999999992</v>
      </c>
      <c r="AA1429" s="41">
        <v>581.76150800000005</v>
      </c>
      <c r="AC1429" s="27">
        <v>52.446562</v>
      </c>
      <c r="AE1429" s="27">
        <v>1</v>
      </c>
      <c r="AG1429" s="29">
        <v>7.7615119999999997</v>
      </c>
      <c r="AI1429" s="29">
        <v>8.75</v>
      </c>
      <c r="AK1429" s="27">
        <v>24.658386</v>
      </c>
      <c r="AM1429" s="27">
        <v>33.608303999999997</v>
      </c>
      <c r="AO1429" s="29">
        <v>6.7737600000000002</v>
      </c>
      <c r="AP1429" s="11"/>
    </row>
    <row r="1430" spans="2:42" hidden="1" outlineLevel="1" x14ac:dyDescent="0.25">
      <c r="B1430" s="21">
        <v>43747</v>
      </c>
      <c r="C1430" s="27">
        <v>19.584</v>
      </c>
      <c r="E1430" s="30">
        <v>0.91129599999999999</v>
      </c>
      <c r="G1430" s="27">
        <v>57.836646999999999</v>
      </c>
      <c r="I1430" s="29">
        <v>6.9210120000000002</v>
      </c>
      <c r="K1430" s="29">
        <v>4.0972980000000003</v>
      </c>
      <c r="M1430" s="41">
        <v>724.64727600000003</v>
      </c>
      <c r="O1430" s="26">
        <v>3453.8399960000002</v>
      </c>
      <c r="Q1430" s="26">
        <v>6400.4246659999999</v>
      </c>
      <c r="S1430" s="26">
        <v>1562.1204479999999</v>
      </c>
      <c r="U1430" s="29">
        <v>3.3802240000000001</v>
      </c>
      <c r="W1430" s="14">
        <v>37.236049999999999</v>
      </c>
      <c r="Y1430" s="29">
        <v>9.0879940000000001</v>
      </c>
      <c r="AA1430" s="41">
        <v>581.97154399999999</v>
      </c>
      <c r="AC1430" s="27">
        <v>52.545752</v>
      </c>
      <c r="AE1430" s="27">
        <v>1</v>
      </c>
      <c r="AG1430" s="29">
        <v>7.7709070000000002</v>
      </c>
      <c r="AI1430" s="29">
        <v>8.75</v>
      </c>
      <c r="AK1430" s="27">
        <v>24.663408</v>
      </c>
      <c r="AM1430" s="27">
        <v>33.639733999999997</v>
      </c>
      <c r="AO1430" s="29">
        <v>6.7794059999999998</v>
      </c>
      <c r="AP1430" s="11"/>
    </row>
    <row r="1431" spans="2:42" hidden="1" outlineLevel="1" x14ac:dyDescent="0.25">
      <c r="B1431" s="21">
        <v>43748</v>
      </c>
      <c r="C1431" s="27">
        <v>19.568899999999999</v>
      </c>
      <c r="E1431" s="30">
        <v>0.90848600000000002</v>
      </c>
      <c r="G1431" s="27">
        <v>57.843257999999999</v>
      </c>
      <c r="I1431" s="29">
        <v>6.9160719999999998</v>
      </c>
      <c r="K1431" s="29">
        <v>4.111307</v>
      </c>
      <c r="M1431" s="41">
        <v>721.99317699999995</v>
      </c>
      <c r="O1431" s="26">
        <v>3463.2525700000001</v>
      </c>
      <c r="Q1431" s="26">
        <v>6398.8556909999998</v>
      </c>
      <c r="S1431" s="26">
        <v>1556.4163980000001</v>
      </c>
      <c r="U1431" s="29">
        <v>3.373354</v>
      </c>
      <c r="W1431" s="14">
        <v>37.221339999999998</v>
      </c>
      <c r="Y1431" s="29">
        <v>9.0534510000000008</v>
      </c>
      <c r="AA1431" s="41">
        <v>581.69578200000001</v>
      </c>
      <c r="AC1431" s="27">
        <v>52.623021999999999</v>
      </c>
      <c r="AE1431" s="27">
        <v>1</v>
      </c>
      <c r="AG1431" s="29">
        <v>7.7659700000000003</v>
      </c>
      <c r="AI1431" s="29">
        <v>8.75</v>
      </c>
      <c r="AK1431" s="27">
        <v>24.636949000000001</v>
      </c>
      <c r="AM1431" s="27">
        <v>33.603079999999999</v>
      </c>
      <c r="AO1431" s="29">
        <v>6.7756439999999998</v>
      </c>
      <c r="AP1431" s="11"/>
    </row>
    <row r="1432" spans="2:42" hidden="1" outlineLevel="1" x14ac:dyDescent="0.25">
      <c r="B1432" s="21">
        <v>43749</v>
      </c>
      <c r="C1432" s="27">
        <v>19.476400000000002</v>
      </c>
      <c r="E1432" s="30">
        <v>0.90658499999999997</v>
      </c>
      <c r="G1432" s="27">
        <v>57.975293000000001</v>
      </c>
      <c r="I1432" s="29">
        <v>6.9178800000000003</v>
      </c>
      <c r="K1432" s="29">
        <v>4.1068040000000003</v>
      </c>
      <c r="M1432" s="41">
        <v>715.56319199999996</v>
      </c>
      <c r="O1432" s="26">
        <v>3455.966962</v>
      </c>
      <c r="Q1432" s="26">
        <v>6405.5261819999996</v>
      </c>
      <c r="S1432" s="26">
        <v>1559.746774</v>
      </c>
      <c r="U1432" s="29">
        <v>3.3723920000000001</v>
      </c>
      <c r="W1432" s="14">
        <v>37.220702000000003</v>
      </c>
      <c r="Y1432" s="29">
        <v>9.0632260000000002</v>
      </c>
      <c r="AA1432" s="41">
        <v>582.05140400000005</v>
      </c>
      <c r="AC1432" s="27">
        <v>52.812866999999997</v>
      </c>
      <c r="AE1432" s="27">
        <v>1</v>
      </c>
      <c r="AG1432" s="29">
        <v>7.7693139999999996</v>
      </c>
      <c r="AI1432" s="29">
        <v>8.75</v>
      </c>
      <c r="AK1432" s="27">
        <v>24.645489999999999</v>
      </c>
      <c r="AM1432" s="27">
        <v>33.614927999999999</v>
      </c>
      <c r="AO1432" s="29">
        <v>6.7787360000000003</v>
      </c>
      <c r="AP1432" s="11"/>
    </row>
    <row r="1433" spans="2:42" hidden="1" outlineLevel="1" x14ac:dyDescent="0.25">
      <c r="B1433" s="21">
        <v>43750</v>
      </c>
      <c r="C1433" s="27">
        <v>19.476400000000002</v>
      </c>
      <c r="E1433" s="30">
        <v>0.90603999999999996</v>
      </c>
      <c r="G1433" s="27">
        <v>58.037999999999997</v>
      </c>
      <c r="I1433" s="29">
        <v>6.9149000000000003</v>
      </c>
      <c r="K1433" s="29">
        <v>4.1101999999999999</v>
      </c>
      <c r="M1433" s="41">
        <v>710.51250000000005</v>
      </c>
      <c r="O1433" s="26">
        <v>3438.9274999999998</v>
      </c>
      <c r="Q1433" s="26">
        <v>6404.0249999999996</v>
      </c>
      <c r="S1433" s="26">
        <v>1558.0918059999999</v>
      </c>
      <c r="U1433" s="29">
        <v>3.368325</v>
      </c>
      <c r="W1433" s="14">
        <v>37.197749999999999</v>
      </c>
      <c r="Y1433" s="29">
        <v>9.0501539999999991</v>
      </c>
      <c r="AA1433" s="41">
        <v>581.95249999999999</v>
      </c>
      <c r="AC1433" s="27">
        <v>52.877499999999998</v>
      </c>
      <c r="AE1433" s="27">
        <v>1</v>
      </c>
      <c r="AG1433" s="29">
        <v>7.7666250000000003</v>
      </c>
      <c r="AI1433" s="29">
        <v>8.75</v>
      </c>
      <c r="AK1433" s="27">
        <v>24.663474999999998</v>
      </c>
      <c r="AM1433" s="27">
        <v>33.634749999999997</v>
      </c>
      <c r="AO1433" s="29">
        <v>6.7763499999999999</v>
      </c>
      <c r="AP1433" s="11"/>
    </row>
    <row r="1434" spans="2:42" hidden="1" outlineLevel="1" x14ac:dyDescent="0.25">
      <c r="B1434" s="21">
        <v>43751</v>
      </c>
      <c r="C1434" s="27">
        <v>19.476400000000002</v>
      </c>
      <c r="E1434" s="30">
        <v>0.90608999999999995</v>
      </c>
      <c r="G1434" s="27">
        <v>58.029439000000004</v>
      </c>
      <c r="I1434" s="29">
        <v>6.9148880000000004</v>
      </c>
      <c r="K1434" s="29">
        <v>4.1103459999999998</v>
      </c>
      <c r="M1434" s="41">
        <v>710.51130999999998</v>
      </c>
      <c r="O1434" s="26">
        <v>3438.8798099999999</v>
      </c>
      <c r="Q1434" s="26">
        <v>6404.150936</v>
      </c>
      <c r="S1434" s="26">
        <v>1558.0680560000001</v>
      </c>
      <c r="U1434" s="29">
        <v>3.3673479999999998</v>
      </c>
      <c r="W1434" s="14">
        <v>37.197955999999998</v>
      </c>
      <c r="Y1434" s="29">
        <v>9.0498860000000008</v>
      </c>
      <c r="AA1434" s="41">
        <v>581.953532</v>
      </c>
      <c r="AC1434" s="27">
        <v>52.877499999999998</v>
      </c>
      <c r="AE1434" s="27">
        <v>1</v>
      </c>
      <c r="AG1434" s="29">
        <v>7.7665579999999999</v>
      </c>
      <c r="AI1434" s="29">
        <v>8.75</v>
      </c>
      <c r="AK1434" s="27">
        <v>24.663518</v>
      </c>
      <c r="AM1434" s="27">
        <v>33.634605999999998</v>
      </c>
      <c r="AO1434" s="29">
        <v>6.7764100000000003</v>
      </c>
      <c r="AP1434" s="11"/>
    </row>
    <row r="1435" spans="2:42" hidden="1" outlineLevel="1" x14ac:dyDescent="0.25">
      <c r="B1435" s="21">
        <v>43752</v>
      </c>
      <c r="C1435" s="27">
        <v>19.3217</v>
      </c>
      <c r="E1435" s="30">
        <v>0.90681199999999995</v>
      </c>
      <c r="G1435" s="27">
        <v>58.024161999999997</v>
      </c>
      <c r="I1435" s="29">
        <v>6.9175250000000004</v>
      </c>
      <c r="K1435" s="29">
        <v>4.1168579999999997</v>
      </c>
      <c r="M1435" s="41">
        <v>712.32200399999999</v>
      </c>
      <c r="O1435" s="26">
        <v>3447.490123</v>
      </c>
      <c r="Q1435" s="26">
        <v>6410.2394619999995</v>
      </c>
      <c r="S1435" s="26">
        <v>1557.0839820000001</v>
      </c>
      <c r="U1435" s="29">
        <v>3.3653379999999999</v>
      </c>
      <c r="W1435" s="14">
        <v>37.212529000000004</v>
      </c>
      <c r="Y1435" s="29">
        <v>9.0391089999999998</v>
      </c>
      <c r="AA1435" s="41">
        <v>582.10365899999999</v>
      </c>
      <c r="AC1435" s="27">
        <v>52.777518000000001</v>
      </c>
      <c r="AE1435" s="27">
        <v>1</v>
      </c>
      <c r="AG1435" s="29">
        <v>7.7686130000000002</v>
      </c>
      <c r="AI1435" s="29">
        <v>8.75</v>
      </c>
      <c r="AK1435" s="27">
        <v>24.621404999999999</v>
      </c>
      <c r="AM1435" s="27">
        <v>33.603195999999997</v>
      </c>
      <c r="AO1435" s="29">
        <v>6.7797200000000002</v>
      </c>
      <c r="AP1435" s="11"/>
    </row>
    <row r="1436" spans="2:42" hidden="1" outlineLevel="1" x14ac:dyDescent="0.25">
      <c r="B1436" s="21">
        <v>43753</v>
      </c>
      <c r="C1436" s="27">
        <v>19.2652</v>
      </c>
      <c r="E1436" s="30">
        <v>0.90703100000000003</v>
      </c>
      <c r="G1436" s="27">
        <v>58.125639999999997</v>
      </c>
      <c r="I1436" s="29">
        <v>6.917332</v>
      </c>
      <c r="K1436" s="29">
        <v>4.141788</v>
      </c>
      <c r="M1436" s="41">
        <v>716.11821099999997</v>
      </c>
      <c r="O1436" s="26">
        <v>3443.4001969999999</v>
      </c>
      <c r="Q1436" s="26">
        <v>6412.9986849999996</v>
      </c>
      <c r="S1436" s="26">
        <v>1548.3795270000001</v>
      </c>
      <c r="U1436" s="29">
        <v>3.366762</v>
      </c>
      <c r="W1436" s="14">
        <v>37.203525999999997</v>
      </c>
      <c r="Y1436" s="29">
        <v>8.9825400000000002</v>
      </c>
      <c r="AA1436" s="41">
        <v>582.01370999999995</v>
      </c>
      <c r="AC1436" s="27">
        <v>52.861494</v>
      </c>
      <c r="AE1436" s="27">
        <v>1</v>
      </c>
      <c r="AG1436" s="29">
        <v>7.7678640000000003</v>
      </c>
      <c r="AI1436" s="29">
        <v>8.75</v>
      </c>
      <c r="AK1436" s="27">
        <v>24.644494000000002</v>
      </c>
      <c r="AM1436" s="27">
        <v>33.636887000000002</v>
      </c>
      <c r="AO1436" s="29">
        <v>6.7792810000000001</v>
      </c>
      <c r="AP1436" s="11"/>
    </row>
    <row r="1437" spans="2:42" hidden="1" outlineLevel="1" x14ac:dyDescent="0.25">
      <c r="B1437" s="21">
        <v>43754</v>
      </c>
      <c r="C1437" s="27">
        <v>19.251999999999999</v>
      </c>
      <c r="E1437" s="30">
        <v>0.90503299999999998</v>
      </c>
      <c r="G1437" s="27">
        <v>58.152571999999999</v>
      </c>
      <c r="I1437" s="29">
        <v>6.9121589999999999</v>
      </c>
      <c r="K1437" s="29">
        <v>4.1710099999999999</v>
      </c>
      <c r="M1437" s="41">
        <v>718.10540800000001</v>
      </c>
      <c r="O1437" s="26">
        <v>3447.3236820000002</v>
      </c>
      <c r="Q1437" s="26">
        <v>6418.9933579999997</v>
      </c>
      <c r="S1437" s="26">
        <v>1538.9658460000001</v>
      </c>
      <c r="U1437" s="29">
        <v>3.364716</v>
      </c>
      <c r="W1437" s="14">
        <v>37.175485999999999</v>
      </c>
      <c r="Y1437" s="29">
        <v>8.9128679999999996</v>
      </c>
      <c r="AA1437" s="41">
        <v>581.272066</v>
      </c>
      <c r="AC1437" s="27">
        <v>52.853074999999997</v>
      </c>
      <c r="AE1437" s="27">
        <v>1</v>
      </c>
      <c r="AG1437" s="29">
        <v>7.7615639999999999</v>
      </c>
      <c r="AI1437" s="29">
        <v>8.75</v>
      </c>
      <c r="AK1437" s="27">
        <v>24.632850000000001</v>
      </c>
      <c r="AM1437" s="27">
        <v>33.603408000000002</v>
      </c>
      <c r="AO1437" s="29">
        <v>6.7753759999999996</v>
      </c>
      <c r="AP1437" s="11"/>
    </row>
    <row r="1438" spans="2:42" hidden="1" outlineLevel="1" x14ac:dyDescent="0.25">
      <c r="B1438" s="21">
        <v>43755</v>
      </c>
      <c r="C1438" s="27">
        <v>19.2135</v>
      </c>
      <c r="E1438" s="30">
        <v>0.90051199999999998</v>
      </c>
      <c r="G1438" s="27">
        <v>57.976120000000002</v>
      </c>
      <c r="I1438" s="29">
        <v>6.906377</v>
      </c>
      <c r="K1438" s="29">
        <v>4.1537040000000003</v>
      </c>
      <c r="M1438" s="41">
        <v>715.75410599999998</v>
      </c>
      <c r="O1438" s="26">
        <v>3452.4282929999999</v>
      </c>
      <c r="Q1438" s="26">
        <v>6427.4546440000004</v>
      </c>
      <c r="S1438" s="26">
        <v>1547.418754</v>
      </c>
      <c r="U1438" s="29">
        <v>3.3558479999999999</v>
      </c>
      <c r="W1438" s="14">
        <v>37.192833999999998</v>
      </c>
      <c r="Y1438" s="29">
        <v>8.9541920000000008</v>
      </c>
      <c r="AA1438" s="41">
        <v>580.57615599999997</v>
      </c>
      <c r="AC1438" s="27">
        <v>52.859158000000001</v>
      </c>
      <c r="AE1438" s="27">
        <v>1</v>
      </c>
      <c r="AG1438" s="29">
        <v>7.75528</v>
      </c>
      <c r="AI1438" s="29">
        <v>8.75</v>
      </c>
      <c r="AK1438" s="27">
        <v>24.620225999999999</v>
      </c>
      <c r="AM1438" s="27">
        <v>33.579151000000003</v>
      </c>
      <c r="AO1438" s="29">
        <v>6.7715839999999998</v>
      </c>
      <c r="AP1438" s="11"/>
    </row>
    <row r="1439" spans="2:42" hidden="1" outlineLevel="1" x14ac:dyDescent="0.25">
      <c r="B1439" s="21">
        <v>43756</v>
      </c>
      <c r="C1439" s="27">
        <v>19.1602</v>
      </c>
      <c r="E1439" s="30">
        <v>0.89752100000000001</v>
      </c>
      <c r="G1439" s="27">
        <v>58.271318000000001</v>
      </c>
      <c r="I1439" s="29">
        <v>6.9125319999999997</v>
      </c>
      <c r="K1439" s="29">
        <v>4.1437819999999999</v>
      </c>
      <c r="M1439" s="41">
        <v>710.97745199999997</v>
      </c>
      <c r="O1439" s="26">
        <v>3442.3787560000001</v>
      </c>
      <c r="Q1439" s="26">
        <v>6440.1016929999996</v>
      </c>
      <c r="S1439" s="26">
        <v>1554.173278</v>
      </c>
      <c r="U1439" s="29">
        <v>3.3555890000000002</v>
      </c>
      <c r="W1439" s="14">
        <v>37.302804000000002</v>
      </c>
      <c r="Y1439" s="29">
        <v>9.0021660000000008</v>
      </c>
      <c r="AA1439" s="41">
        <v>581.11776999999995</v>
      </c>
      <c r="AC1439" s="27">
        <v>52.860266000000003</v>
      </c>
      <c r="AE1439" s="27">
        <v>1</v>
      </c>
      <c r="AG1439" s="29">
        <v>7.7621820000000001</v>
      </c>
      <c r="AI1439" s="29">
        <v>8.75</v>
      </c>
      <c r="AK1439" s="27">
        <v>24.633095000000001</v>
      </c>
      <c r="AM1439" s="27">
        <v>33.598526</v>
      </c>
      <c r="AO1439" s="29">
        <v>6.7743450000000003</v>
      </c>
      <c r="AP1439" s="11"/>
    </row>
    <row r="1440" spans="2:42" hidden="1" outlineLevel="1" x14ac:dyDescent="0.25">
      <c r="B1440" s="21">
        <v>43757</v>
      </c>
      <c r="C1440" s="27">
        <v>19.1602</v>
      </c>
      <c r="E1440" s="30">
        <v>0.89523200000000003</v>
      </c>
      <c r="G1440" s="27">
        <v>58.279074999999999</v>
      </c>
      <c r="I1440" s="29">
        <v>6.9146400000000003</v>
      </c>
      <c r="K1440" s="29">
        <v>4.1124000000000001</v>
      </c>
      <c r="M1440" s="41">
        <v>710.69749999999999</v>
      </c>
      <c r="O1440" s="26">
        <v>3429.4775</v>
      </c>
      <c r="Q1440" s="26">
        <v>6443.4006499999996</v>
      </c>
      <c r="S1440" s="26">
        <v>1566.8330679999999</v>
      </c>
      <c r="U1440" s="29">
        <v>3.3507500000000001</v>
      </c>
      <c r="W1440" s="14">
        <v>37.341813999999999</v>
      </c>
      <c r="Y1440" s="29">
        <v>9.0803440000000002</v>
      </c>
      <c r="AA1440" s="41">
        <v>581.315292</v>
      </c>
      <c r="AC1440" s="27">
        <v>53.03</v>
      </c>
      <c r="AE1440" s="27">
        <v>1</v>
      </c>
      <c r="AG1440" s="29">
        <v>7.7645850000000003</v>
      </c>
      <c r="AI1440" s="29">
        <v>8.75</v>
      </c>
      <c r="AK1440" s="27">
        <v>24.671074999999998</v>
      </c>
      <c r="AM1440" s="27">
        <v>33.659750000000003</v>
      </c>
      <c r="AO1440" s="29">
        <v>6.7727760000000004</v>
      </c>
      <c r="AP1440" s="11"/>
    </row>
    <row r="1441" spans="2:42" hidden="1" outlineLevel="1" x14ac:dyDescent="0.25">
      <c r="B1441" s="21">
        <v>43758</v>
      </c>
      <c r="C1441" s="27">
        <v>19.1602</v>
      </c>
      <c r="E1441" s="30">
        <v>0.89537599999999995</v>
      </c>
      <c r="G1441" s="27">
        <v>58.284668000000003</v>
      </c>
      <c r="I1441" s="29">
        <v>6.9146400000000003</v>
      </c>
      <c r="K1441" s="29">
        <v>4.112482</v>
      </c>
      <c r="M1441" s="41">
        <v>710.69996800000001</v>
      </c>
      <c r="O1441" s="26">
        <v>3429.4823860000001</v>
      </c>
      <c r="Q1441" s="26">
        <v>6443.4006499999996</v>
      </c>
      <c r="S1441" s="26">
        <v>1566.8019830000001</v>
      </c>
      <c r="U1441" s="29">
        <v>3.3496890000000001</v>
      </c>
      <c r="W1441" s="14">
        <v>37.341608000000001</v>
      </c>
      <c r="Y1441" s="29">
        <v>9.0801119999999997</v>
      </c>
      <c r="AA1441" s="41">
        <v>581.315292</v>
      </c>
      <c r="AC1441" s="27">
        <v>53.03</v>
      </c>
      <c r="AE1441" s="27">
        <v>1</v>
      </c>
      <c r="AG1441" s="29">
        <v>7.7645850000000003</v>
      </c>
      <c r="AI1441" s="29">
        <v>8.75</v>
      </c>
      <c r="AK1441" s="27">
        <v>24.671074999999998</v>
      </c>
      <c r="AM1441" s="27">
        <v>33.659750000000003</v>
      </c>
      <c r="AO1441" s="29">
        <v>6.7727760000000004</v>
      </c>
      <c r="AP1441" s="11"/>
    </row>
    <row r="1442" spans="2:42" hidden="1" outlineLevel="1" x14ac:dyDescent="0.25">
      <c r="B1442" s="21">
        <v>43759</v>
      </c>
      <c r="C1442" s="27">
        <v>19.1492</v>
      </c>
      <c r="E1442" s="30">
        <v>0.89633499999999999</v>
      </c>
      <c r="G1442" s="27">
        <v>58.336866000000001</v>
      </c>
      <c r="I1442" s="29">
        <v>6.9099380000000004</v>
      </c>
      <c r="K1442" s="29">
        <v>4.1245539999999998</v>
      </c>
      <c r="M1442" s="41">
        <v>720.77882099999999</v>
      </c>
      <c r="O1442" s="26">
        <v>3438.103075</v>
      </c>
      <c r="Q1442" s="26">
        <v>6436.5540149999997</v>
      </c>
      <c r="S1442" s="26">
        <v>1560.556693</v>
      </c>
      <c r="U1442" s="29">
        <v>3.3413309999999998</v>
      </c>
      <c r="W1442" s="14">
        <v>37.330832999999998</v>
      </c>
      <c r="Y1442" s="29">
        <v>9.0509210000000007</v>
      </c>
      <c r="AA1442" s="41">
        <v>580.93125599999996</v>
      </c>
      <c r="AC1442" s="27">
        <v>52.840594000000003</v>
      </c>
      <c r="AE1442" s="27">
        <v>1</v>
      </c>
      <c r="AG1442" s="29">
        <v>7.7591380000000001</v>
      </c>
      <c r="AI1442" s="29">
        <v>8.75</v>
      </c>
      <c r="AK1442" s="27">
        <v>24.628261999999999</v>
      </c>
      <c r="AM1442" s="27">
        <v>33.581532000000003</v>
      </c>
      <c r="AO1442" s="29">
        <v>6.7691679999999996</v>
      </c>
      <c r="AP1442" s="11"/>
    </row>
    <row r="1443" spans="2:42" hidden="1" outlineLevel="1" x14ac:dyDescent="0.25">
      <c r="B1443" s="21">
        <v>43760</v>
      </c>
      <c r="C1443" s="27">
        <v>19.142199999999999</v>
      </c>
      <c r="E1443" s="30">
        <v>0.89764299999999997</v>
      </c>
      <c r="G1443" s="27">
        <v>58.518417999999997</v>
      </c>
      <c r="I1443" s="29">
        <v>6.9151740000000004</v>
      </c>
      <c r="K1443" s="29">
        <v>4.1048</v>
      </c>
      <c r="M1443" s="41">
        <v>726.95687799999996</v>
      </c>
      <c r="O1443" s="26">
        <v>3440.4965200000001</v>
      </c>
      <c r="Q1443" s="26">
        <v>6443.2317720000001</v>
      </c>
      <c r="S1443" s="26">
        <v>1569.694802</v>
      </c>
      <c r="U1443" s="29">
        <v>3.340986</v>
      </c>
      <c r="W1443" s="14">
        <v>37.380854999999997</v>
      </c>
      <c r="Y1443" s="29">
        <v>9.1066649999999996</v>
      </c>
      <c r="AA1443" s="41">
        <v>581.65851999999995</v>
      </c>
      <c r="AC1443" s="27">
        <v>52.800531999999997</v>
      </c>
      <c r="AE1443" s="27">
        <v>1</v>
      </c>
      <c r="AG1443" s="29">
        <v>7.7651320000000004</v>
      </c>
      <c r="AI1443" s="29">
        <v>8.75</v>
      </c>
      <c r="AK1443" s="27">
        <v>24.650366000000002</v>
      </c>
      <c r="AM1443" s="27">
        <v>33.593108000000001</v>
      </c>
      <c r="AO1443" s="29">
        <v>6.7742040000000001</v>
      </c>
      <c r="AP1443" s="11"/>
    </row>
    <row r="1444" spans="2:42" hidden="1" outlineLevel="1" x14ac:dyDescent="0.25">
      <c r="B1444" s="21">
        <v>43761</v>
      </c>
      <c r="C1444" s="27">
        <v>19.105</v>
      </c>
      <c r="E1444" s="30">
        <v>0.89900800000000003</v>
      </c>
      <c r="G1444" s="27">
        <v>58.774340000000002</v>
      </c>
      <c r="I1444" s="29">
        <v>6.9156219999999999</v>
      </c>
      <c r="K1444" s="29">
        <v>4.0660959999999999</v>
      </c>
      <c r="M1444" s="41">
        <v>727.48546099999999</v>
      </c>
      <c r="O1444" s="26">
        <v>3427.6687529999999</v>
      </c>
      <c r="Q1444" s="26">
        <v>6453.1937740000003</v>
      </c>
      <c r="S1444" s="26">
        <v>1587.0859359999999</v>
      </c>
      <c r="U1444" s="29">
        <v>3.3460670000000001</v>
      </c>
      <c r="W1444" s="14">
        <v>37.402365000000003</v>
      </c>
      <c r="Y1444" s="29">
        <v>9.1986380000000008</v>
      </c>
      <c r="AA1444" s="41">
        <v>582.25108</v>
      </c>
      <c r="AC1444" s="27">
        <v>52.801141999999999</v>
      </c>
      <c r="AE1444" s="27">
        <v>1</v>
      </c>
      <c r="AG1444" s="29">
        <v>7.7678859999999998</v>
      </c>
      <c r="AI1444" s="29">
        <v>8.75</v>
      </c>
      <c r="AK1444" s="27">
        <v>24.630448999999999</v>
      </c>
      <c r="AM1444" s="27">
        <v>33.581299999999999</v>
      </c>
      <c r="AO1444" s="29">
        <v>6.7726470000000001</v>
      </c>
      <c r="AP1444" s="11"/>
    </row>
    <row r="1445" spans="2:42" hidden="1" outlineLevel="1" x14ac:dyDescent="0.25">
      <c r="B1445" s="21">
        <v>43762</v>
      </c>
      <c r="C1445" s="27">
        <v>19.125800000000002</v>
      </c>
      <c r="E1445" s="30">
        <v>0.899146</v>
      </c>
      <c r="G1445" s="27">
        <v>59.153239999999997</v>
      </c>
      <c r="I1445" s="29">
        <v>6.910202</v>
      </c>
      <c r="K1445" s="29">
        <v>4.0309759999999999</v>
      </c>
      <c r="M1445" s="41">
        <v>725.30945399999996</v>
      </c>
      <c r="O1445" s="26">
        <v>3396.2848370000002</v>
      </c>
      <c r="Q1445" s="26">
        <v>6460.1929959999998</v>
      </c>
      <c r="S1445" s="26">
        <v>1602.650944</v>
      </c>
      <c r="U1445" s="29">
        <v>3.3474659999999998</v>
      </c>
      <c r="W1445" s="14">
        <v>37.350197999999999</v>
      </c>
      <c r="Y1445" s="29">
        <v>9.2658439999999995</v>
      </c>
      <c r="AA1445" s="41">
        <v>582.129231</v>
      </c>
      <c r="AC1445" s="27">
        <v>52.746139999999997</v>
      </c>
      <c r="AE1445" s="27">
        <v>1</v>
      </c>
      <c r="AG1445" s="29">
        <v>7.7625760000000001</v>
      </c>
      <c r="AI1445" s="29">
        <v>8.75</v>
      </c>
      <c r="AK1445" s="27">
        <v>24.666228</v>
      </c>
      <c r="AM1445" s="27">
        <v>33.629621999999998</v>
      </c>
      <c r="AO1445" s="29">
        <v>6.7603</v>
      </c>
      <c r="AP1445" s="11"/>
    </row>
    <row r="1446" spans="2:42" hidden="1" outlineLevel="1" x14ac:dyDescent="0.25">
      <c r="B1446" s="21">
        <v>43763</v>
      </c>
      <c r="C1446" s="27">
        <v>19.087800000000001</v>
      </c>
      <c r="E1446" s="30">
        <v>0.90120199999999995</v>
      </c>
      <c r="G1446" s="27">
        <v>59.727437999999999</v>
      </c>
      <c r="I1446" s="29">
        <v>6.9193280000000001</v>
      </c>
      <c r="K1446" s="29">
        <v>4.0255929999999998</v>
      </c>
      <c r="M1446" s="41">
        <v>725.83761000000004</v>
      </c>
      <c r="O1446" s="26">
        <v>3398.0043000000001</v>
      </c>
      <c r="Q1446" s="26">
        <v>6472.3984979999996</v>
      </c>
      <c r="S1446" s="26">
        <v>1607.8251499999999</v>
      </c>
      <c r="U1446" s="29">
        <v>3.3481239999999999</v>
      </c>
      <c r="W1446" s="14">
        <v>37.408073999999999</v>
      </c>
      <c r="Y1446" s="29">
        <v>9.2926040000000008</v>
      </c>
      <c r="AA1446" s="41">
        <v>583.15961800000002</v>
      </c>
      <c r="AC1446" s="27">
        <v>52.888691999999999</v>
      </c>
      <c r="AE1446" s="27">
        <v>1</v>
      </c>
      <c r="AG1446" s="29">
        <v>7.7703009999999999</v>
      </c>
      <c r="AI1446" s="29">
        <v>8.75</v>
      </c>
      <c r="AK1446" s="27">
        <v>24.666879000000002</v>
      </c>
      <c r="AM1446" s="27">
        <v>33.730604999999997</v>
      </c>
      <c r="AO1446" s="29">
        <v>6.77006</v>
      </c>
      <c r="AP1446" s="11"/>
    </row>
    <row r="1447" spans="2:42" hidden="1" outlineLevel="1" x14ac:dyDescent="0.25">
      <c r="B1447" s="21">
        <v>43764</v>
      </c>
      <c r="C1447" s="27">
        <v>19.087800000000001</v>
      </c>
      <c r="E1447" s="30">
        <v>0.90254000000000001</v>
      </c>
      <c r="G1447" s="27">
        <v>59.923999999999999</v>
      </c>
      <c r="I1447" s="29">
        <v>6.9164899999999996</v>
      </c>
      <c r="K1447" s="29">
        <v>4.0068999999999999</v>
      </c>
      <c r="M1447" s="41">
        <v>727</v>
      </c>
      <c r="O1447" s="26">
        <v>3396.3775000000001</v>
      </c>
      <c r="Q1447" s="26">
        <v>6469.7892750000001</v>
      </c>
      <c r="S1447" s="26">
        <v>1614.673198</v>
      </c>
      <c r="U1447" s="29">
        <v>3.3418999999999999</v>
      </c>
      <c r="W1447" s="14">
        <v>37.381391000000001</v>
      </c>
      <c r="Y1447" s="29">
        <v>9.3292859999999997</v>
      </c>
      <c r="AA1447" s="41">
        <v>583.45689500000003</v>
      </c>
      <c r="AC1447" s="27">
        <v>52.982500000000002</v>
      </c>
      <c r="AE1447" s="27">
        <v>1</v>
      </c>
      <c r="AG1447" s="29">
        <v>7.7660689999999999</v>
      </c>
      <c r="AI1447" s="29">
        <v>8.75</v>
      </c>
      <c r="AK1447" s="27">
        <v>24.669725</v>
      </c>
      <c r="AM1447" s="27">
        <v>33.662999999999997</v>
      </c>
      <c r="AO1447" s="29">
        <v>6.7729650000000001</v>
      </c>
      <c r="AP1447" s="11"/>
    </row>
    <row r="1448" spans="2:42" hidden="1" outlineLevel="1" x14ac:dyDescent="0.25">
      <c r="B1448" s="21">
        <v>43765</v>
      </c>
      <c r="C1448" s="27">
        <v>19.087800000000001</v>
      </c>
      <c r="E1448" s="30">
        <v>0.90252399999999999</v>
      </c>
      <c r="G1448" s="27">
        <v>59.923174000000003</v>
      </c>
      <c r="I1448" s="29">
        <v>6.9164899999999996</v>
      </c>
      <c r="K1448" s="29">
        <v>4.0069100000000004</v>
      </c>
      <c r="M1448" s="41">
        <v>727.06322799999998</v>
      </c>
      <c r="O1448" s="26">
        <v>3396.3775000000001</v>
      </c>
      <c r="Q1448" s="26">
        <v>6469.7892750000001</v>
      </c>
      <c r="S1448" s="26">
        <v>1614.6690630000001</v>
      </c>
      <c r="U1448" s="29">
        <v>3.3418999999999999</v>
      </c>
      <c r="W1448" s="14">
        <v>37.381391000000001</v>
      </c>
      <c r="Y1448" s="29">
        <v>9.3292619999999999</v>
      </c>
      <c r="AA1448" s="41">
        <v>583.45689500000003</v>
      </c>
      <c r="AC1448" s="27">
        <v>52.982500000000002</v>
      </c>
      <c r="AE1448" s="27">
        <v>1</v>
      </c>
      <c r="AG1448" s="29">
        <v>7.7660689999999999</v>
      </c>
      <c r="AI1448" s="29">
        <v>8.75</v>
      </c>
      <c r="AK1448" s="27">
        <v>24.669725</v>
      </c>
      <c r="AM1448" s="27">
        <v>33.662999999999997</v>
      </c>
      <c r="AO1448" s="29">
        <v>6.7729650000000001</v>
      </c>
      <c r="AP1448" s="11"/>
    </row>
    <row r="1449" spans="2:42" hidden="1" outlineLevel="1" x14ac:dyDescent="0.25">
      <c r="B1449" s="21">
        <v>43766</v>
      </c>
      <c r="C1449" s="27">
        <v>19.082000000000001</v>
      </c>
      <c r="E1449" s="30">
        <v>0.90156800000000004</v>
      </c>
      <c r="G1449" s="27">
        <v>59.625791999999997</v>
      </c>
      <c r="I1449" s="29">
        <v>6.9255659999999999</v>
      </c>
      <c r="K1449" s="29">
        <v>3.995711</v>
      </c>
      <c r="M1449" s="41">
        <v>726.91551000000004</v>
      </c>
      <c r="O1449" s="26">
        <v>3394.83761</v>
      </c>
      <c r="Q1449" s="26">
        <v>6485.6514509999997</v>
      </c>
      <c r="S1449" s="26">
        <v>1623.1656559999999</v>
      </c>
      <c r="U1449" s="29">
        <v>3.3419910000000002</v>
      </c>
      <c r="W1449" s="14">
        <v>37.436672999999999</v>
      </c>
      <c r="Y1449" s="29">
        <v>9.3692620000000009</v>
      </c>
      <c r="AA1449" s="41">
        <v>584.413724</v>
      </c>
      <c r="AC1449" s="27">
        <v>52.969425999999999</v>
      </c>
      <c r="AE1449" s="27">
        <v>1</v>
      </c>
      <c r="AG1449" s="29">
        <v>7.7690400000000004</v>
      </c>
      <c r="AI1449" s="29">
        <v>8.75</v>
      </c>
      <c r="AK1449" s="27">
        <v>24.696017999999999</v>
      </c>
      <c r="AM1449" s="27">
        <v>33.692210000000003</v>
      </c>
      <c r="AO1449" s="29">
        <v>6.7823760000000002</v>
      </c>
      <c r="AP1449" s="11"/>
    </row>
    <row r="1450" spans="2:42" hidden="1" outlineLevel="1" x14ac:dyDescent="0.25">
      <c r="B1450" s="21">
        <v>43767</v>
      </c>
      <c r="C1450" s="27">
        <v>19.054300000000001</v>
      </c>
      <c r="E1450" s="30">
        <v>0.90099499999999999</v>
      </c>
      <c r="G1450" s="27">
        <v>59.411554000000002</v>
      </c>
      <c r="I1450" s="29">
        <v>6.9167899999999998</v>
      </c>
      <c r="K1450" s="29">
        <v>3.993798</v>
      </c>
      <c r="M1450" s="41">
        <v>727.25801999999999</v>
      </c>
      <c r="O1450" s="26">
        <v>3384.1071080000002</v>
      </c>
      <c r="Q1450" s="26">
        <v>6478.6775379999999</v>
      </c>
      <c r="S1450" s="26">
        <v>1622.1979859999999</v>
      </c>
      <c r="U1450" s="29">
        <v>3.3402189999999998</v>
      </c>
      <c r="W1450" s="14">
        <v>37.431862000000002</v>
      </c>
      <c r="Y1450" s="29">
        <v>9.3725439999999995</v>
      </c>
      <c r="AA1450" s="41">
        <v>581.97404100000006</v>
      </c>
      <c r="AC1450" s="27">
        <v>52.887194000000001</v>
      </c>
      <c r="AE1450" s="27">
        <v>1</v>
      </c>
      <c r="AG1450" s="29">
        <v>7.7487950000000003</v>
      </c>
      <c r="AI1450" s="29">
        <v>8.75</v>
      </c>
      <c r="AK1450" s="27">
        <v>24.701575999999999</v>
      </c>
      <c r="AM1450" s="27">
        <v>33.869759999999999</v>
      </c>
      <c r="AO1450" s="29">
        <v>6.7606320000000002</v>
      </c>
      <c r="AP1450" s="11"/>
    </row>
    <row r="1451" spans="2:42" hidden="1" outlineLevel="1" x14ac:dyDescent="0.25">
      <c r="B1451" s="21">
        <v>43768</v>
      </c>
      <c r="C1451" s="27">
        <v>19.116700000000002</v>
      </c>
      <c r="E1451" s="30">
        <v>0.89921200000000001</v>
      </c>
      <c r="G1451" s="27">
        <v>59.495148</v>
      </c>
      <c r="I1451" s="29">
        <v>6.9111159999999998</v>
      </c>
      <c r="K1451" s="29">
        <v>4.00223</v>
      </c>
      <c r="M1451" s="41">
        <v>733.49814800000001</v>
      </c>
      <c r="O1451" s="26">
        <v>3379.3488109999998</v>
      </c>
      <c r="Q1451" s="26">
        <v>6466.8618800000004</v>
      </c>
      <c r="S1451" s="26">
        <v>1615.830557</v>
      </c>
      <c r="U1451" s="29">
        <v>3.3384399999999999</v>
      </c>
      <c r="W1451" s="14">
        <v>37.423085999999998</v>
      </c>
      <c r="Y1451" s="29">
        <v>9.3506149999999995</v>
      </c>
      <c r="AA1451" s="41">
        <v>581.56537200000002</v>
      </c>
      <c r="AC1451" s="27">
        <v>52.880629999999996</v>
      </c>
      <c r="AE1451" s="27">
        <v>1</v>
      </c>
      <c r="AG1451" s="29">
        <v>7.73569</v>
      </c>
      <c r="AI1451" s="29">
        <v>8.75</v>
      </c>
      <c r="AK1451" s="27">
        <v>24.685312</v>
      </c>
      <c r="AM1451" s="27">
        <v>33.835287999999998</v>
      </c>
      <c r="AO1451" s="29">
        <v>6.7579729999999998</v>
      </c>
      <c r="AP1451" s="11"/>
    </row>
    <row r="1452" spans="2:42" hidden="1" outlineLevel="1" x14ac:dyDescent="0.25">
      <c r="B1452" s="21">
        <v>43769</v>
      </c>
      <c r="C1452" s="49">
        <v>19.164300000000001</v>
      </c>
      <c r="E1452" s="30">
        <v>0.89632999999999996</v>
      </c>
      <c r="G1452" s="27">
        <v>59.632250999999997</v>
      </c>
      <c r="I1452" s="29">
        <v>6.90679</v>
      </c>
      <c r="K1452" s="29">
        <v>3.9999020000000001</v>
      </c>
      <c r="M1452" s="41">
        <v>743.37848599999995</v>
      </c>
      <c r="O1452" s="26">
        <v>3376.0876929999999</v>
      </c>
      <c r="Q1452" s="26">
        <v>6454.0855609999999</v>
      </c>
      <c r="S1452" s="26">
        <v>1613.5742</v>
      </c>
      <c r="U1452" s="29">
        <v>3.3393999999999999</v>
      </c>
      <c r="W1452" s="14">
        <v>37.413747999999998</v>
      </c>
      <c r="Y1452" s="29">
        <v>9.3537169999999996</v>
      </c>
      <c r="AA1452" s="41">
        <v>581.17490699999996</v>
      </c>
      <c r="AC1452" s="27">
        <v>52.851585</v>
      </c>
      <c r="AE1452" s="27">
        <v>1</v>
      </c>
      <c r="AG1452" s="29">
        <v>7.7229960000000002</v>
      </c>
      <c r="AI1452" s="29">
        <v>8.75</v>
      </c>
      <c r="AK1452" s="27">
        <v>24.665461000000001</v>
      </c>
      <c r="AM1452" s="27">
        <v>33.807338000000001</v>
      </c>
      <c r="AO1452" s="29">
        <v>6.7520020000000001</v>
      </c>
      <c r="AP1452" s="11"/>
    </row>
    <row r="1453" spans="2:42" ht="13" collapsed="1" x14ac:dyDescent="0.3">
      <c r="B1453" s="25" t="s">
        <v>184</v>
      </c>
      <c r="C1453" s="19">
        <v>19.3522</v>
      </c>
      <c r="E1453" s="24">
        <v>0.90451899999999996</v>
      </c>
      <c r="G1453" s="19">
        <v>58.4191</v>
      </c>
      <c r="I1453" s="23">
        <v>6.9129199999999997</v>
      </c>
      <c r="J1453" s="9"/>
      <c r="K1453" s="23">
        <v>4.0846600000000004</v>
      </c>
      <c r="M1453" s="42">
        <v>721.07799999999997</v>
      </c>
      <c r="O1453" s="31">
        <v>3432.47</v>
      </c>
      <c r="Q1453" s="31">
        <v>6426.54</v>
      </c>
      <c r="S1453" s="31">
        <v>1573.69</v>
      </c>
      <c r="U1453" s="23">
        <v>3.3601899999999998</v>
      </c>
      <c r="W1453" s="23">
        <v>37.246420000000001</v>
      </c>
      <c r="Y1453" s="23">
        <v>9.1205499999999997</v>
      </c>
      <c r="AA1453" s="42">
        <v>581.60900000000004</v>
      </c>
      <c r="AC1453" s="19">
        <v>52.706800000000001</v>
      </c>
      <c r="AE1453" s="19">
        <v>1</v>
      </c>
      <c r="AG1453" s="23">
        <v>7.7579200000000004</v>
      </c>
      <c r="AI1453" s="23">
        <v>8.75</v>
      </c>
      <c r="AK1453" s="23">
        <v>24.643039999999999</v>
      </c>
      <c r="AM1453" s="23">
        <v>33.642989999999998</v>
      </c>
      <c r="AO1453" s="23">
        <v>6.7694099999999997</v>
      </c>
      <c r="AP1453" s="10"/>
    </row>
    <row r="1454" spans="2:42" hidden="1" outlineLevel="1" x14ac:dyDescent="0.25">
      <c r="B1454" s="21">
        <v>43770</v>
      </c>
      <c r="C1454" s="27">
        <v>19.194800000000001</v>
      </c>
      <c r="E1454" s="30">
        <v>0.89604600000000001</v>
      </c>
      <c r="G1454" s="27">
        <v>59.624364</v>
      </c>
      <c r="I1454" s="29">
        <v>6.9126339999999997</v>
      </c>
      <c r="K1454" s="29">
        <v>4.002211</v>
      </c>
      <c r="M1454" s="41">
        <v>744.77943300000004</v>
      </c>
      <c r="O1454" s="26">
        <v>3370.8452729999999</v>
      </c>
      <c r="Q1454" s="26">
        <v>6453.5732269999999</v>
      </c>
      <c r="S1454" s="26">
        <v>1612.514578</v>
      </c>
      <c r="U1454" s="29">
        <v>3.3417870000000001</v>
      </c>
      <c r="W1454" s="14">
        <v>37.447871999999997</v>
      </c>
      <c r="Y1454" s="29">
        <v>9.3568420000000003</v>
      </c>
      <c r="AA1454" s="41">
        <v>581.69451600000002</v>
      </c>
      <c r="AC1454" s="27">
        <v>52.815896000000002</v>
      </c>
      <c r="AE1454" s="27">
        <v>1</v>
      </c>
      <c r="AG1454" s="29">
        <v>7.7230819999999998</v>
      </c>
      <c r="AI1454" s="29">
        <v>8.75</v>
      </c>
      <c r="AK1454" s="27">
        <v>24.676407999999999</v>
      </c>
      <c r="AM1454" s="27">
        <v>34.003148000000003</v>
      </c>
      <c r="AO1454" s="29">
        <v>6.7519999999999998</v>
      </c>
      <c r="AP1454" s="11"/>
    </row>
    <row r="1455" spans="2:42" hidden="1" outlineLevel="1" x14ac:dyDescent="0.25">
      <c r="B1455" s="21">
        <v>43771</v>
      </c>
      <c r="C1455" s="27">
        <v>19.194800000000001</v>
      </c>
      <c r="E1455" s="30">
        <v>0.89562399999999998</v>
      </c>
      <c r="G1455" s="27">
        <v>59.641199999999998</v>
      </c>
      <c r="I1455" s="29">
        <v>6.9132569999999998</v>
      </c>
      <c r="K1455" s="29">
        <v>3.9908999999999999</v>
      </c>
      <c r="M1455" s="41">
        <v>742.39750000000004</v>
      </c>
      <c r="O1455" s="26">
        <v>3352.6907249999999</v>
      </c>
      <c r="Q1455" s="26">
        <v>6450.96515</v>
      </c>
      <c r="S1455" s="26">
        <v>1616.4298679999999</v>
      </c>
      <c r="U1455" s="29">
        <v>3.341704</v>
      </c>
      <c r="W1455" s="14">
        <v>37.464655999999998</v>
      </c>
      <c r="Y1455" s="29">
        <v>9.3875709999999994</v>
      </c>
      <c r="AA1455" s="41">
        <v>581.86707799999999</v>
      </c>
      <c r="AC1455" s="27">
        <v>52.804746000000002</v>
      </c>
      <c r="AE1455" s="27">
        <v>1</v>
      </c>
      <c r="AG1455" s="29">
        <v>7.7198560000000001</v>
      </c>
      <c r="AI1455" s="29">
        <v>8.75</v>
      </c>
      <c r="AK1455" s="27">
        <v>24.670086000000001</v>
      </c>
      <c r="AM1455" s="27">
        <v>34.032142</v>
      </c>
      <c r="AO1455" s="29">
        <v>6.7507640000000002</v>
      </c>
      <c r="AP1455" s="11"/>
    </row>
    <row r="1456" spans="2:42" hidden="1" outlineLevel="1" x14ac:dyDescent="0.25">
      <c r="B1456" s="21">
        <v>43772</v>
      </c>
      <c r="C1456" s="27">
        <v>19.194800000000001</v>
      </c>
      <c r="E1456" s="30">
        <v>0.89561999999999997</v>
      </c>
      <c r="G1456" s="27">
        <v>59.63917</v>
      </c>
      <c r="I1456" s="29">
        <v>6.9132559999999996</v>
      </c>
      <c r="K1456" s="29">
        <v>3.990866</v>
      </c>
      <c r="M1456" s="41">
        <v>742.43630599999995</v>
      </c>
      <c r="O1456" s="26">
        <v>3352.6114539999999</v>
      </c>
      <c r="Q1456" s="26">
        <v>6450.9948130000002</v>
      </c>
      <c r="S1456" s="26">
        <v>1616.4514360000001</v>
      </c>
      <c r="U1456" s="29">
        <v>3.3418380000000001</v>
      </c>
      <c r="W1456" s="14">
        <v>37.465372000000002</v>
      </c>
      <c r="Y1456" s="29">
        <v>9.3878310000000003</v>
      </c>
      <c r="AA1456" s="41">
        <v>581.85817799999995</v>
      </c>
      <c r="AC1456" s="27">
        <v>52.804746000000002</v>
      </c>
      <c r="AE1456" s="27">
        <v>1</v>
      </c>
      <c r="AG1456" s="29">
        <v>7.7197290000000001</v>
      </c>
      <c r="AI1456" s="29">
        <v>8.75</v>
      </c>
      <c r="AK1456" s="27">
        <v>24.669754000000001</v>
      </c>
      <c r="AM1456" s="27">
        <v>34.032142</v>
      </c>
      <c r="AO1456" s="29">
        <v>6.7506740000000001</v>
      </c>
      <c r="AP1456" s="11"/>
    </row>
    <row r="1457" spans="2:42" hidden="1" outlineLevel="1" x14ac:dyDescent="0.25">
      <c r="B1457" s="21">
        <v>43773</v>
      </c>
      <c r="C1457" s="27">
        <v>19.105799999999999</v>
      </c>
      <c r="E1457" s="30">
        <v>0.89658800000000005</v>
      </c>
      <c r="G1457" s="27">
        <v>59.622549999999997</v>
      </c>
      <c r="I1457" s="29">
        <v>6.9112299999999998</v>
      </c>
      <c r="K1457" s="29">
        <v>3.9963630000000001</v>
      </c>
      <c r="M1457" s="41">
        <v>742.81010600000002</v>
      </c>
      <c r="O1457" s="26">
        <v>3345.2779869999999</v>
      </c>
      <c r="Q1457" s="26">
        <v>6446.1030099999998</v>
      </c>
      <c r="S1457" s="26">
        <v>1613.006938</v>
      </c>
      <c r="U1457" s="29">
        <v>3.3398979999999998</v>
      </c>
      <c r="W1457" s="14">
        <v>37.445996000000001</v>
      </c>
      <c r="Y1457" s="29">
        <v>9.3700740000000007</v>
      </c>
      <c r="AA1457" s="41">
        <v>582.04042500000003</v>
      </c>
      <c r="AC1457" s="27">
        <v>52.837291</v>
      </c>
      <c r="AE1457" s="27">
        <v>1</v>
      </c>
      <c r="AG1457" s="29">
        <v>7.7141630000000001</v>
      </c>
      <c r="AI1457" s="29">
        <v>8.75</v>
      </c>
      <c r="AK1457" s="27">
        <v>24.66095</v>
      </c>
      <c r="AM1457" s="27">
        <v>33.966707999999997</v>
      </c>
      <c r="AO1457" s="29">
        <v>6.7551649999999999</v>
      </c>
      <c r="AP1457" s="11"/>
    </row>
    <row r="1458" spans="2:42" hidden="1" outlineLevel="1" x14ac:dyDescent="0.25">
      <c r="B1458" s="21">
        <v>43774</v>
      </c>
      <c r="C1458" s="27">
        <v>19.1525</v>
      </c>
      <c r="E1458" s="30">
        <v>0.90065200000000001</v>
      </c>
      <c r="G1458" s="27">
        <v>59.655000000000001</v>
      </c>
      <c r="I1458" s="29">
        <v>6.9178899999999999</v>
      </c>
      <c r="K1458" s="29">
        <v>4.0047430000000004</v>
      </c>
      <c r="M1458" s="41">
        <v>746.90502100000003</v>
      </c>
      <c r="O1458" s="26">
        <v>3324.491532</v>
      </c>
      <c r="Q1458" s="26">
        <v>6445.6565380000002</v>
      </c>
      <c r="S1458" s="26">
        <v>1609.5180780000001</v>
      </c>
      <c r="U1458" s="29">
        <v>3.3403700000000001</v>
      </c>
      <c r="W1458" s="14">
        <v>37.460020999999998</v>
      </c>
      <c r="Y1458" s="29">
        <v>9.3539569999999994</v>
      </c>
      <c r="AA1458" s="41">
        <v>583.303856</v>
      </c>
      <c r="AC1458" s="27">
        <v>52.883983999999998</v>
      </c>
      <c r="AE1458" s="27">
        <v>1</v>
      </c>
      <c r="AG1458" s="29">
        <v>7.7170199999999998</v>
      </c>
      <c r="AI1458" s="29">
        <v>8.75</v>
      </c>
      <c r="AK1458" s="27">
        <v>24.677344000000002</v>
      </c>
      <c r="AM1458" s="27">
        <v>33.957355999999997</v>
      </c>
      <c r="AO1458" s="29">
        <v>6.7701269999999996</v>
      </c>
      <c r="AP1458" s="11"/>
    </row>
    <row r="1459" spans="2:42" hidden="1" outlineLevel="1" x14ac:dyDescent="0.25">
      <c r="B1459" s="21">
        <v>43775</v>
      </c>
      <c r="C1459" s="27">
        <v>19.212499999999999</v>
      </c>
      <c r="E1459" s="30">
        <v>0.90281199999999995</v>
      </c>
      <c r="G1459" s="27">
        <v>59.660338000000003</v>
      </c>
      <c r="I1459" s="29">
        <v>6.9216660000000001</v>
      </c>
      <c r="K1459" s="29">
        <v>4.0251580000000002</v>
      </c>
      <c r="M1459" s="41">
        <v>747.64882999999998</v>
      </c>
      <c r="O1459" s="26">
        <v>3324.9336859999999</v>
      </c>
      <c r="Q1459" s="26">
        <v>6443.6691680000004</v>
      </c>
      <c r="S1459" s="26">
        <v>1600.86121</v>
      </c>
      <c r="U1459" s="29">
        <v>3.3426749999999998</v>
      </c>
      <c r="W1459" s="14">
        <v>37.43385</v>
      </c>
      <c r="Y1459" s="29">
        <v>9.3000159999999994</v>
      </c>
      <c r="AA1459" s="41">
        <v>583.77796799999999</v>
      </c>
      <c r="AC1459" s="27">
        <v>52.870876000000003</v>
      </c>
      <c r="AE1459" s="27">
        <v>1</v>
      </c>
      <c r="AG1459" s="29">
        <v>7.7167450000000004</v>
      </c>
      <c r="AI1459" s="29">
        <v>8.75</v>
      </c>
      <c r="AK1459" s="27">
        <v>24.677814000000001</v>
      </c>
      <c r="AM1459" s="27">
        <v>33.897311999999999</v>
      </c>
      <c r="AO1459" s="29">
        <v>6.7752819999999998</v>
      </c>
      <c r="AP1459" s="11"/>
    </row>
    <row r="1460" spans="2:42" hidden="1" outlineLevel="1" x14ac:dyDescent="0.25">
      <c r="B1460" s="21">
        <v>43776</v>
      </c>
      <c r="C1460" s="27">
        <v>19.1953</v>
      </c>
      <c r="E1460" s="30">
        <v>0.90402400000000005</v>
      </c>
      <c r="G1460" s="27">
        <v>59.636161000000001</v>
      </c>
      <c r="I1460" s="29">
        <v>6.9201519999999999</v>
      </c>
      <c r="K1460" s="29">
        <v>4.087116</v>
      </c>
      <c r="M1460" s="41">
        <v>745.62722799999995</v>
      </c>
      <c r="O1460" s="26">
        <v>3319.77981</v>
      </c>
      <c r="Q1460" s="26">
        <v>6442.8470319999997</v>
      </c>
      <c r="S1460" s="26">
        <v>1576.391838</v>
      </c>
      <c r="U1460" s="29">
        <v>3.342444</v>
      </c>
      <c r="W1460" s="14">
        <v>37.365948000000003</v>
      </c>
      <c r="Y1460" s="29">
        <v>9.1424179999999993</v>
      </c>
      <c r="AA1460" s="41">
        <v>584.24749699999995</v>
      </c>
      <c r="AC1460" s="27">
        <v>52.840997999999999</v>
      </c>
      <c r="AE1460" s="27">
        <v>1</v>
      </c>
      <c r="AG1460" s="29">
        <v>7.7112509999999999</v>
      </c>
      <c r="AI1460" s="29">
        <v>8.75</v>
      </c>
      <c r="AK1460" s="27">
        <v>24.664437</v>
      </c>
      <c r="AM1460" s="27">
        <v>33.873953999999998</v>
      </c>
      <c r="AO1460" s="29">
        <v>6.7747970000000004</v>
      </c>
      <c r="AP1460" s="11"/>
    </row>
    <row r="1461" spans="2:42" hidden="1" outlineLevel="1" x14ac:dyDescent="0.25">
      <c r="B1461" s="21">
        <v>43777</v>
      </c>
      <c r="C1461" s="27">
        <v>19.1327</v>
      </c>
      <c r="E1461" s="30">
        <v>0.90617000000000003</v>
      </c>
      <c r="G1461" s="27">
        <v>59.563547999999997</v>
      </c>
      <c r="I1461" s="29">
        <v>6.9228800000000001</v>
      </c>
      <c r="K1461" s="29">
        <v>4.1247069999999999</v>
      </c>
      <c r="M1461" s="41">
        <v>746.89243799999997</v>
      </c>
      <c r="O1461" s="26">
        <v>3337.6292010000002</v>
      </c>
      <c r="Q1461" s="26">
        <v>6448.000344</v>
      </c>
      <c r="S1461" s="26">
        <v>1563.2742229999999</v>
      </c>
      <c r="U1461" s="29">
        <v>3.34666</v>
      </c>
      <c r="W1461" s="14">
        <v>37.459746000000003</v>
      </c>
      <c r="Y1461" s="29">
        <v>9.0818359999999991</v>
      </c>
      <c r="AA1461" s="41">
        <v>585.45679299999995</v>
      </c>
      <c r="AC1461" s="27">
        <v>52.914580999999998</v>
      </c>
      <c r="AE1461" s="27">
        <v>1</v>
      </c>
      <c r="AG1461" s="29">
        <v>7.7118190000000002</v>
      </c>
      <c r="AI1461" s="29">
        <v>8.75</v>
      </c>
      <c r="AK1461" s="27">
        <v>24.671925999999999</v>
      </c>
      <c r="AM1461" s="27">
        <v>33.863008000000001</v>
      </c>
      <c r="AO1461" s="29">
        <v>6.7800380000000002</v>
      </c>
      <c r="AP1461" s="11"/>
    </row>
    <row r="1462" spans="2:42" hidden="1" outlineLevel="1" x14ac:dyDescent="0.25">
      <c r="B1462" s="21">
        <v>43778</v>
      </c>
      <c r="C1462" s="27">
        <v>19.1327</v>
      </c>
      <c r="E1462" s="30">
        <v>0.90751099999999996</v>
      </c>
      <c r="G1462" s="27">
        <v>59.503300000000003</v>
      </c>
      <c r="I1462" s="29">
        <v>6.9175550000000001</v>
      </c>
      <c r="K1462" s="29">
        <v>4.1635</v>
      </c>
      <c r="M1462" s="41">
        <v>748.93499999999995</v>
      </c>
      <c r="O1462" s="26">
        <v>3339.4175</v>
      </c>
      <c r="Q1462" s="26">
        <v>6444.7292500000003</v>
      </c>
      <c r="S1462" s="26">
        <v>1547.9218020000001</v>
      </c>
      <c r="U1462" s="29">
        <v>3.351925</v>
      </c>
      <c r="W1462" s="14">
        <v>37.452787000000001</v>
      </c>
      <c r="Y1462" s="29">
        <v>8.995552</v>
      </c>
      <c r="AA1462" s="41">
        <v>585.17924800000003</v>
      </c>
      <c r="AC1462" s="27">
        <v>52.945</v>
      </c>
      <c r="AE1462" s="27">
        <v>1</v>
      </c>
      <c r="AG1462" s="29">
        <v>7.7054679999999998</v>
      </c>
      <c r="AI1462" s="29">
        <v>8.75</v>
      </c>
      <c r="AK1462" s="27">
        <v>24.682300000000001</v>
      </c>
      <c r="AM1462" s="27">
        <v>33.875999999999998</v>
      </c>
      <c r="AO1462" s="29">
        <v>6.776942</v>
      </c>
      <c r="AP1462" s="11"/>
    </row>
    <row r="1463" spans="2:42" hidden="1" outlineLevel="1" x14ac:dyDescent="0.25">
      <c r="B1463" s="21">
        <v>43779</v>
      </c>
      <c r="C1463" s="27">
        <v>19.1327</v>
      </c>
      <c r="E1463" s="30">
        <v>0.907497</v>
      </c>
      <c r="G1463" s="27">
        <v>59.502754000000003</v>
      </c>
      <c r="I1463" s="29">
        <v>6.9175550000000001</v>
      </c>
      <c r="K1463" s="29">
        <v>4.1634960000000003</v>
      </c>
      <c r="M1463" s="41">
        <v>748.93751599999996</v>
      </c>
      <c r="O1463" s="26">
        <v>3339.4004180000002</v>
      </c>
      <c r="Q1463" s="26">
        <v>6444.7292500000003</v>
      </c>
      <c r="S1463" s="26">
        <v>1547.9231850000001</v>
      </c>
      <c r="U1463" s="29">
        <v>3.352255</v>
      </c>
      <c r="W1463" s="14">
        <v>37.453094</v>
      </c>
      <c r="Y1463" s="29">
        <v>8.9956320000000005</v>
      </c>
      <c r="AA1463" s="41">
        <v>585.17924800000003</v>
      </c>
      <c r="AC1463" s="27">
        <v>52.945</v>
      </c>
      <c r="AE1463" s="27">
        <v>1</v>
      </c>
      <c r="AG1463" s="29">
        <v>7.7054679999999998</v>
      </c>
      <c r="AI1463" s="29">
        <v>8.75</v>
      </c>
      <c r="AK1463" s="27">
        <v>24.682300000000001</v>
      </c>
      <c r="AM1463" s="27">
        <v>33.875999999999998</v>
      </c>
      <c r="AO1463" s="29">
        <v>6.776942</v>
      </c>
      <c r="AP1463" s="11"/>
    </row>
    <row r="1464" spans="2:42" hidden="1" outlineLevel="1" x14ac:dyDescent="0.25">
      <c r="B1464" s="21">
        <v>43780</v>
      </c>
      <c r="C1464" s="27">
        <v>19.1068</v>
      </c>
      <c r="E1464" s="30">
        <v>0.90660700000000005</v>
      </c>
      <c r="G1464" s="27">
        <v>59.562641999999997</v>
      </c>
      <c r="I1464" s="29">
        <v>6.9169479999999997</v>
      </c>
      <c r="K1464" s="29">
        <v>4.1579819999999996</v>
      </c>
      <c r="M1464" s="41">
        <v>755.18985399999997</v>
      </c>
      <c r="O1464" s="26">
        <v>3330.852214</v>
      </c>
      <c r="Q1464" s="26">
        <v>6448.6871039999996</v>
      </c>
      <c r="S1464" s="26">
        <v>1550.9533060000001</v>
      </c>
      <c r="U1464" s="29">
        <v>3.3485119999999999</v>
      </c>
      <c r="W1464" s="14">
        <v>37.460000999999998</v>
      </c>
      <c r="Y1464" s="29">
        <v>9.0093080000000008</v>
      </c>
      <c r="AA1464" s="41">
        <v>585.47737299999994</v>
      </c>
      <c r="AC1464" s="27">
        <v>52.875584000000003</v>
      </c>
      <c r="AE1464" s="27">
        <v>1</v>
      </c>
      <c r="AG1464" s="29">
        <v>7.7040240000000004</v>
      </c>
      <c r="AI1464" s="29">
        <v>8.75</v>
      </c>
      <c r="AK1464" s="27">
        <v>24.646653000000001</v>
      </c>
      <c r="AM1464" s="27">
        <v>33.781598000000002</v>
      </c>
      <c r="AO1464" s="29">
        <v>6.7775720000000002</v>
      </c>
      <c r="AP1464" s="11"/>
    </row>
    <row r="1465" spans="2:42" hidden="1" outlineLevel="1" x14ac:dyDescent="0.25">
      <c r="B1465" s="21">
        <v>43781</v>
      </c>
      <c r="C1465" s="27">
        <v>19.109000000000002</v>
      </c>
      <c r="E1465" s="30">
        <v>0.90733799999999998</v>
      </c>
      <c r="G1465" s="27">
        <v>59.640410000000003</v>
      </c>
      <c r="I1465" s="29">
        <v>6.9150119999999999</v>
      </c>
      <c r="K1465" s="29">
        <v>4.1608599999999996</v>
      </c>
      <c r="M1465" s="41">
        <v>773.92191500000001</v>
      </c>
      <c r="O1465" s="26">
        <v>3336.925886</v>
      </c>
      <c r="Q1465" s="26">
        <v>6456.1602979999998</v>
      </c>
      <c r="S1465" s="26">
        <v>1551.6522440000001</v>
      </c>
      <c r="U1465" s="29">
        <v>3.3592460000000002</v>
      </c>
      <c r="W1465" s="14">
        <v>37.460557999999999</v>
      </c>
      <c r="Y1465" s="29">
        <v>9.0031210000000002</v>
      </c>
      <c r="AA1465" s="41">
        <v>585.38238799999999</v>
      </c>
      <c r="AC1465" s="27">
        <v>52.870468000000002</v>
      </c>
      <c r="AE1465" s="27">
        <v>1</v>
      </c>
      <c r="AG1465" s="29">
        <v>7.7024809999999997</v>
      </c>
      <c r="AI1465" s="29">
        <v>8.75</v>
      </c>
      <c r="AK1465" s="27">
        <v>24.635463999999999</v>
      </c>
      <c r="AM1465" s="27">
        <v>33.738298</v>
      </c>
      <c r="AO1465" s="29">
        <v>6.77637</v>
      </c>
      <c r="AP1465" s="11"/>
    </row>
    <row r="1466" spans="2:42" hidden="1" outlineLevel="1" x14ac:dyDescent="0.25">
      <c r="B1466" s="21">
        <v>43782</v>
      </c>
      <c r="C1466" s="27">
        <v>19.2178</v>
      </c>
      <c r="E1466" s="30">
        <v>0.90836600000000001</v>
      </c>
      <c r="G1466" s="27">
        <v>59.661987000000003</v>
      </c>
      <c r="I1466" s="29">
        <v>6.9185939999999997</v>
      </c>
      <c r="K1466" s="29">
        <v>4.172555</v>
      </c>
      <c r="M1466" s="41">
        <v>790.094471</v>
      </c>
      <c r="O1466" s="26">
        <v>3383.3227940000002</v>
      </c>
      <c r="Q1466" s="26">
        <v>6471.0145929999999</v>
      </c>
      <c r="S1466" s="26">
        <v>1550.8640800000001</v>
      </c>
      <c r="U1466" s="29">
        <v>3.3802639999999999</v>
      </c>
      <c r="W1466" s="14">
        <v>37.532397000000003</v>
      </c>
      <c r="Y1466" s="29">
        <v>8.9951059999999998</v>
      </c>
      <c r="AA1466" s="41">
        <v>585.30195100000003</v>
      </c>
      <c r="AC1466" s="27">
        <v>52.849468000000002</v>
      </c>
      <c r="AE1466" s="27">
        <v>1</v>
      </c>
      <c r="AG1466" s="29">
        <v>7.7089660000000002</v>
      </c>
      <c r="AI1466" s="29">
        <v>8.75</v>
      </c>
      <c r="AK1466" s="27">
        <v>24.634988</v>
      </c>
      <c r="AM1466" s="27">
        <v>33.753611999999997</v>
      </c>
      <c r="AO1466" s="29">
        <v>6.7810319999999997</v>
      </c>
      <c r="AP1466" s="11"/>
    </row>
    <row r="1467" spans="2:42" hidden="1" outlineLevel="1" x14ac:dyDescent="0.25">
      <c r="B1467" s="21">
        <v>43783</v>
      </c>
      <c r="C1467" s="27">
        <v>19.4543</v>
      </c>
      <c r="E1467" s="30">
        <v>0.90848799999999996</v>
      </c>
      <c r="G1467" s="27">
        <v>59.681767000000001</v>
      </c>
      <c r="I1467" s="29">
        <v>6.916531</v>
      </c>
      <c r="K1467" s="29">
        <v>4.1800579999999998</v>
      </c>
      <c r="M1467" s="41">
        <v>799.66955700000005</v>
      </c>
      <c r="O1467" s="26">
        <v>3429.0744319999999</v>
      </c>
      <c r="Q1467" s="26">
        <v>6463.5228500000003</v>
      </c>
      <c r="S1467" s="26">
        <v>1546.288536</v>
      </c>
      <c r="U1467" s="29">
        <v>3.389186</v>
      </c>
      <c r="W1467" s="14">
        <v>37.559958000000002</v>
      </c>
      <c r="Y1467" s="29">
        <v>8.9855680000000007</v>
      </c>
      <c r="AA1467" s="41">
        <v>584.25695399999995</v>
      </c>
      <c r="AC1467" s="27">
        <v>52.831014000000003</v>
      </c>
      <c r="AE1467" s="27">
        <v>1</v>
      </c>
      <c r="AG1467" s="29">
        <v>7.7067100000000002</v>
      </c>
      <c r="AI1467" s="29">
        <v>8.75</v>
      </c>
      <c r="AK1467" s="27">
        <v>24.635538</v>
      </c>
      <c r="AM1467" s="27">
        <v>33.760725999999998</v>
      </c>
      <c r="AO1467" s="29">
        <v>6.7782780000000002</v>
      </c>
      <c r="AP1467" s="11"/>
    </row>
    <row r="1468" spans="2:42" hidden="1" outlineLevel="1" x14ac:dyDescent="0.25">
      <c r="B1468" s="21">
        <v>43784</v>
      </c>
      <c r="C1468" s="27">
        <v>19.422799999999999</v>
      </c>
      <c r="E1468" s="30">
        <v>0.906138</v>
      </c>
      <c r="G1468" s="27">
        <v>59.619669999999999</v>
      </c>
      <c r="I1468" s="29">
        <v>6.911098</v>
      </c>
      <c r="K1468" s="29">
        <v>4.1959679999999997</v>
      </c>
      <c r="M1468" s="41">
        <v>796.86878300000001</v>
      </c>
      <c r="O1468" s="26">
        <v>3435.508726</v>
      </c>
      <c r="Q1468" s="26">
        <v>6451.3520060000001</v>
      </c>
      <c r="S1468" s="26">
        <v>1537.523506</v>
      </c>
      <c r="U1468" s="29">
        <v>3.3773960000000001</v>
      </c>
      <c r="W1468" s="14">
        <v>37.54701</v>
      </c>
      <c r="Y1468" s="29">
        <v>8.9483949999999997</v>
      </c>
      <c r="AA1468" s="41">
        <v>583.07699200000002</v>
      </c>
      <c r="AC1468" s="27">
        <v>52.792923999999999</v>
      </c>
      <c r="AE1468" s="27">
        <v>1</v>
      </c>
      <c r="AG1468" s="29">
        <v>7.7007000000000003</v>
      </c>
      <c r="AI1468" s="29">
        <v>8.75</v>
      </c>
      <c r="AK1468" s="27">
        <v>24.62903</v>
      </c>
      <c r="AM1468" s="27">
        <v>33.799498</v>
      </c>
      <c r="AO1468" s="29">
        <v>6.7731110000000001</v>
      </c>
      <c r="AP1468" s="11"/>
    </row>
    <row r="1469" spans="2:42" hidden="1" outlineLevel="1" x14ac:dyDescent="0.25">
      <c r="B1469" s="21">
        <v>43785</v>
      </c>
      <c r="C1469" s="27">
        <v>19.422799999999999</v>
      </c>
      <c r="E1469" s="30">
        <v>0.90486200000000006</v>
      </c>
      <c r="G1469" s="27">
        <v>59.597250000000003</v>
      </c>
      <c r="I1469" s="29">
        <v>6.9163819999999996</v>
      </c>
      <c r="K1469" s="29">
        <v>4.1962000000000002</v>
      </c>
      <c r="M1469" s="41">
        <v>775.40250000000003</v>
      </c>
      <c r="O1469" s="26">
        <v>3431.2975000000001</v>
      </c>
      <c r="Q1469" s="26">
        <v>6452.0429999999997</v>
      </c>
      <c r="S1469" s="26">
        <v>1537.602118</v>
      </c>
      <c r="U1469" s="29">
        <v>3.36625</v>
      </c>
      <c r="W1469" s="14">
        <v>37.632658999999997</v>
      </c>
      <c r="Y1469" s="29">
        <v>8.9683159999999997</v>
      </c>
      <c r="AA1469" s="41">
        <v>583.40431000000001</v>
      </c>
      <c r="AC1469" s="27">
        <v>52.838552999999997</v>
      </c>
      <c r="AE1469" s="27">
        <v>1</v>
      </c>
      <c r="AG1469" s="29">
        <v>7.7066739999999996</v>
      </c>
      <c r="AI1469" s="29">
        <v>8.75</v>
      </c>
      <c r="AK1469" s="27">
        <v>24.6783</v>
      </c>
      <c r="AM1469" s="27">
        <v>33.934750000000001</v>
      </c>
      <c r="AO1469" s="29">
        <v>6.7785390000000003</v>
      </c>
      <c r="AP1469" s="11"/>
    </row>
    <row r="1470" spans="2:42" hidden="1" outlineLevel="1" x14ac:dyDescent="0.25">
      <c r="B1470" s="21">
        <v>43786</v>
      </c>
      <c r="C1470" s="27">
        <v>19.422799999999999</v>
      </c>
      <c r="E1470" s="30">
        <v>0.90485599999999999</v>
      </c>
      <c r="G1470" s="27">
        <v>59.592179999999999</v>
      </c>
      <c r="I1470" s="29">
        <v>6.9163819999999996</v>
      </c>
      <c r="K1470" s="29">
        <v>4.1962000000000002</v>
      </c>
      <c r="M1470" s="41">
        <v>775.40236500000003</v>
      </c>
      <c r="O1470" s="26">
        <v>3431.3047620000002</v>
      </c>
      <c r="Q1470" s="26">
        <v>6452.0429999999997</v>
      </c>
      <c r="S1470" s="26">
        <v>1537.602118</v>
      </c>
      <c r="U1470" s="29">
        <v>3.3657240000000002</v>
      </c>
      <c r="W1470" s="14">
        <v>37.630920000000003</v>
      </c>
      <c r="Y1470" s="29">
        <v>8.9679020000000005</v>
      </c>
      <c r="AA1470" s="41">
        <v>583.40431000000001</v>
      </c>
      <c r="AC1470" s="27">
        <v>52.838552999999997</v>
      </c>
      <c r="AE1470" s="27">
        <v>1</v>
      </c>
      <c r="AG1470" s="29">
        <v>7.7066739999999996</v>
      </c>
      <c r="AI1470" s="29">
        <v>8.75</v>
      </c>
      <c r="AK1470" s="27">
        <v>24.6783</v>
      </c>
      <c r="AM1470" s="27">
        <v>33.934750000000001</v>
      </c>
      <c r="AO1470" s="29">
        <v>6.7785390000000003</v>
      </c>
      <c r="AP1470" s="11"/>
    </row>
    <row r="1471" spans="2:42" hidden="1" outlineLevel="1" x14ac:dyDescent="0.25">
      <c r="B1471" s="21">
        <v>43787</v>
      </c>
      <c r="C1471" s="27">
        <v>19.422799999999999</v>
      </c>
      <c r="E1471" s="30">
        <v>0.90362600000000004</v>
      </c>
      <c r="G1471" s="27">
        <v>59.500661999999998</v>
      </c>
      <c r="I1471" s="29">
        <v>6.9091500000000003</v>
      </c>
      <c r="K1471" s="29">
        <v>4.1966219999999996</v>
      </c>
      <c r="M1471" s="41">
        <v>770.31027600000004</v>
      </c>
      <c r="O1471" s="26">
        <v>3438.593582</v>
      </c>
      <c r="Q1471" s="26">
        <v>6442.6523610000004</v>
      </c>
      <c r="S1471" s="26">
        <v>1535.2101600000001</v>
      </c>
      <c r="U1471" s="29">
        <v>3.3715480000000002</v>
      </c>
      <c r="W1471" s="14">
        <v>37.586584999999999</v>
      </c>
      <c r="Y1471" s="29">
        <v>8.9564269999999997</v>
      </c>
      <c r="AA1471" s="41">
        <v>581.77004199999999</v>
      </c>
      <c r="AC1471" s="27">
        <v>52.751592000000002</v>
      </c>
      <c r="AE1471" s="27">
        <v>1</v>
      </c>
      <c r="AG1471" s="29">
        <v>7.6985000000000001</v>
      </c>
      <c r="AI1471" s="29">
        <v>8.75</v>
      </c>
      <c r="AK1471" s="27">
        <v>24.601444000000001</v>
      </c>
      <c r="AM1471" s="27">
        <v>33.693931999999997</v>
      </c>
      <c r="AO1471" s="29">
        <v>6.7693219999999998</v>
      </c>
      <c r="AP1471" s="11"/>
    </row>
    <row r="1472" spans="2:42" hidden="1" outlineLevel="1" x14ac:dyDescent="0.25">
      <c r="B1472" s="21">
        <v>43788</v>
      </c>
      <c r="C1472" s="27">
        <v>19.206299999999999</v>
      </c>
      <c r="E1472" s="30">
        <v>0.90290099999999995</v>
      </c>
      <c r="G1472" s="27">
        <v>59.538350000000001</v>
      </c>
      <c r="I1472" s="29">
        <v>6.9106459999999998</v>
      </c>
      <c r="K1472" s="29">
        <v>4.2097379999999998</v>
      </c>
      <c r="M1472" s="41">
        <v>782.87836600000003</v>
      </c>
      <c r="O1472" s="26">
        <v>3435.7653180000002</v>
      </c>
      <c r="Q1472" s="26">
        <v>6437.1324240000004</v>
      </c>
      <c r="S1472" s="26">
        <v>1529.1163730000001</v>
      </c>
      <c r="U1472" s="29">
        <v>3.371588</v>
      </c>
      <c r="W1472" s="14">
        <v>37.654153999999998</v>
      </c>
      <c r="Y1472" s="29">
        <v>8.9445739999999994</v>
      </c>
      <c r="AA1472" s="41">
        <v>580.12633200000005</v>
      </c>
      <c r="AC1472" s="27">
        <v>52.745525999999998</v>
      </c>
      <c r="AE1472" s="27">
        <v>1</v>
      </c>
      <c r="AG1472" s="29">
        <v>7.6994899999999999</v>
      </c>
      <c r="AI1472" s="29">
        <v>8.75</v>
      </c>
      <c r="AK1472" s="27">
        <v>24.615773999999998</v>
      </c>
      <c r="AM1472" s="27">
        <v>33.730235999999998</v>
      </c>
      <c r="AO1472" s="29">
        <v>6.7685279999999999</v>
      </c>
      <c r="AP1472" s="11"/>
    </row>
    <row r="1473" spans="2:42" hidden="1" outlineLevel="1" x14ac:dyDescent="0.25">
      <c r="B1473" s="21">
        <v>43789</v>
      </c>
      <c r="C1473" s="27">
        <v>19.3687</v>
      </c>
      <c r="E1473" s="30">
        <v>0.90340799999999999</v>
      </c>
      <c r="G1473" s="27">
        <v>59.660499999999999</v>
      </c>
      <c r="I1473" s="29">
        <v>6.9115339999999996</v>
      </c>
      <c r="K1473" s="29">
        <v>4.194998</v>
      </c>
      <c r="M1473" s="41">
        <v>793.80589599999996</v>
      </c>
      <c r="O1473" s="26">
        <v>3441.8968420000001</v>
      </c>
      <c r="Q1473" s="26">
        <v>6444.1209399999998</v>
      </c>
      <c r="S1473" s="26">
        <v>1536.1569119999999</v>
      </c>
      <c r="U1473" s="29">
        <v>3.377408</v>
      </c>
      <c r="W1473" s="14">
        <v>37.640765000000002</v>
      </c>
      <c r="Y1473" s="29">
        <v>8.9728279999999998</v>
      </c>
      <c r="AA1473" s="41">
        <v>579.10196199999996</v>
      </c>
      <c r="AC1473" s="27">
        <v>52.777878000000001</v>
      </c>
      <c r="AE1473" s="27">
        <v>1</v>
      </c>
      <c r="AG1473" s="29">
        <v>7.7030510000000003</v>
      </c>
      <c r="AI1473" s="29">
        <v>8.75</v>
      </c>
      <c r="AK1473" s="27">
        <v>24.631025999999999</v>
      </c>
      <c r="AM1473" s="27">
        <v>33.798836000000001</v>
      </c>
      <c r="AO1473" s="29">
        <v>6.7704599999999999</v>
      </c>
      <c r="AP1473" s="11"/>
    </row>
    <row r="1474" spans="2:42" hidden="1" outlineLevel="1" x14ac:dyDescent="0.25">
      <c r="B1474" s="21">
        <v>43790</v>
      </c>
      <c r="C1474" s="27">
        <v>19.48</v>
      </c>
      <c r="E1474" s="30">
        <v>0.90308900000000003</v>
      </c>
      <c r="G1474" s="27">
        <v>59.709090000000003</v>
      </c>
      <c r="I1474" s="29">
        <v>6.9090259999999999</v>
      </c>
      <c r="K1474" s="29">
        <v>4.1982140000000001</v>
      </c>
      <c r="M1474" s="41">
        <v>795.83869400000003</v>
      </c>
      <c r="O1474" s="26">
        <v>3439.2997679999999</v>
      </c>
      <c r="Q1474" s="26">
        <v>6451.1277879999998</v>
      </c>
      <c r="S1474" s="26">
        <v>1536.651149</v>
      </c>
      <c r="U1474" s="29">
        <v>3.3771740000000001</v>
      </c>
      <c r="W1474" s="14">
        <v>37.647098</v>
      </c>
      <c r="Y1474" s="29">
        <v>8.9674680000000002</v>
      </c>
      <c r="AA1474" s="41">
        <v>578.48992999999996</v>
      </c>
      <c r="AC1474" s="27">
        <v>52.754925999999998</v>
      </c>
      <c r="AE1474" s="27">
        <v>1</v>
      </c>
      <c r="AG1474" s="29">
        <v>7.7046409999999996</v>
      </c>
      <c r="AI1474" s="29">
        <v>8.75</v>
      </c>
      <c r="AK1474" s="27">
        <v>24.601626</v>
      </c>
      <c r="AM1474" s="27">
        <v>33.791814000000002</v>
      </c>
      <c r="AO1474" s="29">
        <v>6.7667099999999998</v>
      </c>
      <c r="AP1474" s="11"/>
    </row>
    <row r="1475" spans="2:42" hidden="1" outlineLevel="1" x14ac:dyDescent="0.25">
      <c r="B1475" s="21">
        <v>43791</v>
      </c>
      <c r="C1475" s="27">
        <v>19.413799999999998</v>
      </c>
      <c r="E1475" s="30">
        <v>0.90510400000000002</v>
      </c>
      <c r="G1475" s="27">
        <v>59.761234999999999</v>
      </c>
      <c r="I1475" s="29">
        <v>6.9164539999999999</v>
      </c>
      <c r="K1475" s="29">
        <v>4.1909359999999998</v>
      </c>
      <c r="M1475" s="41">
        <v>800.38463999999999</v>
      </c>
      <c r="O1475" s="26">
        <v>3432.287828</v>
      </c>
      <c r="Q1475" s="26">
        <v>6456.7612710000003</v>
      </c>
      <c r="S1475" s="26">
        <v>1540.6609960000001</v>
      </c>
      <c r="U1475" s="29">
        <v>3.3783660000000002</v>
      </c>
      <c r="W1475" s="14">
        <v>37.733969000000002</v>
      </c>
      <c r="Y1475" s="29">
        <v>9.0037509999999994</v>
      </c>
      <c r="AA1475" s="41">
        <v>576.64833999999996</v>
      </c>
      <c r="AC1475" s="27">
        <v>52.80818</v>
      </c>
      <c r="AE1475" s="27">
        <v>1</v>
      </c>
      <c r="AG1475" s="29">
        <v>7.7082850000000001</v>
      </c>
      <c r="AI1475" s="29">
        <v>8.75</v>
      </c>
      <c r="AK1475" s="27">
        <v>24.646577000000001</v>
      </c>
      <c r="AM1475" s="27">
        <v>33.840440000000001</v>
      </c>
      <c r="AO1475" s="29">
        <v>6.7725169999999997</v>
      </c>
      <c r="AP1475" s="11"/>
    </row>
    <row r="1476" spans="2:42" hidden="1" outlineLevel="1" x14ac:dyDescent="0.25">
      <c r="B1476" s="21">
        <v>43792</v>
      </c>
      <c r="C1476" s="27">
        <v>19.413799999999998</v>
      </c>
      <c r="E1476" s="30">
        <v>0.90747</v>
      </c>
      <c r="G1476" s="27">
        <v>59.792974999999998</v>
      </c>
      <c r="I1476" s="29">
        <v>6.9133990000000001</v>
      </c>
      <c r="K1476" s="29">
        <v>4.1965250000000003</v>
      </c>
      <c r="M1476" s="41">
        <v>800.1</v>
      </c>
      <c r="O1476" s="26">
        <v>3424.6174999999998</v>
      </c>
      <c r="Q1476" s="26">
        <v>6452.2534249999999</v>
      </c>
      <c r="S1476" s="26">
        <v>1537.5382340000001</v>
      </c>
      <c r="U1476" s="29">
        <v>3.3773</v>
      </c>
      <c r="W1476" s="14">
        <v>37.727777000000003</v>
      </c>
      <c r="Y1476" s="29">
        <v>8.9903110000000002</v>
      </c>
      <c r="AA1476" s="41">
        <v>574.78552500000001</v>
      </c>
      <c r="AC1476" s="27">
        <v>52.786684000000001</v>
      </c>
      <c r="AE1476" s="27">
        <v>1</v>
      </c>
      <c r="AG1476" s="29">
        <v>7.7009920000000003</v>
      </c>
      <c r="AI1476" s="29">
        <v>8.75</v>
      </c>
      <c r="AK1476" s="27">
        <v>24.669225000000001</v>
      </c>
      <c r="AM1476" s="27">
        <v>33.8735</v>
      </c>
      <c r="AO1476" s="29">
        <v>6.7686479999999998</v>
      </c>
      <c r="AP1476" s="11"/>
    </row>
    <row r="1477" spans="2:42" hidden="1" outlineLevel="1" x14ac:dyDescent="0.25">
      <c r="B1477" s="21">
        <v>43793</v>
      </c>
      <c r="C1477" s="27">
        <v>19.413799999999998</v>
      </c>
      <c r="E1477" s="30">
        <v>0.90746000000000004</v>
      </c>
      <c r="G1477" s="27">
        <v>59.792451</v>
      </c>
      <c r="I1477" s="29">
        <v>6.9133990000000001</v>
      </c>
      <c r="K1477" s="29">
        <v>4.1965120000000002</v>
      </c>
      <c r="M1477" s="41">
        <v>800.13730999999996</v>
      </c>
      <c r="O1477" s="26">
        <v>3424.6942260000001</v>
      </c>
      <c r="Q1477" s="26">
        <v>6452.2534249999999</v>
      </c>
      <c r="S1477" s="26">
        <v>1537.5431000000001</v>
      </c>
      <c r="U1477" s="29">
        <v>3.3773</v>
      </c>
      <c r="W1477" s="14">
        <v>37.726652000000001</v>
      </c>
      <c r="Y1477" s="29">
        <v>8.9900699999999993</v>
      </c>
      <c r="AA1477" s="41">
        <v>574.78552500000001</v>
      </c>
      <c r="AC1477" s="27">
        <v>52.786684000000001</v>
      </c>
      <c r="AE1477" s="27">
        <v>1</v>
      </c>
      <c r="AG1477" s="29">
        <v>7.7009920000000003</v>
      </c>
      <c r="AI1477" s="29">
        <v>8.75</v>
      </c>
      <c r="AK1477" s="27">
        <v>24.669225000000001</v>
      </c>
      <c r="AM1477" s="27">
        <v>33.8735</v>
      </c>
      <c r="AO1477" s="29">
        <v>6.7686479999999998</v>
      </c>
      <c r="AP1477" s="11"/>
    </row>
    <row r="1478" spans="2:42" hidden="1" outlineLevel="1" x14ac:dyDescent="0.25">
      <c r="B1478" s="21">
        <v>43794</v>
      </c>
      <c r="C1478" s="27">
        <v>19.398700000000002</v>
      </c>
      <c r="E1478" s="30">
        <v>0.90773800000000004</v>
      </c>
      <c r="G1478" s="27">
        <v>59.765863000000003</v>
      </c>
      <c r="I1478" s="29">
        <v>6.9202279999999998</v>
      </c>
      <c r="K1478" s="29">
        <v>4.206664</v>
      </c>
      <c r="M1478" s="41">
        <v>814.43646999999999</v>
      </c>
      <c r="O1478" s="26">
        <v>3426.703692</v>
      </c>
      <c r="Q1478" s="26">
        <v>6463.9509859999998</v>
      </c>
      <c r="S1478" s="26">
        <v>1536.6130659999999</v>
      </c>
      <c r="U1478" s="29">
        <v>3.384226</v>
      </c>
      <c r="W1478" s="14">
        <v>37.800114000000001</v>
      </c>
      <c r="Y1478" s="29">
        <v>8.9858220000000006</v>
      </c>
      <c r="AA1478" s="41">
        <v>575.687636</v>
      </c>
      <c r="AC1478" s="27">
        <v>52.905878999999999</v>
      </c>
      <c r="AE1478" s="27">
        <v>1</v>
      </c>
      <c r="AG1478" s="29">
        <v>7.7098500000000003</v>
      </c>
      <c r="AI1478" s="29">
        <v>8.75</v>
      </c>
      <c r="AK1478" s="27">
        <v>24.662343</v>
      </c>
      <c r="AM1478" s="27">
        <v>33.826929999999997</v>
      </c>
      <c r="AO1478" s="29">
        <v>6.7717809999999998</v>
      </c>
      <c r="AP1478" s="11"/>
    </row>
    <row r="1479" spans="2:42" hidden="1" outlineLevel="1" x14ac:dyDescent="0.25">
      <c r="B1479" s="21">
        <v>43795</v>
      </c>
      <c r="C1479" s="27">
        <v>19.4468</v>
      </c>
      <c r="E1479" s="30">
        <v>0.90773199999999998</v>
      </c>
      <c r="G1479" s="27">
        <v>59.713974</v>
      </c>
      <c r="I1479" s="29">
        <v>6.9160539999999999</v>
      </c>
      <c r="K1479" s="29">
        <v>4.2384940000000002</v>
      </c>
      <c r="M1479" s="41">
        <v>812.15652799999998</v>
      </c>
      <c r="O1479" s="26">
        <v>3432.0426309999998</v>
      </c>
      <c r="Q1479" s="26">
        <v>6460.8411640000004</v>
      </c>
      <c r="S1479" s="26">
        <v>1524.33626</v>
      </c>
      <c r="U1479" s="29">
        <v>3.3861460000000001</v>
      </c>
      <c r="W1479" s="14">
        <v>37.786527999999997</v>
      </c>
      <c r="Y1479" s="29">
        <v>8.9151260000000008</v>
      </c>
      <c r="AA1479" s="41">
        <v>574.81238399999995</v>
      </c>
      <c r="AC1479" s="27">
        <v>52.821005999999997</v>
      </c>
      <c r="AE1479" s="27">
        <v>1</v>
      </c>
      <c r="AG1479" s="29">
        <v>7.7063360000000003</v>
      </c>
      <c r="AI1479" s="29">
        <v>8.75</v>
      </c>
      <c r="AK1479" s="27">
        <v>24.649049999999999</v>
      </c>
      <c r="AM1479" s="27">
        <v>33.785876999999999</v>
      </c>
      <c r="AO1479" s="29">
        <v>6.7632269999999997</v>
      </c>
      <c r="AP1479" s="11"/>
    </row>
    <row r="1480" spans="2:42" hidden="1" outlineLevel="1" x14ac:dyDescent="0.25">
      <c r="B1480" s="21">
        <v>43796</v>
      </c>
      <c r="C1480" s="27">
        <v>19.5185</v>
      </c>
      <c r="E1480" s="30">
        <v>0.90850399999999998</v>
      </c>
      <c r="G1480" s="27">
        <v>59.853214000000001</v>
      </c>
      <c r="I1480" s="29">
        <v>6.9155930000000003</v>
      </c>
      <c r="K1480" s="29">
        <v>4.245768</v>
      </c>
      <c r="M1480" s="41">
        <v>807.77840200000003</v>
      </c>
      <c r="O1480" s="26">
        <v>3489.5804149999999</v>
      </c>
      <c r="Q1480" s="26">
        <v>6460.4371060000003</v>
      </c>
      <c r="S1480" s="26">
        <v>1521.629214</v>
      </c>
      <c r="U1480" s="29">
        <v>3.3864779999999999</v>
      </c>
      <c r="W1480" s="14">
        <v>37.81711</v>
      </c>
      <c r="Y1480" s="29">
        <v>8.9070619999999998</v>
      </c>
      <c r="AA1480" s="41">
        <v>572.08221100000003</v>
      </c>
      <c r="AC1480" s="27">
        <v>52.817498000000001</v>
      </c>
      <c r="AE1480" s="27">
        <v>1</v>
      </c>
      <c r="AG1480" s="29">
        <v>7.7061760000000001</v>
      </c>
      <c r="AI1480" s="29">
        <v>8.75</v>
      </c>
      <c r="AK1480" s="27">
        <v>24.646248</v>
      </c>
      <c r="AM1480" s="27">
        <v>33.791310000000003</v>
      </c>
      <c r="AO1480" s="29">
        <v>6.7612160000000001</v>
      </c>
      <c r="AP1480" s="11"/>
    </row>
    <row r="1481" spans="2:42" hidden="1" outlineLevel="1" x14ac:dyDescent="0.25">
      <c r="B1481" s="21">
        <v>43797</v>
      </c>
      <c r="C1481" s="27">
        <v>19.560700000000001</v>
      </c>
      <c r="E1481" s="30">
        <v>0.90843399999999996</v>
      </c>
      <c r="G1481" s="27">
        <v>59.863616</v>
      </c>
      <c r="I1481" s="29">
        <v>6.9161169999999998</v>
      </c>
      <c r="K1481" s="29">
        <v>4.2453620000000001</v>
      </c>
      <c r="M1481" s="41">
        <v>823.90111200000001</v>
      </c>
      <c r="O1481" s="26">
        <v>3510.201787</v>
      </c>
      <c r="Q1481" s="26">
        <v>6468.6264220000003</v>
      </c>
      <c r="S1481" s="26">
        <v>1523.7044659999999</v>
      </c>
      <c r="U1481" s="29">
        <v>3.3856099999999998</v>
      </c>
      <c r="W1481" s="14">
        <v>37.866641999999999</v>
      </c>
      <c r="Y1481" s="29">
        <v>8.9195840000000004</v>
      </c>
      <c r="AA1481" s="41">
        <v>570.19124099999999</v>
      </c>
      <c r="AC1481" s="27">
        <v>52.830438000000001</v>
      </c>
      <c r="AE1481" s="27">
        <v>1</v>
      </c>
      <c r="AG1481" s="29">
        <v>7.7042219999999997</v>
      </c>
      <c r="AI1481" s="29">
        <v>8.75</v>
      </c>
      <c r="AK1481" s="27">
        <v>24.625875000000001</v>
      </c>
      <c r="AM1481" s="27">
        <v>33.745773</v>
      </c>
      <c r="AO1481" s="29">
        <v>6.7599520000000002</v>
      </c>
      <c r="AP1481" s="11"/>
    </row>
    <row r="1482" spans="2:42" hidden="1" outlineLevel="1" x14ac:dyDescent="0.25">
      <c r="B1482" s="21">
        <v>43798</v>
      </c>
      <c r="C1482" s="27">
        <v>19.6113</v>
      </c>
      <c r="E1482" s="30">
        <v>0.90823799999999999</v>
      </c>
      <c r="G1482" s="27">
        <v>59.843496000000002</v>
      </c>
      <c r="I1482" s="29">
        <v>6.9137820000000003</v>
      </c>
      <c r="K1482" s="29">
        <v>4.2098779999999998</v>
      </c>
      <c r="M1482" s="41">
        <v>842.66960400000005</v>
      </c>
      <c r="O1482" s="26">
        <v>3515.4889619999999</v>
      </c>
      <c r="Q1482" s="26">
        <v>6463.1026499999998</v>
      </c>
      <c r="S1482" s="26">
        <v>1535.23543</v>
      </c>
      <c r="U1482" s="29">
        <v>3.3878780000000002</v>
      </c>
      <c r="W1482" s="14">
        <v>37.904842000000002</v>
      </c>
      <c r="Y1482" s="29">
        <v>9.0038359999999997</v>
      </c>
      <c r="AA1482" s="41">
        <v>570.25912600000004</v>
      </c>
      <c r="AC1482" s="27">
        <v>52.822642000000002</v>
      </c>
      <c r="AE1482" s="27">
        <v>1</v>
      </c>
      <c r="AG1482" s="29">
        <v>7.6993090000000004</v>
      </c>
      <c r="AI1482" s="29">
        <v>8.75</v>
      </c>
      <c r="AK1482" s="27">
        <v>24.642467</v>
      </c>
      <c r="AM1482" s="27">
        <v>33.777486000000003</v>
      </c>
      <c r="AO1482" s="29">
        <v>6.7561679999999997</v>
      </c>
      <c r="AP1482" s="11"/>
    </row>
    <row r="1483" spans="2:42" hidden="1" outlineLevel="1" x14ac:dyDescent="0.25">
      <c r="B1483" s="21">
        <v>43799</v>
      </c>
      <c r="C1483" s="49">
        <v>19.6113</v>
      </c>
      <c r="E1483" s="30">
        <v>0.90753600000000001</v>
      </c>
      <c r="G1483" s="27">
        <v>59.930073999999998</v>
      </c>
      <c r="I1483" s="29">
        <v>6.9140600000000001</v>
      </c>
      <c r="K1483" s="29">
        <v>4.2379600000000002</v>
      </c>
      <c r="M1483" s="41">
        <v>857.89750000000004</v>
      </c>
      <c r="O1483" s="26">
        <v>3517.3225000000002</v>
      </c>
      <c r="Q1483" s="26">
        <v>6458.322725</v>
      </c>
      <c r="S1483" s="26">
        <v>1523.939852</v>
      </c>
      <c r="U1483" s="29">
        <v>3.3936500000000001</v>
      </c>
      <c r="W1483" s="14">
        <v>37.960759000000003</v>
      </c>
      <c r="Y1483" s="29">
        <v>8.9573959999999992</v>
      </c>
      <c r="AA1483" s="41">
        <v>570.53425800000002</v>
      </c>
      <c r="AC1483" s="27">
        <v>52.829005000000002</v>
      </c>
      <c r="AE1483" s="27">
        <v>1</v>
      </c>
      <c r="AG1483" s="29">
        <v>7.6992620000000001</v>
      </c>
      <c r="AI1483" s="29">
        <v>8.75</v>
      </c>
      <c r="AK1483" s="27">
        <v>24.685199999999998</v>
      </c>
      <c r="AM1483" s="27">
        <v>33.856749999999998</v>
      </c>
      <c r="AO1483" s="29">
        <v>6.7558150000000001</v>
      </c>
      <c r="AP1483" s="11"/>
    </row>
    <row r="1484" spans="2:42" ht="13" collapsed="1" x14ac:dyDescent="0.3">
      <c r="B1484" s="25" t="s">
        <v>185</v>
      </c>
      <c r="C1484" s="19">
        <v>19.322399999999998</v>
      </c>
      <c r="E1484" s="24">
        <v>0.90468099999999996</v>
      </c>
      <c r="G1484" s="19">
        <v>59.670999999999999</v>
      </c>
      <c r="I1484" s="23">
        <v>6.9152800000000001</v>
      </c>
      <c r="J1484" s="9"/>
      <c r="K1484" s="23">
        <v>4.1525499999999997</v>
      </c>
      <c r="M1484" s="42">
        <v>780.87400000000002</v>
      </c>
      <c r="O1484" s="31">
        <v>3403.8</v>
      </c>
      <c r="Q1484" s="31">
        <v>6452.59</v>
      </c>
      <c r="S1484" s="31">
        <v>1554.5</v>
      </c>
      <c r="U1484" s="23">
        <v>3.3660899999999998</v>
      </c>
      <c r="W1484" s="23">
        <v>37.604190000000003</v>
      </c>
      <c r="Y1484" s="23">
        <v>9.0587900000000001</v>
      </c>
      <c r="AA1484" s="42">
        <v>580.13900000000001</v>
      </c>
      <c r="AC1484" s="19">
        <v>52.833300000000001</v>
      </c>
      <c r="AE1484" s="19">
        <v>1</v>
      </c>
      <c r="AG1484" s="23">
        <v>7.7073999999999998</v>
      </c>
      <c r="AI1484" s="23">
        <v>8.75</v>
      </c>
      <c r="AK1484" s="23">
        <v>24.653919999999999</v>
      </c>
      <c r="AM1484" s="23">
        <v>33.848909999999997</v>
      </c>
      <c r="AO1484" s="23">
        <v>6.7686400000000004</v>
      </c>
      <c r="AP1484" s="10"/>
    </row>
    <row r="1485" spans="2:42" hidden="1" outlineLevel="1" x14ac:dyDescent="0.25">
      <c r="B1485" s="21">
        <v>43800</v>
      </c>
      <c r="C1485" s="27">
        <v>19.6113</v>
      </c>
      <c r="E1485" s="30">
        <v>0.907528</v>
      </c>
      <c r="G1485" s="27">
        <v>59.912418000000002</v>
      </c>
      <c r="I1485" s="29">
        <v>6.9140600000000001</v>
      </c>
      <c r="K1485" s="29">
        <v>4.2379600000000002</v>
      </c>
      <c r="M1485" s="41">
        <v>857.89776900000004</v>
      </c>
      <c r="O1485" s="26">
        <v>3517.3307850000001</v>
      </c>
      <c r="Q1485" s="26">
        <v>6458.322725</v>
      </c>
      <c r="S1485" s="26">
        <v>1523.939852</v>
      </c>
      <c r="U1485" s="29">
        <v>3.3940329999999999</v>
      </c>
      <c r="W1485" s="14">
        <v>37.960759000000003</v>
      </c>
      <c r="Y1485" s="29">
        <v>8.9573959999999992</v>
      </c>
      <c r="AA1485" s="41">
        <v>570.53425800000002</v>
      </c>
      <c r="AC1485" s="27">
        <v>52.829005000000002</v>
      </c>
      <c r="AE1485" s="27">
        <v>1</v>
      </c>
      <c r="AG1485" s="29">
        <v>7.6992120000000002</v>
      </c>
      <c r="AI1485" s="29">
        <v>8.75</v>
      </c>
      <c r="AK1485" s="27">
        <v>24.685199999999998</v>
      </c>
      <c r="AM1485" s="27">
        <v>33.856749999999998</v>
      </c>
      <c r="AO1485" s="29">
        <v>6.7558150000000001</v>
      </c>
      <c r="AP1485" s="11"/>
    </row>
    <row r="1486" spans="2:42" hidden="1" outlineLevel="1" x14ac:dyDescent="0.25">
      <c r="B1486" s="21">
        <v>43801</v>
      </c>
      <c r="C1486" s="27">
        <v>19.5352</v>
      </c>
      <c r="E1486" s="30">
        <v>0.90573099999999995</v>
      </c>
      <c r="G1486" s="27">
        <v>59.870978999999998</v>
      </c>
      <c r="I1486" s="29">
        <v>6.9102759999999996</v>
      </c>
      <c r="K1486" s="29">
        <v>4.2297940000000001</v>
      </c>
      <c r="M1486" s="41">
        <v>845.53463799999997</v>
      </c>
      <c r="O1486" s="26">
        <v>3513.6982280000002</v>
      </c>
      <c r="Q1486" s="26">
        <v>6453.9031329999998</v>
      </c>
      <c r="S1486" s="26">
        <v>1525.8321080000001</v>
      </c>
      <c r="U1486" s="29">
        <v>3.3938999999999999</v>
      </c>
      <c r="W1486" s="14">
        <v>37.918584000000003</v>
      </c>
      <c r="Y1486" s="29">
        <v>8.9646950000000007</v>
      </c>
      <c r="AA1486" s="41">
        <v>569.48202200000003</v>
      </c>
      <c r="AC1486" s="27">
        <v>52.799452000000002</v>
      </c>
      <c r="AE1486" s="27">
        <v>1</v>
      </c>
      <c r="AG1486" s="29">
        <v>7.6957839999999997</v>
      </c>
      <c r="AI1486" s="29">
        <v>8.75</v>
      </c>
      <c r="AK1486" s="27">
        <v>24.61834</v>
      </c>
      <c r="AM1486" s="27">
        <v>33.729523999999998</v>
      </c>
      <c r="AO1486" s="29">
        <v>6.7519640000000001</v>
      </c>
      <c r="AP1486" s="11"/>
    </row>
    <row r="1487" spans="2:42" hidden="1" outlineLevel="1" x14ac:dyDescent="0.25">
      <c r="B1487" s="21">
        <v>43802</v>
      </c>
      <c r="C1487" s="27">
        <v>19.5717</v>
      </c>
      <c r="E1487" s="30">
        <v>0.90263400000000005</v>
      </c>
      <c r="G1487" s="27">
        <v>59.875103000000003</v>
      </c>
      <c r="I1487" s="29">
        <v>6.9039919999999997</v>
      </c>
      <c r="K1487" s="29">
        <v>4.2129820000000002</v>
      </c>
      <c r="M1487" s="41">
        <v>803.35864200000003</v>
      </c>
      <c r="O1487" s="26">
        <v>3505.9105260000001</v>
      </c>
      <c r="Q1487" s="26">
        <v>6450.7438679999996</v>
      </c>
      <c r="S1487" s="26">
        <v>1531.1703680000001</v>
      </c>
      <c r="U1487" s="29">
        <v>3.3877999999999999</v>
      </c>
      <c r="W1487" s="14">
        <v>37.806314999999998</v>
      </c>
      <c r="Y1487" s="29">
        <v>8.9738050000000005</v>
      </c>
      <c r="AA1487" s="41">
        <v>569.19782999999995</v>
      </c>
      <c r="AC1487" s="27">
        <v>52.755934000000003</v>
      </c>
      <c r="AE1487" s="27">
        <v>1</v>
      </c>
      <c r="AG1487" s="29">
        <v>7.6886289999999997</v>
      </c>
      <c r="AI1487" s="29">
        <v>8.75</v>
      </c>
      <c r="AK1487" s="27">
        <v>24.60773</v>
      </c>
      <c r="AM1487" s="27">
        <v>33.723953999999999</v>
      </c>
      <c r="AO1487" s="29">
        <v>6.7458640000000001</v>
      </c>
      <c r="AP1487" s="11"/>
    </row>
    <row r="1488" spans="2:42" hidden="1" outlineLevel="1" x14ac:dyDescent="0.25">
      <c r="B1488" s="21">
        <v>43803</v>
      </c>
      <c r="C1488" s="27">
        <v>19.567799999999998</v>
      </c>
      <c r="E1488" s="30">
        <v>0.90256000000000003</v>
      </c>
      <c r="G1488" s="27">
        <v>59.844318000000001</v>
      </c>
      <c r="I1488" s="29">
        <v>6.9111180000000001</v>
      </c>
      <c r="K1488" s="29">
        <v>4.2017519999999999</v>
      </c>
      <c r="M1488" s="41">
        <v>797.45202400000005</v>
      </c>
      <c r="O1488" s="26">
        <v>3492.9834019999998</v>
      </c>
      <c r="Q1488" s="26">
        <v>6452.5183459999998</v>
      </c>
      <c r="S1488" s="26">
        <v>1535.6875649999999</v>
      </c>
      <c r="U1488" s="29">
        <v>3.3878140000000001</v>
      </c>
      <c r="W1488" s="14">
        <v>37.749868999999997</v>
      </c>
      <c r="Y1488" s="29">
        <v>8.9843659999999996</v>
      </c>
      <c r="AA1488" s="41">
        <v>571.44792800000005</v>
      </c>
      <c r="AC1488" s="27">
        <v>52.839056999999997</v>
      </c>
      <c r="AE1488" s="27">
        <v>1</v>
      </c>
      <c r="AG1488" s="29">
        <v>7.6937790000000001</v>
      </c>
      <c r="AI1488" s="29">
        <v>8.75</v>
      </c>
      <c r="AK1488" s="27">
        <v>24.622271999999999</v>
      </c>
      <c r="AM1488" s="27">
        <v>33.759652000000003</v>
      </c>
      <c r="AO1488" s="29">
        <v>6.7529810000000001</v>
      </c>
      <c r="AP1488" s="11"/>
    </row>
    <row r="1489" spans="2:42" hidden="1" outlineLevel="1" x14ac:dyDescent="0.25">
      <c r="B1489" s="21">
        <v>43804</v>
      </c>
      <c r="C1489" s="27">
        <v>19.470700000000001</v>
      </c>
      <c r="E1489" s="30">
        <v>0.90149400000000002</v>
      </c>
      <c r="G1489" s="27">
        <v>59.880085999999999</v>
      </c>
      <c r="I1489" s="29">
        <v>6.9098560000000004</v>
      </c>
      <c r="K1489" s="29">
        <v>4.2024020000000002</v>
      </c>
      <c r="M1489" s="41">
        <v>786.52523799999994</v>
      </c>
      <c r="O1489" s="26">
        <v>3467.2827419999999</v>
      </c>
      <c r="Q1489" s="26">
        <v>6442.8553419999998</v>
      </c>
      <c r="S1489" s="26">
        <v>1533.147504</v>
      </c>
      <c r="U1489" s="29">
        <v>3.3801160000000001</v>
      </c>
      <c r="W1489" s="14">
        <v>37.685057</v>
      </c>
      <c r="Y1489" s="29">
        <v>8.9675429999999992</v>
      </c>
      <c r="AA1489" s="41">
        <v>572.34565399999997</v>
      </c>
      <c r="AC1489" s="27">
        <v>52.959876000000001</v>
      </c>
      <c r="AE1489" s="27">
        <v>1</v>
      </c>
      <c r="AG1489" s="29">
        <v>7.6872600000000002</v>
      </c>
      <c r="AI1489" s="29">
        <v>8.75</v>
      </c>
      <c r="AK1489" s="27">
        <v>24.624524000000001</v>
      </c>
      <c r="AM1489" s="27">
        <v>33.728724</v>
      </c>
      <c r="AO1489" s="29">
        <v>6.7517019999999999</v>
      </c>
      <c r="AP1489" s="11"/>
    </row>
    <row r="1490" spans="2:42" hidden="1" outlineLevel="1" x14ac:dyDescent="0.25">
      <c r="B1490" s="21">
        <v>43805</v>
      </c>
      <c r="C1490" s="27">
        <v>19.3688</v>
      </c>
      <c r="E1490" s="30">
        <v>0.90224400000000005</v>
      </c>
      <c r="G1490" s="27">
        <v>59.946018000000002</v>
      </c>
      <c r="I1490" s="29">
        <v>6.9104049999999999</v>
      </c>
      <c r="K1490" s="29">
        <v>4.1730320000000001</v>
      </c>
      <c r="M1490" s="41">
        <v>780.87247200000002</v>
      </c>
      <c r="O1490" s="26">
        <v>3448.949016</v>
      </c>
      <c r="Q1490" s="26">
        <v>6441.0153200000004</v>
      </c>
      <c r="S1490" s="26">
        <v>1543.4991379999999</v>
      </c>
      <c r="U1490" s="29">
        <v>3.3776540000000002</v>
      </c>
      <c r="W1490" s="14">
        <v>37.710206999999997</v>
      </c>
      <c r="Y1490" s="29">
        <v>9.0366920000000004</v>
      </c>
      <c r="AA1490" s="41">
        <v>572.50894000000005</v>
      </c>
      <c r="AC1490" s="27">
        <v>52.942850999999997</v>
      </c>
      <c r="AE1490" s="27">
        <v>1</v>
      </c>
      <c r="AG1490" s="29">
        <v>7.6827699999999997</v>
      </c>
      <c r="AI1490" s="29">
        <v>8.75</v>
      </c>
      <c r="AK1490" s="27">
        <v>24.651527999999999</v>
      </c>
      <c r="AM1490" s="27">
        <v>33.793508000000003</v>
      </c>
      <c r="AO1490" s="29">
        <v>6.7521839999999997</v>
      </c>
      <c r="AP1490" s="11"/>
    </row>
    <row r="1491" spans="2:42" hidden="1" outlineLevel="1" x14ac:dyDescent="0.25">
      <c r="B1491" s="21">
        <v>43806</v>
      </c>
      <c r="C1491" s="27">
        <v>19.3688</v>
      </c>
      <c r="E1491" s="30">
        <v>0.90415100000000004</v>
      </c>
      <c r="G1491" s="27">
        <v>59.889164000000001</v>
      </c>
      <c r="I1491" s="29">
        <v>6.9123840000000003</v>
      </c>
      <c r="K1491" s="29">
        <v>4.1414499999999999</v>
      </c>
      <c r="M1491" s="41">
        <v>777.67750000000001</v>
      </c>
      <c r="O1491" s="26">
        <v>3424.5</v>
      </c>
      <c r="Q1491" s="26">
        <v>6441.3115250000001</v>
      </c>
      <c r="S1491" s="26">
        <v>1555.341678</v>
      </c>
      <c r="U1491" s="29">
        <v>3.3784999999999998</v>
      </c>
      <c r="W1491" s="14">
        <v>37.825522999999997</v>
      </c>
      <c r="Y1491" s="29">
        <v>9.133464</v>
      </c>
      <c r="AA1491" s="41">
        <v>572.35048200000006</v>
      </c>
      <c r="AC1491" s="27">
        <v>53.134999999999998</v>
      </c>
      <c r="AE1491" s="27">
        <v>1</v>
      </c>
      <c r="AG1491" s="29">
        <v>7.6837720000000003</v>
      </c>
      <c r="AI1491" s="29">
        <v>8.75</v>
      </c>
      <c r="AK1491" s="27">
        <v>24.748525000000001</v>
      </c>
      <c r="AM1491" s="27">
        <v>33.924750000000003</v>
      </c>
      <c r="AO1491" s="29">
        <v>6.7540909999999998</v>
      </c>
      <c r="AP1491" s="11"/>
    </row>
    <row r="1492" spans="2:42" hidden="1" outlineLevel="1" x14ac:dyDescent="0.25">
      <c r="B1492" s="21">
        <v>43807</v>
      </c>
      <c r="C1492" s="27">
        <v>19.3688</v>
      </c>
      <c r="E1492" s="30">
        <v>0.90416200000000002</v>
      </c>
      <c r="G1492" s="27">
        <v>59.889538000000002</v>
      </c>
      <c r="I1492" s="29">
        <v>6.9123859999999997</v>
      </c>
      <c r="K1492" s="29">
        <v>4.1414499999999999</v>
      </c>
      <c r="M1492" s="41">
        <v>777.67757300000005</v>
      </c>
      <c r="O1492" s="26">
        <v>3424.5097620000001</v>
      </c>
      <c r="Q1492" s="26">
        <v>6441.2893770000001</v>
      </c>
      <c r="S1492" s="26">
        <v>1555.3363859999999</v>
      </c>
      <c r="U1492" s="29">
        <v>3.3787919999999998</v>
      </c>
      <c r="W1492" s="14">
        <v>37.825532000000003</v>
      </c>
      <c r="Y1492" s="29">
        <v>9.1334660000000003</v>
      </c>
      <c r="AA1492" s="41">
        <v>572.35048200000006</v>
      </c>
      <c r="AC1492" s="27">
        <v>53.134999999999998</v>
      </c>
      <c r="AE1492" s="27">
        <v>1</v>
      </c>
      <c r="AG1492" s="29">
        <v>7.6837619999999998</v>
      </c>
      <c r="AI1492" s="29">
        <v>8.75</v>
      </c>
      <c r="AK1492" s="27">
        <v>24.748528</v>
      </c>
      <c r="AM1492" s="27">
        <v>33.924340000000001</v>
      </c>
      <c r="AO1492" s="29">
        <v>6.7540930000000001</v>
      </c>
      <c r="AP1492" s="11"/>
    </row>
    <row r="1493" spans="2:42" hidden="1" outlineLevel="1" x14ac:dyDescent="0.25">
      <c r="B1493" s="21">
        <v>43808</v>
      </c>
      <c r="C1493" s="27">
        <v>19.3247</v>
      </c>
      <c r="E1493" s="30">
        <v>0.90382700000000005</v>
      </c>
      <c r="G1493" s="27">
        <v>59.982067999999998</v>
      </c>
      <c r="I1493" s="29">
        <v>6.9191050000000001</v>
      </c>
      <c r="K1493" s="29">
        <v>4.1419839999999999</v>
      </c>
      <c r="M1493" s="41">
        <v>788.68599300000005</v>
      </c>
      <c r="O1493" s="26">
        <v>3421.3985320000002</v>
      </c>
      <c r="Q1493" s="26">
        <v>6440.4940939999997</v>
      </c>
      <c r="S1493" s="26">
        <v>1554.9439130000001</v>
      </c>
      <c r="U1493" s="29">
        <v>3.3812859999999998</v>
      </c>
      <c r="W1493" s="14">
        <v>37.863441999999999</v>
      </c>
      <c r="Y1493" s="29">
        <v>9.1414259999999992</v>
      </c>
      <c r="AA1493" s="41">
        <v>573.37742100000003</v>
      </c>
      <c r="AC1493" s="27">
        <v>53.078651999999998</v>
      </c>
      <c r="AE1493" s="27">
        <v>1</v>
      </c>
      <c r="AG1493" s="29">
        <v>7.6878120000000001</v>
      </c>
      <c r="AI1493" s="29">
        <v>8.75</v>
      </c>
      <c r="AK1493" s="27">
        <v>24.694631000000001</v>
      </c>
      <c r="AM1493" s="27">
        <v>33.802109999999999</v>
      </c>
      <c r="AO1493" s="29">
        <v>6.7619509999999998</v>
      </c>
      <c r="AP1493" s="11"/>
    </row>
    <row r="1494" spans="2:42" hidden="1" outlineLevel="1" x14ac:dyDescent="0.25">
      <c r="B1494" s="21">
        <v>43809</v>
      </c>
      <c r="C1494" s="27">
        <v>19.2302</v>
      </c>
      <c r="E1494" s="30">
        <v>0.90259</v>
      </c>
      <c r="G1494" s="27">
        <v>59.886448999999999</v>
      </c>
      <c r="I1494" s="29">
        <v>6.9171279999999999</v>
      </c>
      <c r="K1494" s="29">
        <v>4.1436789999999997</v>
      </c>
      <c r="M1494" s="41">
        <v>776.23585600000001</v>
      </c>
      <c r="O1494" s="26">
        <v>3416.1517960000001</v>
      </c>
      <c r="Q1494" s="26">
        <v>6436.5062980000002</v>
      </c>
      <c r="S1494" s="26">
        <v>1553.343961</v>
      </c>
      <c r="U1494" s="29">
        <v>3.3846240000000001</v>
      </c>
      <c r="W1494" s="14">
        <v>37.801704000000001</v>
      </c>
      <c r="Y1494" s="29">
        <v>9.1227839999999993</v>
      </c>
      <c r="AA1494" s="41">
        <v>571.31753800000001</v>
      </c>
      <c r="AC1494" s="27">
        <v>53.094970000000004</v>
      </c>
      <c r="AE1494" s="27">
        <v>1</v>
      </c>
      <c r="AG1494" s="29">
        <v>7.6814080000000002</v>
      </c>
      <c r="AI1494" s="29">
        <v>8.75</v>
      </c>
      <c r="AK1494" s="27">
        <v>24.662790000000001</v>
      </c>
      <c r="AM1494" s="27">
        <v>33.801698000000002</v>
      </c>
      <c r="AO1494" s="29">
        <v>6.7619680000000004</v>
      </c>
      <c r="AP1494" s="11"/>
    </row>
    <row r="1495" spans="2:42" hidden="1" outlineLevel="1" x14ac:dyDescent="0.25">
      <c r="B1495" s="21">
        <v>43810</v>
      </c>
      <c r="C1495" s="27">
        <v>19.2362</v>
      </c>
      <c r="E1495" s="30">
        <v>0.901142</v>
      </c>
      <c r="G1495" s="27">
        <v>59.766821999999998</v>
      </c>
      <c r="I1495" s="29">
        <v>6.9151540000000002</v>
      </c>
      <c r="K1495" s="29">
        <v>4.1341619999999999</v>
      </c>
      <c r="M1495" s="41">
        <v>775.78033400000004</v>
      </c>
      <c r="O1495" s="26">
        <v>3396.0294130000002</v>
      </c>
      <c r="Q1495" s="26">
        <v>6434.548452</v>
      </c>
      <c r="S1495" s="26">
        <v>1556.446132</v>
      </c>
      <c r="U1495" s="29">
        <v>3.390053</v>
      </c>
      <c r="W1495" s="14">
        <v>37.786487999999999</v>
      </c>
      <c r="Y1495" s="29">
        <v>9.1401039999999991</v>
      </c>
      <c r="AA1495" s="41">
        <v>568.71458299999995</v>
      </c>
      <c r="AC1495" s="27">
        <v>52.972729999999999</v>
      </c>
      <c r="AE1495" s="27">
        <v>1</v>
      </c>
      <c r="AG1495" s="29">
        <v>7.669918</v>
      </c>
      <c r="AI1495" s="29">
        <v>8.75</v>
      </c>
      <c r="AK1495" s="27">
        <v>24.648963999999999</v>
      </c>
      <c r="AM1495" s="27">
        <v>33.764462000000002</v>
      </c>
      <c r="AO1495" s="29">
        <v>6.7615790000000002</v>
      </c>
      <c r="AP1495" s="11"/>
    </row>
    <row r="1496" spans="2:42" hidden="1" outlineLevel="1" x14ac:dyDescent="0.25">
      <c r="B1496" s="21">
        <v>43811</v>
      </c>
      <c r="C1496" s="27">
        <v>19.2362</v>
      </c>
      <c r="E1496" s="30">
        <v>0.89804899999999999</v>
      </c>
      <c r="G1496" s="27">
        <v>59.765650000000001</v>
      </c>
      <c r="I1496" s="29">
        <v>6.9046620000000001</v>
      </c>
      <c r="K1496" s="29">
        <v>4.112622</v>
      </c>
      <c r="M1496" s="41">
        <v>769.42170199999998</v>
      </c>
      <c r="O1496" s="26">
        <v>3374.4484179999999</v>
      </c>
      <c r="Q1496" s="26">
        <v>6429.4403309999998</v>
      </c>
      <c r="S1496" s="26">
        <v>1563.3555100000001</v>
      </c>
      <c r="U1496" s="29">
        <v>3.3897650000000001</v>
      </c>
      <c r="W1496" s="14">
        <v>37.804501999999999</v>
      </c>
      <c r="Y1496" s="29">
        <v>9.1923530000000007</v>
      </c>
      <c r="AA1496" s="41">
        <v>568.38998600000002</v>
      </c>
      <c r="AC1496" s="27">
        <v>52.873032000000002</v>
      </c>
      <c r="AE1496" s="27">
        <v>1</v>
      </c>
      <c r="AG1496" s="29">
        <v>7.6535729999999997</v>
      </c>
      <c r="AI1496" s="29">
        <v>8.75</v>
      </c>
      <c r="AK1496" s="27">
        <v>24.628129999999999</v>
      </c>
      <c r="AM1496" s="27">
        <v>33.801757000000002</v>
      </c>
      <c r="AO1496" s="29">
        <v>6.7515640000000001</v>
      </c>
      <c r="AP1496" s="11"/>
    </row>
    <row r="1497" spans="2:42" hidden="1" outlineLevel="1" x14ac:dyDescent="0.25">
      <c r="B1497" s="21">
        <v>43812</v>
      </c>
      <c r="C1497" s="27">
        <v>19.1785</v>
      </c>
      <c r="E1497" s="30">
        <v>0.89649900000000005</v>
      </c>
      <c r="G1497" s="27">
        <v>59.750678999999998</v>
      </c>
      <c r="I1497" s="29">
        <v>6.9025970000000001</v>
      </c>
      <c r="K1497" s="29">
        <v>4.0967130000000003</v>
      </c>
      <c r="M1497" s="41">
        <v>767.50060399999995</v>
      </c>
      <c r="O1497" s="26">
        <v>3376.5101450000002</v>
      </c>
      <c r="Q1497" s="26">
        <v>6427.4547119999997</v>
      </c>
      <c r="S1497" s="26">
        <v>1568.9423690000001</v>
      </c>
      <c r="U1497" s="29">
        <v>3.3746610000000001</v>
      </c>
      <c r="W1497" s="14">
        <v>37.873252000000001</v>
      </c>
      <c r="Y1497" s="29">
        <v>9.244847</v>
      </c>
      <c r="AA1497" s="41">
        <v>567.90647100000001</v>
      </c>
      <c r="AC1497" s="27">
        <v>52.911360000000002</v>
      </c>
      <c r="AE1497" s="27">
        <v>1</v>
      </c>
      <c r="AG1497" s="29">
        <v>7.6541880000000004</v>
      </c>
      <c r="AI1497" s="29">
        <v>8.75</v>
      </c>
      <c r="AK1497" s="27">
        <v>24.600943999999998</v>
      </c>
      <c r="AM1497" s="27">
        <v>33.713230000000003</v>
      </c>
      <c r="AO1497" s="29">
        <v>6.7458150000000003</v>
      </c>
      <c r="AP1497" s="11"/>
    </row>
    <row r="1498" spans="2:42" hidden="1" outlineLevel="1" x14ac:dyDescent="0.25">
      <c r="B1498" s="21">
        <v>43813</v>
      </c>
      <c r="C1498" s="27">
        <v>19.1785</v>
      </c>
      <c r="E1498" s="30">
        <v>0.89923600000000004</v>
      </c>
      <c r="G1498" s="27">
        <v>59.770122000000001</v>
      </c>
      <c r="I1498" s="29">
        <v>6.9082369999999997</v>
      </c>
      <c r="K1498" s="29">
        <v>4.1082999999999998</v>
      </c>
      <c r="M1498" s="41">
        <v>764.4</v>
      </c>
      <c r="O1498" s="26">
        <v>3385.75</v>
      </c>
      <c r="Q1498" s="26">
        <v>6431.0024750000002</v>
      </c>
      <c r="S1498" s="26">
        <v>1565.3788380000001</v>
      </c>
      <c r="U1498" s="29">
        <v>3.3654999999999999</v>
      </c>
      <c r="W1498" s="14">
        <v>37.893675999999999</v>
      </c>
      <c r="Y1498" s="29">
        <v>9.2237369999999999</v>
      </c>
      <c r="AA1498" s="41">
        <v>568.34719199999995</v>
      </c>
      <c r="AC1498" s="27">
        <v>53.162500000000001</v>
      </c>
      <c r="AE1498" s="27">
        <v>1</v>
      </c>
      <c r="AG1498" s="29">
        <v>7.6634719999999996</v>
      </c>
      <c r="AI1498" s="29">
        <v>8.75</v>
      </c>
      <c r="AK1498" s="27">
        <v>24.662949999999999</v>
      </c>
      <c r="AM1498" s="27">
        <v>33.854750000000003</v>
      </c>
      <c r="AO1498" s="29">
        <v>6.7475579999999997</v>
      </c>
      <c r="AP1498" s="11"/>
    </row>
    <row r="1499" spans="2:42" hidden="1" outlineLevel="1" x14ac:dyDescent="0.25">
      <c r="B1499" s="21">
        <v>43814</v>
      </c>
      <c r="C1499" s="27">
        <v>19.1785</v>
      </c>
      <c r="E1499" s="30">
        <v>0.899196</v>
      </c>
      <c r="G1499" s="27">
        <v>59.767048000000003</v>
      </c>
      <c r="I1499" s="29">
        <v>6.9082369999999997</v>
      </c>
      <c r="K1499" s="29">
        <v>4.1082999999999998</v>
      </c>
      <c r="M1499" s="41">
        <v>764.4</v>
      </c>
      <c r="O1499" s="26">
        <v>3385.7550919999999</v>
      </c>
      <c r="Q1499" s="26">
        <v>6431.0024750000002</v>
      </c>
      <c r="S1499" s="26">
        <v>1565.3788380000001</v>
      </c>
      <c r="U1499" s="29">
        <v>3.3654999999999999</v>
      </c>
      <c r="W1499" s="14">
        <v>37.895184</v>
      </c>
      <c r="Y1499" s="29">
        <v>9.2241029999999995</v>
      </c>
      <c r="AA1499" s="41">
        <v>568.34719199999995</v>
      </c>
      <c r="AC1499" s="27">
        <v>53.162398000000003</v>
      </c>
      <c r="AE1499" s="27">
        <v>1</v>
      </c>
      <c r="AG1499" s="29">
        <v>7.6634719999999996</v>
      </c>
      <c r="AI1499" s="29">
        <v>8.75</v>
      </c>
      <c r="AK1499" s="27">
        <v>24.662949999999999</v>
      </c>
      <c r="AM1499" s="27">
        <v>33.854750000000003</v>
      </c>
      <c r="AO1499" s="29">
        <v>6.7475579999999997</v>
      </c>
      <c r="AP1499" s="11"/>
    </row>
    <row r="1500" spans="2:42" hidden="1" outlineLevel="1" x14ac:dyDescent="0.25">
      <c r="B1500" s="21">
        <v>43815</v>
      </c>
      <c r="C1500" s="27">
        <v>19.045500000000001</v>
      </c>
      <c r="E1500" s="30">
        <v>0.89772799999999997</v>
      </c>
      <c r="G1500" s="27">
        <v>59.839018000000003</v>
      </c>
      <c r="I1500" s="29">
        <v>6.9332560000000001</v>
      </c>
      <c r="K1500" s="29">
        <v>4.0891279999999997</v>
      </c>
      <c r="M1500" s="41">
        <v>763.81401200000005</v>
      </c>
      <c r="O1500" s="26">
        <v>3374.0821179999998</v>
      </c>
      <c r="Q1500" s="26">
        <v>6456.81754</v>
      </c>
      <c r="S1500" s="26">
        <v>1579.0345609999999</v>
      </c>
      <c r="U1500" s="29">
        <v>3.3673850000000001</v>
      </c>
      <c r="W1500" s="14">
        <v>37.987679999999997</v>
      </c>
      <c r="Y1500" s="29">
        <v>9.2899600000000007</v>
      </c>
      <c r="AA1500" s="41">
        <v>570.16537100000005</v>
      </c>
      <c r="AC1500" s="27">
        <v>53.129942</v>
      </c>
      <c r="AE1500" s="27">
        <v>1</v>
      </c>
      <c r="AG1500" s="29">
        <v>7.6970080000000003</v>
      </c>
      <c r="AI1500" s="29">
        <v>8.75</v>
      </c>
      <c r="AK1500" s="27">
        <v>24.722505999999999</v>
      </c>
      <c r="AM1500" s="27">
        <v>33.892753999999996</v>
      </c>
      <c r="AO1500" s="29">
        <v>6.7795040000000002</v>
      </c>
      <c r="AP1500" s="11"/>
    </row>
    <row r="1501" spans="2:42" hidden="1" outlineLevel="1" x14ac:dyDescent="0.25">
      <c r="B1501" s="21">
        <v>43816</v>
      </c>
      <c r="C1501" s="27">
        <v>18.970199999999998</v>
      </c>
      <c r="E1501" s="30">
        <v>0.89693400000000001</v>
      </c>
      <c r="G1501" s="27">
        <v>59.76247</v>
      </c>
      <c r="I1501" s="29">
        <v>6.920166</v>
      </c>
      <c r="K1501" s="29">
        <v>4.0655270000000003</v>
      </c>
      <c r="M1501" s="41">
        <v>759.54242599999998</v>
      </c>
      <c r="O1501" s="26">
        <v>3349.8742160000002</v>
      </c>
      <c r="Q1501" s="26">
        <v>6454.7773820000002</v>
      </c>
      <c r="S1501" s="26">
        <v>1587.6989530000001</v>
      </c>
      <c r="U1501" s="29">
        <v>3.3527100000000001</v>
      </c>
      <c r="W1501" s="14">
        <v>37.836010000000002</v>
      </c>
      <c r="Y1501" s="29">
        <v>9.3065840000000009</v>
      </c>
      <c r="AA1501" s="41">
        <v>567.50062600000001</v>
      </c>
      <c r="AC1501" s="27">
        <v>52.959632999999997</v>
      </c>
      <c r="AE1501" s="27">
        <v>1</v>
      </c>
      <c r="AG1501" s="29">
        <v>7.6921239999999997</v>
      </c>
      <c r="AI1501" s="29">
        <v>8.75</v>
      </c>
      <c r="AK1501" s="27">
        <v>24.667335999999999</v>
      </c>
      <c r="AM1501" s="27">
        <v>33.950116000000001</v>
      </c>
      <c r="AO1501" s="29">
        <v>6.7746979999999999</v>
      </c>
      <c r="AP1501" s="11"/>
    </row>
    <row r="1502" spans="2:42" hidden="1" outlineLevel="1" x14ac:dyDescent="0.25">
      <c r="B1502" s="21">
        <v>43817</v>
      </c>
      <c r="C1502" s="27">
        <v>18.916499999999999</v>
      </c>
      <c r="E1502" s="30">
        <v>0.89870300000000003</v>
      </c>
      <c r="G1502" s="27">
        <v>59.767367999999998</v>
      </c>
      <c r="I1502" s="29">
        <v>6.9195589999999996</v>
      </c>
      <c r="K1502" s="29">
        <v>4.0665259999999996</v>
      </c>
      <c r="M1502" s="41">
        <v>755.420208</v>
      </c>
      <c r="O1502" s="26">
        <v>3336.183634</v>
      </c>
      <c r="Q1502" s="26">
        <v>6461.3157499999998</v>
      </c>
      <c r="S1502" s="26">
        <v>1588.914804</v>
      </c>
      <c r="U1502" s="29">
        <v>3.3439899999999998</v>
      </c>
      <c r="W1502" s="14">
        <v>37.788074000000002</v>
      </c>
      <c r="Y1502" s="29">
        <v>9.2925039999999992</v>
      </c>
      <c r="AA1502" s="41">
        <v>566.58794599999999</v>
      </c>
      <c r="AC1502" s="27">
        <v>53.006945999999999</v>
      </c>
      <c r="AE1502" s="27">
        <v>1</v>
      </c>
      <c r="AG1502" s="29">
        <v>7.7000039999999998</v>
      </c>
      <c r="AI1502" s="29">
        <v>8.75</v>
      </c>
      <c r="AK1502" s="27">
        <v>24.690190000000001</v>
      </c>
      <c r="AM1502" s="27">
        <v>33.7988</v>
      </c>
      <c r="AO1502" s="29">
        <v>6.7613659999999998</v>
      </c>
      <c r="AP1502" s="11"/>
    </row>
    <row r="1503" spans="2:42" hidden="1" outlineLevel="1" x14ac:dyDescent="0.25">
      <c r="B1503" s="21">
        <v>43818</v>
      </c>
      <c r="C1503" s="27">
        <v>18.9542</v>
      </c>
      <c r="E1503" s="30">
        <v>0.89887600000000001</v>
      </c>
      <c r="G1503" s="27">
        <v>59.783681999999999</v>
      </c>
      <c r="I1503" s="29">
        <v>6.9182560000000004</v>
      </c>
      <c r="K1503" s="29">
        <v>4.0631500000000003</v>
      </c>
      <c r="M1503" s="41">
        <v>753.26738999999998</v>
      </c>
      <c r="O1503" s="26">
        <v>3322.2207100000001</v>
      </c>
      <c r="Q1503" s="26">
        <v>6460.4244859999999</v>
      </c>
      <c r="S1503" s="26">
        <v>1590.0158510000001</v>
      </c>
      <c r="U1503" s="29">
        <v>3.3477519999999998</v>
      </c>
      <c r="W1503" s="14">
        <v>37.730379999999997</v>
      </c>
      <c r="Y1503" s="29">
        <v>9.2860379999999996</v>
      </c>
      <c r="AA1503" s="41">
        <v>565.51238999999998</v>
      </c>
      <c r="AC1503" s="27">
        <v>53.050342999999998</v>
      </c>
      <c r="AE1503" s="27">
        <v>1</v>
      </c>
      <c r="AG1503" s="29">
        <v>7.6950820000000002</v>
      </c>
      <c r="AI1503" s="29">
        <v>8.75</v>
      </c>
      <c r="AK1503" s="27">
        <v>24.66751</v>
      </c>
      <c r="AM1503" s="27">
        <v>33.815097999999999</v>
      </c>
      <c r="AO1503" s="29">
        <v>6.759925</v>
      </c>
      <c r="AP1503" s="11"/>
    </row>
    <row r="1504" spans="2:42" hidden="1" outlineLevel="1" x14ac:dyDescent="0.25">
      <c r="B1504" s="21">
        <v>43819</v>
      </c>
      <c r="C1504" s="27">
        <v>18.963999999999999</v>
      </c>
      <c r="E1504" s="30">
        <v>0.90105400000000002</v>
      </c>
      <c r="G1504" s="27">
        <v>59.760306</v>
      </c>
      <c r="I1504" s="29">
        <v>6.9177359999999997</v>
      </c>
      <c r="K1504" s="29">
        <v>4.0788140000000004</v>
      </c>
      <c r="M1504" s="41">
        <v>753.86570300000005</v>
      </c>
      <c r="O1504" s="26">
        <v>3319.2380979999998</v>
      </c>
      <c r="Q1504" s="26">
        <v>6455.3015310000001</v>
      </c>
      <c r="S1504" s="26">
        <v>1582.6543899999999</v>
      </c>
      <c r="U1504" s="29">
        <v>3.3320379999999998</v>
      </c>
      <c r="W1504" s="14">
        <v>37.694898000000002</v>
      </c>
      <c r="Y1504" s="29">
        <v>9.2416769999999993</v>
      </c>
      <c r="AA1504" s="41">
        <v>566.23904000000005</v>
      </c>
      <c r="AC1504" s="27">
        <v>53.056142000000001</v>
      </c>
      <c r="AE1504" s="27">
        <v>1</v>
      </c>
      <c r="AG1504" s="29">
        <v>7.6863429999999999</v>
      </c>
      <c r="AI1504" s="29">
        <v>8.75</v>
      </c>
      <c r="AK1504" s="27">
        <v>24.655861999999999</v>
      </c>
      <c r="AM1504" s="27">
        <v>33.824702000000002</v>
      </c>
      <c r="AO1504" s="29">
        <v>6.7591809999999999</v>
      </c>
      <c r="AP1504" s="11"/>
    </row>
    <row r="1505" spans="2:42" hidden="1" outlineLevel="1" x14ac:dyDescent="0.25">
      <c r="B1505" s="21">
        <v>43820</v>
      </c>
      <c r="C1505" s="27">
        <v>18.963999999999999</v>
      </c>
      <c r="E1505" s="30">
        <v>0.90281199999999995</v>
      </c>
      <c r="G1505" s="27">
        <v>59.741705000000003</v>
      </c>
      <c r="I1505" s="29">
        <v>6.9162499999999998</v>
      </c>
      <c r="K1505" s="29">
        <v>4.1019800000000002</v>
      </c>
      <c r="M1505" s="41">
        <v>756.9</v>
      </c>
      <c r="O1505" s="26">
        <v>3320.9724999999999</v>
      </c>
      <c r="Q1505" s="26">
        <v>6451.7130500000003</v>
      </c>
      <c r="S1505" s="26">
        <v>1572.847248</v>
      </c>
      <c r="U1505" s="29">
        <v>3.3152499999999998</v>
      </c>
      <c r="W1505" s="14">
        <v>37.661802000000002</v>
      </c>
      <c r="Y1505" s="29">
        <v>9.1814540000000004</v>
      </c>
      <c r="AA1505" s="41">
        <v>566.70580800000005</v>
      </c>
      <c r="AC1505" s="27">
        <v>53.145000000000003</v>
      </c>
      <c r="AE1505" s="27">
        <v>1</v>
      </c>
      <c r="AG1505" s="29">
        <v>7.6892480000000001</v>
      </c>
      <c r="AI1505" s="29">
        <v>8.75</v>
      </c>
      <c r="AK1505" s="27">
        <v>24.669074999999999</v>
      </c>
      <c r="AM1505" s="27">
        <v>33.917250000000003</v>
      </c>
      <c r="AO1505" s="29">
        <v>6.7577990000000003</v>
      </c>
      <c r="AP1505" s="11"/>
    </row>
    <row r="1506" spans="2:42" hidden="1" outlineLevel="1" x14ac:dyDescent="0.25">
      <c r="B1506" s="21">
        <v>43821</v>
      </c>
      <c r="C1506" s="27">
        <v>18.963999999999999</v>
      </c>
      <c r="E1506" s="30">
        <v>0.90279399999999999</v>
      </c>
      <c r="G1506" s="27">
        <v>59.740405000000003</v>
      </c>
      <c r="I1506" s="29">
        <v>6.9162499999999998</v>
      </c>
      <c r="K1506" s="29">
        <v>4.1019800000000002</v>
      </c>
      <c r="M1506" s="41">
        <v>756.9</v>
      </c>
      <c r="O1506" s="26">
        <v>3321.1372820000001</v>
      </c>
      <c r="Q1506" s="26">
        <v>6451.7130500000003</v>
      </c>
      <c r="S1506" s="26">
        <v>1572.847248</v>
      </c>
      <c r="U1506" s="29">
        <v>3.3161149999999999</v>
      </c>
      <c r="W1506" s="14">
        <v>37.663336000000001</v>
      </c>
      <c r="Y1506" s="29">
        <v>9.1818259999999992</v>
      </c>
      <c r="AA1506" s="41">
        <v>566.70580800000005</v>
      </c>
      <c r="AC1506" s="27">
        <v>53.145000000000003</v>
      </c>
      <c r="AE1506" s="27">
        <v>1</v>
      </c>
      <c r="AG1506" s="29">
        <v>7.6892480000000001</v>
      </c>
      <c r="AI1506" s="29">
        <v>8.75</v>
      </c>
      <c r="AK1506" s="27">
        <v>24.669074999999999</v>
      </c>
      <c r="AM1506" s="27">
        <v>33.917250000000003</v>
      </c>
      <c r="AO1506" s="29">
        <v>6.7577990000000003</v>
      </c>
      <c r="AP1506" s="11"/>
    </row>
    <row r="1507" spans="2:42" hidden="1" outlineLevel="1" x14ac:dyDescent="0.25">
      <c r="B1507" s="21">
        <v>43822</v>
      </c>
      <c r="C1507" s="27">
        <v>18.9133</v>
      </c>
      <c r="E1507" s="30">
        <v>0.90216799999999997</v>
      </c>
      <c r="G1507" s="27">
        <v>59.831758999999998</v>
      </c>
      <c r="I1507" s="29">
        <v>6.92035</v>
      </c>
      <c r="K1507" s="29">
        <v>4.0895679999999999</v>
      </c>
      <c r="M1507" s="41">
        <v>755.90684799999997</v>
      </c>
      <c r="O1507" s="26">
        <v>3324.5971420000001</v>
      </c>
      <c r="Q1507" s="26">
        <v>6455.1831419999999</v>
      </c>
      <c r="S1507" s="26">
        <v>1578.485492</v>
      </c>
      <c r="U1507" s="29">
        <v>3.3224680000000002</v>
      </c>
      <c r="W1507" s="14">
        <v>37.696066000000002</v>
      </c>
      <c r="Y1507" s="29">
        <v>9.2177209999999992</v>
      </c>
      <c r="AA1507" s="41">
        <v>567.08281199999999</v>
      </c>
      <c r="AC1507" s="27">
        <v>53.069476000000002</v>
      </c>
      <c r="AE1507" s="27">
        <v>1</v>
      </c>
      <c r="AG1507" s="29">
        <v>7.6998239999999996</v>
      </c>
      <c r="AI1507" s="29">
        <v>8.75</v>
      </c>
      <c r="AK1507" s="27">
        <v>24.658258</v>
      </c>
      <c r="AM1507" s="27">
        <v>33.822642000000002</v>
      </c>
      <c r="AO1507" s="29">
        <v>6.7619340000000001</v>
      </c>
      <c r="AP1507" s="11"/>
    </row>
    <row r="1508" spans="2:42" hidden="1" outlineLevel="1" x14ac:dyDescent="0.25">
      <c r="B1508" s="21">
        <v>43823</v>
      </c>
      <c r="C1508" s="27">
        <v>18.938500000000001</v>
      </c>
      <c r="E1508" s="30">
        <v>0.90212199999999998</v>
      </c>
      <c r="G1508" s="27">
        <v>59.856050000000003</v>
      </c>
      <c r="I1508" s="29">
        <v>6.9148940000000003</v>
      </c>
      <c r="K1508" s="29">
        <v>4.0836819999999996</v>
      </c>
      <c r="M1508" s="41">
        <v>752.17840200000001</v>
      </c>
      <c r="O1508" s="26">
        <v>3306.5076899999999</v>
      </c>
      <c r="Q1508" s="26">
        <v>6449.1870479999998</v>
      </c>
      <c r="S1508" s="26">
        <v>1579.271068</v>
      </c>
      <c r="U1508" s="29">
        <v>3.3161119999999999</v>
      </c>
      <c r="W1508" s="14">
        <v>37.473709999999997</v>
      </c>
      <c r="Y1508" s="29">
        <v>9.1764980000000005</v>
      </c>
      <c r="AA1508" s="41">
        <v>566.52799900000002</v>
      </c>
      <c r="AC1508" s="27">
        <v>52.994225999999998</v>
      </c>
      <c r="AE1508" s="27">
        <v>1</v>
      </c>
      <c r="AG1508" s="29">
        <v>7.6999979999999999</v>
      </c>
      <c r="AI1508" s="29">
        <v>8.75</v>
      </c>
      <c r="AK1508" s="27">
        <v>24.646346000000001</v>
      </c>
      <c r="AM1508" s="27">
        <v>33.812575000000002</v>
      </c>
      <c r="AO1508" s="29">
        <v>6.7565080000000002</v>
      </c>
      <c r="AP1508" s="11"/>
    </row>
    <row r="1509" spans="2:42" hidden="1" outlineLevel="1" x14ac:dyDescent="0.25">
      <c r="B1509" s="21">
        <v>43824</v>
      </c>
      <c r="C1509" s="27">
        <v>18.938500000000001</v>
      </c>
      <c r="E1509" s="30">
        <v>0.90182399999999996</v>
      </c>
      <c r="G1509" s="27">
        <v>59.675424</v>
      </c>
      <c r="I1509" s="29">
        <v>6.9120419999999996</v>
      </c>
      <c r="K1509" s="29">
        <v>4.084168</v>
      </c>
      <c r="M1509" s="41">
        <v>750.97443199999998</v>
      </c>
      <c r="O1509" s="26">
        <v>3299.0347470000002</v>
      </c>
      <c r="Q1509" s="26">
        <v>6445.0994710000004</v>
      </c>
      <c r="S1509" s="26">
        <v>1578.089007</v>
      </c>
      <c r="U1509" s="29">
        <v>3.314028</v>
      </c>
      <c r="W1509" s="14">
        <v>37.479785</v>
      </c>
      <c r="Y1509" s="29">
        <v>9.1769040000000004</v>
      </c>
      <c r="AA1509" s="41">
        <v>566.05947200000003</v>
      </c>
      <c r="AC1509" s="27">
        <v>52.882717999999997</v>
      </c>
      <c r="AE1509" s="27">
        <v>1</v>
      </c>
      <c r="AG1509" s="29">
        <v>7.69998</v>
      </c>
      <c r="AI1509" s="29">
        <v>8.75</v>
      </c>
      <c r="AK1509" s="27">
        <v>24.619327999999999</v>
      </c>
      <c r="AM1509" s="27">
        <v>33.727918000000003</v>
      </c>
      <c r="AO1509" s="29">
        <v>6.7538159999999996</v>
      </c>
      <c r="AP1509" s="11"/>
    </row>
    <row r="1510" spans="2:42" hidden="1" outlineLevel="1" x14ac:dyDescent="0.25">
      <c r="B1510" s="21">
        <v>43825</v>
      </c>
      <c r="C1510" s="27">
        <v>18.964300000000001</v>
      </c>
      <c r="E1510" s="30">
        <v>0.90133399999999997</v>
      </c>
      <c r="G1510" s="27">
        <v>59.816642999999999</v>
      </c>
      <c r="I1510" s="29">
        <v>6.9100890000000001</v>
      </c>
      <c r="K1510" s="29">
        <v>4.0707570000000004</v>
      </c>
      <c r="M1510" s="41">
        <v>750.02737200000001</v>
      </c>
      <c r="O1510" s="26">
        <v>3295.0361050000001</v>
      </c>
      <c r="Q1510" s="26">
        <v>6442.4089020000001</v>
      </c>
      <c r="S1510" s="26">
        <v>1582.6256679999999</v>
      </c>
      <c r="U1510" s="29">
        <v>3.315699</v>
      </c>
      <c r="W1510" s="14">
        <v>37.461759000000001</v>
      </c>
      <c r="Y1510" s="29">
        <v>9.2027040000000007</v>
      </c>
      <c r="AA1510" s="41">
        <v>565.91637000000003</v>
      </c>
      <c r="AC1510" s="27">
        <v>52.988723999999998</v>
      </c>
      <c r="AE1510" s="27">
        <v>1</v>
      </c>
      <c r="AG1510" s="29">
        <v>7.6984589999999997</v>
      </c>
      <c r="AI1510" s="29">
        <v>8.75</v>
      </c>
      <c r="AK1510" s="27">
        <v>24.639789</v>
      </c>
      <c r="AM1510" s="27">
        <v>33.796205999999998</v>
      </c>
      <c r="AO1510" s="29">
        <v>6.7518739999999999</v>
      </c>
      <c r="AP1510" s="11"/>
    </row>
    <row r="1511" spans="2:42" hidden="1" outlineLevel="1" x14ac:dyDescent="0.25">
      <c r="B1511" s="21">
        <v>43826</v>
      </c>
      <c r="C1511" s="27">
        <v>18.944500000000001</v>
      </c>
      <c r="E1511" s="30">
        <v>0.89708500000000002</v>
      </c>
      <c r="G1511" s="27">
        <v>59.799695999999997</v>
      </c>
      <c r="I1511" s="29">
        <v>6.9069599999999998</v>
      </c>
      <c r="K1511" s="29">
        <v>4.0559609999999999</v>
      </c>
      <c r="M1511" s="41">
        <v>747.818759</v>
      </c>
      <c r="O1511" s="26">
        <v>3292.7052520000002</v>
      </c>
      <c r="Q1511" s="26">
        <v>6453.4129709999997</v>
      </c>
      <c r="S1511" s="26">
        <v>1591.110586</v>
      </c>
      <c r="U1511" s="29">
        <v>3.317428</v>
      </c>
      <c r="W1511" s="14">
        <v>37.166660999999998</v>
      </c>
      <c r="Y1511" s="29">
        <v>9.163532</v>
      </c>
      <c r="AA1511" s="41">
        <v>566.47089700000004</v>
      </c>
      <c r="AC1511" s="27">
        <v>52.972582000000003</v>
      </c>
      <c r="AE1511" s="27">
        <v>1</v>
      </c>
      <c r="AG1511" s="29">
        <v>7.6981419999999998</v>
      </c>
      <c r="AI1511" s="29">
        <v>8.75</v>
      </c>
      <c r="AK1511" s="27">
        <v>24.625903999999998</v>
      </c>
      <c r="AM1511" s="27">
        <v>33.788916</v>
      </c>
      <c r="AO1511" s="29">
        <v>6.7514690000000002</v>
      </c>
      <c r="AP1511" s="11"/>
    </row>
    <row r="1512" spans="2:42" hidden="1" outlineLevel="1" x14ac:dyDescent="0.25">
      <c r="B1512" s="21">
        <v>43827</v>
      </c>
      <c r="C1512" s="27">
        <v>18.944500000000001</v>
      </c>
      <c r="E1512" s="30">
        <v>0.89478999999999997</v>
      </c>
      <c r="G1512" s="27">
        <v>59.817749999999997</v>
      </c>
      <c r="I1512" s="29">
        <v>6.9082420000000004</v>
      </c>
      <c r="K1512" s="29">
        <v>4.046341</v>
      </c>
      <c r="M1512" s="41">
        <v>748.9</v>
      </c>
      <c r="O1512" s="26">
        <v>3299.8225000000002</v>
      </c>
      <c r="Q1512" s="26">
        <v>6467.67065</v>
      </c>
      <c r="S1512" s="26">
        <v>1598.4190329999999</v>
      </c>
      <c r="U1512" s="29">
        <v>3.3148</v>
      </c>
      <c r="W1512" s="14">
        <v>36.999357000000003</v>
      </c>
      <c r="Y1512" s="29">
        <v>9.1439909999999998</v>
      </c>
      <c r="AA1512" s="41">
        <v>567.30352500000004</v>
      </c>
      <c r="AC1512" s="27">
        <v>53.207500000000003</v>
      </c>
      <c r="AE1512" s="27">
        <v>1</v>
      </c>
      <c r="AG1512" s="29">
        <v>7.7018930000000001</v>
      </c>
      <c r="AI1512" s="29">
        <v>8.75</v>
      </c>
      <c r="AK1512" s="27">
        <v>24.659475</v>
      </c>
      <c r="AM1512" s="27">
        <v>33.926499999999997</v>
      </c>
      <c r="AO1512" s="29">
        <v>6.7553590000000003</v>
      </c>
      <c r="AP1512" s="11"/>
    </row>
    <row r="1513" spans="2:42" hidden="1" outlineLevel="1" x14ac:dyDescent="0.25">
      <c r="B1513" s="21">
        <v>43828</v>
      </c>
      <c r="C1513" s="27">
        <v>18.944500000000001</v>
      </c>
      <c r="E1513" s="30">
        <v>0.89476699999999998</v>
      </c>
      <c r="G1513" s="27">
        <v>59.817059</v>
      </c>
      <c r="I1513" s="29">
        <v>6.9082420000000004</v>
      </c>
      <c r="K1513" s="29">
        <v>4.046341</v>
      </c>
      <c r="M1513" s="41">
        <v>748.89354000000003</v>
      </c>
      <c r="O1513" s="26">
        <v>3299.896248</v>
      </c>
      <c r="Q1513" s="26">
        <v>6467.67065</v>
      </c>
      <c r="S1513" s="26">
        <v>1598.4190329999999</v>
      </c>
      <c r="U1513" s="29">
        <v>3.3149820000000001</v>
      </c>
      <c r="W1513" s="14">
        <v>37.014940000000003</v>
      </c>
      <c r="Y1513" s="29">
        <v>9.1478409999999997</v>
      </c>
      <c r="AA1513" s="41">
        <v>567.30352500000004</v>
      </c>
      <c r="AC1513" s="27">
        <v>53.207500000000003</v>
      </c>
      <c r="AE1513" s="27">
        <v>1</v>
      </c>
      <c r="AG1513" s="29">
        <v>7.7018930000000001</v>
      </c>
      <c r="AI1513" s="29">
        <v>8.75</v>
      </c>
      <c r="AK1513" s="27">
        <v>24.659475</v>
      </c>
      <c r="AM1513" s="27">
        <v>33.926499999999997</v>
      </c>
      <c r="AO1513" s="29">
        <v>6.7553590000000003</v>
      </c>
      <c r="AP1513" s="11"/>
    </row>
    <row r="1514" spans="2:42" hidden="1" outlineLevel="1" x14ac:dyDescent="0.25">
      <c r="B1514" s="21">
        <v>43829</v>
      </c>
      <c r="C1514" s="27">
        <v>18.845199999999998</v>
      </c>
      <c r="E1514" s="30">
        <v>0.89291299999999996</v>
      </c>
      <c r="G1514" s="27">
        <v>59.811715999999997</v>
      </c>
      <c r="I1514" s="29">
        <v>6.9021939999999997</v>
      </c>
      <c r="K1514" s="29">
        <v>4.0337199999999998</v>
      </c>
      <c r="M1514" s="41">
        <v>745.51723700000002</v>
      </c>
      <c r="O1514" s="26">
        <v>3293.1719400000002</v>
      </c>
      <c r="Q1514" s="26">
        <v>6461.0298659999999</v>
      </c>
      <c r="S1514" s="26">
        <v>1601.7963219999999</v>
      </c>
      <c r="U1514" s="29">
        <v>3.3133180000000002</v>
      </c>
      <c r="W1514" s="14">
        <v>36.951293999999997</v>
      </c>
      <c r="Y1514" s="29">
        <v>9.1607330000000005</v>
      </c>
      <c r="AA1514" s="41">
        <v>567.51025600000003</v>
      </c>
      <c r="AC1514" s="27">
        <v>52.968322000000001</v>
      </c>
      <c r="AE1514" s="27">
        <v>1</v>
      </c>
      <c r="AG1514" s="29">
        <v>7.6962770000000003</v>
      </c>
      <c r="AI1514" s="29">
        <v>8.75</v>
      </c>
      <c r="AK1514" s="27">
        <v>24.620716000000002</v>
      </c>
      <c r="AM1514" s="27">
        <v>33.780093999999998</v>
      </c>
      <c r="AO1514" s="29">
        <v>6.7505420000000003</v>
      </c>
      <c r="AP1514" s="11"/>
    </row>
    <row r="1515" spans="2:42" hidden="1" outlineLevel="1" x14ac:dyDescent="0.25">
      <c r="B1515" s="21">
        <v>43830</v>
      </c>
      <c r="C1515" s="49">
        <v>18.872699999999998</v>
      </c>
      <c r="E1515" s="30">
        <v>0.89161400000000002</v>
      </c>
      <c r="G1515" s="27">
        <v>59.879040000000003</v>
      </c>
      <c r="I1515" s="29">
        <v>6.9042120000000002</v>
      </c>
      <c r="K1515" s="29">
        <v>4.0198640000000001</v>
      </c>
      <c r="M1515" s="41">
        <v>736.34976500000005</v>
      </c>
      <c r="O1515" s="26">
        <v>3283.3188770000002</v>
      </c>
      <c r="Q1515" s="26">
        <v>6457.9460639999998</v>
      </c>
      <c r="S1515" s="26">
        <v>1606.53601</v>
      </c>
      <c r="U1515" s="29">
        <v>3.313618</v>
      </c>
      <c r="W1515" s="14">
        <v>37.094752</v>
      </c>
      <c r="Y1515" s="29">
        <v>9.2279599999999995</v>
      </c>
      <c r="AA1515" s="41">
        <v>568.53470000000004</v>
      </c>
      <c r="AC1515" s="27">
        <v>53.030723999999999</v>
      </c>
      <c r="AE1515" s="27">
        <v>1</v>
      </c>
      <c r="AG1515" s="29">
        <v>7.7011510000000003</v>
      </c>
      <c r="AI1515" s="29">
        <v>8.75</v>
      </c>
      <c r="AK1515" s="27">
        <v>24.62527</v>
      </c>
      <c r="AM1515" s="27">
        <v>33.779567999999998</v>
      </c>
      <c r="AO1515" s="29">
        <v>6.7542280000000003</v>
      </c>
      <c r="AP1515" s="11"/>
    </row>
    <row r="1516" spans="2:42" ht="13" collapsed="1" x14ac:dyDescent="0.3">
      <c r="B1516" s="25" t="s">
        <v>186</v>
      </c>
      <c r="C1516" s="19">
        <v>19.145499999999998</v>
      </c>
      <c r="E1516" s="24">
        <v>0.90027599999999997</v>
      </c>
      <c r="G1516" s="19">
        <v>59.822499999999998</v>
      </c>
      <c r="I1516" s="23">
        <v>6.9125300000000003</v>
      </c>
      <c r="J1516" s="9"/>
      <c r="K1516" s="23">
        <v>4.1123900000000004</v>
      </c>
      <c r="M1516" s="42">
        <v>769.99</v>
      </c>
      <c r="O1516" s="31">
        <v>3373.84</v>
      </c>
      <c r="Q1516" s="31">
        <v>6448.52</v>
      </c>
      <c r="S1516" s="31">
        <v>1568.4</v>
      </c>
      <c r="U1516" s="23">
        <v>3.3531499999999999</v>
      </c>
      <c r="W1516" s="23">
        <v>37.648409999999998</v>
      </c>
      <c r="Y1516" s="23">
        <v>9.1560900000000007</v>
      </c>
      <c r="AA1516" s="42">
        <v>568.66899999999998</v>
      </c>
      <c r="AC1516" s="19">
        <v>53.015099999999997</v>
      </c>
      <c r="AE1516" s="19">
        <v>1</v>
      </c>
      <c r="AG1516" s="23">
        <v>7.6882400000000004</v>
      </c>
      <c r="AI1516" s="23">
        <v>8.75</v>
      </c>
      <c r="AK1516" s="23">
        <v>24.65691</v>
      </c>
      <c r="AM1516" s="23">
        <v>33.822929999999999</v>
      </c>
      <c r="AO1516" s="23">
        <v>6.7560700000000002</v>
      </c>
      <c r="AP1516" s="10"/>
    </row>
    <row r="1517" spans="2:42" hidden="1" outlineLevel="1" x14ac:dyDescent="0.25">
      <c r="B1517" s="21">
        <v>43831</v>
      </c>
      <c r="C1517" s="27">
        <v>18.872699999999998</v>
      </c>
      <c r="E1517" s="30">
        <v>0.89185999999999999</v>
      </c>
      <c r="G1517" s="27">
        <v>59.923405000000002</v>
      </c>
      <c r="I1517" s="29">
        <v>6.9225659999999998</v>
      </c>
      <c r="K1517" s="29">
        <v>4.0196120000000004</v>
      </c>
      <c r="M1517" s="41">
        <v>743.71038899999996</v>
      </c>
      <c r="O1517" s="26">
        <v>3282.1899539999999</v>
      </c>
      <c r="Q1517" s="26">
        <v>6470.0188680000001</v>
      </c>
      <c r="S1517" s="26">
        <v>1609.63067</v>
      </c>
      <c r="U1517" s="29">
        <v>3.32335</v>
      </c>
      <c r="W1517" s="14">
        <v>37.23601</v>
      </c>
      <c r="Y1517" s="29">
        <v>9.2636330000000005</v>
      </c>
      <c r="AA1517" s="41">
        <v>570.17166599999996</v>
      </c>
      <c r="AC1517" s="27">
        <v>53.194043999999998</v>
      </c>
      <c r="AE1517" s="27">
        <v>1</v>
      </c>
      <c r="AG1517" s="29">
        <v>7.7222619999999997</v>
      </c>
      <c r="AI1517" s="29">
        <v>8.75</v>
      </c>
      <c r="AK1517" s="27">
        <v>24.67173</v>
      </c>
      <c r="AM1517" s="27">
        <v>33.800564000000001</v>
      </c>
      <c r="AO1517" s="29">
        <v>6.7729100000000004</v>
      </c>
      <c r="AP1517" s="11"/>
    </row>
    <row r="1518" spans="2:42" hidden="1" outlineLevel="1" x14ac:dyDescent="0.25">
      <c r="B1518" s="21">
        <v>43832</v>
      </c>
      <c r="C1518" s="27">
        <v>18.8642</v>
      </c>
      <c r="E1518" s="30">
        <v>0.89341199999999998</v>
      </c>
      <c r="G1518" s="27">
        <v>59.855379999999997</v>
      </c>
      <c r="I1518" s="29">
        <v>6.9153339999999996</v>
      </c>
      <c r="K1518" s="29">
        <v>4.0227219999999999</v>
      </c>
      <c r="M1518" s="41">
        <v>746.66080899999997</v>
      </c>
      <c r="O1518" s="26">
        <v>3272.0618679999998</v>
      </c>
      <c r="Q1518" s="26">
        <v>6462.8225620000003</v>
      </c>
      <c r="S1518" s="26">
        <v>1606.6029779999999</v>
      </c>
      <c r="U1518" s="29">
        <v>3.312738</v>
      </c>
      <c r="W1518" s="14">
        <v>37.257536000000002</v>
      </c>
      <c r="Y1518" s="29">
        <v>9.2618580000000001</v>
      </c>
      <c r="AA1518" s="41">
        <v>570.21027000000004</v>
      </c>
      <c r="AC1518" s="27">
        <v>53.068176000000001</v>
      </c>
      <c r="AE1518" s="27">
        <v>1</v>
      </c>
      <c r="AG1518" s="29">
        <v>7.7155259999999997</v>
      </c>
      <c r="AI1518" s="29">
        <v>8.75</v>
      </c>
      <c r="AK1518" s="27">
        <v>24.683530000000001</v>
      </c>
      <c r="AM1518" s="27">
        <v>33.875112000000001</v>
      </c>
      <c r="AO1518" s="29">
        <v>6.7713479999999997</v>
      </c>
      <c r="AP1518" s="11"/>
    </row>
    <row r="1519" spans="2:42" hidden="1" outlineLevel="1" x14ac:dyDescent="0.25">
      <c r="B1519" s="21">
        <v>43833</v>
      </c>
      <c r="C1519" s="27">
        <v>18.881699999999999</v>
      </c>
      <c r="E1519" s="30">
        <v>0.89607099999999995</v>
      </c>
      <c r="G1519" s="27">
        <v>59.802706000000001</v>
      </c>
      <c r="I1519" s="29">
        <v>6.9166639999999999</v>
      </c>
      <c r="K1519" s="29">
        <v>4.0396409999999996</v>
      </c>
      <c r="M1519" s="41">
        <v>756.3288</v>
      </c>
      <c r="O1519" s="26">
        <v>3258.765476</v>
      </c>
      <c r="Q1519" s="26">
        <v>6469.1272879999997</v>
      </c>
      <c r="S1519" s="26">
        <v>1601.4276</v>
      </c>
      <c r="U1519" s="29">
        <v>3.3183180000000001</v>
      </c>
      <c r="W1519" s="14">
        <v>37.339270999999997</v>
      </c>
      <c r="Y1519" s="29">
        <v>9.2432850000000002</v>
      </c>
      <c r="AA1519" s="41">
        <v>571.40724</v>
      </c>
      <c r="AC1519" s="27">
        <v>53.105738000000002</v>
      </c>
      <c r="AE1519" s="27">
        <v>1</v>
      </c>
      <c r="AG1519" s="29">
        <v>7.7136199999999997</v>
      </c>
      <c r="AI1519" s="29">
        <v>8.75</v>
      </c>
      <c r="AK1519" s="27">
        <v>24.680136000000001</v>
      </c>
      <c r="AM1519" s="27">
        <v>33.867972000000002</v>
      </c>
      <c r="AO1519" s="29">
        <v>6.7702530000000003</v>
      </c>
      <c r="AP1519" s="11"/>
    </row>
    <row r="1520" spans="2:42" hidden="1" outlineLevel="1" x14ac:dyDescent="0.25">
      <c r="B1520" s="21">
        <v>43834</v>
      </c>
      <c r="C1520" s="27">
        <v>18.881699999999999</v>
      </c>
      <c r="E1520" s="30">
        <v>0.89610599999999996</v>
      </c>
      <c r="G1520" s="27">
        <v>59.729525000000002</v>
      </c>
      <c r="I1520" s="29">
        <v>6.915394</v>
      </c>
      <c r="K1520" s="29">
        <v>4.0669000000000004</v>
      </c>
      <c r="M1520" s="41">
        <v>764.3</v>
      </c>
      <c r="O1520" s="26">
        <v>3262.4225000000001</v>
      </c>
      <c r="Q1520" s="26">
        <v>6473.2152999999998</v>
      </c>
      <c r="S1520" s="26">
        <v>1591.6937170000001</v>
      </c>
      <c r="U1520" s="29">
        <v>3.3165</v>
      </c>
      <c r="W1520" s="14">
        <v>37.284635000000002</v>
      </c>
      <c r="Y1520" s="29">
        <v>9.1678750000000004</v>
      </c>
      <c r="AA1520" s="41">
        <v>571.09556999999995</v>
      </c>
      <c r="AC1520" s="27">
        <v>53.207500000000003</v>
      </c>
      <c r="AE1520" s="27">
        <v>1</v>
      </c>
      <c r="AG1520" s="29">
        <v>7.7129099999999999</v>
      </c>
      <c r="AI1520" s="29">
        <v>8.75</v>
      </c>
      <c r="AK1520" s="27">
        <v>24.698699999999999</v>
      </c>
      <c r="AM1520" s="27">
        <v>33.954999999999998</v>
      </c>
      <c r="AO1520" s="29">
        <v>6.766032</v>
      </c>
      <c r="AP1520" s="11"/>
    </row>
    <row r="1521" spans="2:42" hidden="1" outlineLevel="1" x14ac:dyDescent="0.25">
      <c r="B1521" s="21">
        <v>43835</v>
      </c>
      <c r="C1521" s="27">
        <v>18.881699999999999</v>
      </c>
      <c r="E1521" s="30">
        <v>0.89608100000000002</v>
      </c>
      <c r="G1521" s="27">
        <v>59.728102</v>
      </c>
      <c r="I1521" s="29">
        <v>6.915394</v>
      </c>
      <c r="K1521" s="29">
        <v>4.066694</v>
      </c>
      <c r="M1521" s="41">
        <v>764.3</v>
      </c>
      <c r="O1521" s="26">
        <v>3262.1730250000001</v>
      </c>
      <c r="Q1521" s="26">
        <v>6473.2152999999998</v>
      </c>
      <c r="S1521" s="26">
        <v>1591.7746930000001</v>
      </c>
      <c r="U1521" s="29">
        <v>3.3167119999999999</v>
      </c>
      <c r="W1521" s="14">
        <v>37.288623999999999</v>
      </c>
      <c r="Y1521" s="29">
        <v>9.1693219999999993</v>
      </c>
      <c r="AA1521" s="41">
        <v>571.09556999999995</v>
      </c>
      <c r="AC1521" s="27">
        <v>53.207500000000003</v>
      </c>
      <c r="AE1521" s="27">
        <v>1</v>
      </c>
      <c r="AG1521" s="29">
        <v>7.7129099999999999</v>
      </c>
      <c r="AI1521" s="29">
        <v>8.75</v>
      </c>
      <c r="AK1521" s="27">
        <v>24.698699999999999</v>
      </c>
      <c r="AM1521" s="27">
        <v>33.954999999999998</v>
      </c>
      <c r="AO1521" s="29">
        <v>6.766032</v>
      </c>
      <c r="AP1521" s="11"/>
    </row>
    <row r="1522" spans="2:42" hidden="1" outlineLevel="1" x14ac:dyDescent="0.25">
      <c r="B1522" s="21">
        <v>43836</v>
      </c>
      <c r="C1522" s="27">
        <v>18.8673</v>
      </c>
      <c r="E1522" s="30">
        <v>0.89427000000000001</v>
      </c>
      <c r="G1522" s="27">
        <v>59.751677000000001</v>
      </c>
      <c r="I1522" s="29">
        <v>6.9097390000000001</v>
      </c>
      <c r="K1522" s="29">
        <v>4.0600769999999997</v>
      </c>
      <c r="M1522" s="41">
        <v>769.209068</v>
      </c>
      <c r="O1522" s="26">
        <v>3251.5901699999999</v>
      </c>
      <c r="Q1522" s="26">
        <v>6470.2076850000003</v>
      </c>
      <c r="S1522" s="26">
        <v>1593.6276929999999</v>
      </c>
      <c r="U1522" s="29">
        <v>3.3104339999999999</v>
      </c>
      <c r="W1522" s="14">
        <v>37.251365999999997</v>
      </c>
      <c r="Y1522" s="29">
        <v>9.1750729999999994</v>
      </c>
      <c r="AA1522" s="41">
        <v>570.38755000000003</v>
      </c>
      <c r="AC1522" s="27">
        <v>52.972489000000003</v>
      </c>
      <c r="AE1522" s="27">
        <v>1</v>
      </c>
      <c r="AG1522" s="29">
        <v>7.7072099999999999</v>
      </c>
      <c r="AI1522" s="29">
        <v>8.75</v>
      </c>
      <c r="AK1522" s="27">
        <v>24.640356000000001</v>
      </c>
      <c r="AM1522" s="27">
        <v>33.813301000000003</v>
      </c>
      <c r="AO1522" s="29">
        <v>6.760758</v>
      </c>
      <c r="AP1522" s="11"/>
    </row>
    <row r="1523" spans="2:42" hidden="1" outlineLevel="1" x14ac:dyDescent="0.25">
      <c r="B1523" s="21">
        <v>43837</v>
      </c>
      <c r="C1523" s="27">
        <v>18.827000000000002</v>
      </c>
      <c r="E1523" s="30">
        <v>0.89535500000000001</v>
      </c>
      <c r="G1523" s="27">
        <v>59.749943999999999</v>
      </c>
      <c r="I1523" s="29">
        <v>6.9170920000000002</v>
      </c>
      <c r="K1523" s="29">
        <v>4.0678419999999997</v>
      </c>
      <c r="M1523" s="41">
        <v>773.34560599999998</v>
      </c>
      <c r="O1523" s="26">
        <v>3254.1049309999999</v>
      </c>
      <c r="Q1523" s="26">
        <v>6482.5566589999999</v>
      </c>
      <c r="S1523" s="26">
        <v>1593.625362</v>
      </c>
      <c r="U1523" s="29">
        <v>3.317612</v>
      </c>
      <c r="W1523" s="14">
        <v>37.265259999999998</v>
      </c>
      <c r="Y1523" s="29">
        <v>9.1609920000000002</v>
      </c>
      <c r="AA1523" s="41">
        <v>570.07155799999998</v>
      </c>
      <c r="AC1523" s="27">
        <v>53.016308000000002</v>
      </c>
      <c r="AE1523" s="27">
        <v>1</v>
      </c>
      <c r="AG1523" s="29">
        <v>7.7137880000000001</v>
      </c>
      <c r="AI1523" s="29">
        <v>8.75</v>
      </c>
      <c r="AK1523" s="27">
        <v>24.652018000000002</v>
      </c>
      <c r="AM1523" s="27">
        <v>33.817326000000001</v>
      </c>
      <c r="AO1523" s="29">
        <v>6.7659599999999998</v>
      </c>
      <c r="AP1523" s="11"/>
    </row>
    <row r="1524" spans="2:42" hidden="1" outlineLevel="1" x14ac:dyDescent="0.25">
      <c r="B1524" s="21">
        <v>43838</v>
      </c>
      <c r="C1524" s="27">
        <v>18.885200000000001</v>
      </c>
      <c r="E1524" s="30">
        <v>0.89836700000000003</v>
      </c>
      <c r="G1524" s="27">
        <v>59.780959000000003</v>
      </c>
      <c r="I1524" s="29">
        <v>6.9177359999999997</v>
      </c>
      <c r="K1524" s="29">
        <v>4.0637730000000003</v>
      </c>
      <c r="M1524" s="41">
        <v>766.62193300000001</v>
      </c>
      <c r="O1524" s="26">
        <v>3266.1822560000001</v>
      </c>
      <c r="Q1524" s="26">
        <v>6490.6890279999998</v>
      </c>
      <c r="S1524" s="26">
        <v>1597.221802</v>
      </c>
      <c r="U1524" s="29">
        <v>3.3228360000000001</v>
      </c>
      <c r="W1524" s="14">
        <v>37.341371000000002</v>
      </c>
      <c r="Y1524" s="29">
        <v>9.1889050000000001</v>
      </c>
      <c r="AA1524" s="41">
        <v>571.00525600000003</v>
      </c>
      <c r="AC1524" s="27">
        <v>53.125427000000002</v>
      </c>
      <c r="AE1524" s="27">
        <v>1</v>
      </c>
      <c r="AG1524" s="29">
        <v>7.7142160000000004</v>
      </c>
      <c r="AI1524" s="29">
        <v>8.75</v>
      </c>
      <c r="AK1524" s="27">
        <v>24.669232999999998</v>
      </c>
      <c r="AM1524" s="27">
        <v>33.85004</v>
      </c>
      <c r="AO1524" s="29">
        <v>6.7660400000000003</v>
      </c>
      <c r="AP1524" s="11"/>
    </row>
    <row r="1525" spans="2:42" hidden="1" outlineLevel="1" x14ac:dyDescent="0.25">
      <c r="B1525" s="21">
        <v>43839</v>
      </c>
      <c r="C1525" s="27">
        <v>18.797999999999998</v>
      </c>
      <c r="E1525" s="30">
        <v>0.90009300000000003</v>
      </c>
      <c r="G1525" s="27">
        <v>59.807254</v>
      </c>
      <c r="I1525" s="29">
        <v>6.9164219999999998</v>
      </c>
      <c r="K1525" s="29">
        <v>4.0732840000000001</v>
      </c>
      <c r="M1525" s="41">
        <v>763.16987200000005</v>
      </c>
      <c r="O1525" s="26">
        <v>3249.2482719999998</v>
      </c>
      <c r="Q1525" s="26">
        <v>6498.7924839999996</v>
      </c>
      <c r="S1525" s="26">
        <v>1595.479914</v>
      </c>
      <c r="U1525" s="29">
        <v>3.3198129999999999</v>
      </c>
      <c r="W1525" s="14">
        <v>37.388095999999997</v>
      </c>
      <c r="Y1525" s="29">
        <v>9.1789020000000008</v>
      </c>
      <c r="AA1525" s="41">
        <v>571.77822600000002</v>
      </c>
      <c r="AC1525" s="27">
        <v>53.100270000000002</v>
      </c>
      <c r="AE1525" s="27">
        <v>1</v>
      </c>
      <c r="AG1525" s="29">
        <v>7.7134369999999999</v>
      </c>
      <c r="AI1525" s="29">
        <v>8.75</v>
      </c>
      <c r="AK1525" s="27">
        <v>24.662939999999999</v>
      </c>
      <c r="AM1525" s="27">
        <v>33.769568</v>
      </c>
      <c r="AO1525" s="29">
        <v>6.7603799999999996</v>
      </c>
      <c r="AP1525" s="11"/>
    </row>
    <row r="1526" spans="2:42" hidden="1" outlineLevel="1" x14ac:dyDescent="0.25">
      <c r="B1526" s="21">
        <v>43840</v>
      </c>
      <c r="C1526" s="27">
        <v>18.845300000000002</v>
      </c>
      <c r="E1526" s="30">
        <v>0.90020199999999995</v>
      </c>
      <c r="G1526" s="27">
        <v>59.755015999999998</v>
      </c>
      <c r="I1526" s="29">
        <v>6.9148079999999998</v>
      </c>
      <c r="K1526" s="29">
        <v>4.0881059999999998</v>
      </c>
      <c r="M1526" s="41">
        <v>771.09443499999998</v>
      </c>
      <c r="O1526" s="26">
        <v>3262.856882</v>
      </c>
      <c r="Q1526" s="26">
        <v>6504.9334440000002</v>
      </c>
      <c r="S1526" s="26">
        <v>1591.1976360000001</v>
      </c>
      <c r="U1526" s="29">
        <v>3.3215629999999998</v>
      </c>
      <c r="W1526" s="14">
        <v>37.441344000000001</v>
      </c>
      <c r="Y1526" s="29">
        <v>9.1586479999999995</v>
      </c>
      <c r="AA1526" s="41">
        <v>571.71763399999998</v>
      </c>
      <c r="AC1526" s="27">
        <v>53.066102000000001</v>
      </c>
      <c r="AE1526" s="27">
        <v>1</v>
      </c>
      <c r="AG1526" s="29">
        <v>7.7129940000000001</v>
      </c>
      <c r="AI1526" s="29">
        <v>8.75</v>
      </c>
      <c r="AK1526" s="27">
        <v>24.670193999999999</v>
      </c>
      <c r="AM1526" s="27">
        <v>33.803910000000002</v>
      </c>
      <c r="AO1526" s="29">
        <v>6.7557739999999997</v>
      </c>
      <c r="AP1526" s="11"/>
    </row>
    <row r="1527" spans="2:42" hidden="1" outlineLevel="1" x14ac:dyDescent="0.25">
      <c r="B1527" s="21">
        <v>43841</v>
      </c>
      <c r="C1527" s="27">
        <v>18.845300000000002</v>
      </c>
      <c r="E1527" s="30">
        <v>0.89922400000000002</v>
      </c>
      <c r="G1527" s="27">
        <v>59.735779000000001</v>
      </c>
      <c r="I1527" s="29">
        <v>6.9149830000000003</v>
      </c>
      <c r="K1527" s="29">
        <v>4.095675</v>
      </c>
      <c r="M1527" s="41">
        <v>773.8</v>
      </c>
      <c r="O1527" s="26">
        <v>3272.2</v>
      </c>
      <c r="Q1527" s="26">
        <v>6503.5471749999997</v>
      </c>
      <c r="S1527" s="26">
        <v>1587.9220379999999</v>
      </c>
      <c r="U1527" s="29">
        <v>3.3319999999999999</v>
      </c>
      <c r="W1527" s="14">
        <v>37.427416999999998</v>
      </c>
      <c r="Y1527" s="29">
        <v>9.1383500000000009</v>
      </c>
      <c r="AA1527" s="41">
        <v>571.87174800000003</v>
      </c>
      <c r="AC1527" s="27">
        <v>53.202500000000001</v>
      </c>
      <c r="AE1527" s="27">
        <v>1</v>
      </c>
      <c r="AG1527" s="29">
        <v>7.7131939999999997</v>
      </c>
      <c r="AI1527" s="29">
        <v>8.75</v>
      </c>
      <c r="AK1527" s="27">
        <v>24.7483</v>
      </c>
      <c r="AM1527" s="27">
        <v>33.904249999999998</v>
      </c>
      <c r="AO1527" s="29">
        <v>6.7576700000000001</v>
      </c>
      <c r="AP1527" s="11"/>
    </row>
    <row r="1528" spans="2:42" hidden="1" outlineLevel="1" x14ac:dyDescent="0.25">
      <c r="B1528" s="21">
        <v>43842</v>
      </c>
      <c r="C1528" s="27">
        <v>18.845300000000002</v>
      </c>
      <c r="E1528" s="30">
        <v>0.89924599999999999</v>
      </c>
      <c r="G1528" s="27">
        <v>59.725290000000001</v>
      </c>
      <c r="I1528" s="29">
        <v>6.9146619999999999</v>
      </c>
      <c r="K1528" s="29">
        <v>4.0956840000000003</v>
      </c>
      <c r="M1528" s="41">
        <v>773.8</v>
      </c>
      <c r="O1528" s="26">
        <v>3272.2</v>
      </c>
      <c r="Q1528" s="26">
        <v>6503.2953310000003</v>
      </c>
      <c r="S1528" s="26">
        <v>1587.8571710000001</v>
      </c>
      <c r="U1528" s="29">
        <v>3.3319999999999999</v>
      </c>
      <c r="W1528" s="14">
        <v>37.428607999999997</v>
      </c>
      <c r="Y1528" s="29">
        <v>9.1386199999999995</v>
      </c>
      <c r="AA1528" s="41">
        <v>571.875136</v>
      </c>
      <c r="AC1528" s="27">
        <v>53.201217999999997</v>
      </c>
      <c r="AE1528" s="27">
        <v>1</v>
      </c>
      <c r="AG1528" s="29">
        <v>7.7128680000000003</v>
      </c>
      <c r="AI1528" s="29">
        <v>8.75</v>
      </c>
      <c r="AK1528" s="27">
        <v>24.74729</v>
      </c>
      <c r="AM1528" s="27">
        <v>33.902701999999998</v>
      </c>
      <c r="AO1528" s="29">
        <v>6.7573210000000001</v>
      </c>
      <c r="AP1528" s="11"/>
    </row>
    <row r="1529" spans="2:42" hidden="1" outlineLevel="1" x14ac:dyDescent="0.25">
      <c r="B1529" s="21">
        <v>43843</v>
      </c>
      <c r="C1529" s="27">
        <v>18.773199999999999</v>
      </c>
      <c r="E1529" s="30">
        <v>0.898586</v>
      </c>
      <c r="G1529" s="27">
        <v>59.767677999999997</v>
      </c>
      <c r="I1529" s="29">
        <v>6.9028210000000003</v>
      </c>
      <c r="K1529" s="29">
        <v>4.11578</v>
      </c>
      <c r="M1529" s="41">
        <v>775.65203799999995</v>
      </c>
      <c r="O1529" s="26">
        <v>3274.736684</v>
      </c>
      <c r="Q1529" s="26">
        <v>6493.2116619999997</v>
      </c>
      <c r="S1529" s="26">
        <v>1577.649459</v>
      </c>
      <c r="U1529" s="29">
        <v>3.3320430000000001</v>
      </c>
      <c r="W1529" s="14">
        <v>37.405788000000001</v>
      </c>
      <c r="Y1529" s="29">
        <v>9.0884149999999995</v>
      </c>
      <c r="AA1529" s="41">
        <v>571.81750399999999</v>
      </c>
      <c r="AC1529" s="27">
        <v>53.059728999999997</v>
      </c>
      <c r="AE1529" s="27">
        <v>1</v>
      </c>
      <c r="AG1529" s="29">
        <v>7.7014180000000003</v>
      </c>
      <c r="AI1529" s="29">
        <v>8.75</v>
      </c>
      <c r="AK1529" s="27">
        <v>24.628104</v>
      </c>
      <c r="AM1529" s="27">
        <v>33.735931999999998</v>
      </c>
      <c r="AO1529" s="29">
        <v>6.7448410000000001</v>
      </c>
      <c r="AP1529" s="11"/>
    </row>
    <row r="1530" spans="2:42" hidden="1" outlineLevel="1" x14ac:dyDescent="0.25">
      <c r="B1530" s="21">
        <v>43844</v>
      </c>
      <c r="C1530" s="27">
        <v>18.8215</v>
      </c>
      <c r="E1530" s="30">
        <v>0.89841899999999997</v>
      </c>
      <c r="G1530" s="27">
        <v>59.968826</v>
      </c>
      <c r="I1530" s="29">
        <v>6.9078869999999997</v>
      </c>
      <c r="K1530" s="29">
        <v>4.1422059999999998</v>
      </c>
      <c r="M1530" s="41">
        <v>773.66555900000003</v>
      </c>
      <c r="O1530" s="26">
        <v>3276.3369929999999</v>
      </c>
      <c r="Q1530" s="26">
        <v>6498.244764</v>
      </c>
      <c r="S1530" s="26">
        <v>1568.8000939999999</v>
      </c>
      <c r="U1530" s="29">
        <v>3.3224710000000002</v>
      </c>
      <c r="W1530" s="14">
        <v>37.314782000000001</v>
      </c>
      <c r="Y1530" s="29">
        <v>9.0084759999999999</v>
      </c>
      <c r="AA1530" s="41">
        <v>572.51786800000002</v>
      </c>
      <c r="AC1530" s="27">
        <v>53.043370000000003</v>
      </c>
      <c r="AE1530" s="27">
        <v>1</v>
      </c>
      <c r="AG1530" s="29">
        <v>7.707077</v>
      </c>
      <c r="AI1530" s="29">
        <v>8.75</v>
      </c>
      <c r="AK1530" s="27">
        <v>24.671852999999999</v>
      </c>
      <c r="AM1530" s="27">
        <v>33.815241</v>
      </c>
      <c r="AO1530" s="29">
        <v>6.7493600000000002</v>
      </c>
      <c r="AP1530" s="11"/>
    </row>
    <row r="1531" spans="2:42" hidden="1" outlineLevel="1" x14ac:dyDescent="0.25">
      <c r="B1531" s="21">
        <v>43845</v>
      </c>
      <c r="C1531" s="27">
        <v>18.812000000000001</v>
      </c>
      <c r="E1531" s="30">
        <v>0.89752100000000001</v>
      </c>
      <c r="G1531" s="27">
        <v>59.970208</v>
      </c>
      <c r="I1531" s="29">
        <v>6.9107820000000002</v>
      </c>
      <c r="K1531" s="29">
        <v>4.1515279999999999</v>
      </c>
      <c r="M1531" s="41">
        <v>772.129593</v>
      </c>
      <c r="O1531" s="26">
        <v>3292.8392480000002</v>
      </c>
      <c r="Q1531" s="26">
        <v>6503.8447310000001</v>
      </c>
      <c r="S1531" s="26">
        <v>1566.6265229999999</v>
      </c>
      <c r="U1531" s="29">
        <v>3.3239749999999999</v>
      </c>
      <c r="W1531" s="14">
        <v>37.267575999999998</v>
      </c>
      <c r="Y1531" s="29">
        <v>8.9768749999999997</v>
      </c>
      <c r="AA1531" s="41">
        <v>572.63962500000002</v>
      </c>
      <c r="AC1531" s="27">
        <v>53.068505999999999</v>
      </c>
      <c r="AE1531" s="27">
        <v>1</v>
      </c>
      <c r="AG1531" s="29">
        <v>7.7102560000000002</v>
      </c>
      <c r="AI1531" s="29">
        <v>8.75</v>
      </c>
      <c r="AK1531" s="27">
        <v>24.705719999999999</v>
      </c>
      <c r="AM1531" s="27">
        <v>33.901657999999998</v>
      </c>
      <c r="AO1531" s="29">
        <v>6.7523499999999999</v>
      </c>
      <c r="AP1531" s="11"/>
    </row>
    <row r="1532" spans="2:42" hidden="1" outlineLevel="1" x14ac:dyDescent="0.25">
      <c r="B1532" s="21">
        <v>43846</v>
      </c>
      <c r="C1532" s="27">
        <v>18.807700000000001</v>
      </c>
      <c r="E1532" s="30">
        <v>0.897065</v>
      </c>
      <c r="G1532" s="27">
        <v>59.912646000000002</v>
      </c>
      <c r="I1532" s="29">
        <v>6.9100679999999999</v>
      </c>
      <c r="K1532" s="29">
        <v>4.178941</v>
      </c>
      <c r="M1532" s="41">
        <v>775.78718300000003</v>
      </c>
      <c r="O1532" s="26">
        <v>3308.5958639999999</v>
      </c>
      <c r="Q1532" s="26">
        <v>6507.3756009999997</v>
      </c>
      <c r="S1532" s="26">
        <v>1557.194528</v>
      </c>
      <c r="U1532" s="29">
        <v>3.3223419999999999</v>
      </c>
      <c r="W1532" s="14">
        <v>37.255087000000003</v>
      </c>
      <c r="Y1532" s="29">
        <v>8.9149999999999991</v>
      </c>
      <c r="AA1532" s="41">
        <v>570.64915599999995</v>
      </c>
      <c r="AC1532" s="27">
        <v>53.112521999999998</v>
      </c>
      <c r="AE1532" s="27">
        <v>1</v>
      </c>
      <c r="AG1532" s="29">
        <v>7.7048500000000004</v>
      </c>
      <c r="AI1532" s="29">
        <v>8.75</v>
      </c>
      <c r="AK1532" s="27">
        <v>24.6952</v>
      </c>
      <c r="AM1532" s="27">
        <v>33.972558999999997</v>
      </c>
      <c r="AO1532" s="29">
        <v>6.7519119999999999</v>
      </c>
      <c r="AP1532" s="11"/>
    </row>
    <row r="1533" spans="2:42" hidden="1" outlineLevel="1" x14ac:dyDescent="0.25">
      <c r="B1533" s="21">
        <v>43847</v>
      </c>
      <c r="C1533" s="27">
        <v>18.792999999999999</v>
      </c>
      <c r="E1533" s="30">
        <v>0.89975300000000002</v>
      </c>
      <c r="G1533" s="27">
        <v>59.939807999999999</v>
      </c>
      <c r="I1533" s="29">
        <v>6.9161739999999998</v>
      </c>
      <c r="K1533" s="29">
        <v>4.1792680000000004</v>
      </c>
      <c r="M1533" s="41">
        <v>775.81432400000006</v>
      </c>
      <c r="O1533" s="26">
        <v>3325.5687400000002</v>
      </c>
      <c r="Q1533" s="26">
        <v>6514.5308880000002</v>
      </c>
      <c r="S1533" s="26">
        <v>1558.784834</v>
      </c>
      <c r="U1533" s="29">
        <v>3.3256320000000001</v>
      </c>
      <c r="W1533" s="14">
        <v>37.308849000000002</v>
      </c>
      <c r="Y1533" s="29">
        <v>8.927168</v>
      </c>
      <c r="AA1533" s="41">
        <v>568.50840400000004</v>
      </c>
      <c r="AC1533" s="27">
        <v>53.132106</v>
      </c>
      <c r="AE1533" s="27">
        <v>1</v>
      </c>
      <c r="AG1533" s="29">
        <v>7.7047910000000002</v>
      </c>
      <c r="AI1533" s="29">
        <v>8.75</v>
      </c>
      <c r="AK1533" s="27">
        <v>24.645519</v>
      </c>
      <c r="AM1533" s="27">
        <v>33.793914000000001</v>
      </c>
      <c r="AO1533" s="29">
        <v>6.7591599999999996</v>
      </c>
      <c r="AP1533" s="11"/>
    </row>
    <row r="1534" spans="2:42" hidden="1" outlineLevel="1" x14ac:dyDescent="0.25">
      <c r="B1534" s="21">
        <v>43848</v>
      </c>
      <c r="C1534" s="27">
        <v>18.792999999999999</v>
      </c>
      <c r="E1534" s="30">
        <v>0.90167200000000003</v>
      </c>
      <c r="G1534" s="27">
        <v>60.00385</v>
      </c>
      <c r="I1534" s="29">
        <v>6.913926</v>
      </c>
      <c r="K1534" s="29">
        <v>4.1619999999999999</v>
      </c>
      <c r="M1534" s="41">
        <v>774</v>
      </c>
      <c r="O1534" s="26">
        <v>3332.5225</v>
      </c>
      <c r="Q1534" s="26">
        <v>6513.8362749999997</v>
      </c>
      <c r="S1534" s="26">
        <v>1565.087096</v>
      </c>
      <c r="U1534" s="29">
        <v>3.3243499999999999</v>
      </c>
      <c r="W1534" s="14">
        <v>37.319242000000003</v>
      </c>
      <c r="Y1534" s="29">
        <v>8.9667209999999997</v>
      </c>
      <c r="AA1534" s="41">
        <v>567.75235799999996</v>
      </c>
      <c r="AC1534" s="27">
        <v>53.144061000000001</v>
      </c>
      <c r="AE1534" s="27">
        <v>1</v>
      </c>
      <c r="AG1534" s="29">
        <v>7.7010439999999996</v>
      </c>
      <c r="AI1534" s="29">
        <v>8.75</v>
      </c>
      <c r="AK1534" s="27">
        <v>24.623276000000001</v>
      </c>
      <c r="AM1534" s="27">
        <v>33.750357000000001</v>
      </c>
      <c r="AO1534" s="29">
        <v>6.7583349999999998</v>
      </c>
      <c r="AP1534" s="11"/>
    </row>
    <row r="1535" spans="2:42" hidden="1" outlineLevel="1" x14ac:dyDescent="0.25">
      <c r="B1535" s="21">
        <v>43849</v>
      </c>
      <c r="C1535" s="27">
        <v>18.792999999999999</v>
      </c>
      <c r="E1535" s="30">
        <v>0.90166800000000003</v>
      </c>
      <c r="G1535" s="27">
        <v>60.003340999999999</v>
      </c>
      <c r="I1535" s="29">
        <v>6.9139900000000001</v>
      </c>
      <c r="K1535" s="29">
        <v>4.1619999999999999</v>
      </c>
      <c r="M1535" s="41">
        <v>773.99777600000004</v>
      </c>
      <c r="O1535" s="26">
        <v>3332.5219959999999</v>
      </c>
      <c r="Q1535" s="26">
        <v>6514.1090020000001</v>
      </c>
      <c r="S1535" s="26">
        <v>1565.1526240000001</v>
      </c>
      <c r="U1535" s="29">
        <v>3.3242159999999998</v>
      </c>
      <c r="W1535" s="14">
        <v>37.319654</v>
      </c>
      <c r="Y1535" s="29">
        <v>8.9668200000000002</v>
      </c>
      <c r="AA1535" s="41">
        <v>567.76739399999997</v>
      </c>
      <c r="AC1535" s="27">
        <v>53.144061000000001</v>
      </c>
      <c r="AE1535" s="27">
        <v>1</v>
      </c>
      <c r="AG1535" s="29">
        <v>7.7010880000000004</v>
      </c>
      <c r="AI1535" s="29">
        <v>8.75</v>
      </c>
      <c r="AK1535" s="27">
        <v>24.623740000000002</v>
      </c>
      <c r="AM1535" s="27">
        <v>33.749274</v>
      </c>
      <c r="AO1535" s="29">
        <v>6.75847</v>
      </c>
      <c r="AP1535" s="11"/>
    </row>
    <row r="1536" spans="2:42" hidden="1" outlineLevel="1" x14ac:dyDescent="0.25">
      <c r="B1536" s="21">
        <v>43850</v>
      </c>
      <c r="C1536" s="27">
        <v>18.738800000000001</v>
      </c>
      <c r="E1536" s="30">
        <v>0.90161599999999997</v>
      </c>
      <c r="G1536" s="27">
        <v>59.993105999999997</v>
      </c>
      <c r="I1536" s="29">
        <v>6.9240259999999996</v>
      </c>
      <c r="K1536" s="29">
        <v>4.1742499999999998</v>
      </c>
      <c r="M1536" s="41">
        <v>772.87801400000001</v>
      </c>
      <c r="O1536" s="26">
        <v>3332.3681299999998</v>
      </c>
      <c r="Q1536" s="26">
        <v>6525.8186439999999</v>
      </c>
      <c r="S1536" s="26">
        <v>1563.363372</v>
      </c>
      <c r="U1536" s="29">
        <v>3.323966</v>
      </c>
      <c r="W1536" s="14">
        <v>37.335855000000002</v>
      </c>
      <c r="Y1536" s="29">
        <v>8.9443680000000008</v>
      </c>
      <c r="AA1536" s="41">
        <v>565.08636200000001</v>
      </c>
      <c r="AC1536" s="27">
        <v>53.264186000000002</v>
      </c>
      <c r="AE1536" s="27">
        <v>1</v>
      </c>
      <c r="AG1536" s="29">
        <v>7.7019019999999996</v>
      </c>
      <c r="AI1536" s="29">
        <v>8.75</v>
      </c>
      <c r="AK1536" s="27">
        <v>24.704813999999999</v>
      </c>
      <c r="AM1536" s="27">
        <v>33.843038</v>
      </c>
      <c r="AO1536" s="29">
        <v>6.7671219999999996</v>
      </c>
      <c r="AP1536" s="11"/>
    </row>
    <row r="1537" spans="2:42" hidden="1" outlineLevel="1" x14ac:dyDescent="0.25">
      <c r="B1537" s="21">
        <v>43851</v>
      </c>
      <c r="C1537" s="27">
        <v>18.672499999999999</v>
      </c>
      <c r="E1537" s="30">
        <v>0.90126200000000001</v>
      </c>
      <c r="G1537" s="27">
        <v>60.036256000000002</v>
      </c>
      <c r="I1537" s="29">
        <v>6.9208959999999999</v>
      </c>
      <c r="K1537" s="29">
        <v>4.1965839999999996</v>
      </c>
      <c r="M1537" s="41">
        <v>773.33665099999996</v>
      </c>
      <c r="O1537" s="26">
        <v>3334.0054399999999</v>
      </c>
      <c r="Q1537" s="26">
        <v>6524.7177760000004</v>
      </c>
      <c r="S1537" s="26">
        <v>1554.7801079999999</v>
      </c>
      <c r="U1537" s="29">
        <v>3.3210959999999998</v>
      </c>
      <c r="W1537" s="14">
        <v>37.296914999999998</v>
      </c>
      <c r="Y1537" s="29">
        <v>8.8874879999999994</v>
      </c>
      <c r="AA1537" s="41">
        <v>563.16743499999995</v>
      </c>
      <c r="AC1537" s="27">
        <v>53.293398000000003</v>
      </c>
      <c r="AE1537" s="27">
        <v>1</v>
      </c>
      <c r="AG1537" s="29">
        <v>7.6948420000000004</v>
      </c>
      <c r="AI1537" s="29">
        <v>8.75</v>
      </c>
      <c r="AK1537" s="27">
        <v>24.696321000000001</v>
      </c>
      <c r="AM1537" s="27">
        <v>33.875247000000002</v>
      </c>
      <c r="AO1537" s="29">
        <v>6.7628339999999998</v>
      </c>
      <c r="AP1537" s="11"/>
    </row>
    <row r="1538" spans="2:42" hidden="1" outlineLevel="1" x14ac:dyDescent="0.25">
      <c r="B1538" s="21">
        <v>43852</v>
      </c>
      <c r="C1538" s="27">
        <v>18.700700000000001</v>
      </c>
      <c r="E1538" s="30">
        <v>0.90209899999999998</v>
      </c>
      <c r="G1538" s="27">
        <v>60.077756000000001</v>
      </c>
      <c r="I1538" s="29">
        <v>6.9218000000000002</v>
      </c>
      <c r="K1538" s="29">
        <v>4.1989720000000004</v>
      </c>
      <c r="M1538" s="41">
        <v>774.01444600000002</v>
      </c>
      <c r="O1538" s="26">
        <v>3339.6672189999999</v>
      </c>
      <c r="Q1538" s="26">
        <v>6529.202346</v>
      </c>
      <c r="S1538" s="26">
        <v>1554.9636539999999</v>
      </c>
      <c r="U1538" s="29">
        <v>3.320748</v>
      </c>
      <c r="W1538" s="14">
        <v>37.362791999999999</v>
      </c>
      <c r="Y1538" s="29">
        <v>8.8981200000000005</v>
      </c>
      <c r="AA1538" s="41">
        <v>563.47271000000001</v>
      </c>
      <c r="AC1538" s="27">
        <v>53.358339999999998</v>
      </c>
      <c r="AE1538" s="27">
        <v>1</v>
      </c>
      <c r="AG1538" s="29">
        <v>7.6974989999999996</v>
      </c>
      <c r="AI1538" s="29">
        <v>8.75</v>
      </c>
      <c r="AK1538" s="27">
        <v>24.706092000000002</v>
      </c>
      <c r="AM1538" s="27">
        <v>34.014077</v>
      </c>
      <c r="AO1538" s="29">
        <v>6.7669459999999999</v>
      </c>
      <c r="AP1538" s="11"/>
    </row>
    <row r="1539" spans="2:42" hidden="1" outlineLevel="1" x14ac:dyDescent="0.25">
      <c r="B1539" s="21">
        <v>43853</v>
      </c>
      <c r="C1539" s="27">
        <v>18.688300000000002</v>
      </c>
      <c r="E1539" s="30">
        <v>0.90305000000000002</v>
      </c>
      <c r="G1539" s="27">
        <v>60.021521</v>
      </c>
      <c r="I1539" s="29">
        <v>6.9161900000000003</v>
      </c>
      <c r="K1539" s="29">
        <v>4.1758699999999997</v>
      </c>
      <c r="M1539" s="41">
        <v>773.742031</v>
      </c>
      <c r="O1539" s="26">
        <v>3334.4696960000001</v>
      </c>
      <c r="Q1539" s="26">
        <v>6524.7853640000003</v>
      </c>
      <c r="S1539" s="26">
        <v>1562.5091179999999</v>
      </c>
      <c r="U1539" s="29">
        <v>3.3190390000000001</v>
      </c>
      <c r="W1539" s="14">
        <v>37.358476000000003</v>
      </c>
      <c r="Y1539" s="29">
        <v>8.9463159999999995</v>
      </c>
      <c r="AA1539" s="41">
        <v>563.51772500000004</v>
      </c>
      <c r="AC1539" s="27">
        <v>53.349229999999999</v>
      </c>
      <c r="AE1539" s="27">
        <v>1</v>
      </c>
      <c r="AG1539" s="29">
        <v>7.6912320000000003</v>
      </c>
      <c r="AI1539" s="29">
        <v>8.75</v>
      </c>
      <c r="AK1539" s="27">
        <v>24.6919</v>
      </c>
      <c r="AM1539" s="27">
        <v>34.061146000000001</v>
      </c>
      <c r="AO1539" s="29">
        <v>6.7617640000000003</v>
      </c>
      <c r="AP1539" s="11"/>
    </row>
    <row r="1540" spans="2:42" hidden="1" outlineLevel="1" x14ac:dyDescent="0.25">
      <c r="B1540" s="21">
        <v>43854</v>
      </c>
      <c r="C1540" s="27">
        <v>18.8018</v>
      </c>
      <c r="E1540" s="30">
        <v>0.90594300000000005</v>
      </c>
      <c r="G1540" s="27">
        <v>60.032874</v>
      </c>
      <c r="I1540" s="29">
        <v>6.9229260000000004</v>
      </c>
      <c r="K1540" s="29">
        <v>4.1756159999999998</v>
      </c>
      <c r="M1540" s="41">
        <v>777.72039199999995</v>
      </c>
      <c r="O1540" s="26">
        <v>3355.7013999999999</v>
      </c>
      <c r="Q1540" s="26">
        <v>6530.0820679999997</v>
      </c>
      <c r="S1540" s="26">
        <v>1563.872734</v>
      </c>
      <c r="U1540" s="29">
        <v>3.322946</v>
      </c>
      <c r="W1540" s="14">
        <v>37.413200000000003</v>
      </c>
      <c r="Y1540" s="29">
        <v>8.9599639999999994</v>
      </c>
      <c r="AA1540" s="41">
        <v>564.70071399999995</v>
      </c>
      <c r="AC1540" s="27">
        <v>53.393521999999997</v>
      </c>
      <c r="AE1540" s="27">
        <v>1</v>
      </c>
      <c r="AG1540" s="29">
        <v>7.6986020000000002</v>
      </c>
      <c r="AI1540" s="29">
        <v>8.75</v>
      </c>
      <c r="AK1540" s="27">
        <v>24.703913</v>
      </c>
      <c r="AM1540" s="27">
        <v>34.117302000000002</v>
      </c>
      <c r="AO1540" s="29">
        <v>6.7684740000000003</v>
      </c>
      <c r="AP1540" s="11"/>
    </row>
    <row r="1541" spans="2:42" hidden="1" outlineLevel="1" x14ac:dyDescent="0.25">
      <c r="B1541" s="21">
        <v>43855</v>
      </c>
      <c r="C1541" s="27">
        <v>18.8018</v>
      </c>
      <c r="E1541" s="30">
        <v>0.90701299999999996</v>
      </c>
      <c r="G1541" s="27">
        <v>60.011899999999997</v>
      </c>
      <c r="I1541" s="29">
        <v>6.9185359999999996</v>
      </c>
      <c r="K1541" s="29">
        <v>4.1816000000000004</v>
      </c>
      <c r="M1541" s="41">
        <v>777.3</v>
      </c>
      <c r="O1541" s="26">
        <v>3365.2125000000001</v>
      </c>
      <c r="Q1541" s="26">
        <v>6524.8270750000001</v>
      </c>
      <c r="S1541" s="26">
        <v>1560.376434</v>
      </c>
      <c r="U1541" s="29">
        <v>3.3221250000000002</v>
      </c>
      <c r="W1541" s="14">
        <v>37.303904000000003</v>
      </c>
      <c r="Y1541" s="29">
        <v>8.9210100000000008</v>
      </c>
      <c r="AA1541" s="41">
        <v>564.54318799999999</v>
      </c>
      <c r="AC1541" s="27">
        <v>53.47</v>
      </c>
      <c r="AE1541" s="27">
        <v>1</v>
      </c>
      <c r="AG1541" s="29">
        <v>7.6935849999999997</v>
      </c>
      <c r="AI1541" s="29">
        <v>8.75</v>
      </c>
      <c r="AK1541" s="27">
        <v>24.72495</v>
      </c>
      <c r="AM1541" s="27">
        <v>34.232250000000001</v>
      </c>
      <c r="AO1541" s="29">
        <v>6.7642100000000003</v>
      </c>
      <c r="AP1541" s="11"/>
    </row>
    <row r="1542" spans="2:42" hidden="1" outlineLevel="1" x14ac:dyDescent="0.25">
      <c r="B1542" s="21">
        <v>43856</v>
      </c>
      <c r="C1542" s="27">
        <v>18.8018</v>
      </c>
      <c r="E1542" s="30">
        <v>0.90698000000000001</v>
      </c>
      <c r="G1542" s="27">
        <v>60.010572000000003</v>
      </c>
      <c r="I1542" s="29">
        <v>6.9185359999999996</v>
      </c>
      <c r="K1542" s="29">
        <v>4.18161</v>
      </c>
      <c r="M1542" s="41">
        <v>777.31332599999996</v>
      </c>
      <c r="O1542" s="26">
        <v>3365.2026919999998</v>
      </c>
      <c r="Q1542" s="26">
        <v>6524.8270750000001</v>
      </c>
      <c r="S1542" s="26">
        <v>1560.373126</v>
      </c>
      <c r="U1542" s="29">
        <v>3.3221820000000002</v>
      </c>
      <c r="W1542" s="14">
        <v>37.305438000000002</v>
      </c>
      <c r="Y1542" s="29">
        <v>8.9213570000000004</v>
      </c>
      <c r="AA1542" s="41">
        <v>564.54318799999999</v>
      </c>
      <c r="AC1542" s="27">
        <v>53.47</v>
      </c>
      <c r="AE1542" s="27">
        <v>1</v>
      </c>
      <c r="AG1542" s="29">
        <v>7.6935849999999997</v>
      </c>
      <c r="AI1542" s="29">
        <v>8.75</v>
      </c>
      <c r="AK1542" s="27">
        <v>24.72495</v>
      </c>
      <c r="AM1542" s="27">
        <v>34.232250000000001</v>
      </c>
      <c r="AO1542" s="29">
        <v>6.7642100000000003</v>
      </c>
      <c r="AP1542" s="11"/>
    </row>
    <row r="1543" spans="2:42" hidden="1" outlineLevel="1" x14ac:dyDescent="0.25">
      <c r="B1543" s="21">
        <v>43857</v>
      </c>
      <c r="C1543" s="27">
        <v>18.831299999999999</v>
      </c>
      <c r="E1543" s="30">
        <v>0.90713699999999997</v>
      </c>
      <c r="G1543" s="27">
        <v>60.058610999999999</v>
      </c>
      <c r="I1543" s="29">
        <v>6.9175129999999996</v>
      </c>
      <c r="K1543" s="29">
        <v>4.1975860000000003</v>
      </c>
      <c r="M1543" s="41">
        <v>783.54590199999996</v>
      </c>
      <c r="O1543" s="26">
        <v>3375.083122</v>
      </c>
      <c r="Q1543" s="26">
        <v>6522.4868100000003</v>
      </c>
      <c r="S1543" s="26">
        <v>1553.89697</v>
      </c>
      <c r="U1543" s="29">
        <v>3.3234499999999998</v>
      </c>
      <c r="W1543" s="14">
        <v>37.301411999999999</v>
      </c>
      <c r="Y1543" s="29">
        <v>8.8865049999999997</v>
      </c>
      <c r="AA1543" s="41">
        <v>564.86495500000001</v>
      </c>
      <c r="AC1543" s="27">
        <v>53.327252000000001</v>
      </c>
      <c r="AE1543" s="27">
        <v>1</v>
      </c>
      <c r="AG1543" s="29">
        <v>7.6923659999999998</v>
      </c>
      <c r="AI1543" s="29">
        <v>8.75</v>
      </c>
      <c r="AK1543" s="27">
        <v>24.678191999999999</v>
      </c>
      <c r="AM1543" s="27">
        <v>34.115977999999998</v>
      </c>
      <c r="AO1543" s="29">
        <v>6.7636859999999999</v>
      </c>
      <c r="AP1543" s="11"/>
    </row>
    <row r="1544" spans="2:42" hidden="1" outlineLevel="1" x14ac:dyDescent="0.25">
      <c r="B1544" s="21">
        <v>43858</v>
      </c>
      <c r="C1544" s="27">
        <v>18.9407</v>
      </c>
      <c r="E1544" s="30">
        <v>0.907806</v>
      </c>
      <c r="G1544" s="27">
        <v>60.104768</v>
      </c>
      <c r="I1544" s="29">
        <v>6.9175139999999997</v>
      </c>
      <c r="K1544" s="29">
        <v>4.2040579999999999</v>
      </c>
      <c r="M1544" s="41">
        <v>788.320109</v>
      </c>
      <c r="O1544" s="26">
        <v>3395.4258580000001</v>
      </c>
      <c r="Q1544" s="26">
        <v>6522.0923599999996</v>
      </c>
      <c r="S1544" s="26">
        <v>1551.392488</v>
      </c>
      <c r="U1544" s="29">
        <v>3.3259099999999999</v>
      </c>
      <c r="W1544" s="14">
        <v>37.279353</v>
      </c>
      <c r="Y1544" s="29">
        <v>8.8675119999999996</v>
      </c>
      <c r="AA1544" s="41">
        <v>565.16987300000005</v>
      </c>
      <c r="AC1544" s="27">
        <v>53.314255000000003</v>
      </c>
      <c r="AE1544" s="27">
        <v>1</v>
      </c>
      <c r="AG1544" s="29">
        <v>7.6866199999999996</v>
      </c>
      <c r="AI1544" s="29">
        <v>8.75</v>
      </c>
      <c r="AK1544" s="27">
        <v>24.680937</v>
      </c>
      <c r="AM1544" s="27">
        <v>34.116537999999998</v>
      </c>
      <c r="AO1544" s="29">
        <v>6.7641330000000002</v>
      </c>
      <c r="AP1544" s="11"/>
    </row>
    <row r="1545" spans="2:42" hidden="1" outlineLevel="1" x14ac:dyDescent="0.25">
      <c r="B1545" s="21">
        <v>43859</v>
      </c>
      <c r="C1545" s="27">
        <v>18.802199999999999</v>
      </c>
      <c r="E1545" s="30">
        <v>0.90845299999999995</v>
      </c>
      <c r="G1545" s="27">
        <v>60.141795000000002</v>
      </c>
      <c r="I1545" s="29">
        <v>6.9148930000000002</v>
      </c>
      <c r="K1545" s="29">
        <v>4.2054400000000003</v>
      </c>
      <c r="M1545" s="41">
        <v>789.12198799999999</v>
      </c>
      <c r="O1545" s="26">
        <v>3388.9177089999998</v>
      </c>
      <c r="Q1545" s="26">
        <v>6520.5273660000003</v>
      </c>
      <c r="S1545" s="26">
        <v>1550.513408</v>
      </c>
      <c r="U1545" s="29">
        <v>3.330508</v>
      </c>
      <c r="W1545" s="14">
        <v>37.286541999999997</v>
      </c>
      <c r="Y1545" s="29">
        <v>8.8663159999999994</v>
      </c>
      <c r="AA1545" s="41">
        <v>565.22233100000005</v>
      </c>
      <c r="AC1545" s="27">
        <v>53.304375999999998</v>
      </c>
      <c r="AE1545" s="27">
        <v>1</v>
      </c>
      <c r="AG1545" s="29">
        <v>7.6759919999999999</v>
      </c>
      <c r="AI1545" s="29">
        <v>8.75</v>
      </c>
      <c r="AK1545" s="27">
        <v>24.677759999999999</v>
      </c>
      <c r="AM1545" s="27">
        <v>34.103791999999999</v>
      </c>
      <c r="AO1545" s="29">
        <v>6.7603059999999999</v>
      </c>
      <c r="AP1545" s="11"/>
    </row>
    <row r="1546" spans="2:42" hidden="1" outlineLevel="1" x14ac:dyDescent="0.25">
      <c r="B1546" s="21">
        <v>43860</v>
      </c>
      <c r="C1546" s="27">
        <v>18.706700000000001</v>
      </c>
      <c r="E1546" s="30">
        <v>0.90723299999999996</v>
      </c>
      <c r="G1546" s="27">
        <v>60.177636999999997</v>
      </c>
      <c r="I1546" s="29">
        <v>6.9146159999999997</v>
      </c>
      <c r="K1546" s="29">
        <v>4.2411539999999999</v>
      </c>
      <c r="M1546" s="41">
        <v>796.16760399999998</v>
      </c>
      <c r="O1546" s="26">
        <v>3395.0835390000002</v>
      </c>
      <c r="Q1546" s="26">
        <v>6522.009806</v>
      </c>
      <c r="S1546" s="26">
        <v>1537.8034479999999</v>
      </c>
      <c r="U1546" s="29">
        <v>3.337704</v>
      </c>
      <c r="W1546" s="14">
        <v>37.393501999999998</v>
      </c>
      <c r="Y1546" s="29">
        <v>8.8168659999999992</v>
      </c>
      <c r="AA1546" s="41">
        <v>565.40542500000004</v>
      </c>
      <c r="AC1546" s="27">
        <v>53.282255999999997</v>
      </c>
      <c r="AE1546" s="27">
        <v>1</v>
      </c>
      <c r="AG1546" s="29">
        <v>7.6721560000000002</v>
      </c>
      <c r="AI1546" s="29">
        <v>8.75</v>
      </c>
      <c r="AK1546" s="27">
        <v>24.679493999999998</v>
      </c>
      <c r="AM1546" s="27">
        <v>34.083283999999999</v>
      </c>
      <c r="AO1546" s="29">
        <v>6.7583060000000001</v>
      </c>
      <c r="AP1546" s="11"/>
    </row>
    <row r="1547" spans="2:42" hidden="1" outlineLevel="1" x14ac:dyDescent="0.25">
      <c r="B1547" s="21">
        <v>43861</v>
      </c>
      <c r="C1547" s="49">
        <v>18.785299999999999</v>
      </c>
      <c r="E1547" s="30">
        <v>0.904864</v>
      </c>
      <c r="G1547" s="27">
        <v>60.218986000000001</v>
      </c>
      <c r="I1547" s="29">
        <v>6.913443</v>
      </c>
      <c r="K1547" s="29">
        <v>4.2604899999999999</v>
      </c>
      <c r="M1547" s="41">
        <v>799.10238800000002</v>
      </c>
      <c r="O1547" s="26">
        <v>3414.7628669999999</v>
      </c>
      <c r="Q1547" s="26">
        <v>6525.5540080000001</v>
      </c>
      <c r="S1547" s="26">
        <v>1531.6553799999999</v>
      </c>
      <c r="U1547" s="29">
        <v>3.3473830000000002</v>
      </c>
      <c r="W1547" s="14">
        <v>37.421211</v>
      </c>
      <c r="Y1547" s="29">
        <v>8.7833539999999992</v>
      </c>
      <c r="AA1547" s="41">
        <v>565.51978399999996</v>
      </c>
      <c r="AC1547" s="27">
        <v>53.314065999999997</v>
      </c>
      <c r="AE1547" s="27">
        <v>1</v>
      </c>
      <c r="AG1547" s="29">
        <v>7.666347</v>
      </c>
      <c r="AI1547" s="29">
        <v>8.75</v>
      </c>
      <c r="AK1547" s="27">
        <v>24.679358000000001</v>
      </c>
      <c r="AM1547" s="27">
        <v>33.930639999999997</v>
      </c>
      <c r="AO1547" s="29">
        <v>6.7564830000000002</v>
      </c>
      <c r="AP1547" s="11"/>
    </row>
    <row r="1548" spans="2:42" ht="13" collapsed="1" x14ac:dyDescent="0.3">
      <c r="B1548" s="25" t="s">
        <v>187</v>
      </c>
      <c r="C1548" s="19">
        <v>18.811599999999999</v>
      </c>
      <c r="E1548" s="24">
        <v>0.90059400000000001</v>
      </c>
      <c r="G1548" s="19">
        <v>59.928899999999999</v>
      </c>
      <c r="I1548" s="23">
        <v>6.9157200000000003</v>
      </c>
      <c r="J1548" s="9"/>
      <c r="K1548" s="23">
        <v>4.1369300000000004</v>
      </c>
      <c r="M1548" s="42">
        <v>773.22400000000005</v>
      </c>
      <c r="O1548" s="31">
        <v>3313.07</v>
      </c>
      <c r="Q1548" s="31">
        <v>6504.66</v>
      </c>
      <c r="S1548" s="31">
        <v>1572.67</v>
      </c>
      <c r="U1548" s="23">
        <v>3.3237399999999999</v>
      </c>
      <c r="W1548" s="23">
        <v>37.329000000000001</v>
      </c>
      <c r="Y1548" s="23">
        <v>9.02562</v>
      </c>
      <c r="AA1548" s="42">
        <v>568.37300000000005</v>
      </c>
      <c r="AC1548" s="19">
        <v>53.203600000000002</v>
      </c>
      <c r="AE1548" s="19">
        <v>1</v>
      </c>
      <c r="AG1548" s="23">
        <v>7.7019399999999996</v>
      </c>
      <c r="AI1548" s="23">
        <v>8.75</v>
      </c>
      <c r="AK1548" s="23">
        <v>24.682749999999999</v>
      </c>
      <c r="AM1548" s="23">
        <v>33.927720000000001</v>
      </c>
      <c r="AO1548" s="23">
        <v>6.7614000000000001</v>
      </c>
      <c r="AP1548" s="10"/>
    </row>
    <row r="1549" spans="2:42" hidden="1" outlineLevel="1" x14ac:dyDescent="0.25">
      <c r="B1549" s="21">
        <v>43862</v>
      </c>
      <c r="C1549" s="27">
        <v>18.785299999999999</v>
      </c>
      <c r="E1549" s="30">
        <v>0.90134800000000004</v>
      </c>
      <c r="G1549" s="27">
        <v>60.271949999999997</v>
      </c>
      <c r="I1549" s="29">
        <v>6.9138679999999999</v>
      </c>
      <c r="K1549" s="29">
        <v>4.2822250000000004</v>
      </c>
      <c r="M1549" s="41">
        <v>800.3</v>
      </c>
      <c r="O1549" s="26">
        <v>3420.0625</v>
      </c>
      <c r="Q1549" s="26">
        <v>6527.9441749999996</v>
      </c>
      <c r="S1549" s="26">
        <v>1524.4397859999999</v>
      </c>
      <c r="U1549" s="29">
        <v>3.3605499999999999</v>
      </c>
      <c r="W1549" s="14">
        <v>37.49306</v>
      </c>
      <c r="Y1549" s="29">
        <v>8.7555619999999994</v>
      </c>
      <c r="AA1549" s="41">
        <v>565.69497999999999</v>
      </c>
      <c r="AC1549" s="27">
        <v>53.462499999999999</v>
      </c>
      <c r="AE1549" s="27">
        <v>1</v>
      </c>
      <c r="AG1549" s="29">
        <v>7.66533</v>
      </c>
      <c r="AI1549" s="29">
        <v>8.75</v>
      </c>
      <c r="AK1549" s="27">
        <v>24.7209</v>
      </c>
      <c r="AM1549" s="27">
        <v>33.938749999999999</v>
      </c>
      <c r="AO1549" s="29">
        <v>6.7565660000000003</v>
      </c>
      <c r="AP1549" s="11"/>
    </row>
    <row r="1550" spans="2:42" hidden="1" outlineLevel="1" x14ac:dyDescent="0.25">
      <c r="B1550" s="21">
        <v>43863</v>
      </c>
      <c r="C1550" s="27">
        <v>18.785299999999999</v>
      </c>
      <c r="E1550" s="30">
        <v>0.90138200000000002</v>
      </c>
      <c r="G1550" s="27">
        <v>60.273088999999999</v>
      </c>
      <c r="I1550" s="29">
        <v>6.9138679999999999</v>
      </c>
      <c r="K1550" s="29">
        <v>4.2822480000000001</v>
      </c>
      <c r="M1550" s="41">
        <v>800.28625199999999</v>
      </c>
      <c r="O1550" s="26">
        <v>3420.0601040000001</v>
      </c>
      <c r="Q1550" s="26">
        <v>6527.9441749999996</v>
      </c>
      <c r="S1550" s="26">
        <v>1524.431484</v>
      </c>
      <c r="U1550" s="29">
        <v>3.3615520000000001</v>
      </c>
      <c r="W1550" s="14">
        <v>37.488866000000002</v>
      </c>
      <c r="Y1550" s="29">
        <v>8.7545339999999996</v>
      </c>
      <c r="AA1550" s="41">
        <v>565.69497999999999</v>
      </c>
      <c r="AC1550" s="27">
        <v>53.462499999999999</v>
      </c>
      <c r="AE1550" s="27">
        <v>1</v>
      </c>
      <c r="AG1550" s="29">
        <v>7.66533</v>
      </c>
      <c r="AI1550" s="29">
        <v>8.75</v>
      </c>
      <c r="AK1550" s="27">
        <v>24.7209</v>
      </c>
      <c r="AM1550" s="27">
        <v>33.948734000000002</v>
      </c>
      <c r="AO1550" s="29">
        <v>6.7565660000000003</v>
      </c>
      <c r="AP1550" s="11"/>
    </row>
    <row r="1551" spans="2:42" hidden="1" outlineLevel="1" x14ac:dyDescent="0.25">
      <c r="B1551" s="21">
        <v>43864</v>
      </c>
      <c r="C1551" s="27">
        <v>18.785299999999999</v>
      </c>
      <c r="E1551" s="30">
        <v>0.90345600000000004</v>
      </c>
      <c r="G1551" s="27">
        <v>60.305210000000002</v>
      </c>
      <c r="I1551" s="29">
        <v>6.9078819999999999</v>
      </c>
      <c r="K1551" s="29">
        <v>4.2654560000000004</v>
      </c>
      <c r="M1551" s="41">
        <v>795.35774000000004</v>
      </c>
      <c r="O1551" s="26">
        <v>3411.8484739999999</v>
      </c>
      <c r="Q1551" s="26">
        <v>6521.3286319999997</v>
      </c>
      <c r="S1551" s="26">
        <v>1528.8807469999999</v>
      </c>
      <c r="U1551" s="29">
        <v>3.3759540000000001</v>
      </c>
      <c r="W1551" s="14">
        <v>37.422488999999999</v>
      </c>
      <c r="Y1551" s="29">
        <v>8.7734229999999993</v>
      </c>
      <c r="AA1551" s="41">
        <v>565.21864600000004</v>
      </c>
      <c r="AC1551" s="27">
        <v>53.007854000000002</v>
      </c>
      <c r="AE1551" s="27">
        <v>1</v>
      </c>
      <c r="AG1551" s="29">
        <v>7.6592539999999998</v>
      </c>
      <c r="AI1551" s="29">
        <v>8.75</v>
      </c>
      <c r="AK1551" s="27">
        <v>24.609566000000001</v>
      </c>
      <c r="AM1551" s="27">
        <v>33.673344999999998</v>
      </c>
      <c r="AO1551" s="29">
        <v>6.7508379999999999</v>
      </c>
      <c r="AP1551" s="11"/>
    </row>
    <row r="1552" spans="2:42" hidden="1" outlineLevel="1" x14ac:dyDescent="0.25">
      <c r="B1552" s="21">
        <v>43865</v>
      </c>
      <c r="C1552" s="27">
        <v>18.908200000000001</v>
      </c>
      <c r="E1552" s="30">
        <v>0.90493299999999999</v>
      </c>
      <c r="G1552" s="27">
        <v>60.474086</v>
      </c>
      <c r="I1552" s="29">
        <v>6.9151480000000003</v>
      </c>
      <c r="K1552" s="29">
        <v>4.2469239999999999</v>
      </c>
      <c r="M1552" s="41">
        <v>785.14103599999999</v>
      </c>
      <c r="O1552" s="26">
        <v>3395.6708279999998</v>
      </c>
      <c r="Q1552" s="26">
        <v>6522.222984</v>
      </c>
      <c r="S1552" s="26">
        <v>1535.7636090000001</v>
      </c>
      <c r="U1552" s="29">
        <v>3.371524</v>
      </c>
      <c r="W1552" s="14">
        <v>37.582549999999998</v>
      </c>
      <c r="Y1552" s="29">
        <v>8.8493980000000008</v>
      </c>
      <c r="AA1552" s="41">
        <v>565.99181199999998</v>
      </c>
      <c r="AC1552" s="27">
        <v>53.117685999999999</v>
      </c>
      <c r="AE1552" s="27">
        <v>1</v>
      </c>
      <c r="AG1552" s="29">
        <v>7.6619149999999996</v>
      </c>
      <c r="AI1552" s="29">
        <v>8.75</v>
      </c>
      <c r="AK1552" s="27">
        <v>24.664795999999999</v>
      </c>
      <c r="AM1552" s="27">
        <v>33.799239999999998</v>
      </c>
      <c r="AO1552" s="29">
        <v>6.7575960000000004</v>
      </c>
      <c r="AP1552" s="11"/>
    </row>
    <row r="1553" spans="2:42" hidden="1" outlineLevel="1" x14ac:dyDescent="0.25">
      <c r="B1553" s="21">
        <v>43866</v>
      </c>
      <c r="C1553" s="27">
        <v>18.6797</v>
      </c>
      <c r="E1553" s="30">
        <v>0.90746599999999999</v>
      </c>
      <c r="G1553" s="27">
        <v>60.529932000000002</v>
      </c>
      <c r="I1553" s="29">
        <v>6.9164760000000003</v>
      </c>
      <c r="K1553" s="29">
        <v>4.2499089999999997</v>
      </c>
      <c r="M1553" s="41">
        <v>779.27069400000005</v>
      </c>
      <c r="O1553" s="26">
        <v>3366.5630930000002</v>
      </c>
      <c r="Q1553" s="26">
        <v>6506.0433679999996</v>
      </c>
      <c r="S1553" s="26">
        <v>1530.87754</v>
      </c>
      <c r="U1553" s="29">
        <v>3.3615710000000001</v>
      </c>
      <c r="W1553" s="14">
        <v>37.560108</v>
      </c>
      <c r="Y1553" s="29">
        <v>8.8379019999999997</v>
      </c>
      <c r="AA1553" s="41">
        <v>566.32297000000005</v>
      </c>
      <c r="AC1553" s="27">
        <v>53.270567</v>
      </c>
      <c r="AE1553" s="27">
        <v>1</v>
      </c>
      <c r="AG1553" s="29">
        <v>7.6574470000000003</v>
      </c>
      <c r="AI1553" s="29">
        <v>8.75</v>
      </c>
      <c r="AK1553" s="27">
        <v>24.679762</v>
      </c>
      <c r="AM1553" s="27">
        <v>33.827109999999998</v>
      </c>
      <c r="AO1553" s="29">
        <v>6.7583099999999998</v>
      </c>
      <c r="AP1553" s="11"/>
    </row>
    <row r="1554" spans="2:42" hidden="1" outlineLevel="1" x14ac:dyDescent="0.25">
      <c r="B1554" s="21">
        <v>43867</v>
      </c>
      <c r="C1554" s="27">
        <v>18.624500000000001</v>
      </c>
      <c r="E1554" s="30">
        <v>0.90979399999999999</v>
      </c>
      <c r="G1554" s="27">
        <v>60.587836000000003</v>
      </c>
      <c r="I1554" s="29">
        <v>6.9187440000000002</v>
      </c>
      <c r="K1554" s="29">
        <v>4.2495260000000004</v>
      </c>
      <c r="M1554" s="41">
        <v>779.19234400000005</v>
      </c>
      <c r="O1554" s="26">
        <v>3371.0873459999998</v>
      </c>
      <c r="Q1554" s="26">
        <v>6496.5325119999998</v>
      </c>
      <c r="S1554" s="26">
        <v>1528.7775959999999</v>
      </c>
      <c r="U1554" s="29">
        <v>3.3614139999999999</v>
      </c>
      <c r="W1554" s="14">
        <v>37.612257999999997</v>
      </c>
      <c r="Y1554" s="29">
        <v>8.8509709999999995</v>
      </c>
      <c r="AA1554" s="41">
        <v>567.99109599999997</v>
      </c>
      <c r="AC1554" s="27">
        <v>53.305118</v>
      </c>
      <c r="AE1554" s="27">
        <v>1</v>
      </c>
      <c r="AG1554" s="29">
        <v>7.6574960000000001</v>
      </c>
      <c r="AI1554" s="29">
        <v>8.75</v>
      </c>
      <c r="AK1554" s="27">
        <v>24.64977</v>
      </c>
      <c r="AM1554" s="27">
        <v>33.752654999999997</v>
      </c>
      <c r="AO1554" s="29">
        <v>6.7608090000000001</v>
      </c>
      <c r="AP1554" s="11"/>
    </row>
    <row r="1555" spans="2:42" hidden="1" outlineLevel="1" x14ac:dyDescent="0.25">
      <c r="B1555" s="21">
        <v>43868</v>
      </c>
      <c r="C1555" s="27">
        <v>18.6645</v>
      </c>
      <c r="E1555" s="30">
        <v>0.91217999999999999</v>
      </c>
      <c r="G1555" s="27">
        <v>60.668779000000001</v>
      </c>
      <c r="I1555" s="29">
        <v>6.9185439999999998</v>
      </c>
      <c r="K1555" s="29">
        <v>4.2974360000000003</v>
      </c>
      <c r="M1555" s="41">
        <v>787.645444</v>
      </c>
      <c r="O1555" s="26">
        <v>3393.7281400000002</v>
      </c>
      <c r="Q1555" s="26">
        <v>6503.6383999999998</v>
      </c>
      <c r="S1555" s="26">
        <v>1513.3881080000001</v>
      </c>
      <c r="U1555" s="29">
        <v>3.3692679999999999</v>
      </c>
      <c r="W1555" s="14">
        <v>37.617449999999998</v>
      </c>
      <c r="Y1555" s="29">
        <v>8.7535039999999995</v>
      </c>
      <c r="AA1555" s="41">
        <v>569.67147299999999</v>
      </c>
      <c r="AC1555" s="27">
        <v>53.335642999999997</v>
      </c>
      <c r="AE1555" s="27">
        <v>1</v>
      </c>
      <c r="AG1555" s="29">
        <v>7.6540179999999998</v>
      </c>
      <c r="AI1555" s="29">
        <v>8.75</v>
      </c>
      <c r="AK1555" s="27">
        <v>24.672893999999999</v>
      </c>
      <c r="AM1555" s="27">
        <v>33.817242</v>
      </c>
      <c r="AO1555" s="29">
        <v>6.7606140000000003</v>
      </c>
      <c r="AP1555" s="11"/>
    </row>
    <row r="1556" spans="2:42" hidden="1" outlineLevel="1" x14ac:dyDescent="0.25">
      <c r="B1556" s="21">
        <v>43869</v>
      </c>
      <c r="C1556" s="27">
        <v>18.6645</v>
      </c>
      <c r="E1556" s="30">
        <v>0.91354999999999997</v>
      </c>
      <c r="G1556" s="27">
        <v>60.698324999999997</v>
      </c>
      <c r="I1556" s="29">
        <v>6.9161900000000003</v>
      </c>
      <c r="K1556" s="29">
        <v>4.3206249999999997</v>
      </c>
      <c r="M1556" s="41">
        <v>792.2</v>
      </c>
      <c r="O1556" s="26">
        <v>3413.1149999999998</v>
      </c>
      <c r="Q1556" s="26">
        <v>6508.3570499999996</v>
      </c>
      <c r="S1556" s="26">
        <v>1506.3593679999999</v>
      </c>
      <c r="U1556" s="29">
        <v>3.37615</v>
      </c>
      <c r="W1556" s="14">
        <v>37.588921999999997</v>
      </c>
      <c r="Y1556" s="29">
        <v>8.6999399999999998</v>
      </c>
      <c r="AA1556" s="41">
        <v>569.71973200000002</v>
      </c>
      <c r="AC1556" s="27">
        <v>53.397500000000001</v>
      </c>
      <c r="AE1556" s="27">
        <v>1</v>
      </c>
      <c r="AG1556" s="29">
        <v>7.6509150000000004</v>
      </c>
      <c r="AI1556" s="29">
        <v>8.75</v>
      </c>
      <c r="AK1556" s="27">
        <v>24.732125</v>
      </c>
      <c r="AM1556" s="27">
        <v>33.954250000000002</v>
      </c>
      <c r="AO1556" s="29">
        <v>6.7583099999999998</v>
      </c>
      <c r="AP1556" s="11"/>
    </row>
    <row r="1557" spans="2:42" hidden="1" outlineLevel="1" x14ac:dyDescent="0.25">
      <c r="B1557" s="21">
        <v>43870</v>
      </c>
      <c r="C1557" s="27">
        <v>18.6645</v>
      </c>
      <c r="E1557" s="30">
        <v>0.91355699999999995</v>
      </c>
      <c r="G1557" s="27">
        <v>60.698459999999997</v>
      </c>
      <c r="I1557" s="29">
        <v>6.9161900000000003</v>
      </c>
      <c r="K1557" s="29">
        <v>4.3206239999999996</v>
      </c>
      <c r="M1557" s="41">
        <v>792.2</v>
      </c>
      <c r="O1557" s="26">
        <v>3412.9926829999999</v>
      </c>
      <c r="Q1557" s="26">
        <v>6508.3570499999996</v>
      </c>
      <c r="S1557" s="26">
        <v>1506.359582</v>
      </c>
      <c r="U1557" s="29">
        <v>3.3766660000000002</v>
      </c>
      <c r="W1557" s="14">
        <v>37.589024999999999</v>
      </c>
      <c r="Y1557" s="29">
        <v>8.6999639999999996</v>
      </c>
      <c r="AA1557" s="41">
        <v>569.71973200000002</v>
      </c>
      <c r="AC1557" s="27">
        <v>53.397500000000001</v>
      </c>
      <c r="AE1557" s="27">
        <v>1</v>
      </c>
      <c r="AG1557" s="29">
        <v>7.6509150000000004</v>
      </c>
      <c r="AI1557" s="29">
        <v>8.75</v>
      </c>
      <c r="AK1557" s="27">
        <v>24.732125</v>
      </c>
      <c r="AM1557" s="27">
        <v>33.954250000000002</v>
      </c>
      <c r="AO1557" s="29">
        <v>6.7583099999999998</v>
      </c>
      <c r="AP1557" s="11"/>
    </row>
    <row r="1558" spans="2:42" hidden="1" outlineLevel="1" x14ac:dyDescent="0.25">
      <c r="B1558" s="21">
        <v>43871</v>
      </c>
      <c r="C1558" s="27">
        <v>18.776299999999999</v>
      </c>
      <c r="E1558" s="30">
        <v>0.91433699999999996</v>
      </c>
      <c r="G1558" s="27">
        <v>60.788939999999997</v>
      </c>
      <c r="I1558" s="29">
        <v>6.9165080000000003</v>
      </c>
      <c r="K1558" s="29">
        <v>4.3207199999999997</v>
      </c>
      <c r="M1558" s="41">
        <v>794.431873</v>
      </c>
      <c r="O1558" s="26">
        <v>3426.5097559999999</v>
      </c>
      <c r="Q1558" s="26">
        <v>6507.7531559999998</v>
      </c>
      <c r="S1558" s="26">
        <v>1506.1834710000001</v>
      </c>
      <c r="U1558" s="29">
        <v>3.38096</v>
      </c>
      <c r="W1558" s="14">
        <v>37.605240999999999</v>
      </c>
      <c r="Y1558" s="29">
        <v>8.7035029999999995</v>
      </c>
      <c r="AA1558" s="41">
        <v>569.75546099999997</v>
      </c>
      <c r="AC1558" s="27">
        <v>53.326608</v>
      </c>
      <c r="AE1558" s="27">
        <v>1</v>
      </c>
      <c r="AG1558" s="29">
        <v>7.6500310000000002</v>
      </c>
      <c r="AI1558" s="29">
        <v>8.75</v>
      </c>
      <c r="AK1558" s="27">
        <v>24.682849000000001</v>
      </c>
      <c r="AM1558" s="27">
        <v>33.798777000000001</v>
      </c>
      <c r="AO1558" s="29">
        <v>6.758864</v>
      </c>
      <c r="AP1558" s="11"/>
    </row>
    <row r="1559" spans="2:42" hidden="1" outlineLevel="1" x14ac:dyDescent="0.25">
      <c r="B1559" s="21">
        <v>43872</v>
      </c>
      <c r="C1559" s="27">
        <v>18.7653</v>
      </c>
      <c r="E1559" s="30">
        <v>0.91621600000000003</v>
      </c>
      <c r="G1559" s="27">
        <v>60.984226</v>
      </c>
      <c r="I1559" s="29">
        <v>6.9210979999999998</v>
      </c>
      <c r="K1559" s="29">
        <v>4.3246250000000002</v>
      </c>
      <c r="M1559" s="41">
        <v>793.891076</v>
      </c>
      <c r="O1559" s="26">
        <v>3443.6375440000002</v>
      </c>
      <c r="Q1559" s="26">
        <v>6516.2201320000004</v>
      </c>
      <c r="S1559" s="26">
        <v>1506.7829489999999</v>
      </c>
      <c r="U1559" s="29">
        <v>3.3943439999999998</v>
      </c>
      <c r="W1559" s="14">
        <v>37.704132000000001</v>
      </c>
      <c r="Y1559" s="29">
        <v>8.7185159999999993</v>
      </c>
      <c r="AA1559" s="41">
        <v>570.75940100000003</v>
      </c>
      <c r="AC1559" s="27">
        <v>53.435322999999997</v>
      </c>
      <c r="AE1559" s="27">
        <v>1</v>
      </c>
      <c r="AG1559" s="29">
        <v>7.6542570000000003</v>
      </c>
      <c r="AI1559" s="29">
        <v>8.75</v>
      </c>
      <c r="AK1559" s="27">
        <v>24.690593</v>
      </c>
      <c r="AM1559" s="27">
        <v>33.937477999999999</v>
      </c>
      <c r="AO1559" s="29">
        <v>6.764411</v>
      </c>
      <c r="AP1559" s="11"/>
    </row>
    <row r="1560" spans="2:42" hidden="1" outlineLevel="1" x14ac:dyDescent="0.25">
      <c r="B1560" s="21">
        <v>43873</v>
      </c>
      <c r="C1560" s="27">
        <v>18.673999999999999</v>
      </c>
      <c r="E1560" s="30">
        <v>0.91737199999999997</v>
      </c>
      <c r="G1560" s="27">
        <v>61.123843999999998</v>
      </c>
      <c r="I1560" s="29">
        <v>6.9150260000000001</v>
      </c>
      <c r="K1560" s="29">
        <v>4.3388220000000004</v>
      </c>
      <c r="M1560" s="41">
        <v>791.47078199999999</v>
      </c>
      <c r="O1560" s="26">
        <v>3407.5409110000001</v>
      </c>
      <c r="Q1560" s="26">
        <v>6517.5317459999997</v>
      </c>
      <c r="S1560" s="26">
        <v>1502.1583250000001</v>
      </c>
      <c r="U1560" s="29">
        <v>3.3878240000000002</v>
      </c>
      <c r="W1560" s="14">
        <v>37.754657999999999</v>
      </c>
      <c r="Y1560" s="29">
        <v>8.7016439999999999</v>
      </c>
      <c r="AA1560" s="41">
        <v>570.87603799999999</v>
      </c>
      <c r="AC1560" s="27">
        <v>53.347450000000002</v>
      </c>
      <c r="AE1560" s="27">
        <v>1</v>
      </c>
      <c r="AG1560" s="29">
        <v>7.6471410000000004</v>
      </c>
      <c r="AI1560" s="29">
        <v>8.75</v>
      </c>
      <c r="AK1560" s="27">
        <v>24.639517000000001</v>
      </c>
      <c r="AM1560" s="27">
        <v>33.980873000000003</v>
      </c>
      <c r="AO1560" s="29">
        <v>6.7603999999999997</v>
      </c>
      <c r="AP1560" s="11"/>
    </row>
    <row r="1561" spans="2:42" hidden="1" outlineLevel="1" x14ac:dyDescent="0.25">
      <c r="B1561" s="21">
        <v>43874</v>
      </c>
      <c r="C1561" s="27">
        <v>18.630800000000001</v>
      </c>
      <c r="E1561" s="30">
        <v>0.92077100000000001</v>
      </c>
      <c r="G1561" s="27">
        <v>61.232751999999998</v>
      </c>
      <c r="I1561" s="29">
        <v>6.9186290000000001</v>
      </c>
      <c r="K1561" s="29">
        <v>4.3488829999999998</v>
      </c>
      <c r="M1561" s="41">
        <v>794.09723899999995</v>
      </c>
      <c r="O1561" s="26">
        <v>3384.5279999999998</v>
      </c>
      <c r="Q1561" s="26">
        <v>6527.6897369999997</v>
      </c>
      <c r="S1561" s="26">
        <v>1501.0148200000001</v>
      </c>
      <c r="U1561" s="29">
        <v>3.3904079999999999</v>
      </c>
      <c r="W1561" s="14">
        <v>37.871797999999998</v>
      </c>
      <c r="Y1561" s="29">
        <v>8.7084349999999997</v>
      </c>
      <c r="AA1561" s="41">
        <v>570.902603</v>
      </c>
      <c r="AC1561" s="27">
        <v>53.454272000000003</v>
      </c>
      <c r="AE1561" s="27">
        <v>1</v>
      </c>
      <c r="AG1561" s="29">
        <v>7.6502039999999996</v>
      </c>
      <c r="AI1561" s="29">
        <v>8.75</v>
      </c>
      <c r="AK1561" s="27">
        <v>24.692588000000001</v>
      </c>
      <c r="AM1561" s="27">
        <v>34.079872000000002</v>
      </c>
      <c r="AO1561" s="29">
        <v>6.7667380000000001</v>
      </c>
      <c r="AP1561" s="11"/>
    </row>
    <row r="1562" spans="2:42" hidden="1" outlineLevel="1" x14ac:dyDescent="0.25">
      <c r="B1562" s="21">
        <v>43875</v>
      </c>
      <c r="C1562" s="27">
        <v>18.645800000000001</v>
      </c>
      <c r="E1562" s="30">
        <v>0.92255799999999999</v>
      </c>
      <c r="G1562" s="27">
        <v>61.352468000000002</v>
      </c>
      <c r="I1562" s="29">
        <v>6.9155610000000003</v>
      </c>
      <c r="K1562" s="29">
        <v>4.3265760000000002</v>
      </c>
      <c r="M1562" s="41">
        <v>793.889948</v>
      </c>
      <c r="O1562" s="26">
        <v>3380.7925839999998</v>
      </c>
      <c r="Q1562" s="26">
        <v>6532.2902430000004</v>
      </c>
      <c r="S1562" s="26">
        <v>1509.8194530000001</v>
      </c>
      <c r="U1562" s="29">
        <v>3.3840750000000002</v>
      </c>
      <c r="W1562" s="14">
        <v>37.902282</v>
      </c>
      <c r="Y1562" s="29">
        <v>8.760389</v>
      </c>
      <c r="AA1562" s="41">
        <v>570.04077800000005</v>
      </c>
      <c r="AC1562" s="27">
        <v>53.418404000000002</v>
      </c>
      <c r="AE1562" s="27">
        <v>1</v>
      </c>
      <c r="AG1562" s="29">
        <v>7.6400459999999999</v>
      </c>
      <c r="AI1562" s="29">
        <v>8.75</v>
      </c>
      <c r="AK1562" s="27">
        <v>24.700595</v>
      </c>
      <c r="AM1562" s="27">
        <v>34.099212000000001</v>
      </c>
      <c r="AO1562" s="29">
        <v>6.7633169999999998</v>
      </c>
      <c r="AP1562" s="11"/>
    </row>
    <row r="1563" spans="2:42" hidden="1" outlineLevel="1" x14ac:dyDescent="0.25">
      <c r="B1563" s="21">
        <v>43876</v>
      </c>
      <c r="C1563" s="27">
        <v>18.645800000000001</v>
      </c>
      <c r="E1563" s="30">
        <v>0.92327999999999999</v>
      </c>
      <c r="G1563" s="27">
        <v>61.370825000000004</v>
      </c>
      <c r="I1563" s="29">
        <v>6.9151579999999999</v>
      </c>
      <c r="K1563" s="29">
        <v>4.297625</v>
      </c>
      <c r="M1563" s="41">
        <v>792</v>
      </c>
      <c r="O1563" s="26">
        <v>3391.6875</v>
      </c>
      <c r="Q1563" s="26">
        <v>6530.9892749999999</v>
      </c>
      <c r="S1563" s="26">
        <v>1519.690922</v>
      </c>
      <c r="U1563" s="29">
        <v>3.3802249999999998</v>
      </c>
      <c r="W1563" s="14">
        <v>37.990673999999999</v>
      </c>
      <c r="Y1563" s="29">
        <v>8.8399979999999996</v>
      </c>
      <c r="AA1563" s="41">
        <v>569.03754800000002</v>
      </c>
      <c r="AC1563" s="27">
        <v>53.457500000000003</v>
      </c>
      <c r="AE1563" s="27">
        <v>1</v>
      </c>
      <c r="AG1563" s="29">
        <v>7.6359159999999999</v>
      </c>
      <c r="AI1563" s="29">
        <v>8.75</v>
      </c>
      <c r="AK1563" s="27">
        <v>24.743950000000002</v>
      </c>
      <c r="AM1563" s="27">
        <v>34.204749999999997</v>
      </c>
      <c r="AO1563" s="29">
        <v>6.7592540000000003</v>
      </c>
      <c r="AP1563" s="11"/>
    </row>
    <row r="1564" spans="2:42" hidden="1" outlineLevel="1" x14ac:dyDescent="0.25">
      <c r="B1564" s="21">
        <v>43877</v>
      </c>
      <c r="C1564" s="27">
        <v>18.645800000000001</v>
      </c>
      <c r="E1564" s="30">
        <v>0.92322000000000004</v>
      </c>
      <c r="G1564" s="27">
        <v>61.368158999999999</v>
      </c>
      <c r="I1564" s="29">
        <v>6.9151579999999999</v>
      </c>
      <c r="K1564" s="29">
        <v>4.2976239999999999</v>
      </c>
      <c r="M1564" s="41">
        <v>792</v>
      </c>
      <c r="O1564" s="26">
        <v>3391.6875</v>
      </c>
      <c r="Q1564" s="26">
        <v>6530.9892749999999</v>
      </c>
      <c r="S1564" s="26">
        <v>1519.6909949999999</v>
      </c>
      <c r="U1564" s="29">
        <v>3.3801960000000002</v>
      </c>
      <c r="W1564" s="14">
        <v>37.987707999999998</v>
      </c>
      <c r="Y1564" s="29">
        <v>8.8393080000000008</v>
      </c>
      <c r="AA1564" s="41">
        <v>569.03754800000002</v>
      </c>
      <c r="AC1564" s="27">
        <v>53.457500000000003</v>
      </c>
      <c r="AE1564" s="27">
        <v>1</v>
      </c>
      <c r="AG1564" s="29">
        <v>7.6359159999999999</v>
      </c>
      <c r="AI1564" s="29">
        <v>8.75</v>
      </c>
      <c r="AK1564" s="27">
        <v>24.743950000000002</v>
      </c>
      <c r="AM1564" s="27">
        <v>34.204749999999997</v>
      </c>
      <c r="AO1564" s="29">
        <v>6.7592540000000003</v>
      </c>
      <c r="AP1564" s="11"/>
    </row>
    <row r="1565" spans="2:42" hidden="1" outlineLevel="1" x14ac:dyDescent="0.25">
      <c r="B1565" s="21">
        <v>43878</v>
      </c>
      <c r="C1565" s="27">
        <v>18.571200000000001</v>
      </c>
      <c r="E1565" s="30">
        <v>0.92270200000000002</v>
      </c>
      <c r="G1565" s="27">
        <v>61.436993999999999</v>
      </c>
      <c r="I1565" s="29">
        <v>6.914517</v>
      </c>
      <c r="K1565" s="29">
        <v>4.3102179999999999</v>
      </c>
      <c r="M1565" s="41">
        <v>793.467353</v>
      </c>
      <c r="O1565" s="26">
        <v>3392.8476169999999</v>
      </c>
      <c r="Q1565" s="26">
        <v>6526.9188100000001</v>
      </c>
      <c r="S1565" s="26">
        <v>1514.2996740000001</v>
      </c>
      <c r="U1565" s="29">
        <v>3.3827500000000001</v>
      </c>
      <c r="W1565" s="14">
        <v>37.970461999999998</v>
      </c>
      <c r="Y1565" s="29">
        <v>8.8094380000000001</v>
      </c>
      <c r="AA1565" s="41">
        <v>567.58637599999997</v>
      </c>
      <c r="AC1565" s="27">
        <v>53.340145999999997</v>
      </c>
      <c r="AE1565" s="27">
        <v>1</v>
      </c>
      <c r="AG1565" s="29">
        <v>7.6361280000000002</v>
      </c>
      <c r="AI1565" s="29">
        <v>8.75</v>
      </c>
      <c r="AK1565" s="27">
        <v>24.686471999999998</v>
      </c>
      <c r="AM1565" s="27">
        <v>34.074756000000001</v>
      </c>
      <c r="AO1565" s="29">
        <v>6.7575269999999996</v>
      </c>
      <c r="AP1565" s="11"/>
    </row>
    <row r="1566" spans="2:42" hidden="1" outlineLevel="1" x14ac:dyDescent="0.25">
      <c r="B1566" s="21">
        <v>43879</v>
      </c>
      <c r="C1566" s="27">
        <v>18.5715</v>
      </c>
      <c r="E1566" s="30">
        <v>0.92448600000000003</v>
      </c>
      <c r="G1566" s="27">
        <v>61.580634000000003</v>
      </c>
      <c r="I1566" s="29">
        <v>6.9197179999999996</v>
      </c>
      <c r="K1566" s="29">
        <v>4.340522</v>
      </c>
      <c r="M1566" s="41">
        <v>796.836096</v>
      </c>
      <c r="O1566" s="26">
        <v>3393.517578</v>
      </c>
      <c r="Q1566" s="26">
        <v>6523.1638359999997</v>
      </c>
      <c r="S1566" s="26">
        <v>1502.8632259999999</v>
      </c>
      <c r="U1566" s="29">
        <v>3.3824100000000001</v>
      </c>
      <c r="W1566" s="14">
        <v>38.029000000000003</v>
      </c>
      <c r="Y1566" s="29">
        <v>8.7614260000000002</v>
      </c>
      <c r="AA1566" s="41">
        <v>566.147378</v>
      </c>
      <c r="AC1566" s="27">
        <v>53.434941999999999</v>
      </c>
      <c r="AE1566" s="27">
        <v>1</v>
      </c>
      <c r="AG1566" s="29">
        <v>7.6412909999999998</v>
      </c>
      <c r="AI1566" s="29">
        <v>8.75</v>
      </c>
      <c r="AK1566" s="27">
        <v>24.701082</v>
      </c>
      <c r="AM1566" s="27">
        <v>34.065961000000001</v>
      </c>
      <c r="AO1566" s="29">
        <v>6.7613009999999996</v>
      </c>
      <c r="AP1566" s="11"/>
    </row>
    <row r="1567" spans="2:42" hidden="1" outlineLevel="1" x14ac:dyDescent="0.25">
      <c r="B1567" s="21">
        <v>43880</v>
      </c>
      <c r="C1567" s="27">
        <v>18.595199999999998</v>
      </c>
      <c r="E1567" s="30">
        <v>0.92605000000000004</v>
      </c>
      <c r="G1567" s="27">
        <v>61.625191999999998</v>
      </c>
      <c r="I1567" s="29">
        <v>6.9210060000000002</v>
      </c>
      <c r="K1567" s="29">
        <v>4.362825</v>
      </c>
      <c r="M1567" s="41">
        <v>797.22609199999999</v>
      </c>
      <c r="O1567" s="26">
        <v>3398.2445769999999</v>
      </c>
      <c r="Q1567" s="26">
        <v>6525.8209379999998</v>
      </c>
      <c r="S1567" s="26">
        <v>1495.789869</v>
      </c>
      <c r="U1567" s="29">
        <v>3.3836529999999998</v>
      </c>
      <c r="W1567" s="14">
        <v>37.992196</v>
      </c>
      <c r="Y1567" s="29">
        <v>8.708202</v>
      </c>
      <c r="AA1567" s="41">
        <v>566.77788899999996</v>
      </c>
      <c r="AC1567" s="27">
        <v>53.519145000000002</v>
      </c>
      <c r="AE1567" s="27">
        <v>1</v>
      </c>
      <c r="AG1567" s="29">
        <v>7.638096</v>
      </c>
      <c r="AI1567" s="29">
        <v>8.75</v>
      </c>
      <c r="AK1567" s="27">
        <v>24.727194999999998</v>
      </c>
      <c r="AM1567" s="27">
        <v>34.050282000000003</v>
      </c>
      <c r="AO1567" s="29">
        <v>6.7625760000000001</v>
      </c>
      <c r="AP1567" s="11"/>
    </row>
    <row r="1568" spans="2:42" hidden="1" outlineLevel="1" x14ac:dyDescent="0.25">
      <c r="B1568" s="21">
        <v>43881</v>
      </c>
      <c r="C1568" s="27">
        <v>18.591000000000001</v>
      </c>
      <c r="E1568" s="30">
        <v>0.92624200000000001</v>
      </c>
      <c r="G1568" s="27">
        <v>61.705260000000003</v>
      </c>
      <c r="I1568" s="29">
        <v>6.9157820000000001</v>
      </c>
      <c r="K1568" s="29">
        <v>4.3776450000000002</v>
      </c>
      <c r="M1568" s="41">
        <v>802.78235700000005</v>
      </c>
      <c r="O1568" s="26">
        <v>3391.2877720000001</v>
      </c>
      <c r="Q1568" s="26">
        <v>6526.9806170000002</v>
      </c>
      <c r="S1568" s="26">
        <v>1490.991338</v>
      </c>
      <c r="U1568" s="29">
        <v>3.3841960000000002</v>
      </c>
      <c r="W1568" s="14">
        <v>37.987411000000002</v>
      </c>
      <c r="Y1568" s="29">
        <v>8.6776309999999999</v>
      </c>
      <c r="AA1568" s="41">
        <v>567.02972199999999</v>
      </c>
      <c r="AC1568" s="27">
        <v>53.453085999999999</v>
      </c>
      <c r="AE1568" s="27">
        <v>1</v>
      </c>
      <c r="AG1568" s="29">
        <v>7.6348039999999999</v>
      </c>
      <c r="AI1568" s="29">
        <v>8.75</v>
      </c>
      <c r="AK1568" s="27">
        <v>24.728861999999999</v>
      </c>
      <c r="AM1568" s="27">
        <v>34.083857999999999</v>
      </c>
      <c r="AO1568" s="29">
        <v>6.7583820000000001</v>
      </c>
      <c r="AP1568" s="11"/>
    </row>
    <row r="1569" spans="2:42" hidden="1" outlineLevel="1" x14ac:dyDescent="0.25">
      <c r="B1569" s="21">
        <v>43882</v>
      </c>
      <c r="C1569" s="27">
        <v>18.799199999999999</v>
      </c>
      <c r="E1569" s="30">
        <v>0.92429399999999995</v>
      </c>
      <c r="G1569" s="27">
        <v>61.777453000000001</v>
      </c>
      <c r="I1569" s="29">
        <v>6.9178839999999999</v>
      </c>
      <c r="K1569" s="29">
        <v>4.3917859999999997</v>
      </c>
      <c r="M1569" s="41">
        <v>807.38266999999996</v>
      </c>
      <c r="O1569" s="26">
        <v>3401.385147</v>
      </c>
      <c r="Q1569" s="26">
        <v>6538.3508179999999</v>
      </c>
      <c r="S1569" s="26">
        <v>1488.7788559999999</v>
      </c>
      <c r="U1569" s="29">
        <v>3.3881260000000002</v>
      </c>
      <c r="W1569" s="14">
        <v>38.127414999999999</v>
      </c>
      <c r="Y1569" s="29">
        <v>8.6815759999999997</v>
      </c>
      <c r="AA1569" s="41">
        <v>568.67331000000001</v>
      </c>
      <c r="AC1569" s="27">
        <v>53.496602000000003</v>
      </c>
      <c r="AE1569" s="27">
        <v>1</v>
      </c>
      <c r="AG1569" s="29">
        <v>7.6427680000000002</v>
      </c>
      <c r="AI1569" s="29">
        <v>8.75</v>
      </c>
      <c r="AK1569" s="27">
        <v>24.737805999999999</v>
      </c>
      <c r="AM1569" s="27">
        <v>33.981583999999998</v>
      </c>
      <c r="AO1569" s="29">
        <v>6.7641299999999998</v>
      </c>
      <c r="AP1569" s="11"/>
    </row>
    <row r="1570" spans="2:42" hidden="1" outlineLevel="1" x14ac:dyDescent="0.25">
      <c r="B1570" s="21">
        <v>43883</v>
      </c>
      <c r="C1570" s="27">
        <v>18.799199999999999</v>
      </c>
      <c r="E1570" s="30">
        <v>0.92188400000000004</v>
      </c>
      <c r="G1570" s="27">
        <v>61.769500000000001</v>
      </c>
      <c r="I1570" s="29">
        <v>6.91838</v>
      </c>
      <c r="K1570" s="29">
        <v>4.3893000000000004</v>
      </c>
      <c r="M1570" s="41">
        <v>803.64750000000004</v>
      </c>
      <c r="O1570" s="26">
        <v>3396.0025000000001</v>
      </c>
      <c r="Q1570" s="26">
        <v>6541.5504000000001</v>
      </c>
      <c r="S1570" s="26">
        <v>1490.3497870000001</v>
      </c>
      <c r="U1570" s="29">
        <v>3.3874749999999998</v>
      </c>
      <c r="W1570" s="14">
        <v>38.180228999999997</v>
      </c>
      <c r="Y1570" s="29">
        <v>8.6985200000000003</v>
      </c>
      <c r="AA1570" s="41">
        <v>569.72898199999997</v>
      </c>
      <c r="AC1570" s="27">
        <v>53.567500000000003</v>
      </c>
      <c r="AE1570" s="27">
        <v>1</v>
      </c>
      <c r="AG1570" s="29">
        <v>7.643319</v>
      </c>
      <c r="AI1570" s="29">
        <v>8.75</v>
      </c>
      <c r="AK1570" s="27">
        <v>24.799724999999999</v>
      </c>
      <c r="AM1570" s="27">
        <v>33.97475</v>
      </c>
      <c r="AO1570" s="29">
        <v>6.7646420000000003</v>
      </c>
      <c r="AP1570" s="11"/>
    </row>
    <row r="1571" spans="2:42" hidden="1" outlineLevel="1" x14ac:dyDescent="0.25">
      <c r="B1571" s="21">
        <v>43884</v>
      </c>
      <c r="C1571" s="27">
        <v>18.799199999999999</v>
      </c>
      <c r="E1571" s="30">
        <v>0.92198199999999997</v>
      </c>
      <c r="G1571" s="27">
        <v>61.775149999999996</v>
      </c>
      <c r="I1571" s="29">
        <v>6.91838</v>
      </c>
      <c r="K1571" s="29">
        <v>4.3893180000000003</v>
      </c>
      <c r="M1571" s="41">
        <v>803.64750000000004</v>
      </c>
      <c r="O1571" s="26">
        <v>3395.6953370000001</v>
      </c>
      <c r="Q1571" s="26">
        <v>6541.5504000000001</v>
      </c>
      <c r="S1571" s="26">
        <v>1490.3435380000001</v>
      </c>
      <c r="U1571" s="29">
        <v>3.3874140000000001</v>
      </c>
      <c r="W1571" s="14">
        <v>38.176853999999999</v>
      </c>
      <c r="Y1571" s="29">
        <v>8.6977139999999995</v>
      </c>
      <c r="AA1571" s="41">
        <v>569.72898199999997</v>
      </c>
      <c r="AC1571" s="27">
        <v>53.567500000000003</v>
      </c>
      <c r="AE1571" s="27">
        <v>1</v>
      </c>
      <c r="AG1571" s="29">
        <v>7.643319</v>
      </c>
      <c r="AI1571" s="29">
        <v>8.75</v>
      </c>
      <c r="AK1571" s="27">
        <v>24.799724999999999</v>
      </c>
      <c r="AM1571" s="27">
        <v>33.97475</v>
      </c>
      <c r="AO1571" s="29">
        <v>6.7646420000000003</v>
      </c>
      <c r="AP1571" s="11"/>
    </row>
    <row r="1572" spans="2:42" hidden="1" outlineLevel="1" x14ac:dyDescent="0.25">
      <c r="B1572" s="21">
        <v>43885</v>
      </c>
      <c r="C1572" s="27">
        <v>18.913799999999998</v>
      </c>
      <c r="E1572" s="30">
        <v>0.92288999999999999</v>
      </c>
      <c r="G1572" s="27">
        <v>61.750838000000002</v>
      </c>
      <c r="I1572" s="29">
        <v>6.907521</v>
      </c>
      <c r="K1572" s="29">
        <v>4.3890260000000003</v>
      </c>
      <c r="M1572" s="41">
        <v>806.74354000000005</v>
      </c>
      <c r="O1572" s="26">
        <v>3406.1943839999999</v>
      </c>
      <c r="Q1572" s="26">
        <v>6532.7664779999996</v>
      </c>
      <c r="S1572" s="26">
        <v>1488.442284</v>
      </c>
      <c r="U1572" s="29">
        <v>3.391956</v>
      </c>
      <c r="W1572" s="14">
        <v>38.118164</v>
      </c>
      <c r="Y1572" s="29">
        <v>8.6849089999999993</v>
      </c>
      <c r="AA1572" s="41">
        <v>569.84195899999997</v>
      </c>
      <c r="AC1572" s="27">
        <v>53.516072000000001</v>
      </c>
      <c r="AE1572" s="27">
        <v>1</v>
      </c>
      <c r="AG1572" s="29">
        <v>7.6334999999999997</v>
      </c>
      <c r="AI1572" s="29">
        <v>8.75</v>
      </c>
      <c r="AK1572" s="27">
        <v>24.687678999999999</v>
      </c>
      <c r="AM1572" s="27">
        <v>33.822696999999998</v>
      </c>
      <c r="AO1572" s="29">
        <v>6.7543139999999999</v>
      </c>
      <c r="AP1572" s="11"/>
    </row>
    <row r="1573" spans="2:42" hidden="1" outlineLevel="1" x14ac:dyDescent="0.25">
      <c r="B1573" s="21">
        <v>43886</v>
      </c>
      <c r="C1573" s="27">
        <v>19.119700000000002</v>
      </c>
      <c r="E1573" s="30">
        <v>0.92078400000000005</v>
      </c>
      <c r="G1573" s="27">
        <v>61.750936000000003</v>
      </c>
      <c r="I1573" s="29">
        <v>6.9054710000000004</v>
      </c>
      <c r="K1573" s="29">
        <v>4.3883559999999999</v>
      </c>
      <c r="M1573" s="41">
        <v>810.54773799999998</v>
      </c>
      <c r="O1573" s="26">
        <v>3432.0011</v>
      </c>
      <c r="Q1573" s="26">
        <v>6532.7501560000001</v>
      </c>
      <c r="S1573" s="26">
        <v>1488.6664740000001</v>
      </c>
      <c r="U1573" s="29">
        <v>3.3988740000000002</v>
      </c>
      <c r="W1573" s="14">
        <v>38.279525</v>
      </c>
      <c r="Y1573" s="29">
        <v>8.7230059999999998</v>
      </c>
      <c r="AA1573" s="41">
        <v>571.02913599999999</v>
      </c>
      <c r="AC1573" s="27">
        <v>53.380080999999997</v>
      </c>
      <c r="AE1573" s="27">
        <v>1</v>
      </c>
      <c r="AG1573" s="29">
        <v>7.6336659999999998</v>
      </c>
      <c r="AI1573" s="29">
        <v>8.75</v>
      </c>
      <c r="AK1573" s="27">
        <v>24.672632</v>
      </c>
      <c r="AM1573" s="27">
        <v>33.800311999999998</v>
      </c>
      <c r="AO1573" s="29">
        <v>6.752364</v>
      </c>
      <c r="AP1573" s="11"/>
    </row>
    <row r="1574" spans="2:42" hidden="1" outlineLevel="1" x14ac:dyDescent="0.25">
      <c r="B1574" s="21">
        <v>43887</v>
      </c>
      <c r="C1574" s="27">
        <v>19.087800000000001</v>
      </c>
      <c r="E1574" s="30">
        <v>0.91932400000000003</v>
      </c>
      <c r="G1574" s="27">
        <v>61.898685999999998</v>
      </c>
      <c r="I1574" s="29">
        <v>6.9041009999999998</v>
      </c>
      <c r="K1574" s="29">
        <v>4.4061320000000004</v>
      </c>
      <c r="M1574" s="41">
        <v>812.92786799999999</v>
      </c>
      <c r="O1574" s="26">
        <v>3442.7201279999999</v>
      </c>
      <c r="Q1574" s="26">
        <v>6528.8388940000004</v>
      </c>
      <c r="S1574" s="26">
        <v>1481.77675</v>
      </c>
      <c r="U1574" s="29">
        <v>3.4025940000000001</v>
      </c>
      <c r="W1574" s="14">
        <v>38.332886000000002</v>
      </c>
      <c r="Y1574" s="29">
        <v>8.6999469999999999</v>
      </c>
      <c r="AA1574" s="41">
        <v>570.87520700000005</v>
      </c>
      <c r="AC1574" s="27">
        <v>53.437432000000001</v>
      </c>
      <c r="AE1574" s="27">
        <v>1</v>
      </c>
      <c r="AG1574" s="29">
        <v>7.6345080000000003</v>
      </c>
      <c r="AI1574" s="29">
        <v>8.75</v>
      </c>
      <c r="AK1574" s="27">
        <v>24.670031999999999</v>
      </c>
      <c r="AM1574" s="27">
        <v>33.783346000000002</v>
      </c>
      <c r="AO1574" s="29">
        <v>6.7510279999999998</v>
      </c>
      <c r="AP1574" s="11"/>
    </row>
    <row r="1575" spans="2:42" hidden="1" outlineLevel="1" x14ac:dyDescent="0.25">
      <c r="B1575" s="21">
        <v>43888</v>
      </c>
      <c r="C1575" s="27">
        <v>19.1585</v>
      </c>
      <c r="E1575" s="30">
        <v>0.91321600000000003</v>
      </c>
      <c r="G1575" s="27">
        <v>62.060758</v>
      </c>
      <c r="I1575" s="29">
        <v>6.9090220000000002</v>
      </c>
      <c r="K1575" s="29">
        <v>4.463317</v>
      </c>
      <c r="M1575" s="41">
        <v>814.35220300000003</v>
      </c>
      <c r="O1575" s="26">
        <v>3479.3812010000001</v>
      </c>
      <c r="Q1575" s="26">
        <v>6514.504629</v>
      </c>
      <c r="S1575" s="26">
        <v>1459.5759860000001</v>
      </c>
      <c r="U1575" s="29">
        <v>3.4153739999999999</v>
      </c>
      <c r="W1575" s="14">
        <v>38.415036000000001</v>
      </c>
      <c r="Y1575" s="29">
        <v>8.6068709999999999</v>
      </c>
      <c r="AA1575" s="41">
        <v>569.40527699999996</v>
      </c>
      <c r="AC1575" s="27">
        <v>53.484670999999999</v>
      </c>
      <c r="AE1575" s="27">
        <v>1</v>
      </c>
      <c r="AG1575" s="29">
        <v>7.6466159999999999</v>
      </c>
      <c r="AI1575" s="29">
        <v>8.75</v>
      </c>
      <c r="AK1575" s="27">
        <v>24.671768</v>
      </c>
      <c r="AM1575" s="27">
        <v>33.876564000000002</v>
      </c>
      <c r="AO1575" s="29">
        <v>6.7557900000000002</v>
      </c>
      <c r="AP1575" s="11"/>
    </row>
    <row r="1576" spans="2:42" hidden="1" outlineLevel="1" x14ac:dyDescent="0.25">
      <c r="B1576" s="21">
        <v>43889</v>
      </c>
      <c r="C1576" s="27">
        <v>19.397300000000001</v>
      </c>
      <c r="E1576" s="30">
        <v>0.90867399999999998</v>
      </c>
      <c r="G1576" s="27">
        <v>62.109583999999998</v>
      </c>
      <c r="I1576" s="29">
        <v>6.9043720000000004</v>
      </c>
      <c r="K1576" s="29">
        <v>4.487743</v>
      </c>
      <c r="M1576" s="41">
        <v>816.80741699999999</v>
      </c>
      <c r="O1576" s="26">
        <v>3501.1533599999998</v>
      </c>
      <c r="Q1576" s="26">
        <v>6511.6810779999996</v>
      </c>
      <c r="S1576" s="26">
        <v>1451.0026680000001</v>
      </c>
      <c r="U1576" s="29">
        <v>3.422612</v>
      </c>
      <c r="W1576" s="14">
        <v>38.5381</v>
      </c>
      <c r="Y1576" s="29">
        <v>8.5874480000000002</v>
      </c>
      <c r="AA1576" s="41">
        <v>568.21255299999996</v>
      </c>
      <c r="AC1576" s="27">
        <v>53.440116000000003</v>
      </c>
      <c r="AE1576" s="27">
        <v>1</v>
      </c>
      <c r="AG1576" s="29">
        <v>7.6475460000000002</v>
      </c>
      <c r="AI1576" s="29">
        <v>8.75</v>
      </c>
      <c r="AK1576" s="27">
        <v>24.678785000000001</v>
      </c>
      <c r="AM1576" s="27">
        <v>34.032294999999998</v>
      </c>
      <c r="AO1576" s="29">
        <v>6.7512999999999996</v>
      </c>
      <c r="AP1576" s="11"/>
    </row>
    <row r="1577" spans="2:42" hidden="1" outlineLevel="1" x14ac:dyDescent="0.25">
      <c r="B1577" s="21">
        <v>43890</v>
      </c>
      <c r="C1577" s="27">
        <v>19.397300000000001</v>
      </c>
      <c r="E1577" s="30">
        <v>0.90680799999999995</v>
      </c>
      <c r="G1577" s="27">
        <v>62.122625999999997</v>
      </c>
      <c r="I1577" s="29">
        <v>6.9093239999999998</v>
      </c>
      <c r="K1577" s="29">
        <v>4.4725999999999999</v>
      </c>
      <c r="M1577" s="41">
        <v>817.9</v>
      </c>
      <c r="O1577" s="26">
        <v>3500.3125</v>
      </c>
      <c r="Q1577" s="26">
        <v>6519.7366499999998</v>
      </c>
      <c r="S1577" s="26">
        <v>1457.715228</v>
      </c>
      <c r="U1577" s="29">
        <v>3.4264000000000001</v>
      </c>
      <c r="W1577" s="14">
        <v>38.886232</v>
      </c>
      <c r="Y1577" s="29">
        <v>8.6943640000000002</v>
      </c>
      <c r="AA1577" s="41">
        <v>568.98018200000001</v>
      </c>
      <c r="AC1577" s="27">
        <v>53.615000000000002</v>
      </c>
      <c r="AE1577" s="27">
        <v>1</v>
      </c>
      <c r="AG1577" s="29">
        <v>7.6577679999999999</v>
      </c>
      <c r="AI1577" s="29">
        <v>8.75</v>
      </c>
      <c r="AK1577" s="27">
        <v>24.773475000000001</v>
      </c>
      <c r="AM1577" s="27">
        <v>34.174750000000003</v>
      </c>
      <c r="AO1577" s="29">
        <v>6.7561489999999997</v>
      </c>
      <c r="AP1577" s="11"/>
    </row>
    <row r="1578" spans="2:42" ht="13" collapsed="1" x14ac:dyDescent="0.3">
      <c r="B1578" s="25" t="s">
        <v>188</v>
      </c>
      <c r="C1578" s="19">
        <v>18.798200000000001</v>
      </c>
      <c r="E1578" s="24">
        <v>0.91602600000000001</v>
      </c>
      <c r="G1578" s="19">
        <v>61.244599999999998</v>
      </c>
      <c r="I1578" s="23">
        <v>6.9144699999999997</v>
      </c>
      <c r="J1578" s="9"/>
      <c r="K1578" s="23">
        <v>4.3427100000000003</v>
      </c>
      <c r="M1578" s="42">
        <v>798.19500000000005</v>
      </c>
      <c r="O1578" s="31">
        <v>3412.49</v>
      </c>
      <c r="Q1578" s="31">
        <v>6522.43</v>
      </c>
      <c r="S1578" s="31">
        <v>1502.25</v>
      </c>
      <c r="U1578" s="23">
        <v>3.3850500000000001</v>
      </c>
      <c r="W1578" s="23">
        <v>37.924300000000002</v>
      </c>
      <c r="Y1578" s="23">
        <v>8.7337299999999995</v>
      </c>
      <c r="AA1578" s="42">
        <v>568.63599999999997</v>
      </c>
      <c r="AC1578" s="19">
        <v>53.410600000000002</v>
      </c>
      <c r="AE1578" s="19">
        <v>1</v>
      </c>
      <c r="AG1578" s="23">
        <v>7.6472199999999999</v>
      </c>
      <c r="AI1578" s="23">
        <v>8.75</v>
      </c>
      <c r="AK1578" s="23">
        <v>24.703869999999998</v>
      </c>
      <c r="AM1578" s="23">
        <v>33.954039999999999</v>
      </c>
      <c r="AO1578" s="23">
        <v>6.7587700000000002</v>
      </c>
      <c r="AP1578" s="10"/>
    </row>
    <row r="1579" spans="2:42" hidden="1" outlineLevel="1" x14ac:dyDescent="0.25">
      <c r="B1579" s="21">
        <v>43891</v>
      </c>
      <c r="C1579" s="27">
        <v>19.397300000000001</v>
      </c>
      <c r="E1579" s="30">
        <v>0.90664199999999995</v>
      </c>
      <c r="G1579" s="27">
        <v>62.111350000000002</v>
      </c>
      <c r="I1579" s="29">
        <v>6.9093239999999998</v>
      </c>
      <c r="K1579" s="29">
        <v>4.4725999999999999</v>
      </c>
      <c r="M1579" s="41">
        <v>817.9</v>
      </c>
      <c r="O1579" s="26">
        <v>3500.3125</v>
      </c>
      <c r="Q1579" s="26">
        <v>6519.7366499999998</v>
      </c>
      <c r="S1579" s="26">
        <v>1457.715228</v>
      </c>
      <c r="U1579" s="29">
        <v>3.4264000000000001</v>
      </c>
      <c r="W1579" s="14">
        <v>38.886232</v>
      </c>
      <c r="Y1579" s="29">
        <v>8.6943640000000002</v>
      </c>
      <c r="AA1579" s="41">
        <v>568.98018200000001</v>
      </c>
      <c r="AC1579" s="27">
        <v>53.615000000000002</v>
      </c>
      <c r="AE1579" s="27">
        <v>1</v>
      </c>
      <c r="AG1579" s="29">
        <v>7.6575119999999997</v>
      </c>
      <c r="AI1579" s="29">
        <v>8.75</v>
      </c>
      <c r="AK1579" s="27">
        <v>24.773475000000001</v>
      </c>
      <c r="AM1579" s="27">
        <v>34.174750000000003</v>
      </c>
      <c r="AO1579" s="29">
        <v>6.7561489999999997</v>
      </c>
      <c r="AP1579" s="28"/>
    </row>
    <row r="1580" spans="2:42" hidden="1" outlineLevel="1" x14ac:dyDescent="0.25">
      <c r="B1580" s="21">
        <v>43892</v>
      </c>
      <c r="C1580" s="27">
        <v>19.776</v>
      </c>
      <c r="E1580" s="30">
        <v>0.90061000000000002</v>
      </c>
      <c r="G1580" s="27">
        <v>62.071468000000003</v>
      </c>
      <c r="I1580" s="29">
        <v>6.9001400000000004</v>
      </c>
      <c r="K1580" s="29">
        <v>4.4802340000000003</v>
      </c>
      <c r="M1580" s="41">
        <v>817.27396399999998</v>
      </c>
      <c r="O1580" s="26">
        <v>3514.424923</v>
      </c>
      <c r="Q1580" s="26">
        <v>6509.6062860000002</v>
      </c>
      <c r="S1580" s="26">
        <v>1453.002342</v>
      </c>
      <c r="U1580" s="29">
        <v>3.4345080000000001</v>
      </c>
      <c r="W1580" s="14">
        <v>38.753177999999998</v>
      </c>
      <c r="Y1580" s="29">
        <v>8.6499629999999996</v>
      </c>
      <c r="AA1580" s="41">
        <v>568.23556199999996</v>
      </c>
      <c r="AC1580" s="27">
        <v>53.429858000000003</v>
      </c>
      <c r="AE1580" s="27">
        <v>1</v>
      </c>
      <c r="AG1580" s="29">
        <v>7.6514860000000002</v>
      </c>
      <c r="AI1580" s="29">
        <v>8.75</v>
      </c>
      <c r="AK1580" s="27">
        <v>24.655688000000001</v>
      </c>
      <c r="AM1580" s="27">
        <v>34.029201</v>
      </c>
      <c r="AO1580" s="29">
        <v>6.7471769999999998</v>
      </c>
      <c r="AP1580" s="28"/>
    </row>
    <row r="1581" spans="2:42" hidden="1" outlineLevel="1" x14ac:dyDescent="0.25">
      <c r="B1581" s="21">
        <v>43893</v>
      </c>
      <c r="C1581" s="27">
        <v>19.698499999999999</v>
      </c>
      <c r="E1581" s="30">
        <v>0.89718299999999995</v>
      </c>
      <c r="G1581" s="27">
        <v>62.216656</v>
      </c>
      <c r="I1581" s="29">
        <v>6.90381</v>
      </c>
      <c r="K1581" s="29">
        <v>4.4870219999999996</v>
      </c>
      <c r="M1581" s="41">
        <v>812.76609599999995</v>
      </c>
      <c r="O1581" s="26">
        <v>3471.4122889999999</v>
      </c>
      <c r="Q1581" s="26">
        <v>6512.5236519999999</v>
      </c>
      <c r="S1581" s="26">
        <v>1451.4236820000001</v>
      </c>
      <c r="U1581" s="29">
        <v>3.43363</v>
      </c>
      <c r="W1581" s="14">
        <v>39.061819999999997</v>
      </c>
      <c r="Y1581" s="29">
        <v>8.7055480000000003</v>
      </c>
      <c r="AA1581" s="41">
        <v>569.47332800000004</v>
      </c>
      <c r="AC1581" s="27">
        <v>53.543605999999997</v>
      </c>
      <c r="AE1581" s="27">
        <v>1</v>
      </c>
      <c r="AG1581" s="29">
        <v>7.6646340000000004</v>
      </c>
      <c r="AI1581" s="29">
        <v>8.75</v>
      </c>
      <c r="AK1581" s="27">
        <v>24.685466999999999</v>
      </c>
      <c r="AM1581" s="27">
        <v>33.943688000000002</v>
      </c>
      <c r="AO1581" s="29">
        <v>6.7534710000000002</v>
      </c>
      <c r="AP1581" s="28"/>
    </row>
    <row r="1582" spans="2:42" hidden="1" outlineLevel="1" x14ac:dyDescent="0.25">
      <c r="B1582" s="21">
        <v>43894</v>
      </c>
      <c r="C1582" s="27">
        <v>19.2837</v>
      </c>
      <c r="E1582" s="30">
        <v>0.89724400000000004</v>
      </c>
      <c r="G1582" s="27">
        <v>62.280760000000001</v>
      </c>
      <c r="I1582" s="29">
        <v>6.8971439999999999</v>
      </c>
      <c r="K1582" s="29">
        <v>4.534783</v>
      </c>
      <c r="M1582" s="41">
        <v>815.591182</v>
      </c>
      <c r="O1582" s="26">
        <v>3467.34798</v>
      </c>
      <c r="Q1582" s="26">
        <v>6507.6911520000003</v>
      </c>
      <c r="S1582" s="26">
        <v>1435.071402</v>
      </c>
      <c r="U1582" s="29">
        <v>3.4229099999999999</v>
      </c>
      <c r="W1582" s="14">
        <v>39.193035999999999</v>
      </c>
      <c r="Y1582" s="29">
        <v>8.6427940000000003</v>
      </c>
      <c r="AA1582" s="41">
        <v>569.98278900000003</v>
      </c>
      <c r="AC1582" s="27">
        <v>53.455280000000002</v>
      </c>
      <c r="AE1582" s="27">
        <v>1</v>
      </c>
      <c r="AG1582" s="29">
        <v>7.6605119999999998</v>
      </c>
      <c r="AI1582" s="29">
        <v>8.75</v>
      </c>
      <c r="AK1582" s="27">
        <v>24.668288</v>
      </c>
      <c r="AM1582" s="27">
        <v>33.761786999999998</v>
      </c>
      <c r="AO1582" s="29">
        <v>6.7487719999999998</v>
      </c>
      <c r="AP1582" s="28"/>
    </row>
    <row r="1583" spans="2:42" hidden="1" outlineLevel="1" x14ac:dyDescent="0.25">
      <c r="B1583" s="21">
        <v>43895</v>
      </c>
      <c r="C1583" s="27">
        <v>19.5335</v>
      </c>
      <c r="E1583" s="30">
        <v>0.89489200000000002</v>
      </c>
      <c r="G1583" s="27">
        <v>62.365062000000002</v>
      </c>
      <c r="I1583" s="29">
        <v>6.9027859999999999</v>
      </c>
      <c r="K1583" s="29">
        <v>4.6054539999999999</v>
      </c>
      <c r="M1583" s="41">
        <v>822.43224499999997</v>
      </c>
      <c r="O1583" s="26">
        <v>3481.9198459999998</v>
      </c>
      <c r="Q1583" s="26">
        <v>6513.4656029999996</v>
      </c>
      <c r="S1583" s="26">
        <v>1414.304144</v>
      </c>
      <c r="U1583" s="29">
        <v>3.4271159999999998</v>
      </c>
      <c r="W1583" s="14">
        <v>39.506402000000001</v>
      </c>
      <c r="Y1583" s="29">
        <v>8.5782120000000006</v>
      </c>
      <c r="AA1583" s="41">
        <v>570.74814500000002</v>
      </c>
      <c r="AC1583" s="27">
        <v>53.626869999999997</v>
      </c>
      <c r="AE1583" s="27">
        <v>1</v>
      </c>
      <c r="AG1583" s="29">
        <v>7.6677590000000002</v>
      </c>
      <c r="AI1583" s="29">
        <v>8.75</v>
      </c>
      <c r="AK1583" s="27">
        <v>24.677401</v>
      </c>
      <c r="AM1583" s="27">
        <v>33.917228000000001</v>
      </c>
      <c r="AO1583" s="29">
        <v>6.7534470000000004</v>
      </c>
      <c r="AP1583" s="28"/>
    </row>
    <row r="1584" spans="2:42" hidden="1" outlineLevel="1" x14ac:dyDescent="0.25">
      <c r="B1584" s="21">
        <v>43896</v>
      </c>
      <c r="C1584" s="27">
        <v>19.8095</v>
      </c>
      <c r="E1584" s="30">
        <v>0.886494</v>
      </c>
      <c r="G1584" s="27">
        <v>62.379384000000002</v>
      </c>
      <c r="I1584" s="29">
        <v>6.8914559999999998</v>
      </c>
      <c r="K1584" s="29">
        <v>4.6221690000000004</v>
      </c>
      <c r="M1584" s="41">
        <v>827.14140699999996</v>
      </c>
      <c r="O1584" s="26">
        <v>3543.8041039999998</v>
      </c>
      <c r="Q1584" s="26">
        <v>6511.4919300000001</v>
      </c>
      <c r="S1584" s="26">
        <v>1408.7639140000001</v>
      </c>
      <c r="U1584" s="29">
        <v>3.43106</v>
      </c>
      <c r="W1584" s="14">
        <v>39.889321000000002</v>
      </c>
      <c r="Y1584" s="29">
        <v>8.6300439999999998</v>
      </c>
      <c r="AA1584" s="41">
        <v>571.03835900000001</v>
      </c>
      <c r="AC1584" s="27">
        <v>53.488292999999999</v>
      </c>
      <c r="AE1584" s="27">
        <v>1</v>
      </c>
      <c r="AG1584" s="29">
        <v>7.6617090000000001</v>
      </c>
      <c r="AI1584" s="29">
        <v>8.75</v>
      </c>
      <c r="AK1584" s="27">
        <v>24.664674000000002</v>
      </c>
      <c r="AM1584" s="27">
        <v>34.044333999999999</v>
      </c>
      <c r="AO1584" s="29">
        <v>6.7456379999999996</v>
      </c>
      <c r="AP1584" s="28"/>
    </row>
    <row r="1585" spans="2:42" hidden="1" outlineLevel="1" x14ac:dyDescent="0.25">
      <c r="B1585" s="21">
        <v>43897</v>
      </c>
      <c r="C1585" s="27">
        <v>19.8095</v>
      </c>
      <c r="E1585" s="30">
        <v>0.88623799999999997</v>
      </c>
      <c r="G1585" s="27">
        <v>62.438567999999997</v>
      </c>
      <c r="I1585" s="29">
        <v>6.897208</v>
      </c>
      <c r="K1585" s="29">
        <v>4.6274499999999996</v>
      </c>
      <c r="M1585" s="41">
        <v>826.6</v>
      </c>
      <c r="O1585" s="26">
        <v>3588.47</v>
      </c>
      <c r="Q1585" s="26">
        <v>6523.2789499999999</v>
      </c>
      <c r="S1585" s="26">
        <v>1409.706183</v>
      </c>
      <c r="U1585" s="29">
        <v>3.4709750000000001</v>
      </c>
      <c r="W1585" s="14">
        <v>40.516964999999999</v>
      </c>
      <c r="Y1585" s="29">
        <v>8.7558509999999998</v>
      </c>
      <c r="AA1585" s="41">
        <v>571.86216200000001</v>
      </c>
      <c r="AC1585" s="27">
        <v>53.747500000000002</v>
      </c>
      <c r="AE1585" s="27">
        <v>1</v>
      </c>
      <c r="AG1585" s="29">
        <v>7.6748060000000002</v>
      </c>
      <c r="AI1585" s="29">
        <v>8.75</v>
      </c>
      <c r="AK1585" s="27">
        <v>24.756225000000001</v>
      </c>
      <c r="AM1585" s="27">
        <v>34.22475</v>
      </c>
      <c r="AO1585" s="29">
        <v>6.7542540000000004</v>
      </c>
      <c r="AP1585" s="28"/>
    </row>
    <row r="1586" spans="2:42" hidden="1" outlineLevel="1" x14ac:dyDescent="0.25">
      <c r="B1586" s="21">
        <v>43898</v>
      </c>
      <c r="C1586" s="27">
        <v>19.8095</v>
      </c>
      <c r="E1586" s="30">
        <v>0.88546599999999998</v>
      </c>
      <c r="G1586" s="27">
        <v>62.388235999999999</v>
      </c>
      <c r="I1586" s="29">
        <v>6.897208</v>
      </c>
      <c r="K1586" s="29">
        <v>4.6274499999999996</v>
      </c>
      <c r="M1586" s="41">
        <v>826.6</v>
      </c>
      <c r="O1586" s="26">
        <v>3588.5190339999999</v>
      </c>
      <c r="Q1586" s="26">
        <v>6523.3556639999997</v>
      </c>
      <c r="S1586" s="26">
        <v>1409.722806</v>
      </c>
      <c r="U1586" s="29">
        <v>3.4710200000000002</v>
      </c>
      <c r="W1586" s="14">
        <v>40.487814</v>
      </c>
      <c r="Y1586" s="29">
        <v>8.7495499999999993</v>
      </c>
      <c r="AA1586" s="41">
        <v>571.86195799999996</v>
      </c>
      <c r="AC1586" s="27">
        <v>53.747500000000002</v>
      </c>
      <c r="AE1586" s="27">
        <v>1</v>
      </c>
      <c r="AG1586" s="29">
        <v>7.6748060000000002</v>
      </c>
      <c r="AI1586" s="29">
        <v>8.75</v>
      </c>
      <c r="AK1586" s="27">
        <v>24.756225000000001</v>
      </c>
      <c r="AM1586" s="27">
        <v>34.22475</v>
      </c>
      <c r="AO1586" s="29">
        <v>6.7542540000000004</v>
      </c>
      <c r="AP1586" s="28"/>
    </row>
    <row r="1587" spans="2:42" hidden="1" outlineLevel="1" x14ac:dyDescent="0.25">
      <c r="B1587" s="21">
        <v>43899</v>
      </c>
      <c r="C1587" s="27">
        <v>20.162299999999998</v>
      </c>
      <c r="E1587" s="30">
        <v>0.87531899999999996</v>
      </c>
      <c r="G1587" s="27">
        <v>62.336125000000003</v>
      </c>
      <c r="I1587" s="29">
        <v>6.8826599999999996</v>
      </c>
      <c r="K1587" s="29">
        <v>4.6826480000000004</v>
      </c>
      <c r="M1587" s="41">
        <v>833.74259800000004</v>
      </c>
      <c r="O1587" s="26">
        <v>3649.5049939999999</v>
      </c>
      <c r="Q1587" s="26">
        <v>6511.8155720000004</v>
      </c>
      <c r="S1587" s="26">
        <v>1390.6368179999999</v>
      </c>
      <c r="U1587" s="29">
        <v>3.4598520000000001</v>
      </c>
      <c r="W1587" s="14">
        <v>40.495696000000002</v>
      </c>
      <c r="Y1587" s="29">
        <v>8.6480700000000006</v>
      </c>
      <c r="AA1587" s="41">
        <v>569.92763600000001</v>
      </c>
      <c r="AC1587" s="27">
        <v>53.338554999999999</v>
      </c>
      <c r="AE1587" s="27">
        <v>1</v>
      </c>
      <c r="AG1587" s="29">
        <v>7.6570499999999999</v>
      </c>
      <c r="AI1587" s="29">
        <v>8.75</v>
      </c>
      <c r="AK1587" s="27">
        <v>24.651474</v>
      </c>
      <c r="AM1587" s="27">
        <v>33.692340000000002</v>
      </c>
      <c r="AO1587" s="29">
        <v>6.7406199999999998</v>
      </c>
      <c r="AP1587" s="28"/>
    </row>
    <row r="1588" spans="2:42" hidden="1" outlineLevel="1" x14ac:dyDescent="0.25">
      <c r="B1588" s="21">
        <v>43900</v>
      </c>
      <c r="C1588" s="27">
        <v>21.111699999999999</v>
      </c>
      <c r="E1588" s="30">
        <v>0.88097800000000004</v>
      </c>
      <c r="G1588" s="27">
        <v>62.489981</v>
      </c>
      <c r="I1588" s="29">
        <v>6.8918200000000001</v>
      </c>
      <c r="K1588" s="29">
        <v>4.6916099999999998</v>
      </c>
      <c r="M1588" s="41">
        <v>837.20107900000005</v>
      </c>
      <c r="O1588" s="26">
        <v>3791.7178939999999</v>
      </c>
      <c r="Q1588" s="26">
        <v>6546.122668</v>
      </c>
      <c r="S1588" s="26">
        <v>1395.292762</v>
      </c>
      <c r="U1588" s="29">
        <v>3.4789650000000001</v>
      </c>
      <c r="W1588" s="14">
        <v>41.467880000000001</v>
      </c>
      <c r="Y1588" s="29">
        <v>8.8387639999999994</v>
      </c>
      <c r="AA1588" s="41">
        <v>570.37742600000001</v>
      </c>
      <c r="AC1588" s="27">
        <v>53.383333999999998</v>
      </c>
      <c r="AE1588" s="27">
        <v>1</v>
      </c>
      <c r="AG1588" s="29">
        <v>7.6706320000000003</v>
      </c>
      <c r="AI1588" s="29">
        <v>8.75</v>
      </c>
      <c r="AK1588" s="27">
        <v>24.708750999999999</v>
      </c>
      <c r="AM1588" s="27">
        <v>33.898091999999998</v>
      </c>
      <c r="AO1588" s="29">
        <v>6.7547879999999996</v>
      </c>
      <c r="AP1588" s="28"/>
    </row>
    <row r="1589" spans="2:42" hidden="1" outlineLevel="1" x14ac:dyDescent="0.25">
      <c r="B1589" s="21">
        <v>43901</v>
      </c>
      <c r="C1589" s="27">
        <v>21.026700000000002</v>
      </c>
      <c r="E1589" s="30">
        <v>0.88431599999999999</v>
      </c>
      <c r="G1589" s="27">
        <v>62.576152</v>
      </c>
      <c r="I1589" s="29">
        <v>6.8875840000000004</v>
      </c>
      <c r="K1589" s="29">
        <v>4.6859900000000003</v>
      </c>
      <c r="M1589" s="41">
        <v>836.60210099999995</v>
      </c>
      <c r="O1589" s="26">
        <v>3796.8126189999998</v>
      </c>
      <c r="Q1589" s="26">
        <v>6564.973027</v>
      </c>
      <c r="S1589" s="26">
        <v>1400.9885670000001</v>
      </c>
      <c r="U1589" s="29">
        <v>3.508813</v>
      </c>
      <c r="W1589" s="14">
        <v>42.471800000000002</v>
      </c>
      <c r="Y1589" s="29">
        <v>9.0636039999999998</v>
      </c>
      <c r="AA1589" s="41">
        <v>570.36226399999998</v>
      </c>
      <c r="AC1589" s="27">
        <v>53.704583</v>
      </c>
      <c r="AE1589" s="27">
        <v>1</v>
      </c>
      <c r="AG1589" s="29">
        <v>7.6695060000000002</v>
      </c>
      <c r="AI1589" s="29">
        <v>8.75</v>
      </c>
      <c r="AK1589" s="27">
        <v>24.711953999999999</v>
      </c>
      <c r="AM1589" s="27">
        <v>33.878225999999998</v>
      </c>
      <c r="AO1589" s="29">
        <v>6.7571149999999998</v>
      </c>
      <c r="AP1589" s="28"/>
    </row>
    <row r="1590" spans="2:42" hidden="1" outlineLevel="1" x14ac:dyDescent="0.25">
      <c r="B1590" s="21">
        <v>43902</v>
      </c>
      <c r="C1590" s="27">
        <v>21.213000000000001</v>
      </c>
      <c r="E1590" s="30">
        <v>0.89049599999999995</v>
      </c>
      <c r="G1590" s="27">
        <v>62.655338</v>
      </c>
      <c r="I1590" s="29">
        <v>6.8864369999999999</v>
      </c>
      <c r="K1590" s="29">
        <v>4.827725</v>
      </c>
      <c r="M1590" s="41">
        <v>847.33847300000002</v>
      </c>
      <c r="O1590" s="26">
        <v>3888.4966119999999</v>
      </c>
      <c r="Q1590" s="26">
        <v>6578.4408059999996</v>
      </c>
      <c r="S1590" s="26">
        <v>1362.6494640000001</v>
      </c>
      <c r="U1590" s="29">
        <v>3.5176959999999999</v>
      </c>
      <c r="W1590" s="14">
        <v>43.314658000000001</v>
      </c>
      <c r="Y1590" s="29">
        <v>8.9721060000000001</v>
      </c>
      <c r="AA1590" s="41">
        <v>569.26912400000003</v>
      </c>
      <c r="AC1590" s="27">
        <v>53.951397999999998</v>
      </c>
      <c r="AE1590" s="27">
        <v>1</v>
      </c>
      <c r="AG1590" s="29">
        <v>7.6697639999999998</v>
      </c>
      <c r="AI1590" s="29">
        <v>8.75</v>
      </c>
      <c r="AK1590" s="27">
        <v>24.722078</v>
      </c>
      <c r="AM1590" s="27">
        <v>33.906885000000003</v>
      </c>
      <c r="AO1590" s="29">
        <v>6.763674</v>
      </c>
      <c r="AP1590" s="28"/>
    </row>
    <row r="1591" spans="2:42" hidden="1" outlineLevel="1" x14ac:dyDescent="0.25">
      <c r="B1591" s="21">
        <v>43903</v>
      </c>
      <c r="C1591" s="27">
        <v>22.151800000000001</v>
      </c>
      <c r="E1591" s="30">
        <v>0.89738799999999996</v>
      </c>
      <c r="G1591" s="27">
        <v>62.778640000000003</v>
      </c>
      <c r="I1591" s="29">
        <v>6.891788</v>
      </c>
      <c r="K1591" s="29">
        <v>4.7924199999999999</v>
      </c>
      <c r="M1591" s="41">
        <v>847.26084600000002</v>
      </c>
      <c r="O1591" s="26">
        <v>3999.8452010000001</v>
      </c>
      <c r="Q1591" s="26">
        <v>6587.3249429999996</v>
      </c>
      <c r="S1591" s="26">
        <v>1374.5419320000001</v>
      </c>
      <c r="U1591" s="29">
        <v>3.5324520000000001</v>
      </c>
      <c r="W1591" s="14">
        <v>43.410046999999999</v>
      </c>
      <c r="Y1591" s="29">
        <v>9.0580999999999996</v>
      </c>
      <c r="AA1591" s="41">
        <v>568.58494299999995</v>
      </c>
      <c r="AC1591" s="27">
        <v>53.887371999999999</v>
      </c>
      <c r="AE1591" s="27">
        <v>1</v>
      </c>
      <c r="AG1591" s="29">
        <v>7.6714599999999997</v>
      </c>
      <c r="AI1591" s="29">
        <v>8.75</v>
      </c>
      <c r="AK1591" s="27">
        <v>24.748830999999999</v>
      </c>
      <c r="AM1591" s="27">
        <v>33.922271000000002</v>
      </c>
      <c r="AO1591" s="29">
        <v>6.7691780000000001</v>
      </c>
      <c r="AP1591" s="28"/>
    </row>
    <row r="1592" spans="2:42" hidden="1" outlineLevel="1" x14ac:dyDescent="0.25">
      <c r="B1592" s="21">
        <v>43904</v>
      </c>
      <c r="C1592" s="27">
        <v>22.151800000000001</v>
      </c>
      <c r="E1592" s="30">
        <v>0.90046300000000001</v>
      </c>
      <c r="G1592" s="27">
        <v>62.900100000000002</v>
      </c>
      <c r="I1592" s="29">
        <v>6.8841089999999996</v>
      </c>
      <c r="K1592" s="29">
        <v>4.8594999999999997</v>
      </c>
      <c r="M1592" s="41">
        <v>839.44749999999999</v>
      </c>
      <c r="O1592" s="26">
        <v>3977.0174999999999</v>
      </c>
      <c r="Q1592" s="26">
        <v>6584.336875</v>
      </c>
      <c r="S1592" s="26">
        <v>1354.948709</v>
      </c>
      <c r="U1592" s="29">
        <v>3.5336500000000002</v>
      </c>
      <c r="W1592" s="14">
        <v>43.407826</v>
      </c>
      <c r="Y1592" s="29">
        <v>8.9325910000000004</v>
      </c>
      <c r="AA1592" s="41">
        <v>567.90695200000005</v>
      </c>
      <c r="AC1592" s="27">
        <v>53.897500000000001</v>
      </c>
      <c r="AE1592" s="27">
        <v>1</v>
      </c>
      <c r="AG1592" s="29">
        <v>7.6598689999999996</v>
      </c>
      <c r="AI1592" s="29">
        <v>8.75</v>
      </c>
      <c r="AK1592" s="27">
        <v>24.805099999999999</v>
      </c>
      <c r="AM1592" s="27">
        <v>34.119750000000003</v>
      </c>
      <c r="AO1592" s="29">
        <v>6.7642259999999998</v>
      </c>
      <c r="AP1592" s="28"/>
    </row>
    <row r="1593" spans="2:42" hidden="1" outlineLevel="1" x14ac:dyDescent="0.25">
      <c r="B1593" s="21">
        <v>43905</v>
      </c>
      <c r="C1593" s="27">
        <v>22.151800000000001</v>
      </c>
      <c r="E1593" s="30">
        <v>0.89979799999999999</v>
      </c>
      <c r="G1593" s="27">
        <v>62.859828999999998</v>
      </c>
      <c r="I1593" s="29">
        <v>6.8841479999999997</v>
      </c>
      <c r="K1593" s="29">
        <v>4.8595040000000003</v>
      </c>
      <c r="M1593" s="41">
        <v>839.42918999999995</v>
      </c>
      <c r="O1593" s="26">
        <v>3978.1213680000001</v>
      </c>
      <c r="Q1593" s="26">
        <v>6584.5168979999999</v>
      </c>
      <c r="S1593" s="26">
        <v>1354.985786</v>
      </c>
      <c r="U1593" s="29">
        <v>3.533404</v>
      </c>
      <c r="W1593" s="14">
        <v>43.407826</v>
      </c>
      <c r="Y1593" s="29">
        <v>8.9325880000000009</v>
      </c>
      <c r="AA1593" s="41">
        <v>567.90061100000003</v>
      </c>
      <c r="AC1593" s="27">
        <v>53.897500000000001</v>
      </c>
      <c r="AE1593" s="27">
        <v>1</v>
      </c>
      <c r="AG1593" s="29">
        <v>7.6602050000000004</v>
      </c>
      <c r="AI1593" s="29">
        <v>8.75</v>
      </c>
      <c r="AK1593" s="27">
        <v>24.805306000000002</v>
      </c>
      <c r="AM1593" s="27">
        <v>34.117213999999997</v>
      </c>
      <c r="AO1593" s="29">
        <v>6.7643240000000002</v>
      </c>
      <c r="AP1593" s="28"/>
    </row>
    <row r="1594" spans="2:42" hidden="1" outlineLevel="1" x14ac:dyDescent="0.25">
      <c r="B1594" s="21">
        <v>43906</v>
      </c>
      <c r="C1594" s="27">
        <v>22.151800000000001</v>
      </c>
      <c r="E1594" s="30">
        <v>0.89661800000000003</v>
      </c>
      <c r="G1594" s="27">
        <v>62.875731999999999</v>
      </c>
      <c r="I1594" s="29">
        <v>6.9008409999999998</v>
      </c>
      <c r="K1594" s="29">
        <v>4.9208780000000001</v>
      </c>
      <c r="M1594" s="41">
        <v>845.77350200000001</v>
      </c>
      <c r="O1594" s="26">
        <v>4053.2885500000002</v>
      </c>
      <c r="Q1594" s="26">
        <v>6600.0151379999998</v>
      </c>
      <c r="S1594" s="26">
        <v>1341.238891</v>
      </c>
      <c r="U1594" s="29">
        <v>3.5336850000000002</v>
      </c>
      <c r="W1594" s="14">
        <v>43.491045999999997</v>
      </c>
      <c r="Y1594" s="29">
        <v>8.838101</v>
      </c>
      <c r="AA1594" s="41">
        <v>567.63734299999999</v>
      </c>
      <c r="AC1594" s="27">
        <v>53.891150000000003</v>
      </c>
      <c r="AE1594" s="27">
        <v>1</v>
      </c>
      <c r="AG1594" s="29">
        <v>7.6689920000000003</v>
      </c>
      <c r="AI1594" s="29">
        <v>8.75</v>
      </c>
      <c r="AK1594" s="27">
        <v>24.809317</v>
      </c>
      <c r="AM1594" s="27">
        <v>34.029161999999999</v>
      </c>
      <c r="AO1594" s="29">
        <v>6.779636</v>
      </c>
      <c r="AP1594" s="28"/>
    </row>
    <row r="1595" spans="2:42" hidden="1" outlineLevel="1" x14ac:dyDescent="0.25">
      <c r="B1595" s="21">
        <v>43907</v>
      </c>
      <c r="C1595" s="27">
        <v>21.928799999999999</v>
      </c>
      <c r="E1595" s="30">
        <v>0.903586</v>
      </c>
      <c r="G1595" s="27">
        <v>63.035615999999997</v>
      </c>
      <c r="I1595" s="29">
        <v>6.891235</v>
      </c>
      <c r="K1595" s="29">
        <v>5.0094900000000004</v>
      </c>
      <c r="M1595" s="41">
        <v>852.22514999999999</v>
      </c>
      <c r="O1595" s="26">
        <v>4055.6423319999999</v>
      </c>
      <c r="Q1595" s="26">
        <v>6579.3285500000002</v>
      </c>
      <c r="S1595" s="26">
        <v>1313.3857230000001</v>
      </c>
      <c r="U1595" s="29">
        <v>3.5444990000000001</v>
      </c>
      <c r="W1595" s="14">
        <v>43.669705999999998</v>
      </c>
      <c r="Y1595" s="29">
        <v>8.7174519999999998</v>
      </c>
      <c r="AA1595" s="41">
        <v>564.940336</v>
      </c>
      <c r="AC1595" s="27">
        <v>53.939666000000003</v>
      </c>
      <c r="AE1595" s="27">
        <v>1</v>
      </c>
      <c r="AG1595" s="29">
        <v>7.6541399999999999</v>
      </c>
      <c r="AI1595" s="29">
        <v>8.75</v>
      </c>
      <c r="AK1595" s="27">
        <v>24.759582999999999</v>
      </c>
      <c r="AM1595" s="27">
        <v>34.166285999999999</v>
      </c>
      <c r="AO1595" s="29">
        <v>6.7624110000000002</v>
      </c>
      <c r="AP1595" s="28"/>
    </row>
    <row r="1596" spans="2:42" hidden="1" outlineLevel="1" x14ac:dyDescent="0.25">
      <c r="B1596" s="21">
        <v>43908</v>
      </c>
      <c r="C1596" s="27">
        <v>23.057300000000001</v>
      </c>
      <c r="E1596" s="30">
        <v>0.91317000000000004</v>
      </c>
      <c r="G1596" s="27">
        <v>63.178089</v>
      </c>
      <c r="I1596" s="29">
        <v>6.8883660000000004</v>
      </c>
      <c r="K1596" s="29">
        <v>5.0733569999999997</v>
      </c>
      <c r="M1596" s="41">
        <v>857.27134799999999</v>
      </c>
      <c r="O1596" s="26">
        <v>4066.0695260000002</v>
      </c>
      <c r="Q1596" s="26">
        <v>6577.4909239999997</v>
      </c>
      <c r="S1596" s="26">
        <v>1296.4897880000001</v>
      </c>
      <c r="U1596" s="29">
        <v>3.5535600000000001</v>
      </c>
      <c r="W1596" s="14">
        <v>44.224651999999999</v>
      </c>
      <c r="Y1596" s="29">
        <v>8.7170950000000005</v>
      </c>
      <c r="AA1596" s="41">
        <v>564.74422600000003</v>
      </c>
      <c r="AC1596" s="27">
        <v>53.816105999999998</v>
      </c>
      <c r="AE1596" s="27">
        <v>1</v>
      </c>
      <c r="AG1596" s="29">
        <v>7.6507529999999999</v>
      </c>
      <c r="AI1596" s="29">
        <v>8.75</v>
      </c>
      <c r="AK1596" s="27">
        <v>24.746696</v>
      </c>
      <c r="AM1596" s="27">
        <v>33.864775999999999</v>
      </c>
      <c r="AO1596" s="29">
        <v>6.7572260000000002</v>
      </c>
      <c r="AP1596" s="28"/>
    </row>
    <row r="1597" spans="2:42" hidden="1" outlineLevel="1" x14ac:dyDescent="0.25">
      <c r="B1597" s="21">
        <v>43909</v>
      </c>
      <c r="C1597" s="27">
        <v>23.9008</v>
      </c>
      <c r="E1597" s="30">
        <v>0.92641200000000001</v>
      </c>
      <c r="G1597" s="27">
        <v>63.366123999999999</v>
      </c>
      <c r="I1597" s="29">
        <v>6.8972600000000002</v>
      </c>
      <c r="K1597" s="29">
        <v>5.1162809999999999</v>
      </c>
      <c r="M1597" s="41">
        <v>866.52603399999998</v>
      </c>
      <c r="O1597" s="26">
        <v>4157.2183409999998</v>
      </c>
      <c r="Q1597" s="26">
        <v>6594.9368240000003</v>
      </c>
      <c r="S1597" s="26">
        <v>1289.0226259999999</v>
      </c>
      <c r="U1597" s="29">
        <v>3.5641180000000001</v>
      </c>
      <c r="W1597" s="14">
        <v>45.179752999999998</v>
      </c>
      <c r="Y1597" s="29">
        <v>8.8306299999999993</v>
      </c>
      <c r="AA1597" s="41">
        <v>565.81728199999998</v>
      </c>
      <c r="AC1597" s="27">
        <v>53.983164000000002</v>
      </c>
      <c r="AE1597" s="27">
        <v>1</v>
      </c>
      <c r="AG1597" s="29">
        <v>7.657832</v>
      </c>
      <c r="AI1597" s="29">
        <v>8.75</v>
      </c>
      <c r="AK1597" s="27">
        <v>24.765362</v>
      </c>
      <c r="AM1597" s="27">
        <v>33.901950999999997</v>
      </c>
      <c r="AO1597" s="29">
        <v>6.7679580000000001</v>
      </c>
      <c r="AP1597" s="28"/>
    </row>
    <row r="1598" spans="2:42" hidden="1" outlineLevel="1" x14ac:dyDescent="0.25">
      <c r="B1598" s="21">
        <v>43910</v>
      </c>
      <c r="C1598" s="27">
        <v>24.0868</v>
      </c>
      <c r="E1598" s="30">
        <v>0.93317799999999995</v>
      </c>
      <c r="G1598" s="27">
        <v>63.597402000000002</v>
      </c>
      <c r="I1598" s="29">
        <v>6.8927019999999999</v>
      </c>
      <c r="K1598" s="29">
        <v>5.0641819999999997</v>
      </c>
      <c r="M1598" s="41">
        <v>860.23199699999998</v>
      </c>
      <c r="O1598" s="26">
        <v>4105.1783960000002</v>
      </c>
      <c r="Q1598" s="26">
        <v>6610.9563539999999</v>
      </c>
      <c r="S1598" s="26">
        <v>1305.4482310000001</v>
      </c>
      <c r="U1598" s="29">
        <v>3.547555</v>
      </c>
      <c r="W1598" s="14">
        <v>45.755048000000002</v>
      </c>
      <c r="Y1598" s="29">
        <v>9.0350819999999992</v>
      </c>
      <c r="AA1598" s="41">
        <v>564.90477799999996</v>
      </c>
      <c r="AC1598" s="27">
        <v>53.936076999999997</v>
      </c>
      <c r="AE1598" s="27">
        <v>1</v>
      </c>
      <c r="AG1598" s="29">
        <v>7.6359760000000003</v>
      </c>
      <c r="AI1598" s="29">
        <v>8.75</v>
      </c>
      <c r="AK1598" s="27">
        <v>24.766596</v>
      </c>
      <c r="AM1598" s="27">
        <v>33.992668000000002</v>
      </c>
      <c r="AO1598" s="29">
        <v>6.7568700000000002</v>
      </c>
      <c r="AP1598" s="28"/>
    </row>
    <row r="1599" spans="2:42" hidden="1" outlineLevel="1" x14ac:dyDescent="0.25">
      <c r="B1599" s="21">
        <v>43911</v>
      </c>
      <c r="C1599" s="27">
        <v>24.0868</v>
      </c>
      <c r="E1599" s="30">
        <v>0.934894</v>
      </c>
      <c r="G1599" s="27">
        <v>63.784599999999998</v>
      </c>
      <c r="I1599" s="29">
        <v>6.8866199999999997</v>
      </c>
      <c r="K1599" s="29">
        <v>5.0637109999999996</v>
      </c>
      <c r="M1599" s="41">
        <v>863.27499999999998</v>
      </c>
      <c r="O1599" s="26">
        <v>4120.75</v>
      </c>
      <c r="Q1599" s="26">
        <v>6621.5831500000004</v>
      </c>
      <c r="S1599" s="26">
        <v>1307.666886</v>
      </c>
      <c r="U1599" s="29">
        <v>3.5165500000000001</v>
      </c>
      <c r="W1599" s="14">
        <v>45.837739999999997</v>
      </c>
      <c r="Y1599" s="29">
        <v>9.0522589999999994</v>
      </c>
      <c r="AA1599" s="41">
        <v>564.40956000000006</v>
      </c>
      <c r="AC1599" s="27">
        <v>53.997500000000002</v>
      </c>
      <c r="AE1599" s="27">
        <v>1</v>
      </c>
      <c r="AG1599" s="29">
        <v>7.6150399999999996</v>
      </c>
      <c r="AI1599" s="29">
        <v>8.75</v>
      </c>
      <c r="AK1599" s="27">
        <v>24.803225000000001</v>
      </c>
      <c r="AM1599" s="27">
        <v>34.039000000000001</v>
      </c>
      <c r="AO1599" s="29">
        <v>6.7436340000000001</v>
      </c>
      <c r="AP1599" s="28"/>
    </row>
    <row r="1600" spans="2:42" hidden="1" outlineLevel="1" x14ac:dyDescent="0.25">
      <c r="B1600" s="21">
        <v>43912</v>
      </c>
      <c r="C1600" s="27">
        <v>24.0868</v>
      </c>
      <c r="E1600" s="30">
        <v>0.93504399999999999</v>
      </c>
      <c r="G1600" s="27">
        <v>63.792243999999997</v>
      </c>
      <c r="I1600" s="29">
        <v>6.8866199999999997</v>
      </c>
      <c r="K1600" s="29">
        <v>5.0637850000000002</v>
      </c>
      <c r="M1600" s="41">
        <v>863.27499999999998</v>
      </c>
      <c r="O1600" s="26">
        <v>4120.75</v>
      </c>
      <c r="Q1600" s="26">
        <v>6621.5831500000004</v>
      </c>
      <c r="S1600" s="26">
        <v>1307.647185</v>
      </c>
      <c r="U1600" s="29">
        <v>3.5165500000000001</v>
      </c>
      <c r="W1600" s="14">
        <v>45.837739999999997</v>
      </c>
      <c r="Y1600" s="29">
        <v>9.0521239999999992</v>
      </c>
      <c r="AA1600" s="41">
        <v>564.40956000000006</v>
      </c>
      <c r="AC1600" s="27">
        <v>53.997500000000002</v>
      </c>
      <c r="AE1600" s="27">
        <v>1</v>
      </c>
      <c r="AG1600" s="29">
        <v>7.6150399999999996</v>
      </c>
      <c r="AI1600" s="29">
        <v>8.75</v>
      </c>
      <c r="AK1600" s="27">
        <v>24.803225000000001</v>
      </c>
      <c r="AM1600" s="27">
        <v>34.039000000000001</v>
      </c>
      <c r="AO1600" s="29">
        <v>6.7436340000000001</v>
      </c>
      <c r="AP1600" s="28"/>
    </row>
    <row r="1601" spans="2:42" hidden="1" outlineLevel="1" x14ac:dyDescent="0.25">
      <c r="B1601" s="21">
        <v>43913</v>
      </c>
      <c r="C1601" s="27">
        <v>24.1113</v>
      </c>
      <c r="E1601" s="30">
        <v>0.931813</v>
      </c>
      <c r="G1601" s="27">
        <v>63.650323999999998</v>
      </c>
      <c r="I1601" s="29">
        <v>6.8768580000000004</v>
      </c>
      <c r="K1601" s="29">
        <v>5.0856339999999998</v>
      </c>
      <c r="M1601" s="41">
        <v>862.31951900000001</v>
      </c>
      <c r="O1601" s="26">
        <v>4135.7827129999996</v>
      </c>
      <c r="Q1601" s="26">
        <v>6616.7132199999996</v>
      </c>
      <c r="S1601" s="26">
        <v>1301.07159</v>
      </c>
      <c r="U1601" s="29">
        <v>3.5326029999999999</v>
      </c>
      <c r="W1601" s="14">
        <v>45.653950000000002</v>
      </c>
      <c r="Y1601" s="29">
        <v>8.9770920000000007</v>
      </c>
      <c r="AA1601" s="41">
        <v>563.99309200000005</v>
      </c>
      <c r="AC1601" s="27">
        <v>53.930334999999999</v>
      </c>
      <c r="AE1601" s="27">
        <v>1</v>
      </c>
      <c r="AG1601" s="29">
        <v>7.6181020000000004</v>
      </c>
      <c r="AI1601" s="29">
        <v>8.75</v>
      </c>
      <c r="AK1601" s="27">
        <v>24.745317</v>
      </c>
      <c r="AM1601" s="27">
        <v>33.971471999999999</v>
      </c>
      <c r="AO1601" s="29">
        <v>6.7386080000000002</v>
      </c>
      <c r="AP1601" s="28"/>
    </row>
    <row r="1602" spans="2:42" hidden="1" outlineLevel="1" x14ac:dyDescent="0.25">
      <c r="B1602" s="21">
        <v>43914</v>
      </c>
      <c r="C1602" s="27">
        <v>25.078199999999999</v>
      </c>
      <c r="E1602" s="30">
        <v>0.92560200000000004</v>
      </c>
      <c r="G1602" s="27">
        <v>63.704031999999998</v>
      </c>
      <c r="I1602" s="29">
        <v>6.8745459999999996</v>
      </c>
      <c r="K1602" s="29">
        <v>5.1135260000000002</v>
      </c>
      <c r="M1602" s="41">
        <v>852.92689199999995</v>
      </c>
      <c r="O1602" s="26">
        <v>4163.2007400000002</v>
      </c>
      <c r="Q1602" s="26">
        <v>6617.0651619999999</v>
      </c>
      <c r="S1602" s="26">
        <v>1294.042342</v>
      </c>
      <c r="U1602" s="29">
        <v>3.5197609999999999</v>
      </c>
      <c r="W1602" s="14">
        <v>45.156536000000003</v>
      </c>
      <c r="Y1602" s="29">
        <v>8.8308440000000008</v>
      </c>
      <c r="AA1602" s="41">
        <v>566.89657799999998</v>
      </c>
      <c r="AC1602" s="27">
        <v>53.874445999999999</v>
      </c>
      <c r="AE1602" s="27">
        <v>1</v>
      </c>
      <c r="AG1602" s="29">
        <v>7.64072</v>
      </c>
      <c r="AI1602" s="29">
        <v>8.75</v>
      </c>
      <c r="AK1602" s="27">
        <v>24.700081999999998</v>
      </c>
      <c r="AM1602" s="27">
        <v>33.994078000000002</v>
      </c>
      <c r="AO1602" s="29">
        <v>6.7435080000000003</v>
      </c>
      <c r="AP1602" s="28"/>
    </row>
    <row r="1603" spans="2:42" hidden="1" outlineLevel="1" x14ac:dyDescent="0.25">
      <c r="B1603" s="21">
        <v>43915</v>
      </c>
      <c r="C1603" s="27">
        <v>25.118500000000001</v>
      </c>
      <c r="E1603" s="30">
        <v>0.92316900000000002</v>
      </c>
      <c r="G1603" s="27">
        <v>63.836647999999997</v>
      </c>
      <c r="I1603" s="29">
        <v>6.8907069999999999</v>
      </c>
      <c r="K1603" s="29">
        <v>5.0707700000000004</v>
      </c>
      <c r="M1603" s="41">
        <v>845.16748600000005</v>
      </c>
      <c r="O1603" s="26">
        <v>4102.3034639999996</v>
      </c>
      <c r="Q1603" s="26">
        <v>6624.3262999999997</v>
      </c>
      <c r="S1603" s="26">
        <v>1306.3859560000001</v>
      </c>
      <c r="U1603" s="29">
        <v>3.5414659999999998</v>
      </c>
      <c r="W1603" s="14">
        <v>44.833100000000002</v>
      </c>
      <c r="Y1603" s="29">
        <v>8.8415140000000001</v>
      </c>
      <c r="AA1603" s="41">
        <v>569.93687199999999</v>
      </c>
      <c r="AC1603" s="27">
        <v>54.076604000000003</v>
      </c>
      <c r="AE1603" s="27">
        <v>1</v>
      </c>
      <c r="AG1603" s="29">
        <v>7.7086059999999996</v>
      </c>
      <c r="AI1603" s="29">
        <v>8.75</v>
      </c>
      <c r="AK1603" s="27">
        <v>24.744374000000001</v>
      </c>
      <c r="AM1603" s="27">
        <v>34.005203999999999</v>
      </c>
      <c r="AO1603" s="29">
        <v>6.7622049999999998</v>
      </c>
      <c r="AP1603" s="28"/>
    </row>
    <row r="1604" spans="2:42" hidden="1" outlineLevel="1" x14ac:dyDescent="0.25">
      <c r="B1604" s="21">
        <v>43916</v>
      </c>
      <c r="C1604" s="27">
        <v>24.294799999999999</v>
      </c>
      <c r="E1604" s="30">
        <v>0.91181199999999996</v>
      </c>
      <c r="G1604" s="27">
        <v>64.075103999999996</v>
      </c>
      <c r="I1604" s="29">
        <v>6.8711219999999997</v>
      </c>
      <c r="K1604" s="29">
        <v>5.0242079999999998</v>
      </c>
      <c r="M1604" s="41">
        <v>839.79738599999996</v>
      </c>
      <c r="O1604" s="26">
        <v>4041.5196980000001</v>
      </c>
      <c r="Q1604" s="26">
        <v>6591.3133639999996</v>
      </c>
      <c r="S1604" s="26">
        <v>1311.9221419999999</v>
      </c>
      <c r="U1604" s="29">
        <v>3.46469</v>
      </c>
      <c r="W1604" s="14">
        <v>44.391387999999999</v>
      </c>
      <c r="Y1604" s="29">
        <v>8.8355379999999997</v>
      </c>
      <c r="AA1604" s="41">
        <v>568.56849</v>
      </c>
      <c r="AC1604" s="27">
        <v>53.950853000000002</v>
      </c>
      <c r="AE1604" s="27">
        <v>1</v>
      </c>
      <c r="AG1604" s="29">
        <v>7.7388839999999997</v>
      </c>
      <c r="AI1604" s="29">
        <v>8.75</v>
      </c>
      <c r="AK1604" s="27">
        <v>24.707356999999998</v>
      </c>
      <c r="AM1604" s="27">
        <v>33.778621999999999</v>
      </c>
      <c r="AO1604" s="29">
        <v>6.7423900000000003</v>
      </c>
      <c r="AP1604" s="28"/>
    </row>
    <row r="1605" spans="2:42" hidden="1" outlineLevel="1" x14ac:dyDescent="0.25">
      <c r="B1605" s="21">
        <v>43917</v>
      </c>
      <c r="C1605" s="27">
        <v>23.097000000000001</v>
      </c>
      <c r="E1605" s="30">
        <v>0.90431399999999995</v>
      </c>
      <c r="G1605" s="27">
        <v>64.249403999999998</v>
      </c>
      <c r="I1605" s="29">
        <v>6.8714019999999998</v>
      </c>
      <c r="K1605" s="29">
        <v>5.0587679999999997</v>
      </c>
      <c r="M1605" s="41">
        <v>833.43176400000004</v>
      </c>
      <c r="O1605" s="26">
        <v>3992.4703399999999</v>
      </c>
      <c r="Q1605" s="26">
        <v>6579.5627439999998</v>
      </c>
      <c r="S1605" s="26">
        <v>1300.636962</v>
      </c>
      <c r="U1605" s="29">
        <v>3.42021</v>
      </c>
      <c r="W1605" s="14">
        <v>43.907794000000003</v>
      </c>
      <c r="Y1605" s="29">
        <v>8.6795819999999999</v>
      </c>
      <c r="AA1605" s="41">
        <v>570.398008</v>
      </c>
      <c r="AC1605" s="27">
        <v>53.983035999999998</v>
      </c>
      <c r="AE1605" s="27">
        <v>1</v>
      </c>
      <c r="AG1605" s="29">
        <v>7.7227209999999999</v>
      </c>
      <c r="AI1605" s="29">
        <v>8.75</v>
      </c>
      <c r="AK1605" s="27">
        <v>24.697402</v>
      </c>
      <c r="AM1605" s="27">
        <v>33.747231999999997</v>
      </c>
      <c r="AO1605" s="29">
        <v>6.7426709999999996</v>
      </c>
      <c r="AP1605" s="28"/>
    </row>
    <row r="1606" spans="2:42" hidden="1" outlineLevel="1" x14ac:dyDescent="0.25">
      <c r="B1606" s="21">
        <v>43918</v>
      </c>
      <c r="C1606" s="27">
        <v>23.097000000000001</v>
      </c>
      <c r="E1606" s="30">
        <v>0.89754599999999995</v>
      </c>
      <c r="G1606" s="27">
        <v>64.348719000000003</v>
      </c>
      <c r="I1606" s="29">
        <v>6.8777840000000001</v>
      </c>
      <c r="K1606" s="29">
        <v>5.0999499999999998</v>
      </c>
      <c r="M1606" s="41">
        <v>836</v>
      </c>
      <c r="O1606" s="26">
        <v>4002.3625000000002</v>
      </c>
      <c r="Q1606" s="26">
        <v>6583.5083750000003</v>
      </c>
      <c r="S1606" s="26">
        <v>1290.914561</v>
      </c>
      <c r="U1606" s="29">
        <v>3.4175</v>
      </c>
      <c r="W1606" s="14">
        <v>43.128042000000001</v>
      </c>
      <c r="Y1606" s="29">
        <v>8.4566420000000004</v>
      </c>
      <c r="AA1606" s="41">
        <v>571.34685500000001</v>
      </c>
      <c r="AC1606" s="27">
        <v>54.142499999999998</v>
      </c>
      <c r="AE1606" s="27">
        <v>1</v>
      </c>
      <c r="AG1606" s="29">
        <v>7.6996460000000004</v>
      </c>
      <c r="AI1606" s="29">
        <v>8.75</v>
      </c>
      <c r="AK1606" s="27">
        <v>24.812825</v>
      </c>
      <c r="AM1606" s="27">
        <v>33.917250000000003</v>
      </c>
      <c r="AO1606" s="29">
        <v>6.7502849999999999</v>
      </c>
      <c r="AP1606" s="28"/>
    </row>
    <row r="1607" spans="2:42" hidden="1" outlineLevel="1" x14ac:dyDescent="0.25">
      <c r="B1607" s="21">
        <v>43919</v>
      </c>
      <c r="C1607" s="27">
        <v>23.097000000000001</v>
      </c>
      <c r="E1607" s="30">
        <v>0.89775400000000005</v>
      </c>
      <c r="G1607" s="27">
        <v>64.349734999999995</v>
      </c>
      <c r="I1607" s="29">
        <v>6.8753209999999996</v>
      </c>
      <c r="K1607" s="29">
        <v>5.1000639999999997</v>
      </c>
      <c r="M1607" s="41">
        <v>835.45764799999995</v>
      </c>
      <c r="O1607" s="26">
        <v>4004.1462940000001</v>
      </c>
      <c r="Q1607" s="26">
        <v>6583.5083750000003</v>
      </c>
      <c r="S1607" s="26">
        <v>1290.884442</v>
      </c>
      <c r="U1607" s="29">
        <v>3.417055</v>
      </c>
      <c r="W1607" s="14">
        <v>43.161282</v>
      </c>
      <c r="Y1607" s="29">
        <v>8.4629619999999992</v>
      </c>
      <c r="AA1607" s="41">
        <v>571.34685500000001</v>
      </c>
      <c r="AC1607" s="27">
        <v>54.142499999999998</v>
      </c>
      <c r="AE1607" s="27">
        <v>1</v>
      </c>
      <c r="AG1607" s="29">
        <v>7.6996460000000004</v>
      </c>
      <c r="AI1607" s="29">
        <v>8.75</v>
      </c>
      <c r="AK1607" s="27">
        <v>24.804399</v>
      </c>
      <c r="AM1607" s="27">
        <v>33.913946000000003</v>
      </c>
      <c r="AO1607" s="29">
        <v>6.7478160000000003</v>
      </c>
      <c r="AP1607" s="28"/>
    </row>
    <row r="1608" spans="2:42" hidden="1" outlineLevel="1" x14ac:dyDescent="0.25">
      <c r="B1608" s="21">
        <v>43920</v>
      </c>
      <c r="C1608" s="27">
        <v>23.5122</v>
      </c>
      <c r="E1608" s="30">
        <v>0.90431899999999998</v>
      </c>
      <c r="G1608" s="27">
        <v>64.414340999999993</v>
      </c>
      <c r="I1608" s="29">
        <v>6.8516959999999996</v>
      </c>
      <c r="K1608" s="29">
        <v>5.1353660000000003</v>
      </c>
      <c r="M1608" s="41">
        <v>843.16215599999998</v>
      </c>
      <c r="O1608" s="26">
        <v>4031.845918</v>
      </c>
      <c r="Q1608" s="26">
        <v>6546.5872280000003</v>
      </c>
      <c r="S1608" s="26">
        <v>1274.8161909999999</v>
      </c>
      <c r="U1608" s="29">
        <v>3.4146320000000001</v>
      </c>
      <c r="W1608" s="14">
        <v>42.931162</v>
      </c>
      <c r="Y1608" s="29">
        <v>8.3599499999999995</v>
      </c>
      <c r="AA1608" s="41">
        <v>574.43647499999997</v>
      </c>
      <c r="AC1608" s="27">
        <v>53.806095999999997</v>
      </c>
      <c r="AE1608" s="27">
        <v>1</v>
      </c>
      <c r="AG1608" s="29">
        <v>7.7144630000000003</v>
      </c>
      <c r="AI1608" s="29">
        <v>8.75</v>
      </c>
      <c r="AK1608" s="27">
        <v>24.647112</v>
      </c>
      <c r="AM1608" s="27">
        <v>33.684823999999999</v>
      </c>
      <c r="AO1608" s="29">
        <v>6.7197800000000001</v>
      </c>
      <c r="AP1608" s="28"/>
    </row>
    <row r="1609" spans="2:42" hidden="1" outlineLevel="1" x14ac:dyDescent="0.25">
      <c r="B1609" s="21">
        <v>43921</v>
      </c>
      <c r="C1609" s="49">
        <v>24.285299999999999</v>
      </c>
      <c r="E1609" s="30">
        <v>0.90904799999999997</v>
      </c>
      <c r="G1609" s="27">
        <v>64.371799999999993</v>
      </c>
      <c r="I1609" s="29">
        <v>6.9209319999999996</v>
      </c>
      <c r="K1609" s="29">
        <v>5.1961380000000004</v>
      </c>
      <c r="M1609" s="41">
        <v>857.445696</v>
      </c>
      <c r="O1609" s="26">
        <v>4057.440654</v>
      </c>
      <c r="Q1609" s="26">
        <v>6570.1114349999998</v>
      </c>
      <c r="S1609" s="26">
        <v>1264.4306839999999</v>
      </c>
      <c r="U1609" s="29">
        <v>3.436814</v>
      </c>
      <c r="W1609" s="14">
        <v>43.111797000000003</v>
      </c>
      <c r="Y1609" s="29">
        <v>8.296932</v>
      </c>
      <c r="AA1609" s="41">
        <v>581.01784999999995</v>
      </c>
      <c r="AC1609" s="27">
        <v>54.025530000000003</v>
      </c>
      <c r="AE1609" s="27">
        <v>1</v>
      </c>
      <c r="AG1609" s="29">
        <v>7.7461500000000001</v>
      </c>
      <c r="AI1609" s="29">
        <v>8.75</v>
      </c>
      <c r="AK1609" s="27">
        <v>24.820879999999999</v>
      </c>
      <c r="AM1609" s="27">
        <v>33.886305999999998</v>
      </c>
      <c r="AO1609" s="29">
        <v>6.7820650000000002</v>
      </c>
      <c r="AP1609" s="28"/>
    </row>
    <row r="1610" spans="2:42" ht="13" collapsed="1" x14ac:dyDescent="0.3">
      <c r="B1610" s="25" t="s">
        <v>189</v>
      </c>
      <c r="C1610" s="19">
        <v>22.131499999999999</v>
      </c>
      <c r="E1610" s="24">
        <v>0.90425199999999994</v>
      </c>
      <c r="G1610" s="19">
        <v>63.144438000000001</v>
      </c>
      <c r="I1610" s="23">
        <v>6.8890849999999997</v>
      </c>
      <c r="J1610" s="9"/>
      <c r="K1610" s="23">
        <v>4.8726669999999999</v>
      </c>
      <c r="M1610" s="42">
        <v>840.69720199999995</v>
      </c>
      <c r="O1610" s="31">
        <v>3885.4095590000002</v>
      </c>
      <c r="Q1610" s="31">
        <v>6567.653902</v>
      </c>
      <c r="S1610" s="31">
        <v>1350.6373530000001</v>
      </c>
      <c r="U1610" s="23">
        <v>3.4846349999999999</v>
      </c>
      <c r="W1610" s="23">
        <v>42.727136999999999</v>
      </c>
      <c r="Y1610" s="23">
        <v>8.7689020000000006</v>
      </c>
      <c r="AA1610" s="42">
        <v>569.07469700000001</v>
      </c>
      <c r="AC1610" s="19">
        <v>53.813136</v>
      </c>
      <c r="AE1610" s="19">
        <v>1</v>
      </c>
      <c r="AG1610" s="23">
        <v>7.6696260000000001</v>
      </c>
      <c r="AI1610" s="23">
        <v>8.75</v>
      </c>
      <c r="AK1610" s="23">
        <v>24.739505999999999</v>
      </c>
      <c r="AM1610" s="23">
        <v>33.960872000000002</v>
      </c>
      <c r="AO1610" s="23">
        <v>6.7537989999999999</v>
      </c>
      <c r="AP1610" s="10"/>
    </row>
    <row r="1611" spans="2:42" hidden="1" outlineLevel="1" x14ac:dyDescent="0.25">
      <c r="B1611" s="21">
        <v>43922</v>
      </c>
      <c r="C1611" s="27">
        <v>23.4847</v>
      </c>
      <c r="E1611" s="30">
        <v>0.91207400000000005</v>
      </c>
      <c r="G1611" s="27">
        <v>64.391525999999999</v>
      </c>
      <c r="I1611" s="29">
        <v>6.8978979999999996</v>
      </c>
      <c r="K1611" s="29">
        <v>5.2279999999999998</v>
      </c>
      <c r="M1611" s="41">
        <v>861.48139900000001</v>
      </c>
      <c r="O1611" s="26">
        <v>4065.8775959999998</v>
      </c>
      <c r="Q1611" s="26">
        <v>6556.1157380000004</v>
      </c>
      <c r="S1611" s="26">
        <v>1254.047014</v>
      </c>
      <c r="U1611" s="29">
        <v>3.4361799999999998</v>
      </c>
      <c r="W1611" s="14">
        <v>43.408766999999997</v>
      </c>
      <c r="Y1611" s="29">
        <v>8.3031620000000004</v>
      </c>
      <c r="AA1611" s="41">
        <v>578.68552</v>
      </c>
      <c r="AC1611" s="27">
        <v>53.972095000000003</v>
      </c>
      <c r="AE1611" s="27">
        <v>1</v>
      </c>
      <c r="AG1611" s="29">
        <v>7.7125279999999998</v>
      </c>
      <c r="AI1611" s="29">
        <v>8.75</v>
      </c>
      <c r="AK1611" s="27">
        <v>24.763473999999999</v>
      </c>
      <c r="AM1611" s="27">
        <v>33.871267000000003</v>
      </c>
      <c r="AO1611" s="29">
        <v>6.7595549999999998</v>
      </c>
      <c r="AP1611" s="28"/>
    </row>
    <row r="1612" spans="2:42" hidden="1" outlineLevel="1" x14ac:dyDescent="0.25">
      <c r="B1612" s="21">
        <v>43923</v>
      </c>
      <c r="C1612" s="27">
        <v>24.491800000000001</v>
      </c>
      <c r="E1612" s="30">
        <v>0.91769800000000001</v>
      </c>
      <c r="G1612" s="27">
        <v>64.551012999999998</v>
      </c>
      <c r="I1612" s="29">
        <v>6.9112229999999997</v>
      </c>
      <c r="K1612" s="29">
        <v>5.2562259999999998</v>
      </c>
      <c r="M1612" s="41">
        <v>864.24994100000004</v>
      </c>
      <c r="O1612" s="26">
        <v>4085.1822050000001</v>
      </c>
      <c r="Q1612" s="26">
        <v>6570.7352339999998</v>
      </c>
      <c r="S1612" s="26">
        <v>1250.094294</v>
      </c>
      <c r="U1612" s="29">
        <v>3.4463819999999998</v>
      </c>
      <c r="W1612" s="14">
        <v>43.373055000000001</v>
      </c>
      <c r="Y1612" s="29">
        <v>8.2517859999999992</v>
      </c>
      <c r="AA1612" s="41">
        <v>578.93860800000004</v>
      </c>
      <c r="AC1612" s="27">
        <v>54.064627999999999</v>
      </c>
      <c r="AE1612" s="27">
        <v>1</v>
      </c>
      <c r="AG1612" s="29">
        <v>7.7335339999999997</v>
      </c>
      <c r="AI1612" s="29">
        <v>8.75</v>
      </c>
      <c r="AK1612" s="27">
        <v>24.815294000000002</v>
      </c>
      <c r="AM1612" s="27">
        <v>33.964238000000002</v>
      </c>
      <c r="AO1612" s="29">
        <v>6.7725980000000003</v>
      </c>
      <c r="AP1612" s="28"/>
    </row>
    <row r="1613" spans="2:42" hidden="1" outlineLevel="1" x14ac:dyDescent="0.25">
      <c r="B1613" s="21">
        <v>43924</v>
      </c>
      <c r="C1613" s="27">
        <v>24.108699999999999</v>
      </c>
      <c r="E1613" s="30">
        <v>0.92483599999999999</v>
      </c>
      <c r="G1613" s="27">
        <v>64.721478000000005</v>
      </c>
      <c r="I1613" s="29">
        <v>6.9153019999999996</v>
      </c>
      <c r="K1613" s="29">
        <v>5.2876260000000004</v>
      </c>
      <c r="M1613" s="41">
        <v>864.85443599999996</v>
      </c>
      <c r="O1613" s="26">
        <v>4037.164264</v>
      </c>
      <c r="Q1613" s="26">
        <v>6570.3444319999999</v>
      </c>
      <c r="S1613" s="26">
        <v>1242.59752</v>
      </c>
      <c r="U1613" s="29">
        <v>3.4565299999999999</v>
      </c>
      <c r="W1613" s="14">
        <v>43.647117999999999</v>
      </c>
      <c r="Y1613" s="29">
        <v>8.2546140000000001</v>
      </c>
      <c r="AA1613" s="41">
        <v>579.41385600000001</v>
      </c>
      <c r="AC1613" s="27">
        <v>54.231062000000001</v>
      </c>
      <c r="AE1613" s="27">
        <v>1</v>
      </c>
      <c r="AG1613" s="29">
        <v>7.7426259999999996</v>
      </c>
      <c r="AI1613" s="29">
        <v>8.75</v>
      </c>
      <c r="AK1613" s="27">
        <v>24.854897999999999</v>
      </c>
      <c r="AM1613" s="27">
        <v>34.002175999999999</v>
      </c>
      <c r="AO1613" s="29">
        <v>6.7765890000000004</v>
      </c>
      <c r="AP1613" s="28"/>
    </row>
    <row r="1614" spans="2:42" hidden="1" outlineLevel="1" x14ac:dyDescent="0.25">
      <c r="B1614" s="21">
        <v>43925</v>
      </c>
      <c r="C1614" s="27">
        <v>24.108699999999999</v>
      </c>
      <c r="E1614" s="30">
        <v>0.925404</v>
      </c>
      <c r="G1614" s="27">
        <v>64.912599999999998</v>
      </c>
      <c r="I1614" s="29">
        <v>6.904522</v>
      </c>
      <c r="K1614" s="29">
        <v>5.3488990000000003</v>
      </c>
      <c r="M1614" s="41">
        <v>866.1</v>
      </c>
      <c r="O1614" s="26">
        <v>4029.5025000000001</v>
      </c>
      <c r="Q1614" s="26">
        <v>6556.6754499999997</v>
      </c>
      <c r="S1614" s="26">
        <v>1225.81015</v>
      </c>
      <c r="U1614" s="29">
        <v>3.4515500000000001</v>
      </c>
      <c r="W1614" s="14">
        <v>43.371879999999997</v>
      </c>
      <c r="Y1614" s="29">
        <v>8.1086130000000001</v>
      </c>
      <c r="AA1614" s="41">
        <v>578.29503799999998</v>
      </c>
      <c r="AC1614" s="27">
        <v>54.207500000000003</v>
      </c>
      <c r="AE1614" s="27">
        <v>1</v>
      </c>
      <c r="AG1614" s="29">
        <v>7.7307560000000004</v>
      </c>
      <c r="AI1614" s="29">
        <v>8.75</v>
      </c>
      <c r="AK1614" s="27">
        <v>24.865024999999999</v>
      </c>
      <c r="AM1614" s="27">
        <v>34.052750000000003</v>
      </c>
      <c r="AO1614" s="29">
        <v>6.7660539999999996</v>
      </c>
      <c r="AP1614" s="28"/>
    </row>
    <row r="1615" spans="2:42" hidden="1" outlineLevel="1" x14ac:dyDescent="0.25">
      <c r="B1615" s="21">
        <v>43926</v>
      </c>
      <c r="C1615" s="27">
        <v>24.108699999999999</v>
      </c>
      <c r="E1615" s="30">
        <v>0.92531300000000005</v>
      </c>
      <c r="G1615" s="27">
        <v>64.908365000000003</v>
      </c>
      <c r="I1615" s="29">
        <v>6.904522</v>
      </c>
      <c r="K1615" s="29">
        <v>5.3491160000000004</v>
      </c>
      <c r="M1615" s="41">
        <v>866.08944299999996</v>
      </c>
      <c r="O1615" s="26">
        <v>4029.4936459999999</v>
      </c>
      <c r="Q1615" s="26">
        <v>6556.6754499999997</v>
      </c>
      <c r="S1615" s="26">
        <v>1225.7602939999999</v>
      </c>
      <c r="U1615" s="29">
        <v>3.4515500000000001</v>
      </c>
      <c r="W1615" s="14">
        <v>43.371879999999997</v>
      </c>
      <c r="Y1615" s="29">
        <v>8.1082839999999994</v>
      </c>
      <c r="AA1615" s="41">
        <v>578.29503799999998</v>
      </c>
      <c r="AC1615" s="27">
        <v>54.207500000000003</v>
      </c>
      <c r="AE1615" s="27">
        <v>1</v>
      </c>
      <c r="AG1615" s="29">
        <v>7.7307560000000004</v>
      </c>
      <c r="AI1615" s="29">
        <v>8.75</v>
      </c>
      <c r="AK1615" s="27">
        <v>24.865024999999999</v>
      </c>
      <c r="AM1615" s="27">
        <v>34.052750000000003</v>
      </c>
      <c r="AO1615" s="29">
        <v>6.7660539999999996</v>
      </c>
      <c r="AP1615" s="28"/>
    </row>
    <row r="1616" spans="2:42" hidden="1" outlineLevel="1" x14ac:dyDescent="0.25">
      <c r="B1616" s="21">
        <v>43927</v>
      </c>
      <c r="C1616" s="27">
        <v>24.6938</v>
      </c>
      <c r="E1616" s="30">
        <v>0.92562599999999995</v>
      </c>
      <c r="G1616" s="27">
        <v>64.886297999999996</v>
      </c>
      <c r="I1616" s="29">
        <v>6.8906559999999999</v>
      </c>
      <c r="K1616" s="29">
        <v>5.3076160000000003</v>
      </c>
      <c r="M1616" s="41">
        <v>859.06759599999998</v>
      </c>
      <c r="O1616" s="26">
        <v>4009.817106</v>
      </c>
      <c r="Q1616" s="26">
        <v>6539.9387109999998</v>
      </c>
      <c r="S1616" s="26">
        <v>1232.1923039999999</v>
      </c>
      <c r="U1616" s="29">
        <v>3.4437359999999999</v>
      </c>
      <c r="W1616" s="14">
        <v>44.149340000000002</v>
      </c>
      <c r="Y1616" s="29">
        <v>8.3181560000000001</v>
      </c>
      <c r="AA1616" s="41">
        <v>575.68248200000005</v>
      </c>
      <c r="AC1616" s="27">
        <v>54.123365999999997</v>
      </c>
      <c r="AE1616" s="27">
        <v>1</v>
      </c>
      <c r="AG1616" s="29">
        <v>7.7072200000000004</v>
      </c>
      <c r="AI1616" s="29">
        <v>8.75</v>
      </c>
      <c r="AK1616" s="27">
        <v>24.786847999999999</v>
      </c>
      <c r="AM1616" s="27">
        <v>33.972824000000003</v>
      </c>
      <c r="AO1616" s="29">
        <v>6.7523929999999996</v>
      </c>
      <c r="AP1616" s="28"/>
    </row>
    <row r="1617" spans="2:42" hidden="1" outlineLevel="1" x14ac:dyDescent="0.25">
      <c r="B1617" s="21">
        <v>43928</v>
      </c>
      <c r="C1617" s="27">
        <v>24.689499999999999</v>
      </c>
      <c r="E1617" s="30">
        <v>0.92010000000000003</v>
      </c>
      <c r="G1617" s="27">
        <v>64.970477000000002</v>
      </c>
      <c r="I1617" s="29">
        <v>6.8957940000000004</v>
      </c>
      <c r="K1617" s="29">
        <v>5.2539639999999999</v>
      </c>
      <c r="M1617" s="41">
        <v>850.95993799999997</v>
      </c>
      <c r="O1617" s="26">
        <v>3948.722878</v>
      </c>
      <c r="Q1617" s="26">
        <v>6527.7948479999995</v>
      </c>
      <c r="S1617" s="26">
        <v>1242.4597289999999</v>
      </c>
      <c r="U1617" s="29">
        <v>3.4324439999999998</v>
      </c>
      <c r="W1617" s="14">
        <v>44.263809000000002</v>
      </c>
      <c r="Y1617" s="29">
        <v>8.424868</v>
      </c>
      <c r="AA1617" s="41">
        <v>574.57692999999995</v>
      </c>
      <c r="AC1617" s="27">
        <v>54.10369</v>
      </c>
      <c r="AE1617" s="27">
        <v>1</v>
      </c>
      <c r="AG1617" s="29">
        <v>7.7162220000000001</v>
      </c>
      <c r="AI1617" s="29">
        <v>8.75</v>
      </c>
      <c r="AK1617" s="27">
        <v>24.812317</v>
      </c>
      <c r="AM1617" s="27">
        <v>33.964297000000002</v>
      </c>
      <c r="AO1617" s="29">
        <v>6.7574630000000004</v>
      </c>
      <c r="AP1617" s="28"/>
    </row>
    <row r="1618" spans="2:42" hidden="1" outlineLevel="1" x14ac:dyDescent="0.25">
      <c r="B1618" s="21">
        <v>43929</v>
      </c>
      <c r="C1618" s="27">
        <v>24.038799999999998</v>
      </c>
      <c r="E1618" s="30">
        <v>0.92032199999999997</v>
      </c>
      <c r="G1618" s="27">
        <v>65.050426000000002</v>
      </c>
      <c r="I1618" s="29">
        <v>6.8970479999999998</v>
      </c>
      <c r="K1618" s="29">
        <v>5.195341</v>
      </c>
      <c r="M1618" s="41">
        <v>854.55130299999996</v>
      </c>
      <c r="O1618" s="26">
        <v>3901.3352239999999</v>
      </c>
      <c r="Q1618" s="26">
        <v>6513.0577919999996</v>
      </c>
      <c r="S1618" s="26">
        <v>1253.6426140000001</v>
      </c>
      <c r="U1618" s="29">
        <v>3.3803510000000001</v>
      </c>
      <c r="W1618" s="14">
        <v>44.076231999999997</v>
      </c>
      <c r="Y1618" s="29">
        <v>8.4838280000000008</v>
      </c>
      <c r="AA1618" s="41">
        <v>573.95196999999996</v>
      </c>
      <c r="AC1618" s="27">
        <v>54.209330000000001</v>
      </c>
      <c r="AE1618" s="27">
        <v>1</v>
      </c>
      <c r="AG1618" s="29">
        <v>7.7202539999999997</v>
      </c>
      <c r="AI1618" s="29">
        <v>8.75</v>
      </c>
      <c r="AK1618" s="27">
        <v>24.829180000000001</v>
      </c>
      <c r="AM1618" s="27">
        <v>34.037712999999997</v>
      </c>
      <c r="AO1618" s="29">
        <v>6.758794</v>
      </c>
      <c r="AP1618" s="28"/>
    </row>
    <row r="1619" spans="2:42" hidden="1" outlineLevel="1" x14ac:dyDescent="0.25">
      <c r="B1619" s="21">
        <v>43930</v>
      </c>
      <c r="C1619" s="27">
        <v>24.038799999999998</v>
      </c>
      <c r="E1619" s="30">
        <v>0.91783099999999995</v>
      </c>
      <c r="G1619" s="27">
        <v>65.071014000000005</v>
      </c>
      <c r="I1619" s="29">
        <v>6.8948299999999998</v>
      </c>
      <c r="K1619" s="29">
        <v>5.1078080000000003</v>
      </c>
      <c r="M1619" s="41">
        <v>843.56100000000004</v>
      </c>
      <c r="O1619" s="26">
        <v>3878.7910700000002</v>
      </c>
      <c r="Q1619" s="26">
        <v>6508.9570240000003</v>
      </c>
      <c r="S1619" s="26">
        <v>1274.3235279999999</v>
      </c>
      <c r="U1619" s="29">
        <v>3.3711639999999998</v>
      </c>
      <c r="W1619" s="14">
        <v>43.338236000000002</v>
      </c>
      <c r="Y1619" s="29">
        <v>8.4847339999999996</v>
      </c>
      <c r="AA1619" s="41">
        <v>573.52340200000003</v>
      </c>
      <c r="AC1619" s="27">
        <v>54.199714</v>
      </c>
      <c r="AE1619" s="27">
        <v>1</v>
      </c>
      <c r="AG1619" s="29">
        <v>7.7183820000000001</v>
      </c>
      <c r="AI1619" s="29">
        <v>8.75</v>
      </c>
      <c r="AK1619" s="27">
        <v>24.828752000000001</v>
      </c>
      <c r="AM1619" s="27">
        <v>34.041110000000003</v>
      </c>
      <c r="AO1619" s="29">
        <v>6.7565520000000001</v>
      </c>
      <c r="AP1619" s="28"/>
    </row>
    <row r="1620" spans="2:42" hidden="1" outlineLevel="1" x14ac:dyDescent="0.25">
      <c r="B1620" s="21">
        <v>43931</v>
      </c>
      <c r="C1620" s="27">
        <v>24.038799999999998</v>
      </c>
      <c r="E1620" s="30">
        <v>0.91413199999999994</v>
      </c>
      <c r="G1620" s="27">
        <v>64.615303999999995</v>
      </c>
      <c r="I1620" s="29">
        <v>6.8759540000000001</v>
      </c>
      <c r="K1620" s="29">
        <v>5.1072860000000002</v>
      </c>
      <c r="M1620" s="41">
        <v>842.67932299999995</v>
      </c>
      <c r="O1620" s="26">
        <v>3829.1420499999999</v>
      </c>
      <c r="Q1620" s="26">
        <v>6491.5072419999997</v>
      </c>
      <c r="S1620" s="26">
        <v>1271.0389339999999</v>
      </c>
      <c r="U1620" s="29">
        <v>3.3610000000000002</v>
      </c>
      <c r="W1620" s="14">
        <v>42.814507999999996</v>
      </c>
      <c r="Y1620" s="29">
        <v>8.3830550000000006</v>
      </c>
      <c r="AA1620" s="41">
        <v>571.51742100000001</v>
      </c>
      <c r="AC1620" s="27">
        <v>54.226199999999999</v>
      </c>
      <c r="AE1620" s="27">
        <v>1</v>
      </c>
      <c r="AG1620" s="29">
        <v>7.6971889999999998</v>
      </c>
      <c r="AI1620" s="29">
        <v>8.75</v>
      </c>
      <c r="AK1620" s="27">
        <v>24.788509999999999</v>
      </c>
      <c r="AM1620" s="27">
        <v>34.028306000000001</v>
      </c>
      <c r="AO1620" s="29">
        <v>6.7379020000000001</v>
      </c>
      <c r="AP1620" s="28"/>
    </row>
    <row r="1621" spans="2:42" hidden="1" outlineLevel="1" x14ac:dyDescent="0.25">
      <c r="B1621" s="21">
        <v>43932</v>
      </c>
      <c r="C1621" s="27">
        <v>24.038799999999998</v>
      </c>
      <c r="E1621" s="30">
        <v>0.91443600000000003</v>
      </c>
      <c r="G1621" s="27">
        <v>64.611518000000004</v>
      </c>
      <c r="I1621" s="29">
        <v>6.8751499999999997</v>
      </c>
      <c r="K1621" s="29">
        <v>5.1070000000000002</v>
      </c>
      <c r="M1621" s="41">
        <v>840.58749999999998</v>
      </c>
      <c r="O1621" s="26">
        <v>3827.0574999999999</v>
      </c>
      <c r="Q1621" s="26">
        <v>6490.7429750000001</v>
      </c>
      <c r="S1621" s="26">
        <v>1270.9572519999999</v>
      </c>
      <c r="U1621" s="29">
        <v>3.3709750000000001</v>
      </c>
      <c r="W1621" s="14">
        <v>42.801859</v>
      </c>
      <c r="Y1621" s="29">
        <v>8.3810380000000002</v>
      </c>
      <c r="AA1621" s="41">
        <v>571.45020999999997</v>
      </c>
      <c r="AC1621" s="27">
        <v>54.397500000000001</v>
      </c>
      <c r="AE1621" s="27">
        <v>1</v>
      </c>
      <c r="AG1621" s="29">
        <v>7.6962830000000002</v>
      </c>
      <c r="AI1621" s="29">
        <v>8.75</v>
      </c>
      <c r="AK1621" s="27">
        <v>24.856950000000001</v>
      </c>
      <c r="AM1621" s="27">
        <v>34.214750000000002</v>
      </c>
      <c r="AO1621" s="29">
        <v>6.7371090000000002</v>
      </c>
      <c r="AP1621" s="28"/>
    </row>
    <row r="1622" spans="2:42" hidden="1" outlineLevel="1" x14ac:dyDescent="0.25">
      <c r="B1622" s="21">
        <v>43933</v>
      </c>
      <c r="C1622" s="27">
        <v>24.038799999999998</v>
      </c>
      <c r="E1622" s="30">
        <v>0.91441899999999998</v>
      </c>
      <c r="G1622" s="27">
        <v>64.610119999999995</v>
      </c>
      <c r="I1622" s="29">
        <v>6.8751499999999997</v>
      </c>
      <c r="K1622" s="29">
        <v>5.1070000000000002</v>
      </c>
      <c r="M1622" s="41">
        <v>840.82930199999998</v>
      </c>
      <c r="O1622" s="26">
        <v>3829.9892060000002</v>
      </c>
      <c r="Q1622" s="26">
        <v>6490.7429750000001</v>
      </c>
      <c r="S1622" s="26">
        <v>1270.9572519999999</v>
      </c>
      <c r="U1622" s="29">
        <v>3.3709769999999999</v>
      </c>
      <c r="W1622" s="14">
        <v>42.801859</v>
      </c>
      <c r="Y1622" s="29">
        <v>8.3810380000000002</v>
      </c>
      <c r="AA1622" s="41">
        <v>571.45020999999997</v>
      </c>
      <c r="AC1622" s="27">
        <v>54.397500000000001</v>
      </c>
      <c r="AE1622" s="27">
        <v>1</v>
      </c>
      <c r="AG1622" s="29">
        <v>7.6962830000000002</v>
      </c>
      <c r="AI1622" s="29">
        <v>8.75</v>
      </c>
      <c r="AK1622" s="27">
        <v>24.856950000000001</v>
      </c>
      <c r="AM1622" s="27">
        <v>34.214750000000002</v>
      </c>
      <c r="AO1622" s="29">
        <v>6.7371090000000002</v>
      </c>
      <c r="AP1622" s="28"/>
    </row>
    <row r="1623" spans="2:42" hidden="1" outlineLevel="1" x14ac:dyDescent="0.25">
      <c r="B1623" s="21">
        <v>43934</v>
      </c>
      <c r="C1623" s="27">
        <v>24.092500000000001</v>
      </c>
      <c r="E1623" s="30">
        <v>0.91542000000000001</v>
      </c>
      <c r="G1623" s="27">
        <v>64.688001</v>
      </c>
      <c r="I1623" s="29">
        <v>6.8681159999999997</v>
      </c>
      <c r="K1623" s="29">
        <v>5.1456619999999997</v>
      </c>
      <c r="M1623" s="41">
        <v>844.29597799999999</v>
      </c>
      <c r="O1623" s="26">
        <v>3856.3575620000001</v>
      </c>
      <c r="Q1623" s="26">
        <v>6484.3945839999997</v>
      </c>
      <c r="S1623" s="26">
        <v>1260.1758520000001</v>
      </c>
      <c r="U1623" s="29">
        <v>3.3528340000000001</v>
      </c>
      <c r="W1623" s="14">
        <v>42.714742000000001</v>
      </c>
      <c r="Y1623" s="29">
        <v>8.3011400000000002</v>
      </c>
      <c r="AA1623" s="41">
        <v>570.88015299999995</v>
      </c>
      <c r="AC1623" s="27">
        <v>54.206159</v>
      </c>
      <c r="AE1623" s="27">
        <v>1</v>
      </c>
      <c r="AG1623" s="29">
        <v>7.6885680000000001</v>
      </c>
      <c r="AI1623" s="29">
        <v>8.75</v>
      </c>
      <c r="AK1623" s="27">
        <v>24.783351</v>
      </c>
      <c r="AM1623" s="27">
        <v>34.045766</v>
      </c>
      <c r="AO1623" s="29">
        <v>6.7302660000000003</v>
      </c>
      <c r="AP1623" s="28"/>
    </row>
    <row r="1624" spans="2:42" hidden="1" outlineLevel="1" x14ac:dyDescent="0.25">
      <c r="B1624" s="21">
        <v>43935</v>
      </c>
      <c r="C1624" s="27">
        <v>23.742699999999999</v>
      </c>
      <c r="E1624" s="30">
        <v>0.91279200000000005</v>
      </c>
      <c r="G1624" s="27">
        <v>65.192886000000001</v>
      </c>
      <c r="I1624" s="29">
        <v>6.8811200000000001</v>
      </c>
      <c r="K1624" s="29">
        <v>5.1890029999999996</v>
      </c>
      <c r="M1624" s="41">
        <v>850.45462099999997</v>
      </c>
      <c r="O1624" s="26">
        <v>3862.5056850000001</v>
      </c>
      <c r="Q1624" s="26">
        <v>6484.2899010000001</v>
      </c>
      <c r="S1624" s="26">
        <v>1249.6305110000001</v>
      </c>
      <c r="U1624" s="29">
        <v>3.3696000000000002</v>
      </c>
      <c r="W1624" s="14">
        <v>43.100749999999998</v>
      </c>
      <c r="Y1624" s="29">
        <v>8.3062059999999995</v>
      </c>
      <c r="AA1624" s="41">
        <v>572.59003900000005</v>
      </c>
      <c r="AC1624" s="27">
        <v>54.257435000000001</v>
      </c>
      <c r="AE1624" s="27">
        <v>1</v>
      </c>
      <c r="AG1624" s="29">
        <v>7.6999180000000003</v>
      </c>
      <c r="AI1624" s="29">
        <v>8.75</v>
      </c>
      <c r="AK1624" s="27">
        <v>24.805966000000002</v>
      </c>
      <c r="AM1624" s="27">
        <v>33.951146000000001</v>
      </c>
      <c r="AO1624" s="29">
        <v>6.7430500000000002</v>
      </c>
      <c r="AP1624" s="28"/>
    </row>
    <row r="1625" spans="2:42" hidden="1" outlineLevel="1" x14ac:dyDescent="0.25">
      <c r="B1625" s="21">
        <v>43936</v>
      </c>
      <c r="C1625" s="27">
        <v>23.564499999999999</v>
      </c>
      <c r="E1625" s="30">
        <v>0.91481400000000002</v>
      </c>
      <c r="G1625" s="27">
        <v>65.492525999999998</v>
      </c>
      <c r="I1625" s="29">
        <v>6.8785420000000004</v>
      </c>
      <c r="K1625" s="29">
        <v>5.2042440000000001</v>
      </c>
      <c r="M1625" s="41">
        <v>854.18747399999995</v>
      </c>
      <c r="O1625" s="26">
        <v>3873.546542</v>
      </c>
      <c r="Q1625" s="26">
        <v>6471.130314</v>
      </c>
      <c r="S1625" s="26">
        <v>1243.441613</v>
      </c>
      <c r="U1625" s="29">
        <v>3.393456</v>
      </c>
      <c r="W1625" s="14">
        <v>43.292307999999998</v>
      </c>
      <c r="Y1625" s="29">
        <v>8.3186839999999993</v>
      </c>
      <c r="AA1625" s="41">
        <v>571.34820300000001</v>
      </c>
      <c r="AC1625" s="27">
        <v>54.263731999999997</v>
      </c>
      <c r="AE1625" s="27">
        <v>1</v>
      </c>
      <c r="AG1625" s="29">
        <v>7.6978970000000002</v>
      </c>
      <c r="AI1625" s="29">
        <v>8.75</v>
      </c>
      <c r="AK1625" s="27">
        <v>24.790880000000001</v>
      </c>
      <c r="AM1625" s="27">
        <v>33.810470000000002</v>
      </c>
      <c r="AO1625" s="29">
        <v>6.7447900000000001</v>
      </c>
      <c r="AP1625" s="28"/>
    </row>
    <row r="1626" spans="2:42" hidden="1" outlineLevel="1" x14ac:dyDescent="0.25">
      <c r="B1626" s="21">
        <v>43937</v>
      </c>
      <c r="C1626" s="27">
        <v>24.115500000000001</v>
      </c>
      <c r="E1626" s="30">
        <v>0.92018500000000003</v>
      </c>
      <c r="G1626" s="27">
        <v>65.635738000000003</v>
      </c>
      <c r="I1626" s="29">
        <v>6.8898960000000002</v>
      </c>
      <c r="K1626" s="29">
        <v>5.2410880000000004</v>
      </c>
      <c r="M1626" s="41">
        <v>855.78297399999997</v>
      </c>
      <c r="O1626" s="26">
        <v>3922.7740600000002</v>
      </c>
      <c r="Q1626" s="26">
        <v>6481.3750040000004</v>
      </c>
      <c r="S1626" s="26">
        <v>1236.6546960000001</v>
      </c>
      <c r="U1626" s="29">
        <v>3.4068100000000001</v>
      </c>
      <c r="W1626" s="14">
        <v>43.567442</v>
      </c>
      <c r="Y1626" s="29">
        <v>8.3126999999999995</v>
      </c>
      <c r="AA1626" s="41">
        <v>570.48549000000003</v>
      </c>
      <c r="AC1626" s="27">
        <v>54.294823000000001</v>
      </c>
      <c r="AE1626" s="27">
        <v>1</v>
      </c>
      <c r="AG1626" s="29">
        <v>7.7065479999999997</v>
      </c>
      <c r="AI1626" s="29">
        <v>8.75</v>
      </c>
      <c r="AK1626" s="27">
        <v>24.874889</v>
      </c>
      <c r="AM1626" s="27">
        <v>34.150793</v>
      </c>
      <c r="AO1626" s="29">
        <v>6.7512080000000001</v>
      </c>
      <c r="AP1626" s="28"/>
    </row>
    <row r="1627" spans="2:42" hidden="1" outlineLevel="1" x14ac:dyDescent="0.25">
      <c r="B1627" s="21">
        <v>43938</v>
      </c>
      <c r="C1627" s="27">
        <v>24.209800000000001</v>
      </c>
      <c r="E1627" s="30">
        <v>0.92063099999999998</v>
      </c>
      <c r="G1627" s="27">
        <v>65.748799000000005</v>
      </c>
      <c r="I1627" s="29">
        <v>6.8911230000000003</v>
      </c>
      <c r="K1627" s="29">
        <v>5.2397840000000002</v>
      </c>
      <c r="M1627" s="41">
        <v>852.54371600000002</v>
      </c>
      <c r="O1627" s="26">
        <v>3966.4044479999998</v>
      </c>
      <c r="Q1627" s="26">
        <v>6480.2789979999998</v>
      </c>
      <c r="S1627" s="26">
        <v>1236.7529480000001</v>
      </c>
      <c r="U1627" s="29">
        <v>3.4113980000000002</v>
      </c>
      <c r="W1627" s="14">
        <v>43.558582999999999</v>
      </c>
      <c r="Y1627" s="29">
        <v>8.3130760000000006</v>
      </c>
      <c r="AA1627" s="41">
        <v>568.08900000000006</v>
      </c>
      <c r="AC1627" s="27">
        <v>54.298566000000001</v>
      </c>
      <c r="AE1627" s="27">
        <v>1</v>
      </c>
      <c r="AG1627" s="29">
        <v>7.704917</v>
      </c>
      <c r="AI1627" s="29">
        <v>8.75</v>
      </c>
      <c r="AK1627" s="27">
        <v>24.870823999999999</v>
      </c>
      <c r="AM1627" s="27">
        <v>34.059047999999997</v>
      </c>
      <c r="AO1627" s="29">
        <v>6.7492219999999996</v>
      </c>
      <c r="AP1627" s="28"/>
    </row>
    <row r="1628" spans="2:42" hidden="1" outlineLevel="1" x14ac:dyDescent="0.25">
      <c r="B1628" s="21">
        <v>43939</v>
      </c>
      <c r="C1628" s="27">
        <v>24.209800000000001</v>
      </c>
      <c r="E1628" s="30">
        <v>0.91963399999999995</v>
      </c>
      <c r="G1628" s="27">
        <v>65.808000000000007</v>
      </c>
      <c r="I1628" s="29">
        <v>6.8869160000000003</v>
      </c>
      <c r="K1628" s="29">
        <v>5.2343000000000002</v>
      </c>
      <c r="M1628" s="41">
        <v>853.3</v>
      </c>
      <c r="O1628" s="26">
        <v>3940</v>
      </c>
      <c r="Q1628" s="26">
        <v>6476.0448500000002</v>
      </c>
      <c r="S1628" s="26">
        <v>1237.2389290000001</v>
      </c>
      <c r="U1628" s="29">
        <v>3.4072249999999999</v>
      </c>
      <c r="W1628" s="14">
        <v>43.478461000000003</v>
      </c>
      <c r="Y1628" s="29">
        <v>8.3064820000000008</v>
      </c>
      <c r="AA1628" s="41">
        <v>566.38856499999997</v>
      </c>
      <c r="AC1628" s="27">
        <v>54.422499999999999</v>
      </c>
      <c r="AE1628" s="27">
        <v>1</v>
      </c>
      <c r="AG1628" s="29">
        <v>7.7018319999999996</v>
      </c>
      <c r="AI1628" s="29">
        <v>8.75</v>
      </c>
      <c r="AK1628" s="27">
        <v>24.880549999999999</v>
      </c>
      <c r="AM1628" s="27">
        <v>34.372250000000001</v>
      </c>
      <c r="AO1628" s="29">
        <v>6.7484640000000002</v>
      </c>
      <c r="AP1628" s="28"/>
    </row>
    <row r="1629" spans="2:42" hidden="1" outlineLevel="1" x14ac:dyDescent="0.25">
      <c r="B1629" s="21">
        <v>43940</v>
      </c>
      <c r="C1629" s="27">
        <v>24.209800000000001</v>
      </c>
      <c r="E1629" s="30">
        <v>0.919682</v>
      </c>
      <c r="G1629" s="27">
        <v>65.784548000000001</v>
      </c>
      <c r="I1629" s="29">
        <v>6.887194</v>
      </c>
      <c r="K1629" s="29">
        <v>5.2343419999999998</v>
      </c>
      <c r="M1629" s="41">
        <v>853.29999699999996</v>
      </c>
      <c r="O1629" s="26">
        <v>3939.9117919999999</v>
      </c>
      <c r="Q1629" s="26">
        <v>6476.3793029999997</v>
      </c>
      <c r="S1629" s="26">
        <v>1237.2929280000001</v>
      </c>
      <c r="U1629" s="29">
        <v>3.407206</v>
      </c>
      <c r="W1629" s="14">
        <v>43.497455000000002</v>
      </c>
      <c r="Y1629" s="29">
        <v>8.3100419999999993</v>
      </c>
      <c r="AA1629" s="41">
        <v>566.38856499999997</v>
      </c>
      <c r="AC1629" s="27">
        <v>54.403506</v>
      </c>
      <c r="AE1629" s="27">
        <v>1</v>
      </c>
      <c r="AG1629" s="29">
        <v>7.702026</v>
      </c>
      <c r="AI1629" s="29">
        <v>8.75</v>
      </c>
      <c r="AK1629" s="27">
        <v>24.880549999999999</v>
      </c>
      <c r="AM1629" s="27">
        <v>34.372250000000001</v>
      </c>
      <c r="AO1629" s="29">
        <v>6.7487389999999996</v>
      </c>
      <c r="AP1629" s="28"/>
    </row>
    <row r="1630" spans="2:42" hidden="1" outlineLevel="1" x14ac:dyDescent="0.25">
      <c r="B1630" s="21">
        <v>43941</v>
      </c>
      <c r="C1630" s="27">
        <v>23.901199999999999</v>
      </c>
      <c r="E1630" s="30">
        <v>0.92035999999999996</v>
      </c>
      <c r="G1630" s="27">
        <v>65.796242000000007</v>
      </c>
      <c r="I1630" s="29">
        <v>6.8882199999999996</v>
      </c>
      <c r="K1630" s="29">
        <v>5.2690700000000001</v>
      </c>
      <c r="M1630" s="41">
        <v>855.64844400000004</v>
      </c>
      <c r="O1630" s="26">
        <v>3949.8502010000002</v>
      </c>
      <c r="Q1630" s="26">
        <v>6477.4052769999998</v>
      </c>
      <c r="S1630" s="26">
        <v>1229.333815</v>
      </c>
      <c r="U1630" s="29">
        <v>3.4056510000000002</v>
      </c>
      <c r="W1630" s="14">
        <v>43.518458000000003</v>
      </c>
      <c r="Y1630" s="29">
        <v>8.2592590000000001</v>
      </c>
      <c r="AA1630" s="41">
        <v>566.04404199999999</v>
      </c>
      <c r="AC1630" s="27">
        <v>54.138364000000003</v>
      </c>
      <c r="AE1630" s="27">
        <v>1</v>
      </c>
      <c r="AG1630" s="29">
        <v>7.702102</v>
      </c>
      <c r="AI1630" s="29">
        <v>8.75</v>
      </c>
      <c r="AK1630" s="27">
        <v>24.827321999999999</v>
      </c>
      <c r="AM1630" s="27">
        <v>34.190334</v>
      </c>
      <c r="AO1630" s="29">
        <v>6.7497780000000001</v>
      </c>
      <c r="AP1630" s="28"/>
    </row>
    <row r="1631" spans="2:42" hidden="1" outlineLevel="1" x14ac:dyDescent="0.25">
      <c r="B1631" s="21">
        <v>43942</v>
      </c>
      <c r="C1631" s="27">
        <v>24.0077</v>
      </c>
      <c r="E1631" s="30">
        <v>0.922014</v>
      </c>
      <c r="G1631" s="27">
        <v>65.988280000000003</v>
      </c>
      <c r="I1631" s="29">
        <v>6.893974</v>
      </c>
      <c r="K1631" s="29">
        <v>5.3169700000000004</v>
      </c>
      <c r="M1631" s="41">
        <v>859.95916799999998</v>
      </c>
      <c r="O1631" s="26">
        <v>4004.7924520000001</v>
      </c>
      <c r="Q1631" s="26">
        <v>6480.7876980000001</v>
      </c>
      <c r="S1631" s="26">
        <v>1218.8949640000001</v>
      </c>
      <c r="U1631" s="29">
        <v>3.4003800000000002</v>
      </c>
      <c r="W1631" s="14">
        <v>43.434981999999998</v>
      </c>
      <c r="Y1631" s="29">
        <v>8.1691500000000001</v>
      </c>
      <c r="AA1631" s="41">
        <v>567.38527999999997</v>
      </c>
      <c r="AC1631" s="27">
        <v>54.231642000000001</v>
      </c>
      <c r="AE1631" s="27">
        <v>1</v>
      </c>
      <c r="AG1631" s="29">
        <v>7.7079579999999996</v>
      </c>
      <c r="AI1631" s="29">
        <v>8.75</v>
      </c>
      <c r="AK1631" s="27">
        <v>24.838654999999999</v>
      </c>
      <c r="AM1631" s="27">
        <v>34.211402</v>
      </c>
      <c r="AO1631" s="29">
        <v>6.7542739999999997</v>
      </c>
      <c r="AP1631" s="28"/>
    </row>
    <row r="1632" spans="2:42" hidden="1" outlineLevel="1" x14ac:dyDescent="0.25">
      <c r="B1632" s="21">
        <v>43943</v>
      </c>
      <c r="C1632" s="27">
        <v>24.424800000000001</v>
      </c>
      <c r="E1632" s="30">
        <v>0.92218999999999995</v>
      </c>
      <c r="G1632" s="27">
        <v>66.117963000000003</v>
      </c>
      <c r="I1632" s="29">
        <v>6.8874339999999998</v>
      </c>
      <c r="K1632" s="29">
        <v>5.36287</v>
      </c>
      <c r="M1632" s="41">
        <v>858.85065699999996</v>
      </c>
      <c r="O1632" s="26">
        <v>4042.7862660000001</v>
      </c>
      <c r="Q1632" s="26">
        <v>6473.2094960000004</v>
      </c>
      <c r="S1632" s="26">
        <v>1207.0496820000001</v>
      </c>
      <c r="U1632" s="29">
        <v>3.394574</v>
      </c>
      <c r="W1632" s="14">
        <v>43.279274000000001</v>
      </c>
      <c r="Y1632" s="29">
        <v>8.0701979999999995</v>
      </c>
      <c r="AA1632" s="41">
        <v>568.30630699999995</v>
      </c>
      <c r="AC1632" s="27">
        <v>54.246105999999997</v>
      </c>
      <c r="AE1632" s="27">
        <v>1</v>
      </c>
      <c r="AG1632" s="29">
        <v>7.7029949999999996</v>
      </c>
      <c r="AI1632" s="29">
        <v>8.75</v>
      </c>
      <c r="AK1632" s="27">
        <v>24.831213999999999</v>
      </c>
      <c r="AM1632" s="27">
        <v>34.185450000000003</v>
      </c>
      <c r="AO1632" s="29">
        <v>6.7488659999999996</v>
      </c>
      <c r="AP1632" s="28"/>
    </row>
    <row r="1633" spans="2:42" hidden="1" outlineLevel="1" x14ac:dyDescent="0.25">
      <c r="B1633" s="21">
        <v>43944</v>
      </c>
      <c r="C1633" s="27">
        <v>24.5883</v>
      </c>
      <c r="E1633" s="30">
        <v>0.92617000000000005</v>
      </c>
      <c r="G1633" s="27">
        <v>66.239245999999994</v>
      </c>
      <c r="I1633" s="29">
        <v>6.8974460000000004</v>
      </c>
      <c r="K1633" s="29">
        <v>5.4728190000000003</v>
      </c>
      <c r="M1633" s="41">
        <v>859.76780199999996</v>
      </c>
      <c r="O1633" s="26">
        <v>4025.615898</v>
      </c>
      <c r="Q1633" s="26">
        <v>6495.2848679999997</v>
      </c>
      <c r="S1633" s="26">
        <v>1186.8336509999999</v>
      </c>
      <c r="U1633" s="29">
        <v>3.3790200000000001</v>
      </c>
      <c r="W1633" s="14">
        <v>43.311720000000001</v>
      </c>
      <c r="Y1633" s="29">
        <v>7.913996</v>
      </c>
      <c r="AA1633" s="41">
        <v>569.53003799999999</v>
      </c>
      <c r="AC1633" s="27">
        <v>54.394461999999997</v>
      </c>
      <c r="AE1633" s="27">
        <v>1</v>
      </c>
      <c r="AG1633" s="29">
        <v>7.7171409999999998</v>
      </c>
      <c r="AI1633" s="29">
        <v>8.75</v>
      </c>
      <c r="AK1633" s="27">
        <v>24.871216</v>
      </c>
      <c r="AM1633" s="27">
        <v>34.164009999999998</v>
      </c>
      <c r="AO1633" s="29">
        <v>6.7605919999999999</v>
      </c>
      <c r="AP1633" s="28"/>
    </row>
    <row r="1634" spans="2:42" hidden="1" outlineLevel="1" x14ac:dyDescent="0.25">
      <c r="B1634" s="21">
        <v>43945</v>
      </c>
      <c r="C1634" s="27">
        <v>24.623000000000001</v>
      </c>
      <c r="E1634" s="30">
        <v>0.92713400000000001</v>
      </c>
      <c r="G1634" s="27">
        <v>66.322152000000003</v>
      </c>
      <c r="I1634" s="29">
        <v>6.8968040000000004</v>
      </c>
      <c r="K1634" s="29">
        <v>5.5902760000000002</v>
      </c>
      <c r="M1634" s="41">
        <v>860.70166200000006</v>
      </c>
      <c r="O1634" s="26">
        <v>4029.8655960000001</v>
      </c>
      <c r="Q1634" s="26">
        <v>6503.8771390000002</v>
      </c>
      <c r="S1634" s="26">
        <v>1163.4356359999999</v>
      </c>
      <c r="U1634" s="29">
        <v>3.3785530000000001</v>
      </c>
      <c r="W1634" s="14">
        <v>43.217562000000001</v>
      </c>
      <c r="Y1634" s="29">
        <v>7.7308719999999997</v>
      </c>
      <c r="AA1634" s="41">
        <v>568.76691100000005</v>
      </c>
      <c r="AC1634" s="27">
        <v>54.312170000000002</v>
      </c>
      <c r="AE1634" s="27">
        <v>1</v>
      </c>
      <c r="AG1634" s="29">
        <v>7.7105560000000004</v>
      </c>
      <c r="AI1634" s="29">
        <v>8.75</v>
      </c>
      <c r="AK1634" s="27">
        <v>24.847166000000001</v>
      </c>
      <c r="AM1634" s="27">
        <v>34.265127999999997</v>
      </c>
      <c r="AO1634" s="29">
        <v>6.7587799999999998</v>
      </c>
      <c r="AP1634" s="28"/>
    </row>
    <row r="1635" spans="2:42" hidden="1" outlineLevel="1" x14ac:dyDescent="0.25">
      <c r="B1635" s="21">
        <v>43946</v>
      </c>
      <c r="C1635" s="27">
        <v>24.623000000000001</v>
      </c>
      <c r="E1635" s="30">
        <v>0.92386400000000002</v>
      </c>
      <c r="G1635" s="27">
        <v>66.379800000000003</v>
      </c>
      <c r="I1635" s="29">
        <v>6.8990559999999999</v>
      </c>
      <c r="K1635" s="29">
        <v>5.5921000000000003</v>
      </c>
      <c r="M1635" s="41">
        <v>857.4</v>
      </c>
      <c r="O1635" s="26">
        <v>4040.5124999999998</v>
      </c>
      <c r="Q1635" s="26">
        <v>6504.9673750000002</v>
      </c>
      <c r="S1635" s="26">
        <v>1163.252763</v>
      </c>
      <c r="U1635" s="29">
        <v>3.3874</v>
      </c>
      <c r="W1635" s="14">
        <v>43.151218999999998</v>
      </c>
      <c r="Y1635" s="29">
        <v>7.7164900000000003</v>
      </c>
      <c r="AA1635" s="41">
        <v>568.47071500000004</v>
      </c>
      <c r="AC1635" s="27">
        <v>54.414999999999999</v>
      </c>
      <c r="AE1635" s="27">
        <v>1</v>
      </c>
      <c r="AG1635" s="29">
        <v>7.7081720000000002</v>
      </c>
      <c r="AI1635" s="29">
        <v>8.75</v>
      </c>
      <c r="AK1635" s="27">
        <v>24.869425</v>
      </c>
      <c r="AM1635" s="27">
        <v>34.539749999999998</v>
      </c>
      <c r="AO1635" s="29">
        <v>6.7585920000000002</v>
      </c>
      <c r="AP1635" s="28"/>
    </row>
    <row r="1636" spans="2:42" hidden="1" outlineLevel="1" x14ac:dyDescent="0.25">
      <c r="B1636" s="21">
        <v>43947</v>
      </c>
      <c r="C1636" s="27">
        <v>24.623000000000001</v>
      </c>
      <c r="E1636" s="30">
        <v>0.92391199999999996</v>
      </c>
      <c r="G1636" s="27">
        <v>66.378936999999993</v>
      </c>
      <c r="I1636" s="29">
        <v>6.8990559999999999</v>
      </c>
      <c r="K1636" s="29">
        <v>5.5920350000000001</v>
      </c>
      <c r="M1636" s="41">
        <v>857.421828</v>
      </c>
      <c r="O1636" s="26">
        <v>4040.5124999999998</v>
      </c>
      <c r="Q1636" s="26">
        <v>6504.9673750000002</v>
      </c>
      <c r="S1636" s="26">
        <v>1163.266466</v>
      </c>
      <c r="U1636" s="29">
        <v>3.3874</v>
      </c>
      <c r="W1636" s="14">
        <v>43.151218999999998</v>
      </c>
      <c r="Y1636" s="29">
        <v>7.7165800000000004</v>
      </c>
      <c r="AA1636" s="41">
        <v>568.47071500000004</v>
      </c>
      <c r="AC1636" s="27">
        <v>54.414999999999999</v>
      </c>
      <c r="AE1636" s="27">
        <v>1</v>
      </c>
      <c r="AG1636" s="29">
        <v>7.7081720000000002</v>
      </c>
      <c r="AI1636" s="29">
        <v>8.75</v>
      </c>
      <c r="AK1636" s="27">
        <v>24.869425</v>
      </c>
      <c r="AM1636" s="27">
        <v>34.539749999999998</v>
      </c>
      <c r="AO1636" s="29">
        <v>6.7585920000000002</v>
      </c>
      <c r="AP1636" s="28"/>
    </row>
    <row r="1637" spans="2:42" hidden="1" outlineLevel="1" x14ac:dyDescent="0.25">
      <c r="B1637" s="21">
        <v>43948</v>
      </c>
      <c r="C1637" s="27">
        <v>24.8583</v>
      </c>
      <c r="E1637" s="30">
        <v>0.92293599999999998</v>
      </c>
      <c r="G1637" s="27">
        <v>66.336648999999994</v>
      </c>
      <c r="I1637" s="29">
        <v>6.8893719999999998</v>
      </c>
      <c r="K1637" s="29">
        <v>5.6250540000000004</v>
      </c>
      <c r="M1637" s="41">
        <v>858.52565900000002</v>
      </c>
      <c r="O1637" s="26">
        <v>4042.7833810000002</v>
      </c>
      <c r="Q1637" s="26">
        <v>6526.9087159999999</v>
      </c>
      <c r="S1637" s="26">
        <v>1160.340635</v>
      </c>
      <c r="U1637" s="29">
        <v>3.3909120000000001</v>
      </c>
      <c r="W1637" s="14">
        <v>43.112520000000004</v>
      </c>
      <c r="Y1637" s="29">
        <v>7.6644100000000002</v>
      </c>
      <c r="AA1637" s="41">
        <v>566.26768000000004</v>
      </c>
      <c r="AC1637" s="27">
        <v>54.285708</v>
      </c>
      <c r="AE1637" s="27">
        <v>1</v>
      </c>
      <c r="AG1637" s="29">
        <v>7.6978999999999997</v>
      </c>
      <c r="AI1637" s="29">
        <v>8.75</v>
      </c>
      <c r="AK1637" s="27">
        <v>24.802174999999998</v>
      </c>
      <c r="AM1637" s="27">
        <v>34.276355000000002</v>
      </c>
      <c r="AO1637" s="29">
        <v>6.7504289999999996</v>
      </c>
      <c r="AP1637" s="28"/>
    </row>
    <row r="1638" spans="2:42" hidden="1" outlineLevel="1" x14ac:dyDescent="0.25">
      <c r="B1638" s="21">
        <v>43949</v>
      </c>
      <c r="C1638" s="27">
        <v>24.8492</v>
      </c>
      <c r="E1638" s="30">
        <v>0.92257599999999995</v>
      </c>
      <c r="G1638" s="27">
        <v>66.523674</v>
      </c>
      <c r="I1638" s="29">
        <v>6.9050140000000004</v>
      </c>
      <c r="K1638" s="29">
        <v>5.5929419999999999</v>
      </c>
      <c r="M1638" s="41">
        <v>853.54294200000004</v>
      </c>
      <c r="O1638" s="26">
        <v>4045.9137719999999</v>
      </c>
      <c r="Q1638" s="26">
        <v>6545.6642929999998</v>
      </c>
      <c r="S1638" s="26">
        <v>1170.352165</v>
      </c>
      <c r="U1638" s="29">
        <v>3.3957160000000002</v>
      </c>
      <c r="W1638" s="14">
        <v>43.501266000000001</v>
      </c>
      <c r="Y1638" s="29">
        <v>7.7779100000000003</v>
      </c>
      <c r="AA1638" s="41">
        <v>567.02033400000005</v>
      </c>
      <c r="AC1638" s="27">
        <v>54.381459999999997</v>
      </c>
      <c r="AE1638" s="27">
        <v>1</v>
      </c>
      <c r="AG1638" s="29">
        <v>7.7142650000000001</v>
      </c>
      <c r="AI1638" s="29">
        <v>8.75</v>
      </c>
      <c r="AK1638" s="27">
        <v>24.851098</v>
      </c>
      <c r="AM1638" s="27">
        <v>34.309547000000002</v>
      </c>
      <c r="AO1638" s="29">
        <v>6.7635620000000003</v>
      </c>
      <c r="AP1638" s="28"/>
    </row>
    <row r="1639" spans="2:42" hidden="1" outlineLevel="1" x14ac:dyDescent="0.25">
      <c r="B1639" s="21">
        <v>43950</v>
      </c>
      <c r="C1639" s="27">
        <v>24.388200000000001</v>
      </c>
      <c r="E1639" s="30">
        <v>0.92097200000000001</v>
      </c>
      <c r="G1639" s="27">
        <v>66.643061000000003</v>
      </c>
      <c r="I1639" s="29">
        <v>6.9138000000000002</v>
      </c>
      <c r="K1639" s="29">
        <v>5.4428089999999996</v>
      </c>
      <c r="M1639" s="41">
        <v>840.76396399999999</v>
      </c>
      <c r="O1639" s="26">
        <v>4018.446402</v>
      </c>
      <c r="Q1639" s="26">
        <v>6550.1048680000004</v>
      </c>
      <c r="S1639" s="26">
        <v>1203.4501620000001</v>
      </c>
      <c r="U1639" s="29">
        <v>3.386568</v>
      </c>
      <c r="W1639" s="14">
        <v>43.666432999999998</v>
      </c>
      <c r="Y1639" s="29">
        <v>8.0227979999999999</v>
      </c>
      <c r="AA1639" s="41">
        <v>567.57289000000003</v>
      </c>
      <c r="AC1639" s="27">
        <v>54.483884000000003</v>
      </c>
      <c r="AE1639" s="27">
        <v>1</v>
      </c>
      <c r="AG1639" s="29">
        <v>7.7202799999999998</v>
      </c>
      <c r="AI1639" s="29">
        <v>8.75</v>
      </c>
      <c r="AK1639" s="27">
        <v>24.848807999999998</v>
      </c>
      <c r="AM1639" s="27">
        <v>34.329680000000003</v>
      </c>
      <c r="AO1639" s="29">
        <v>6.7673100000000002</v>
      </c>
      <c r="AP1639" s="28"/>
    </row>
    <row r="1640" spans="2:42" hidden="1" outlineLevel="1" x14ac:dyDescent="0.25">
      <c r="B1640" s="21">
        <v>43951</v>
      </c>
      <c r="C1640" s="49">
        <v>24.0002</v>
      </c>
      <c r="E1640" s="30">
        <v>0.91758200000000001</v>
      </c>
      <c r="G1640" s="27">
        <v>66.740437</v>
      </c>
      <c r="I1640" s="29">
        <v>6.9021499999999998</v>
      </c>
      <c r="K1640" s="29">
        <v>5.3910910000000003</v>
      </c>
      <c r="M1640" s="41">
        <v>835.85035400000004</v>
      </c>
      <c r="O1640" s="26">
        <v>3944.2363500000001</v>
      </c>
      <c r="Q1640" s="26">
        <v>6537.5915539999996</v>
      </c>
      <c r="S1640" s="26">
        <v>1212.6750730000001</v>
      </c>
      <c r="U1640" s="29">
        <v>3.3745859999999999</v>
      </c>
      <c r="W1640" s="14">
        <v>43.208857999999999</v>
      </c>
      <c r="Y1640" s="29">
        <v>8.0148899999999994</v>
      </c>
      <c r="AA1640" s="41">
        <v>567.23955999999998</v>
      </c>
      <c r="AC1640" s="27">
        <v>54.619205999999998</v>
      </c>
      <c r="AE1640" s="27">
        <v>1</v>
      </c>
      <c r="AG1640" s="29">
        <v>7.7148159999999999</v>
      </c>
      <c r="AI1640" s="29">
        <v>8.75</v>
      </c>
      <c r="AK1640" s="27">
        <v>24.844645</v>
      </c>
      <c r="AM1640" s="27">
        <v>34.344672000000003</v>
      </c>
      <c r="AO1640" s="29">
        <v>6.7575130000000003</v>
      </c>
      <c r="AP1640" s="28"/>
    </row>
    <row r="1641" spans="2:42" ht="13" collapsed="1" x14ac:dyDescent="0.3">
      <c r="B1641" s="25" t="s">
        <v>190</v>
      </c>
      <c r="C1641" s="19">
        <v>24.230399999999999</v>
      </c>
      <c r="E1641" s="24">
        <v>0.92016900000000001</v>
      </c>
      <c r="G1641" s="19">
        <v>65.503902999999994</v>
      </c>
      <c r="I1641" s="23">
        <v>6.8931089999999999</v>
      </c>
      <c r="J1641" s="9"/>
      <c r="K1641" s="23">
        <v>5.313078</v>
      </c>
      <c r="M1641" s="42">
        <v>853.91028100000005</v>
      </c>
      <c r="O1641" s="31">
        <v>3967.2963549999999</v>
      </c>
      <c r="Q1641" s="31">
        <v>6510.9316490000001</v>
      </c>
      <c r="S1641" s="31">
        <v>1226.4651120000001</v>
      </c>
      <c r="U1641" s="23">
        <v>3.4000710000000001</v>
      </c>
      <c r="W1641" s="23">
        <v>43.372726999999998</v>
      </c>
      <c r="Y1641" s="23">
        <v>8.1702689999999993</v>
      </c>
      <c r="AA1641" s="42">
        <v>571.23417199999994</v>
      </c>
      <c r="AC1641" s="19">
        <v>54.280327</v>
      </c>
      <c r="AE1641" s="19">
        <v>1</v>
      </c>
      <c r="AG1641" s="23">
        <v>7.7102700000000004</v>
      </c>
      <c r="AI1641" s="23">
        <v>8.75</v>
      </c>
      <c r="AK1641" s="23">
        <v>24.837046000000001</v>
      </c>
      <c r="AM1641" s="23">
        <v>34.151158000000002</v>
      </c>
      <c r="AO1641" s="23">
        <v>6.754073</v>
      </c>
      <c r="AP1641" s="10"/>
    </row>
    <row r="1642" spans="2:42" hidden="1" outlineLevel="1" x14ac:dyDescent="0.25">
      <c r="B1642" s="21">
        <v>43952</v>
      </c>
      <c r="C1642" s="27">
        <v>24.0002</v>
      </c>
      <c r="E1642" s="30">
        <v>0.911524</v>
      </c>
      <c r="G1642" s="27">
        <v>66.673212000000007</v>
      </c>
      <c r="I1642" s="29">
        <v>6.8792580000000001</v>
      </c>
      <c r="K1642" s="29">
        <v>5.4895480000000001</v>
      </c>
      <c r="M1642" s="41">
        <v>835.89466900000002</v>
      </c>
      <c r="O1642" s="26">
        <v>3957.1710950000002</v>
      </c>
      <c r="Q1642" s="26">
        <v>6516.345456</v>
      </c>
      <c r="S1642" s="26">
        <v>1187.0519139999999</v>
      </c>
      <c r="U1642" s="29">
        <v>3.366352</v>
      </c>
      <c r="W1642" s="14">
        <v>42.734228000000002</v>
      </c>
      <c r="Y1642" s="29">
        <v>7.7846700000000002</v>
      </c>
      <c r="AA1642" s="41">
        <v>565.79638</v>
      </c>
      <c r="AC1642" s="27">
        <v>54.603692000000002</v>
      </c>
      <c r="AE1642" s="27">
        <v>1</v>
      </c>
      <c r="AG1642" s="29">
        <v>7.6926220000000001</v>
      </c>
      <c r="AI1642" s="29">
        <v>8.75</v>
      </c>
      <c r="AK1642" s="27">
        <v>24.816839000000002</v>
      </c>
      <c r="AM1642" s="27">
        <v>34.415163999999997</v>
      </c>
      <c r="AO1642" s="29">
        <v>6.7356350000000003</v>
      </c>
      <c r="AP1642" s="28"/>
    </row>
    <row r="1643" spans="2:42" hidden="1" outlineLevel="1" x14ac:dyDescent="0.25">
      <c r="B1643" s="21">
        <v>43953</v>
      </c>
      <c r="C1643" s="27">
        <v>24.0002</v>
      </c>
      <c r="E1643" s="30">
        <v>0.91079699999999997</v>
      </c>
      <c r="G1643" s="27">
        <v>66.619078999999999</v>
      </c>
      <c r="I1643" s="29">
        <v>6.8783159999999999</v>
      </c>
      <c r="K1643" s="29">
        <v>5.4873000000000003</v>
      </c>
      <c r="M1643" s="41">
        <v>834.7</v>
      </c>
      <c r="O1643" s="26">
        <v>3959.48</v>
      </c>
      <c r="Q1643" s="26">
        <v>6515.44445</v>
      </c>
      <c r="S1643" s="26">
        <v>1187.374035</v>
      </c>
      <c r="U1643" s="29">
        <v>3.3747500000000001</v>
      </c>
      <c r="W1643" s="14">
        <v>42.722244000000003</v>
      </c>
      <c r="Y1643" s="29">
        <v>7.7856750000000003</v>
      </c>
      <c r="AA1643" s="41">
        <v>565.71812</v>
      </c>
      <c r="AC1643" s="27">
        <v>54.762500000000003</v>
      </c>
      <c r="AE1643" s="27">
        <v>1</v>
      </c>
      <c r="AG1643" s="29">
        <v>7.6915639999999996</v>
      </c>
      <c r="AI1643" s="29">
        <v>8.75</v>
      </c>
      <c r="AK1643" s="27">
        <v>24.914275</v>
      </c>
      <c r="AM1643" s="27">
        <v>34.539749999999998</v>
      </c>
      <c r="AO1643" s="29">
        <v>6.7347070000000002</v>
      </c>
      <c r="AP1643" s="28"/>
    </row>
    <row r="1644" spans="2:42" hidden="1" outlineLevel="1" x14ac:dyDescent="0.25">
      <c r="B1644" s="21">
        <v>43954</v>
      </c>
      <c r="C1644" s="27">
        <v>24.0002</v>
      </c>
      <c r="E1644" s="30">
        <v>0.91094600000000003</v>
      </c>
      <c r="G1644" s="27">
        <v>66.629915999999994</v>
      </c>
      <c r="I1644" s="29">
        <v>6.8783159999999999</v>
      </c>
      <c r="K1644" s="29">
        <v>5.487298</v>
      </c>
      <c r="M1644" s="41">
        <v>834.7</v>
      </c>
      <c r="O1644" s="26">
        <v>3959.48</v>
      </c>
      <c r="Q1644" s="26">
        <v>6515.44445</v>
      </c>
      <c r="S1644" s="26">
        <v>1187.374468</v>
      </c>
      <c r="U1644" s="29">
        <v>3.3747319999999998</v>
      </c>
      <c r="W1644" s="14">
        <v>42.722244000000003</v>
      </c>
      <c r="Y1644" s="29">
        <v>7.7856779999999999</v>
      </c>
      <c r="AA1644" s="41">
        <v>565.71812</v>
      </c>
      <c r="AC1644" s="27">
        <v>54.762500000000003</v>
      </c>
      <c r="AE1644" s="27">
        <v>1</v>
      </c>
      <c r="AG1644" s="29">
        <v>7.6915639999999996</v>
      </c>
      <c r="AI1644" s="29">
        <v>8.75</v>
      </c>
      <c r="AK1644" s="27">
        <v>24.914275</v>
      </c>
      <c r="AM1644" s="27">
        <v>34.539749999999998</v>
      </c>
      <c r="AO1644" s="29">
        <v>6.7347070000000002</v>
      </c>
      <c r="AP1644" s="28"/>
    </row>
    <row r="1645" spans="2:42" hidden="1" outlineLevel="1" x14ac:dyDescent="0.25">
      <c r="B1645" s="21">
        <v>43955</v>
      </c>
      <c r="C1645" s="27">
        <v>23.9283</v>
      </c>
      <c r="E1645" s="30">
        <v>0.91532400000000003</v>
      </c>
      <c r="G1645" s="27">
        <v>66.689278999999999</v>
      </c>
      <c r="I1645" s="29">
        <v>6.8870899999999997</v>
      </c>
      <c r="K1645" s="29">
        <v>5.5219880000000003</v>
      </c>
      <c r="M1645" s="41">
        <v>836.79582300000004</v>
      </c>
      <c r="O1645" s="26">
        <v>3970.0211180000001</v>
      </c>
      <c r="Q1645" s="26">
        <v>6521.6176859999996</v>
      </c>
      <c r="S1645" s="26">
        <v>1181.033561</v>
      </c>
      <c r="U1645" s="29">
        <v>3.372706</v>
      </c>
      <c r="W1645" s="14">
        <v>42.476334000000001</v>
      </c>
      <c r="Y1645" s="29">
        <v>7.6922350000000002</v>
      </c>
      <c r="AA1645" s="41">
        <v>566.47325999999998</v>
      </c>
      <c r="AC1645" s="27">
        <v>54.599676000000002</v>
      </c>
      <c r="AE1645" s="27">
        <v>1</v>
      </c>
      <c r="AG1645" s="29">
        <v>7.7025769999999998</v>
      </c>
      <c r="AI1645" s="29">
        <v>8.75</v>
      </c>
      <c r="AK1645" s="27">
        <v>24.809684000000001</v>
      </c>
      <c r="AM1645" s="27">
        <v>34.282595999999998</v>
      </c>
      <c r="AO1645" s="29">
        <v>6.7446440000000001</v>
      </c>
      <c r="AP1645" s="28"/>
    </row>
    <row r="1646" spans="2:42" hidden="1" outlineLevel="1" x14ac:dyDescent="0.25">
      <c r="B1646" s="21">
        <v>43956</v>
      </c>
      <c r="C1646" s="27">
        <v>24.3812</v>
      </c>
      <c r="E1646" s="30">
        <v>0.92018</v>
      </c>
      <c r="G1646" s="27">
        <v>66.914468999999997</v>
      </c>
      <c r="I1646" s="29">
        <v>6.8975860000000004</v>
      </c>
      <c r="K1646" s="29">
        <v>5.5526859999999996</v>
      </c>
      <c r="M1646" s="41">
        <v>836.98105099999998</v>
      </c>
      <c r="O1646" s="26">
        <v>3964.6859030000001</v>
      </c>
      <c r="Q1646" s="26">
        <v>6522.55123</v>
      </c>
      <c r="S1646" s="26">
        <v>1174.673648</v>
      </c>
      <c r="U1646" s="29">
        <v>3.384531</v>
      </c>
      <c r="W1646" s="14">
        <v>42.325429999999997</v>
      </c>
      <c r="Y1646" s="29">
        <v>7.6225370000000003</v>
      </c>
      <c r="AA1646" s="41">
        <v>567.43190600000003</v>
      </c>
      <c r="AC1646" s="27">
        <v>54.665686000000001</v>
      </c>
      <c r="AE1646" s="27">
        <v>1</v>
      </c>
      <c r="AG1646" s="29">
        <v>7.716075</v>
      </c>
      <c r="AI1646" s="29">
        <v>8.75</v>
      </c>
      <c r="AK1646" s="27">
        <v>24.849367999999998</v>
      </c>
      <c r="AM1646" s="27">
        <v>34.099642000000003</v>
      </c>
      <c r="AO1646" s="29">
        <v>6.755884</v>
      </c>
      <c r="AP1646" s="28"/>
    </row>
    <row r="1647" spans="2:42" hidden="1" outlineLevel="1" x14ac:dyDescent="0.25">
      <c r="B1647" s="21">
        <v>43957</v>
      </c>
      <c r="C1647" s="27">
        <v>23.834299999999999</v>
      </c>
      <c r="E1647" s="30">
        <v>0.92477399999999998</v>
      </c>
      <c r="G1647" s="27">
        <v>67.007841999999997</v>
      </c>
      <c r="I1647" s="29">
        <v>6.8922679999999996</v>
      </c>
      <c r="K1647" s="29">
        <v>5.6337979999999996</v>
      </c>
      <c r="M1647" s="41">
        <v>837.78393200000005</v>
      </c>
      <c r="O1647" s="26">
        <v>3939.053101</v>
      </c>
      <c r="Q1647" s="26">
        <v>6516.3103789999996</v>
      </c>
      <c r="S1647" s="26">
        <v>1156.653114</v>
      </c>
      <c r="U1647" s="29">
        <v>3.3884300000000001</v>
      </c>
      <c r="W1647" s="14">
        <v>42.498103999999998</v>
      </c>
      <c r="Y1647" s="29">
        <v>7.5434450000000002</v>
      </c>
      <c r="AA1647" s="41">
        <v>567.58149600000002</v>
      </c>
      <c r="AC1647" s="27">
        <v>54.685763000000001</v>
      </c>
      <c r="AE1647" s="27">
        <v>1</v>
      </c>
      <c r="AG1647" s="29">
        <v>7.7095000000000002</v>
      </c>
      <c r="AI1647" s="29">
        <v>8.75</v>
      </c>
      <c r="AK1647" s="27">
        <v>24.843717000000002</v>
      </c>
      <c r="AM1647" s="27">
        <v>33.924568999999998</v>
      </c>
      <c r="AO1647" s="29">
        <v>6.7350890000000003</v>
      </c>
      <c r="AP1647" s="28"/>
    </row>
    <row r="1648" spans="2:42" hidden="1" outlineLevel="1" x14ac:dyDescent="0.25">
      <c r="B1648" s="21">
        <v>43958</v>
      </c>
      <c r="C1648" s="27">
        <v>24.2942</v>
      </c>
      <c r="E1648" s="30">
        <v>0.92549000000000003</v>
      </c>
      <c r="G1648" s="27">
        <v>67.110498000000007</v>
      </c>
      <c r="I1648" s="29">
        <v>6.8927339999999999</v>
      </c>
      <c r="K1648" s="29">
        <v>5.7735380000000003</v>
      </c>
      <c r="M1648" s="41">
        <v>840.84653000000003</v>
      </c>
      <c r="O1648" s="26">
        <v>3946.198492</v>
      </c>
      <c r="Q1648" s="26">
        <v>6522.2723980000001</v>
      </c>
      <c r="S1648" s="26">
        <v>1129.6914609999999</v>
      </c>
      <c r="U1648" s="29">
        <v>3.3999980000000001</v>
      </c>
      <c r="W1648" s="14">
        <v>42.792627000000003</v>
      </c>
      <c r="Y1648" s="29">
        <v>7.4118820000000003</v>
      </c>
      <c r="AA1648" s="41">
        <v>567.78876100000002</v>
      </c>
      <c r="AC1648" s="27">
        <v>54.727592000000001</v>
      </c>
      <c r="AE1648" s="27">
        <v>1</v>
      </c>
      <c r="AG1648" s="29">
        <v>7.705635</v>
      </c>
      <c r="AI1648" s="29">
        <v>8.75</v>
      </c>
      <c r="AK1648" s="27">
        <v>24.860204</v>
      </c>
      <c r="AM1648" s="27">
        <v>34.217036</v>
      </c>
      <c r="AO1648" s="29">
        <v>6.7194539999999998</v>
      </c>
      <c r="AP1648" s="28"/>
    </row>
    <row r="1649" spans="2:42" hidden="1" outlineLevel="1" x14ac:dyDescent="0.25">
      <c r="B1649" s="21">
        <v>43959</v>
      </c>
      <c r="C1649" s="27">
        <v>24.0563</v>
      </c>
      <c r="E1649" s="30">
        <v>0.92239800000000005</v>
      </c>
      <c r="G1649" s="27">
        <v>67.140231999999997</v>
      </c>
      <c r="I1649" s="29">
        <v>6.8841580000000002</v>
      </c>
      <c r="K1649" s="29">
        <v>5.7924379999999998</v>
      </c>
      <c r="M1649" s="41">
        <v>832.72961799999996</v>
      </c>
      <c r="O1649" s="26">
        <v>3921.0160759999999</v>
      </c>
      <c r="Q1649" s="26">
        <v>6518.4684989999996</v>
      </c>
      <c r="S1649" s="26">
        <v>1125.3495559999999</v>
      </c>
      <c r="U1649" s="29">
        <v>3.3980969999999999</v>
      </c>
      <c r="W1649" s="14">
        <v>42.953789</v>
      </c>
      <c r="Y1649" s="29">
        <v>7.4155230000000003</v>
      </c>
      <c r="AA1649" s="41">
        <v>567.22156800000005</v>
      </c>
      <c r="AC1649" s="27">
        <v>54.740453000000002</v>
      </c>
      <c r="AE1649" s="27">
        <v>1</v>
      </c>
      <c r="AG1649" s="29">
        <v>7.6946820000000002</v>
      </c>
      <c r="AI1649" s="29">
        <v>8.75</v>
      </c>
      <c r="AK1649" s="27">
        <v>24.819626</v>
      </c>
      <c r="AM1649" s="27">
        <v>34.263807999999997</v>
      </c>
      <c r="AO1649" s="29">
        <v>6.728262</v>
      </c>
      <c r="AP1649" s="28"/>
    </row>
    <row r="1650" spans="2:42" hidden="1" outlineLevel="1" x14ac:dyDescent="0.25">
      <c r="B1650" s="21">
        <v>43960</v>
      </c>
      <c r="C1650" s="27">
        <v>24.0563</v>
      </c>
      <c r="E1650" s="30">
        <v>0.92264599999999997</v>
      </c>
      <c r="G1650" s="27">
        <v>67.268109999999993</v>
      </c>
      <c r="I1650" s="29">
        <v>6.8921380000000001</v>
      </c>
      <c r="K1650" s="29">
        <v>5.727875</v>
      </c>
      <c r="M1650" s="41">
        <v>825.77499999999998</v>
      </c>
      <c r="O1650" s="26">
        <v>3921.0725000000002</v>
      </c>
      <c r="Q1650" s="26">
        <v>6524.3850499999999</v>
      </c>
      <c r="S1650" s="26">
        <v>1139.0711180000001</v>
      </c>
      <c r="U1650" s="29">
        <v>3.397475</v>
      </c>
      <c r="W1650" s="14">
        <v>43.657285000000002</v>
      </c>
      <c r="Y1650" s="29">
        <v>7.6219549999999998</v>
      </c>
      <c r="AA1650" s="41">
        <v>568.20602499999995</v>
      </c>
      <c r="AC1650" s="27">
        <v>54.997500000000002</v>
      </c>
      <c r="AE1650" s="27">
        <v>1</v>
      </c>
      <c r="AG1650" s="29">
        <v>7.704326</v>
      </c>
      <c r="AI1650" s="29">
        <v>8.75</v>
      </c>
      <c r="AK1650" s="27">
        <v>24.911225000000002</v>
      </c>
      <c r="AM1650" s="27">
        <v>34.399749999999997</v>
      </c>
      <c r="AO1650" s="29">
        <v>6.7526380000000001</v>
      </c>
      <c r="AP1650" s="28"/>
    </row>
    <row r="1651" spans="2:42" hidden="1" outlineLevel="1" x14ac:dyDescent="0.25">
      <c r="B1651" s="21">
        <v>43961</v>
      </c>
      <c r="C1651" s="27">
        <v>24.0563</v>
      </c>
      <c r="E1651" s="30">
        <v>0.92270399999999997</v>
      </c>
      <c r="G1651" s="27">
        <v>67.253212000000005</v>
      </c>
      <c r="I1651" s="29">
        <v>6.8921380000000001</v>
      </c>
      <c r="K1651" s="29">
        <v>5.7281060000000004</v>
      </c>
      <c r="M1651" s="41">
        <v>825.77812200000005</v>
      </c>
      <c r="O1651" s="26">
        <v>3919.392738</v>
      </c>
      <c r="Q1651" s="26">
        <v>6524.3850499999999</v>
      </c>
      <c r="S1651" s="26">
        <v>1139.0244620000001</v>
      </c>
      <c r="U1651" s="29">
        <v>3.397977</v>
      </c>
      <c r="W1651" s="14">
        <v>43.614548999999997</v>
      </c>
      <c r="Y1651" s="29">
        <v>7.6141819999999996</v>
      </c>
      <c r="AA1651" s="41">
        <v>568.20602499999995</v>
      </c>
      <c r="AC1651" s="27">
        <v>54.997500000000002</v>
      </c>
      <c r="AE1651" s="27">
        <v>1</v>
      </c>
      <c r="AG1651" s="29">
        <v>7.704326</v>
      </c>
      <c r="AI1651" s="29">
        <v>8.75</v>
      </c>
      <c r="AK1651" s="27">
        <v>24.911225000000002</v>
      </c>
      <c r="AM1651" s="27">
        <v>34.399749999999997</v>
      </c>
      <c r="AO1651" s="29">
        <v>6.7526380000000001</v>
      </c>
      <c r="AP1651" s="28"/>
    </row>
    <row r="1652" spans="2:42" hidden="1" outlineLevel="1" x14ac:dyDescent="0.25">
      <c r="B1652" s="21">
        <v>43962</v>
      </c>
      <c r="C1652" s="27">
        <v>23.680499999999999</v>
      </c>
      <c r="E1652" s="30">
        <v>0.92381000000000002</v>
      </c>
      <c r="G1652" s="27">
        <v>67.276360999999994</v>
      </c>
      <c r="I1652" s="29">
        <v>6.8931940000000003</v>
      </c>
      <c r="K1652" s="29">
        <v>5.7707680000000003</v>
      </c>
      <c r="M1652" s="41">
        <v>825.44956200000001</v>
      </c>
      <c r="O1652" s="26">
        <v>3896.1936959999998</v>
      </c>
      <c r="Q1652" s="26">
        <v>6531.4398650000003</v>
      </c>
      <c r="S1652" s="26">
        <v>1131.8208990000001</v>
      </c>
      <c r="U1652" s="29">
        <v>3.4101919999999999</v>
      </c>
      <c r="W1652" s="14">
        <v>43.680985999999997</v>
      </c>
      <c r="Y1652" s="29">
        <v>7.5693729999999997</v>
      </c>
      <c r="AA1652" s="41">
        <v>568.08483799999999</v>
      </c>
      <c r="AC1652" s="27">
        <v>54.850839000000001</v>
      </c>
      <c r="AE1652" s="27">
        <v>1</v>
      </c>
      <c r="AG1652" s="29">
        <v>7.7031900000000002</v>
      </c>
      <c r="AI1652" s="29">
        <v>8.75</v>
      </c>
      <c r="AK1652" s="27">
        <v>24.859019</v>
      </c>
      <c r="AM1652" s="27">
        <v>34.192464000000001</v>
      </c>
      <c r="AO1652" s="29">
        <v>6.7344379999999999</v>
      </c>
      <c r="AP1652" s="28"/>
    </row>
    <row r="1653" spans="2:42" hidden="1" outlineLevel="1" x14ac:dyDescent="0.25">
      <c r="B1653" s="21">
        <v>43963</v>
      </c>
      <c r="C1653" s="27">
        <v>23.869299999999999</v>
      </c>
      <c r="E1653" s="30">
        <v>0.92301</v>
      </c>
      <c r="G1653" s="27">
        <v>67.401188000000005</v>
      </c>
      <c r="I1653" s="29">
        <v>6.8971109999999998</v>
      </c>
      <c r="K1653" s="29">
        <v>5.8238880000000002</v>
      </c>
      <c r="M1653" s="41">
        <v>823.87331800000004</v>
      </c>
      <c r="O1653" s="26">
        <v>3890.276218</v>
      </c>
      <c r="Q1653" s="26">
        <v>6541.4665139999997</v>
      </c>
      <c r="S1653" s="26">
        <v>1123.219754</v>
      </c>
      <c r="U1653" s="29">
        <v>3.4203160000000001</v>
      </c>
      <c r="W1653" s="14">
        <v>44.061616999999998</v>
      </c>
      <c r="Y1653" s="29">
        <v>7.5656939999999997</v>
      </c>
      <c r="AA1653" s="41">
        <v>568.32348999999999</v>
      </c>
      <c r="AC1653" s="27">
        <v>54.938796000000004</v>
      </c>
      <c r="AE1653" s="27">
        <v>1</v>
      </c>
      <c r="AG1653" s="29">
        <v>7.7047270000000001</v>
      </c>
      <c r="AI1653" s="29">
        <v>8.75</v>
      </c>
      <c r="AK1653" s="27">
        <v>24.865538999999998</v>
      </c>
      <c r="AM1653" s="27">
        <v>34.182313999999998</v>
      </c>
      <c r="AO1653" s="29">
        <v>6.7301000000000002</v>
      </c>
      <c r="AP1653" s="28"/>
    </row>
    <row r="1654" spans="2:42" hidden="1" outlineLevel="1" x14ac:dyDescent="0.25">
      <c r="B1654" s="21">
        <v>43964</v>
      </c>
      <c r="C1654" s="27">
        <v>24.0487</v>
      </c>
      <c r="E1654" s="30">
        <v>0.92238799999999999</v>
      </c>
      <c r="G1654" s="27">
        <v>67.451178999999996</v>
      </c>
      <c r="I1654" s="29">
        <v>6.8913520000000004</v>
      </c>
      <c r="K1654" s="29">
        <v>5.8934490000000004</v>
      </c>
      <c r="M1654" s="41">
        <v>821.68517799999995</v>
      </c>
      <c r="O1654" s="26">
        <v>3891.5651200000002</v>
      </c>
      <c r="Q1654" s="26">
        <v>6543.9406010000002</v>
      </c>
      <c r="S1654" s="26">
        <v>1110.3819450000001</v>
      </c>
      <c r="U1654" s="29">
        <v>3.424976</v>
      </c>
      <c r="W1654" s="14">
        <v>43.789062000000001</v>
      </c>
      <c r="Y1654" s="29">
        <v>7.4301490000000001</v>
      </c>
      <c r="AA1654" s="41">
        <v>568.183806</v>
      </c>
      <c r="AC1654" s="27">
        <v>54.941868999999997</v>
      </c>
      <c r="AE1654" s="27">
        <v>1</v>
      </c>
      <c r="AG1654" s="29">
        <v>7.6965029999999999</v>
      </c>
      <c r="AI1654" s="29">
        <v>8.75</v>
      </c>
      <c r="AK1654" s="27">
        <v>24.844988000000001</v>
      </c>
      <c r="AM1654" s="27">
        <v>34.148882</v>
      </c>
      <c r="AO1654" s="29">
        <v>6.7292839999999998</v>
      </c>
      <c r="AP1654" s="28"/>
    </row>
    <row r="1655" spans="2:42" hidden="1" outlineLevel="1" x14ac:dyDescent="0.25">
      <c r="B1655" s="21">
        <v>43965</v>
      </c>
      <c r="C1655" s="27">
        <v>24.211300000000001</v>
      </c>
      <c r="E1655" s="30">
        <v>0.92574999999999996</v>
      </c>
      <c r="G1655" s="27">
        <v>67.548627999999994</v>
      </c>
      <c r="I1655" s="29">
        <v>6.901789</v>
      </c>
      <c r="K1655" s="29">
        <v>5.8810120000000001</v>
      </c>
      <c r="M1655" s="41">
        <v>820.75537499999996</v>
      </c>
      <c r="O1655" s="26">
        <v>3922.7585399999998</v>
      </c>
      <c r="Q1655" s="26">
        <v>6555.3992710000002</v>
      </c>
      <c r="S1655" s="26">
        <v>1114.6787440000001</v>
      </c>
      <c r="U1655" s="29">
        <v>3.4494069999999999</v>
      </c>
      <c r="W1655" s="14">
        <v>43.775849000000001</v>
      </c>
      <c r="Y1655" s="29">
        <v>7.4436159999999996</v>
      </c>
      <c r="AA1655" s="41">
        <v>569.25863800000002</v>
      </c>
      <c r="AC1655" s="27">
        <v>55.105215999999999</v>
      </c>
      <c r="AE1655" s="27">
        <v>1</v>
      </c>
      <c r="AG1655" s="29">
        <v>7.7072969999999996</v>
      </c>
      <c r="AI1655" s="29">
        <v>8.75</v>
      </c>
      <c r="AK1655" s="27">
        <v>24.887428</v>
      </c>
      <c r="AM1655" s="27">
        <v>34.190613999999997</v>
      </c>
      <c r="AO1655" s="29">
        <v>6.7494839999999998</v>
      </c>
      <c r="AP1655" s="28"/>
    </row>
    <row r="1656" spans="2:42" hidden="1" outlineLevel="1" x14ac:dyDescent="0.25">
      <c r="B1656" s="21">
        <v>43966</v>
      </c>
      <c r="C1656" s="27">
        <v>24.270800000000001</v>
      </c>
      <c r="E1656" s="30">
        <v>0.92484200000000005</v>
      </c>
      <c r="G1656" s="27">
        <v>67.606024000000005</v>
      </c>
      <c r="I1656" s="29">
        <v>6.8939159999999999</v>
      </c>
      <c r="K1656" s="29">
        <v>5.8228419999999996</v>
      </c>
      <c r="M1656" s="41">
        <v>824.77107899999999</v>
      </c>
      <c r="O1656" s="26">
        <v>3934.3419429999999</v>
      </c>
      <c r="Q1656" s="26">
        <v>6556.517398</v>
      </c>
      <c r="S1656" s="26">
        <v>1126.0057859999999</v>
      </c>
      <c r="U1656" s="29">
        <v>3.4402710000000001</v>
      </c>
      <c r="W1656" s="14">
        <v>43.829486000000003</v>
      </c>
      <c r="Y1656" s="29">
        <v>7.5271879999999998</v>
      </c>
      <c r="AA1656" s="41">
        <v>568.70690999999999</v>
      </c>
      <c r="AC1656" s="27">
        <v>55.036898000000001</v>
      </c>
      <c r="AE1656" s="27">
        <v>1</v>
      </c>
      <c r="AG1656" s="29">
        <v>7.698442</v>
      </c>
      <c r="AI1656" s="29">
        <v>8.75</v>
      </c>
      <c r="AK1656" s="27">
        <v>24.872769999999999</v>
      </c>
      <c r="AM1656" s="27">
        <v>34.200457999999998</v>
      </c>
      <c r="AO1656" s="29">
        <v>6.7542749999999998</v>
      </c>
      <c r="AP1656" s="28"/>
    </row>
    <row r="1657" spans="2:42" hidden="1" outlineLevel="1" x14ac:dyDescent="0.25">
      <c r="B1657" s="21">
        <v>43967</v>
      </c>
      <c r="C1657" s="27">
        <v>24.270800000000001</v>
      </c>
      <c r="E1657" s="30">
        <v>0.92423999999999995</v>
      </c>
      <c r="G1657" s="27">
        <v>67.666944999999998</v>
      </c>
      <c r="I1657" s="29">
        <v>6.8953569999999997</v>
      </c>
      <c r="K1657" s="29">
        <v>5.8569000000000004</v>
      </c>
      <c r="M1657" s="41">
        <v>827.7</v>
      </c>
      <c r="O1657" s="26">
        <v>3922.6925000000001</v>
      </c>
      <c r="Q1657" s="26">
        <v>6560.0352000000003</v>
      </c>
      <c r="S1657" s="26">
        <v>1120.057779</v>
      </c>
      <c r="U1657" s="29">
        <v>3.4411499999999999</v>
      </c>
      <c r="W1657" s="14">
        <v>44.016365999999998</v>
      </c>
      <c r="Y1657" s="29">
        <v>7.5153239999999997</v>
      </c>
      <c r="AA1657" s="41">
        <v>568.79251499999998</v>
      </c>
      <c r="AC1657" s="27">
        <v>55.237499999999997</v>
      </c>
      <c r="AE1657" s="27">
        <v>1</v>
      </c>
      <c r="AG1657" s="29">
        <v>7.6998879999999996</v>
      </c>
      <c r="AI1657" s="29">
        <v>8.75</v>
      </c>
      <c r="AK1657" s="27">
        <v>24.921325</v>
      </c>
      <c r="AM1657" s="27">
        <v>34.264249999999997</v>
      </c>
      <c r="AO1657" s="29">
        <v>6.7631779999999999</v>
      </c>
      <c r="AP1657" s="28"/>
    </row>
    <row r="1658" spans="2:42" hidden="1" outlineLevel="1" x14ac:dyDescent="0.25">
      <c r="B1658" s="21">
        <v>43968</v>
      </c>
      <c r="C1658" s="27">
        <v>24.270800000000001</v>
      </c>
      <c r="E1658" s="30">
        <v>0.92424700000000004</v>
      </c>
      <c r="G1658" s="27">
        <v>67.666072999999997</v>
      </c>
      <c r="I1658" s="29">
        <v>6.8953569999999997</v>
      </c>
      <c r="K1658" s="29">
        <v>5.856846</v>
      </c>
      <c r="M1658" s="41">
        <v>827.70001999999999</v>
      </c>
      <c r="O1658" s="26">
        <v>3922.206717</v>
      </c>
      <c r="Q1658" s="26">
        <v>6560.0352000000003</v>
      </c>
      <c r="S1658" s="26">
        <v>1120.0681549999999</v>
      </c>
      <c r="U1658" s="29">
        <v>3.4409740000000002</v>
      </c>
      <c r="W1658" s="14">
        <v>44.008313999999999</v>
      </c>
      <c r="Y1658" s="29">
        <v>7.5140180000000001</v>
      </c>
      <c r="AA1658" s="41">
        <v>568.79251499999998</v>
      </c>
      <c r="AC1658" s="27">
        <v>55.237499999999997</v>
      </c>
      <c r="AE1658" s="27">
        <v>1</v>
      </c>
      <c r="AG1658" s="29">
        <v>7.6998879999999996</v>
      </c>
      <c r="AI1658" s="29">
        <v>8.75</v>
      </c>
      <c r="AK1658" s="27">
        <v>24.921325</v>
      </c>
      <c r="AM1658" s="27">
        <v>34.264249999999997</v>
      </c>
      <c r="AO1658" s="29">
        <v>6.7631819999999996</v>
      </c>
      <c r="AP1658" s="28"/>
    </row>
    <row r="1659" spans="2:42" hidden="1" outlineLevel="1" x14ac:dyDescent="0.25">
      <c r="B1659" s="21">
        <v>43969</v>
      </c>
      <c r="C1659" s="27">
        <v>23.957999999999998</v>
      </c>
      <c r="E1659" s="30">
        <v>0.92111900000000002</v>
      </c>
      <c r="G1659" s="27">
        <v>67.719408999999999</v>
      </c>
      <c r="I1659" s="29">
        <v>6.8954959999999996</v>
      </c>
      <c r="K1659" s="29">
        <v>5.76389</v>
      </c>
      <c r="M1659" s="41">
        <v>824.56493799999998</v>
      </c>
      <c r="O1659" s="26">
        <v>3884.43336</v>
      </c>
      <c r="Q1659" s="26">
        <v>6563.6695499999996</v>
      </c>
      <c r="S1659" s="26">
        <v>1138.764304</v>
      </c>
      <c r="U1659" s="29">
        <v>3.4381499999999998</v>
      </c>
      <c r="W1659" s="14">
        <v>44.009422999999998</v>
      </c>
      <c r="Y1659" s="29">
        <v>7.6353939999999998</v>
      </c>
      <c r="AA1659" s="41">
        <v>568.84003499999994</v>
      </c>
      <c r="AC1659" s="27">
        <v>55.149450999999999</v>
      </c>
      <c r="AE1659" s="27">
        <v>1</v>
      </c>
      <c r="AG1659" s="29">
        <v>7.7002240000000004</v>
      </c>
      <c r="AI1659" s="29">
        <v>8.75</v>
      </c>
      <c r="AK1659" s="27">
        <v>24.871044000000001</v>
      </c>
      <c r="AM1659" s="27">
        <v>34.190792000000002</v>
      </c>
      <c r="AO1659" s="29">
        <v>6.7714549999999996</v>
      </c>
      <c r="AP1659" s="28"/>
    </row>
    <row r="1660" spans="2:42" hidden="1" outlineLevel="1" x14ac:dyDescent="0.25">
      <c r="B1660" s="21">
        <v>43970</v>
      </c>
      <c r="C1660" s="27">
        <v>23.603200000000001</v>
      </c>
      <c r="E1660" s="30">
        <v>0.91483899999999996</v>
      </c>
      <c r="G1660" s="27">
        <v>67.852795999999998</v>
      </c>
      <c r="I1660" s="29">
        <v>6.8849109999999998</v>
      </c>
      <c r="K1660" s="29">
        <v>5.7275739999999997</v>
      </c>
      <c r="M1660" s="41">
        <v>820.11643400000003</v>
      </c>
      <c r="O1660" s="26">
        <v>3844.6251630000002</v>
      </c>
      <c r="Q1660" s="26">
        <v>6557.4267360000003</v>
      </c>
      <c r="S1660" s="26">
        <v>1144.8946900000001</v>
      </c>
      <c r="U1660" s="29">
        <v>3.4163779999999999</v>
      </c>
      <c r="W1660" s="14">
        <v>43.911034000000001</v>
      </c>
      <c r="Y1660" s="29">
        <v>7.6666239999999997</v>
      </c>
      <c r="AA1660" s="41">
        <v>567.39698899999996</v>
      </c>
      <c r="AC1660" s="27">
        <v>55.202598999999999</v>
      </c>
      <c r="AE1660" s="27">
        <v>1</v>
      </c>
      <c r="AG1660" s="29">
        <v>7.6894619999999998</v>
      </c>
      <c r="AI1660" s="29">
        <v>8.75</v>
      </c>
      <c r="AK1660" s="27">
        <v>24.896438</v>
      </c>
      <c r="AM1660" s="27">
        <v>34.217773999999999</v>
      </c>
      <c r="AO1660" s="29">
        <v>6.7547319999999997</v>
      </c>
      <c r="AP1660" s="28"/>
    </row>
    <row r="1661" spans="2:42" hidden="1" outlineLevel="1" x14ac:dyDescent="0.25">
      <c r="B1661" s="21">
        <v>43971</v>
      </c>
      <c r="C1661" s="27">
        <v>23.6023</v>
      </c>
      <c r="E1661" s="30">
        <v>0.912277</v>
      </c>
      <c r="G1661" s="27">
        <v>67.933809999999994</v>
      </c>
      <c r="I1661" s="29">
        <v>6.9059169999999996</v>
      </c>
      <c r="K1661" s="29">
        <v>5.7271669999999997</v>
      </c>
      <c r="M1661" s="41">
        <v>813.136798</v>
      </c>
      <c r="O1661" s="26">
        <v>3826.8151779999998</v>
      </c>
      <c r="Q1661" s="26">
        <v>6580.1276980000002</v>
      </c>
      <c r="S1661" s="26">
        <v>1148.939713</v>
      </c>
      <c r="U1661" s="29">
        <v>3.423724</v>
      </c>
      <c r="W1661" s="14">
        <v>44.018327999999997</v>
      </c>
      <c r="Y1661" s="29">
        <v>7.6859070000000003</v>
      </c>
      <c r="AA1661" s="41">
        <v>569.45673799999997</v>
      </c>
      <c r="AC1661" s="27">
        <v>55.412008999999998</v>
      </c>
      <c r="AE1661" s="27">
        <v>1</v>
      </c>
      <c r="AG1661" s="29">
        <v>7.70756</v>
      </c>
      <c r="AI1661" s="29">
        <v>8.75</v>
      </c>
      <c r="AK1661" s="27">
        <v>24.889098000000001</v>
      </c>
      <c r="AM1661" s="27">
        <v>34.271954999999998</v>
      </c>
      <c r="AO1661" s="29">
        <v>6.7583729999999997</v>
      </c>
      <c r="AP1661" s="28"/>
    </row>
    <row r="1662" spans="2:42" hidden="1" outlineLevel="1" x14ac:dyDescent="0.25">
      <c r="B1662" s="21">
        <v>43972</v>
      </c>
      <c r="C1662" s="27">
        <v>23.296199999999999</v>
      </c>
      <c r="E1662" s="30">
        <v>0.91207400000000005</v>
      </c>
      <c r="G1662" s="27">
        <v>67.989264000000006</v>
      </c>
      <c r="I1662" s="29">
        <v>6.9008260000000003</v>
      </c>
      <c r="K1662" s="29">
        <v>5.6378069999999996</v>
      </c>
      <c r="M1662" s="41">
        <v>804.14678900000001</v>
      </c>
      <c r="O1662" s="26">
        <v>3801.7610199999999</v>
      </c>
      <c r="Q1662" s="26">
        <v>6583.7131659999995</v>
      </c>
      <c r="S1662" s="26">
        <v>1167.7867639999999</v>
      </c>
      <c r="U1662" s="29">
        <v>3.4128219999999998</v>
      </c>
      <c r="W1662" s="14">
        <v>43.698168000000003</v>
      </c>
      <c r="Y1662" s="29">
        <v>7.7509439999999996</v>
      </c>
      <c r="AA1662" s="41">
        <v>569.55076699999995</v>
      </c>
      <c r="AC1662" s="27">
        <v>55.357126000000001</v>
      </c>
      <c r="AE1662" s="27">
        <v>1</v>
      </c>
      <c r="AG1662" s="29">
        <v>7.6950050000000001</v>
      </c>
      <c r="AI1662" s="29">
        <v>8.75</v>
      </c>
      <c r="AK1662" s="27">
        <v>24.872070000000001</v>
      </c>
      <c r="AM1662" s="27">
        <v>34.425136000000002</v>
      </c>
      <c r="AO1662" s="29">
        <v>6.7502500000000003</v>
      </c>
      <c r="AP1662" s="28"/>
    </row>
    <row r="1663" spans="2:42" hidden="1" outlineLevel="1" x14ac:dyDescent="0.25">
      <c r="B1663" s="21">
        <v>43973</v>
      </c>
      <c r="C1663" s="27">
        <v>22.96</v>
      </c>
      <c r="E1663" s="30">
        <v>0.91648799999999997</v>
      </c>
      <c r="G1663" s="27">
        <v>68.090515999999994</v>
      </c>
      <c r="I1663" s="29">
        <v>6.9079819999999996</v>
      </c>
      <c r="K1663" s="29">
        <v>5.5582719999999997</v>
      </c>
      <c r="M1663" s="41">
        <v>806.66690600000004</v>
      </c>
      <c r="O1663" s="26">
        <v>3770.3603459999999</v>
      </c>
      <c r="Q1663" s="26">
        <v>6596.6925920000003</v>
      </c>
      <c r="S1663" s="26">
        <v>1186.8319120000001</v>
      </c>
      <c r="U1663" s="29">
        <v>3.4178999999999999</v>
      </c>
      <c r="W1663" s="14">
        <v>43.419156000000001</v>
      </c>
      <c r="Y1663" s="29">
        <v>7.8116560000000002</v>
      </c>
      <c r="AA1663" s="41">
        <v>569.80215599999997</v>
      </c>
      <c r="AC1663" s="27">
        <v>55.528117999999999</v>
      </c>
      <c r="AE1663" s="27">
        <v>1</v>
      </c>
      <c r="AG1663" s="29">
        <v>7.6999810000000002</v>
      </c>
      <c r="AI1663" s="29">
        <v>8.75</v>
      </c>
      <c r="AK1663" s="27">
        <v>24.891895999999999</v>
      </c>
      <c r="AM1663" s="27">
        <v>34.159965999999997</v>
      </c>
      <c r="AO1663" s="29">
        <v>6.75983</v>
      </c>
      <c r="AP1663" s="28"/>
    </row>
    <row r="1664" spans="2:42" hidden="1" outlineLevel="1" x14ac:dyDescent="0.25">
      <c r="B1664" s="21">
        <v>43974</v>
      </c>
      <c r="C1664" s="27">
        <v>22.96</v>
      </c>
      <c r="E1664" s="30">
        <v>0.91723399999999999</v>
      </c>
      <c r="G1664" s="27">
        <v>68.168700000000001</v>
      </c>
      <c r="I1664" s="29">
        <v>6.9034329999999997</v>
      </c>
      <c r="K1664" s="29">
        <v>5.5315000000000003</v>
      </c>
      <c r="M1664" s="41">
        <v>808.5</v>
      </c>
      <c r="O1664" s="26">
        <v>3775.3575000000001</v>
      </c>
      <c r="Q1664" s="26">
        <v>6592.7155249999996</v>
      </c>
      <c r="S1664" s="26">
        <v>1191.855448</v>
      </c>
      <c r="U1664" s="29">
        <v>3.4262250000000001</v>
      </c>
      <c r="W1664" s="14">
        <v>43.161603999999997</v>
      </c>
      <c r="Y1664" s="29">
        <v>7.8029019999999996</v>
      </c>
      <c r="AA1664" s="41">
        <v>569.36862799999994</v>
      </c>
      <c r="AC1664" s="27">
        <v>55.557499999999997</v>
      </c>
      <c r="AE1664" s="27">
        <v>1</v>
      </c>
      <c r="AG1664" s="29">
        <v>7.6935520000000004</v>
      </c>
      <c r="AI1664" s="29">
        <v>8.75</v>
      </c>
      <c r="AK1664" s="27">
        <v>24.918524999999999</v>
      </c>
      <c r="AM1664" s="27">
        <v>34.20975</v>
      </c>
      <c r="AO1664" s="29">
        <v>6.7552589999999997</v>
      </c>
      <c r="AP1664" s="28"/>
    </row>
    <row r="1665" spans="2:42" hidden="1" outlineLevel="1" x14ac:dyDescent="0.25">
      <c r="B1665" s="21">
        <v>43975</v>
      </c>
      <c r="C1665" s="27">
        <v>22.96</v>
      </c>
      <c r="E1665" s="30">
        <v>0.91724399999999995</v>
      </c>
      <c r="G1665" s="27">
        <v>68.169203999999993</v>
      </c>
      <c r="I1665" s="29">
        <v>6.9034329999999997</v>
      </c>
      <c r="K1665" s="29">
        <v>5.5304760000000002</v>
      </c>
      <c r="M1665" s="41">
        <v>808.50038199999995</v>
      </c>
      <c r="O1665" s="26">
        <v>3775.3304549999998</v>
      </c>
      <c r="Q1665" s="26">
        <v>6592.7155249999996</v>
      </c>
      <c r="S1665" s="26">
        <v>1192.0761660000001</v>
      </c>
      <c r="U1665" s="29">
        <v>3.4264960000000002</v>
      </c>
      <c r="W1665" s="14">
        <v>43.159745999999998</v>
      </c>
      <c r="Y1665" s="29">
        <v>7.8040099999999999</v>
      </c>
      <c r="AA1665" s="41">
        <v>569.36862799999994</v>
      </c>
      <c r="AC1665" s="27">
        <v>55.557499999999997</v>
      </c>
      <c r="AE1665" s="27">
        <v>1</v>
      </c>
      <c r="AG1665" s="29">
        <v>7.6935520000000004</v>
      </c>
      <c r="AI1665" s="29">
        <v>8.75</v>
      </c>
      <c r="AK1665" s="27">
        <v>24.918524999999999</v>
      </c>
      <c r="AM1665" s="27">
        <v>34.20975</v>
      </c>
      <c r="AO1665" s="29">
        <v>6.7552589999999997</v>
      </c>
      <c r="AP1665" s="28"/>
    </row>
    <row r="1666" spans="2:42" hidden="1" outlineLevel="1" x14ac:dyDescent="0.25">
      <c r="B1666" s="21">
        <v>43976</v>
      </c>
      <c r="C1666" s="27">
        <v>22.7928</v>
      </c>
      <c r="E1666" s="30">
        <v>0.91787799999999997</v>
      </c>
      <c r="G1666" s="27">
        <v>68.164467999999999</v>
      </c>
      <c r="I1666" s="29">
        <v>6.9063920000000003</v>
      </c>
      <c r="K1666" s="29">
        <v>5.4980520000000004</v>
      </c>
      <c r="M1666" s="41">
        <v>807.53980899999999</v>
      </c>
      <c r="O1666" s="26">
        <v>3776.3705439999999</v>
      </c>
      <c r="Q1666" s="26">
        <v>6596.7380919999996</v>
      </c>
      <c r="S1666" s="26">
        <v>1199.8426899999999</v>
      </c>
      <c r="U1666" s="29">
        <v>3.4222929999999998</v>
      </c>
      <c r="W1666" s="14">
        <v>43.176630000000003</v>
      </c>
      <c r="Y1666" s="29">
        <v>7.8531139999999997</v>
      </c>
      <c r="AA1666" s="41">
        <v>569.60995000000003</v>
      </c>
      <c r="AC1666" s="27">
        <v>55.403261999999998</v>
      </c>
      <c r="AE1666" s="27">
        <v>1</v>
      </c>
      <c r="AG1666" s="29">
        <v>7.6954799999999999</v>
      </c>
      <c r="AI1666" s="29">
        <v>8.75</v>
      </c>
      <c r="AK1666" s="27">
        <v>24.834641999999999</v>
      </c>
      <c r="AM1666" s="27">
        <v>34.05095</v>
      </c>
      <c r="AO1666" s="29">
        <v>6.7574750000000003</v>
      </c>
      <c r="AP1666" s="28"/>
    </row>
    <row r="1667" spans="2:42" hidden="1" outlineLevel="1" x14ac:dyDescent="0.25">
      <c r="B1667" s="21">
        <v>43977</v>
      </c>
      <c r="C1667" s="27">
        <v>22.562999999999999</v>
      </c>
      <c r="E1667" s="30">
        <v>0.91283499999999995</v>
      </c>
      <c r="G1667" s="27">
        <v>68.200837000000007</v>
      </c>
      <c r="I1667" s="29">
        <v>6.9075199999999999</v>
      </c>
      <c r="K1667" s="29">
        <v>5.4015870000000001</v>
      </c>
      <c r="M1667" s="41">
        <v>805.53069800000003</v>
      </c>
      <c r="O1667" s="26">
        <v>3759.7539999999999</v>
      </c>
      <c r="Q1667" s="26">
        <v>6614.8107719999998</v>
      </c>
      <c r="S1667" s="26">
        <v>1224.6131780000001</v>
      </c>
      <c r="U1667" s="29">
        <v>3.4221360000000001</v>
      </c>
      <c r="W1667" s="14">
        <v>43.169772000000002</v>
      </c>
      <c r="Y1667" s="29">
        <v>7.9920819999999999</v>
      </c>
      <c r="AA1667" s="41">
        <v>569.77254200000004</v>
      </c>
      <c r="AC1667" s="27">
        <v>55.516129999999997</v>
      </c>
      <c r="AE1667" s="27">
        <v>1</v>
      </c>
      <c r="AG1667" s="29">
        <v>7.6916520000000004</v>
      </c>
      <c r="AI1667" s="29">
        <v>8.75</v>
      </c>
      <c r="AK1667" s="27">
        <v>24.856434</v>
      </c>
      <c r="AM1667" s="27">
        <v>34.106695999999999</v>
      </c>
      <c r="AO1667" s="29">
        <v>6.7571430000000001</v>
      </c>
      <c r="AP1667" s="28"/>
    </row>
    <row r="1668" spans="2:42" hidden="1" outlineLevel="1" x14ac:dyDescent="0.25">
      <c r="B1668" s="21">
        <v>43978</v>
      </c>
      <c r="C1668" s="27">
        <v>22.293199999999999</v>
      </c>
      <c r="E1668" s="30">
        <v>0.91034099999999996</v>
      </c>
      <c r="G1668" s="27">
        <v>68.266481999999996</v>
      </c>
      <c r="I1668" s="29">
        <v>6.9050000000000002</v>
      </c>
      <c r="K1668" s="29">
        <v>5.3192440000000003</v>
      </c>
      <c r="M1668" s="41">
        <v>813.23633800000005</v>
      </c>
      <c r="O1668" s="26">
        <v>3733.5265079999999</v>
      </c>
      <c r="Q1668" s="26">
        <v>6619.3397779999996</v>
      </c>
      <c r="S1668" s="26">
        <v>1244.42147</v>
      </c>
      <c r="U1668" s="29">
        <v>3.432655</v>
      </c>
      <c r="W1668" s="14">
        <v>43.122821999999999</v>
      </c>
      <c r="Y1668" s="29">
        <v>8.1069739999999992</v>
      </c>
      <c r="AA1668" s="41">
        <v>569.66643599999998</v>
      </c>
      <c r="AC1668" s="27">
        <v>55.610619</v>
      </c>
      <c r="AE1668" s="27">
        <v>1</v>
      </c>
      <c r="AG1668" s="29">
        <v>7.6839009999999996</v>
      </c>
      <c r="AI1668" s="29">
        <v>8.75</v>
      </c>
      <c r="AK1668" s="27">
        <v>24.851659999999999</v>
      </c>
      <c r="AM1668" s="27">
        <v>34.092523999999997</v>
      </c>
      <c r="AO1668" s="29">
        <v>6.7553039999999998</v>
      </c>
      <c r="AP1668" s="28"/>
    </row>
    <row r="1669" spans="2:42" hidden="1" outlineLevel="1" x14ac:dyDescent="0.25">
      <c r="B1669" s="21">
        <v>43979</v>
      </c>
      <c r="C1669" s="27">
        <v>22.363299999999999</v>
      </c>
      <c r="E1669" s="30">
        <v>0.90589200000000003</v>
      </c>
      <c r="G1669" s="27">
        <v>68.342467999999997</v>
      </c>
      <c r="I1669" s="29">
        <v>6.9054089999999997</v>
      </c>
      <c r="K1669" s="29">
        <v>5.31602</v>
      </c>
      <c r="M1669" s="41">
        <v>816.61378100000002</v>
      </c>
      <c r="O1669" s="26">
        <v>3723.7937820000002</v>
      </c>
      <c r="Q1669" s="26">
        <v>6631.7639579999995</v>
      </c>
      <c r="S1669" s="26">
        <v>1247.513518</v>
      </c>
      <c r="U1669" s="29">
        <v>3.4410090000000002</v>
      </c>
      <c r="W1669" s="14">
        <v>43.137611</v>
      </c>
      <c r="Y1669" s="29">
        <v>8.1146740000000008</v>
      </c>
      <c r="AA1669" s="41">
        <v>569.56559400000003</v>
      </c>
      <c r="AC1669" s="27">
        <v>55.897184000000003</v>
      </c>
      <c r="AE1669" s="27">
        <v>1</v>
      </c>
      <c r="AG1669" s="29">
        <v>7.6875439999999999</v>
      </c>
      <c r="AI1669" s="29">
        <v>8.75</v>
      </c>
      <c r="AK1669" s="27">
        <v>24.848375999999998</v>
      </c>
      <c r="AM1669" s="27">
        <v>34.075685999999997</v>
      </c>
      <c r="AO1669" s="29">
        <v>6.7565059999999999</v>
      </c>
      <c r="AP1669" s="28"/>
    </row>
    <row r="1670" spans="2:42" hidden="1" outlineLevel="1" x14ac:dyDescent="0.25">
      <c r="B1670" s="21">
        <v>43980</v>
      </c>
      <c r="C1670" s="27">
        <v>22.204000000000001</v>
      </c>
      <c r="E1670" s="30">
        <v>0.90051800000000004</v>
      </c>
      <c r="G1670" s="27">
        <v>68.253371999999999</v>
      </c>
      <c r="I1670" s="29">
        <v>6.8952999999999998</v>
      </c>
      <c r="K1670" s="29">
        <v>5.3932840000000004</v>
      </c>
      <c r="M1670" s="41">
        <v>806.52459399999998</v>
      </c>
      <c r="O1670" s="26">
        <v>3709.1256520000002</v>
      </c>
      <c r="Q1670" s="26">
        <v>6629.4521139999997</v>
      </c>
      <c r="S1670" s="26">
        <v>1229.212608</v>
      </c>
      <c r="U1670" s="29">
        <v>3.4328069999999999</v>
      </c>
      <c r="W1670" s="14">
        <v>43.004088000000003</v>
      </c>
      <c r="Y1670" s="29">
        <v>7.9736640000000003</v>
      </c>
      <c r="AA1670" s="41">
        <v>568.73889899999995</v>
      </c>
      <c r="AC1670" s="27">
        <v>55.996141999999999</v>
      </c>
      <c r="AE1670" s="27">
        <v>1</v>
      </c>
      <c r="AG1670" s="29">
        <v>7.6785220000000001</v>
      </c>
      <c r="AI1670" s="29">
        <v>8.75</v>
      </c>
      <c r="AK1670" s="27">
        <v>24.814530000000001</v>
      </c>
      <c r="AM1670" s="27">
        <v>34.04157</v>
      </c>
      <c r="AO1670" s="29">
        <v>6.7453989999999999</v>
      </c>
      <c r="AP1670" s="28"/>
    </row>
    <row r="1671" spans="2:42" hidden="1" outlineLevel="1" x14ac:dyDescent="0.25">
      <c r="B1671" s="21">
        <v>43981</v>
      </c>
      <c r="C1671" s="27">
        <v>22.204000000000001</v>
      </c>
      <c r="E1671" s="30">
        <v>0.90047200000000005</v>
      </c>
      <c r="G1671" s="27">
        <v>68.471424999999996</v>
      </c>
      <c r="I1671" s="29">
        <v>6.9030180000000003</v>
      </c>
      <c r="K1671" s="29">
        <v>5.3375000000000004</v>
      </c>
      <c r="M1671" s="41">
        <v>799.02499999999998</v>
      </c>
      <c r="O1671" s="26">
        <v>3729.9875000000002</v>
      </c>
      <c r="Q1671" s="26">
        <v>6636.3524500000003</v>
      </c>
      <c r="S1671" s="26">
        <v>1243.351015</v>
      </c>
      <c r="U1671" s="29">
        <v>3.4282499999999998</v>
      </c>
      <c r="W1671" s="14">
        <v>43.247557999999998</v>
      </c>
      <c r="Y1671" s="29">
        <v>8.1026150000000001</v>
      </c>
      <c r="AA1671" s="41">
        <v>569.37583500000005</v>
      </c>
      <c r="AC1671" s="27">
        <v>56.204999999999998</v>
      </c>
      <c r="AE1671" s="27">
        <v>1</v>
      </c>
      <c r="AG1671" s="29">
        <v>7.6859320000000002</v>
      </c>
      <c r="AI1671" s="29">
        <v>8.75</v>
      </c>
      <c r="AK1671" s="27">
        <v>24.890725</v>
      </c>
      <c r="AM1671" s="27">
        <v>34.174750000000003</v>
      </c>
      <c r="AO1671" s="29">
        <v>6.7549380000000001</v>
      </c>
      <c r="AP1671" s="28"/>
    </row>
    <row r="1672" spans="2:42" hidden="1" outlineLevel="1" x14ac:dyDescent="0.25">
      <c r="B1672" s="21">
        <v>43982</v>
      </c>
      <c r="C1672" s="49">
        <v>22.204000000000001</v>
      </c>
      <c r="E1672" s="30">
        <v>0.90042299999999997</v>
      </c>
      <c r="G1672" s="27">
        <v>68.461842000000004</v>
      </c>
      <c r="I1672" s="29">
        <v>6.9030180000000003</v>
      </c>
      <c r="K1672" s="29">
        <v>5.3376520000000003</v>
      </c>
      <c r="M1672" s="41">
        <v>799.02293599999996</v>
      </c>
      <c r="O1672" s="26">
        <v>3729.9575519999999</v>
      </c>
      <c r="Q1672" s="26">
        <v>6636.3524500000003</v>
      </c>
      <c r="S1672" s="26">
        <v>1243.315756</v>
      </c>
      <c r="U1672" s="29">
        <v>3.4281540000000001</v>
      </c>
      <c r="W1672" s="14">
        <v>43.243428000000002</v>
      </c>
      <c r="Y1672" s="29">
        <v>8.1016100000000009</v>
      </c>
      <c r="AA1672" s="41">
        <v>569.37583500000005</v>
      </c>
      <c r="AC1672" s="27">
        <v>56.204999999999998</v>
      </c>
      <c r="AE1672" s="27">
        <v>1</v>
      </c>
      <c r="AG1672" s="29">
        <v>7.6859320000000002</v>
      </c>
      <c r="AI1672" s="29">
        <v>8.75</v>
      </c>
      <c r="AK1672" s="27">
        <v>24.890725</v>
      </c>
      <c r="AM1672" s="27">
        <v>34.174750000000003</v>
      </c>
      <c r="AO1672" s="29">
        <v>6.7549380000000001</v>
      </c>
      <c r="AP1672" s="28"/>
    </row>
    <row r="1673" spans="2:42" ht="13" collapsed="1" x14ac:dyDescent="0.3">
      <c r="B1673" s="25" t="s">
        <v>191</v>
      </c>
      <c r="C1673" s="19">
        <v>23.522400000000001</v>
      </c>
      <c r="E1673" s="24">
        <v>0.91660299999999995</v>
      </c>
      <c r="G1673" s="19">
        <v>67.613123999999999</v>
      </c>
      <c r="I1673" s="23">
        <v>6.8957980000000001</v>
      </c>
      <c r="J1673" s="9"/>
      <c r="K1673" s="23">
        <v>5.6187199999999997</v>
      </c>
      <c r="M1673" s="42">
        <v>820.87240899999995</v>
      </c>
      <c r="O1673" s="31">
        <v>3860.6065910000002</v>
      </c>
      <c r="Q1673" s="31">
        <v>6563.8041649999996</v>
      </c>
      <c r="S1673" s="31">
        <v>1169.5790199999999</v>
      </c>
      <c r="U1673" s="23">
        <v>3.4145590000000001</v>
      </c>
      <c r="W1673" s="23">
        <v>43.327027999999999</v>
      </c>
      <c r="Y1673" s="23">
        <v>7.7175909999999996</v>
      </c>
      <c r="AA1673" s="42">
        <v>568.39269000000002</v>
      </c>
      <c r="AC1673" s="19">
        <v>55.209325999999997</v>
      </c>
      <c r="AE1673" s="19">
        <v>1</v>
      </c>
      <c r="AG1673" s="23">
        <v>7.6971319999999999</v>
      </c>
      <c r="AI1673" s="23">
        <v>8.75</v>
      </c>
      <c r="AK1673" s="23">
        <v>24.873145999999998</v>
      </c>
      <c r="AM1673" s="23">
        <v>34.223455000000001</v>
      </c>
      <c r="AO1673" s="23">
        <v>6.7485309999999998</v>
      </c>
      <c r="AP1673" s="10"/>
    </row>
    <row r="1674" spans="2:42" x14ac:dyDescent="0.25">
      <c r="B1674" s="21">
        <v>43983</v>
      </c>
      <c r="C1674" s="27">
        <v>22.177800000000001</v>
      </c>
      <c r="E1674" s="30">
        <v>0.89861199999999997</v>
      </c>
      <c r="G1674" s="27">
        <v>68.428408000000005</v>
      </c>
      <c r="I1674" s="29">
        <v>6.9054599999999997</v>
      </c>
      <c r="K1674" s="29">
        <v>5.3599959999999998</v>
      </c>
      <c r="M1674" s="41">
        <v>797.01304200000004</v>
      </c>
      <c r="O1674" s="26">
        <v>3726.9479999999999</v>
      </c>
      <c r="Q1674" s="26">
        <v>6638.8933639999996</v>
      </c>
      <c r="S1674" s="26">
        <v>1238.6081509999999</v>
      </c>
      <c r="U1674" s="29">
        <v>3.4265979999999998</v>
      </c>
      <c r="W1674" s="14">
        <v>43.280619999999999</v>
      </c>
      <c r="Y1674" s="29">
        <v>8.0747769999999992</v>
      </c>
      <c r="AA1674" s="41">
        <v>569.57845499999996</v>
      </c>
      <c r="AC1674" s="27">
        <v>56.253720000000001</v>
      </c>
      <c r="AE1674" s="27">
        <v>1</v>
      </c>
      <c r="AG1674" s="29">
        <v>7.6892319999999996</v>
      </c>
      <c r="AI1674" s="29">
        <v>8.75</v>
      </c>
      <c r="AK1674" s="27">
        <v>24.854761</v>
      </c>
      <c r="AM1674" s="27">
        <v>33.996482999999998</v>
      </c>
      <c r="AO1674" s="29">
        <v>6.7573439999999998</v>
      </c>
    </row>
    <row r="1675" spans="2:42" x14ac:dyDescent="0.25">
      <c r="B1675" s="21">
        <v>43984</v>
      </c>
      <c r="C1675" s="27">
        <v>22.0168</v>
      </c>
      <c r="E1675" s="30">
        <v>0.89629599999999998</v>
      </c>
      <c r="G1675" s="27">
        <v>68.625429999999994</v>
      </c>
      <c r="I1675" s="29">
        <v>6.9015250000000004</v>
      </c>
      <c r="K1675" s="29">
        <v>5.2992499999999998</v>
      </c>
      <c r="M1675" s="41">
        <v>786.79397600000004</v>
      </c>
      <c r="O1675" s="26">
        <v>3718.2597000000001</v>
      </c>
      <c r="Q1675" s="26">
        <v>6639.301375</v>
      </c>
      <c r="S1675" s="26">
        <v>1252.883898</v>
      </c>
      <c r="U1675" s="29">
        <v>3.4119760000000001</v>
      </c>
      <c r="W1675" s="14">
        <v>43.259059999999998</v>
      </c>
      <c r="Y1675" s="29">
        <v>8.1632739999999995</v>
      </c>
      <c r="AA1675" s="41">
        <v>569.40233699999999</v>
      </c>
      <c r="AC1675" s="27">
        <v>56.480240000000002</v>
      </c>
      <c r="AE1675" s="27">
        <v>1</v>
      </c>
      <c r="AG1675" s="29">
        <v>7.6834300000000004</v>
      </c>
      <c r="AI1675" s="29">
        <v>8.75</v>
      </c>
      <c r="AK1675" s="27">
        <v>24.836175999999998</v>
      </c>
      <c r="AM1675" s="27">
        <v>33.837673000000002</v>
      </c>
      <c r="AO1675" s="29">
        <v>6.7551259999999997</v>
      </c>
    </row>
    <row r="1676" spans="2:42" x14ac:dyDescent="0.25">
      <c r="B1676" s="21">
        <v>43985</v>
      </c>
      <c r="C1676" s="27">
        <v>21.682700000000001</v>
      </c>
      <c r="E1676" s="30">
        <v>0.89157399999999998</v>
      </c>
      <c r="G1676" s="27">
        <v>68.710975000000005</v>
      </c>
      <c r="I1676" s="29">
        <v>6.8995670000000002</v>
      </c>
      <c r="K1676" s="29">
        <v>5.1367260000000003</v>
      </c>
      <c r="M1676" s="41">
        <v>777.61926400000004</v>
      </c>
      <c r="O1676" s="26">
        <v>3644.6590860000001</v>
      </c>
      <c r="Q1676" s="26">
        <v>6642.0561479999997</v>
      </c>
      <c r="S1676" s="26">
        <v>1293.0614639999999</v>
      </c>
      <c r="U1676" s="29">
        <v>3.3981669999999999</v>
      </c>
      <c r="W1676" s="14">
        <v>43.232919000000003</v>
      </c>
      <c r="Y1676" s="29">
        <v>8.4164720000000006</v>
      </c>
      <c r="AA1676" s="41">
        <v>569.39045999999996</v>
      </c>
      <c r="AC1676" s="27">
        <v>56.987932000000001</v>
      </c>
      <c r="AE1676" s="27">
        <v>1</v>
      </c>
      <c r="AG1676" s="29">
        <v>7.680072</v>
      </c>
      <c r="AI1676" s="29">
        <v>8.75</v>
      </c>
      <c r="AK1676" s="27">
        <v>24.83541</v>
      </c>
      <c r="AM1676" s="27">
        <v>33.840271999999999</v>
      </c>
      <c r="AO1676" s="29">
        <v>6.7538010000000002</v>
      </c>
    </row>
    <row r="1677" spans="2:42" x14ac:dyDescent="0.25">
      <c r="B1677" s="21">
        <v>43986</v>
      </c>
      <c r="C1677" s="27">
        <v>21.604299999999999</v>
      </c>
      <c r="E1677" s="30">
        <v>0.88764299999999996</v>
      </c>
      <c r="G1677" s="27">
        <v>68.801323999999994</v>
      </c>
      <c r="I1677" s="29">
        <v>6.9002460000000001</v>
      </c>
      <c r="K1677" s="29">
        <v>5.0863839999999998</v>
      </c>
      <c r="M1677" s="41">
        <v>779.68519200000003</v>
      </c>
      <c r="O1677" s="26">
        <v>3600.7825619999999</v>
      </c>
      <c r="Q1677" s="26">
        <v>6643.6068990000003</v>
      </c>
      <c r="S1677" s="26">
        <v>1306.166068</v>
      </c>
      <c r="U1677" s="29">
        <v>3.405316</v>
      </c>
      <c r="W1677" s="14">
        <v>43.135364000000003</v>
      </c>
      <c r="Y1677" s="29">
        <v>8.4806000000000008</v>
      </c>
      <c r="AA1677" s="41">
        <v>570.67590499999994</v>
      </c>
      <c r="AC1677" s="27">
        <v>57.277096999999998</v>
      </c>
      <c r="AE1677" s="27">
        <v>1</v>
      </c>
      <c r="AG1677" s="29">
        <v>7.6812019999999999</v>
      </c>
      <c r="AI1677" s="29">
        <v>8.75</v>
      </c>
      <c r="AK1677" s="27">
        <v>24.835764000000001</v>
      </c>
      <c r="AM1677" s="27">
        <v>33.845922999999999</v>
      </c>
      <c r="AO1677" s="29">
        <v>6.7564640000000002</v>
      </c>
    </row>
    <row r="1678" spans="2:42" x14ac:dyDescent="0.25">
      <c r="B1678" s="21">
        <v>43987</v>
      </c>
      <c r="C1678" s="27">
        <v>21.838799999999999</v>
      </c>
      <c r="E1678" s="30">
        <v>0.88344800000000001</v>
      </c>
      <c r="G1678" s="27">
        <v>68.891508999999999</v>
      </c>
      <c r="I1678" s="29">
        <v>6.8890450000000003</v>
      </c>
      <c r="K1678" s="29">
        <v>5.0467120000000003</v>
      </c>
      <c r="M1678" s="41">
        <v>768.44743300000005</v>
      </c>
      <c r="O1678" s="26">
        <v>3583.5834199999999</v>
      </c>
      <c r="Q1678" s="26">
        <v>6631.4295920000004</v>
      </c>
      <c r="S1678" s="26">
        <v>1314.0190500000001</v>
      </c>
      <c r="U1678" s="29">
        <v>3.4148260000000001</v>
      </c>
      <c r="W1678" s="14">
        <v>42.862706000000003</v>
      </c>
      <c r="Y1678" s="29">
        <v>8.4932350000000003</v>
      </c>
      <c r="AA1678" s="41">
        <v>571.08353</v>
      </c>
      <c r="AC1678" s="27">
        <v>57.284675</v>
      </c>
      <c r="AE1678" s="27">
        <v>1</v>
      </c>
      <c r="AG1678" s="29">
        <v>7.6641279999999998</v>
      </c>
      <c r="AI1678" s="29">
        <v>8.75</v>
      </c>
      <c r="AK1678" s="27">
        <v>24.784972</v>
      </c>
      <c r="AM1678" s="27">
        <v>33.772612000000002</v>
      </c>
      <c r="AO1678" s="29">
        <v>6.7462540000000004</v>
      </c>
    </row>
    <row r="1679" spans="2:42" x14ac:dyDescent="0.25">
      <c r="B1679" s="21">
        <v>43988</v>
      </c>
      <c r="C1679" s="27">
        <v>21.838799999999999</v>
      </c>
      <c r="E1679" s="30">
        <v>0.88562200000000002</v>
      </c>
      <c r="G1679" s="27">
        <v>68.945272000000003</v>
      </c>
      <c r="I1679" s="29">
        <v>6.9077659999999996</v>
      </c>
      <c r="K1679" s="29">
        <v>4.9600419999999996</v>
      </c>
      <c r="M1679" s="41">
        <v>766.99749999999995</v>
      </c>
      <c r="O1679" s="26">
        <v>3573.7525000000001</v>
      </c>
      <c r="Q1679" s="26">
        <v>6648.6516000000001</v>
      </c>
      <c r="S1679" s="26">
        <v>1340.454964</v>
      </c>
      <c r="U1679" s="29">
        <v>3.4322499999999998</v>
      </c>
      <c r="W1679" s="14">
        <v>42.948459</v>
      </c>
      <c r="Y1679" s="29">
        <v>8.6589460000000003</v>
      </c>
      <c r="AA1679" s="41">
        <v>572.91447800000003</v>
      </c>
      <c r="AC1679" s="27">
        <v>57.497500000000002</v>
      </c>
      <c r="AE1679" s="27">
        <v>1</v>
      </c>
      <c r="AG1679" s="29">
        <v>7.6808079999999999</v>
      </c>
      <c r="AI1679" s="29">
        <v>8.75</v>
      </c>
      <c r="AK1679" s="27">
        <v>24.885774999999999</v>
      </c>
      <c r="AM1679" s="27">
        <v>34.006999999999998</v>
      </c>
      <c r="AO1679" s="29">
        <v>6.7625080000000004</v>
      </c>
    </row>
    <row r="1680" spans="2:42" x14ac:dyDescent="0.25">
      <c r="B1680" s="21">
        <v>43989</v>
      </c>
      <c r="C1680" s="27">
        <v>21.838799999999999</v>
      </c>
      <c r="E1680" s="30">
        <v>0.88549800000000001</v>
      </c>
      <c r="G1680" s="27">
        <v>68.931060000000002</v>
      </c>
      <c r="I1680" s="29">
        <v>6.9077659999999996</v>
      </c>
      <c r="K1680" s="29">
        <v>4.9599840000000004</v>
      </c>
      <c r="M1680" s="41">
        <v>766.99595999999997</v>
      </c>
      <c r="O1680" s="26">
        <v>3573.734606</v>
      </c>
      <c r="Q1680" s="26">
        <v>6648.6516000000001</v>
      </c>
      <c r="S1680" s="26">
        <v>1340.4700069999999</v>
      </c>
      <c r="U1680" s="29">
        <v>3.4320680000000001</v>
      </c>
      <c r="W1680" s="14">
        <v>42.933610999999999</v>
      </c>
      <c r="Y1680" s="29">
        <v>8.6560500000000005</v>
      </c>
      <c r="AA1680" s="41">
        <v>572.91447800000003</v>
      </c>
      <c r="AC1680" s="27">
        <v>57.497995000000003</v>
      </c>
      <c r="AE1680" s="27">
        <v>1</v>
      </c>
      <c r="AG1680" s="29">
        <v>7.6808079999999999</v>
      </c>
      <c r="AI1680" s="29">
        <v>8.75</v>
      </c>
      <c r="AK1680" s="27">
        <v>24.885774999999999</v>
      </c>
      <c r="AM1680" s="27">
        <v>34.006999999999998</v>
      </c>
      <c r="AO1680" s="29">
        <v>6.7625080000000004</v>
      </c>
    </row>
    <row r="1681" spans="2:41" x14ac:dyDescent="0.25">
      <c r="B1681" s="21">
        <v>43990</v>
      </c>
      <c r="C1681" s="27">
        <v>21.5837</v>
      </c>
      <c r="E1681" s="30">
        <v>0.88535600000000003</v>
      </c>
      <c r="G1681" s="27">
        <v>69.009546</v>
      </c>
      <c r="I1681" s="29">
        <v>6.9126120000000002</v>
      </c>
      <c r="K1681" s="29">
        <v>4.9207599999999996</v>
      </c>
      <c r="M1681" s="41">
        <v>767.59968000000003</v>
      </c>
      <c r="O1681" s="26">
        <v>3586.4594980000002</v>
      </c>
      <c r="Q1681" s="26">
        <v>6655.6088399999999</v>
      </c>
      <c r="S1681" s="26">
        <v>1352.5653090000001</v>
      </c>
      <c r="U1681" s="29">
        <v>3.4359109999999999</v>
      </c>
      <c r="W1681" s="14">
        <v>42.948017</v>
      </c>
      <c r="Y1681" s="29">
        <v>8.7279529999999994</v>
      </c>
      <c r="AA1681" s="41">
        <v>573.23787100000004</v>
      </c>
      <c r="AC1681" s="27">
        <v>57.512388000000001</v>
      </c>
      <c r="AE1681" s="27">
        <v>1</v>
      </c>
      <c r="AG1681" s="29">
        <v>7.6852140000000002</v>
      </c>
      <c r="AI1681" s="29">
        <v>8.75</v>
      </c>
      <c r="AK1681" s="27">
        <v>24.858274999999999</v>
      </c>
      <c r="AM1681" s="27">
        <v>33.882899000000002</v>
      </c>
      <c r="AO1681" s="29">
        <v>6.7675299999999998</v>
      </c>
    </row>
    <row r="1682" spans="2:41" x14ac:dyDescent="0.25">
      <c r="B1682" s="21">
        <v>43991</v>
      </c>
      <c r="C1682" s="27">
        <v>21.655200000000001</v>
      </c>
      <c r="E1682" s="30">
        <v>0.884301</v>
      </c>
      <c r="G1682" s="27">
        <v>69.081261999999995</v>
      </c>
      <c r="I1682" s="29">
        <v>6.9063559999999997</v>
      </c>
      <c r="K1682" s="29">
        <v>4.8603740000000002</v>
      </c>
      <c r="M1682" s="41">
        <v>769.368968</v>
      </c>
      <c r="O1682" s="26">
        <v>3626.4180879999999</v>
      </c>
      <c r="Q1682" s="26">
        <v>6648.7308119999998</v>
      </c>
      <c r="S1682" s="26">
        <v>1367.9553020000001</v>
      </c>
      <c r="U1682" s="29">
        <v>3.4326089999999998</v>
      </c>
      <c r="W1682" s="14">
        <v>42.634414</v>
      </c>
      <c r="Y1682" s="29">
        <v>8.7718740000000004</v>
      </c>
      <c r="AA1682" s="41">
        <v>573.57011799999998</v>
      </c>
      <c r="AC1682" s="27">
        <v>57.471601999999997</v>
      </c>
      <c r="AE1682" s="27">
        <v>1</v>
      </c>
      <c r="AG1682" s="29">
        <v>7.6784980000000003</v>
      </c>
      <c r="AI1682" s="29">
        <v>8.75</v>
      </c>
      <c r="AK1682" s="27">
        <v>24.829975999999998</v>
      </c>
      <c r="AM1682" s="27">
        <v>33.860233999999998</v>
      </c>
      <c r="AO1682" s="29">
        <v>6.7595619999999998</v>
      </c>
    </row>
    <row r="1683" spans="2:41" x14ac:dyDescent="0.25">
      <c r="B1683" s="21">
        <v>43992</v>
      </c>
      <c r="C1683" s="27">
        <v>21.725200000000001</v>
      </c>
      <c r="E1683" s="30">
        <v>0.88004499999999997</v>
      </c>
      <c r="G1683" s="27">
        <v>69.165142000000003</v>
      </c>
      <c r="I1683" s="29">
        <v>6.8992930000000001</v>
      </c>
      <c r="K1683" s="29">
        <v>4.9116739999999997</v>
      </c>
      <c r="M1683" s="41">
        <v>769.91745600000002</v>
      </c>
      <c r="O1683" s="26">
        <v>3664.7051369999999</v>
      </c>
      <c r="Q1683" s="26">
        <v>6642.0671819999998</v>
      </c>
      <c r="S1683" s="26">
        <v>1352.3113800000001</v>
      </c>
      <c r="U1683" s="29">
        <v>3.4355410000000002</v>
      </c>
      <c r="W1683" s="14">
        <v>42.507438</v>
      </c>
      <c r="Y1683" s="29">
        <v>8.6544059999999998</v>
      </c>
      <c r="AA1683" s="41">
        <v>573.91956900000002</v>
      </c>
      <c r="AC1683" s="27">
        <v>57.622171000000002</v>
      </c>
      <c r="AE1683" s="27">
        <v>1</v>
      </c>
      <c r="AG1683" s="29">
        <v>7.6774240000000002</v>
      </c>
      <c r="AI1683" s="29">
        <v>8.75</v>
      </c>
      <c r="AK1683" s="27">
        <v>24.812086999999998</v>
      </c>
      <c r="AM1683" s="27">
        <v>33.842252000000002</v>
      </c>
      <c r="AO1683" s="29">
        <v>6.7533940000000001</v>
      </c>
    </row>
    <row r="1684" spans="2:41" x14ac:dyDescent="0.25">
      <c r="B1684" s="21">
        <v>43993</v>
      </c>
      <c r="C1684" s="27">
        <v>21.922999999999998</v>
      </c>
      <c r="E1684" s="30">
        <v>0.88100400000000001</v>
      </c>
      <c r="G1684" s="27">
        <v>69.273452000000006</v>
      </c>
      <c r="I1684" s="29">
        <v>6.8997700000000002</v>
      </c>
      <c r="K1684" s="29">
        <v>4.9753470000000002</v>
      </c>
      <c r="M1684" s="41">
        <v>781.172192</v>
      </c>
      <c r="O1684" s="26">
        <v>3695.690748</v>
      </c>
      <c r="Q1684" s="26">
        <v>6649.8709930000005</v>
      </c>
      <c r="S1684" s="26">
        <v>1336.5729630000001</v>
      </c>
      <c r="U1684" s="29">
        <v>3.4392239999999998</v>
      </c>
      <c r="W1684" s="14">
        <v>42.573574999999998</v>
      </c>
      <c r="Y1684" s="29">
        <v>8.5569439999999997</v>
      </c>
      <c r="AA1684" s="41">
        <v>577.06428000000005</v>
      </c>
      <c r="AC1684" s="27">
        <v>57.548402000000003</v>
      </c>
      <c r="AE1684" s="27">
        <v>1</v>
      </c>
      <c r="AG1684" s="29">
        <v>7.6851139999999996</v>
      </c>
      <c r="AI1684" s="29">
        <v>8.75</v>
      </c>
      <c r="AK1684" s="27">
        <v>24.821805000000001</v>
      </c>
      <c r="AM1684" s="27">
        <v>33.871130999999998</v>
      </c>
      <c r="AO1684" s="29">
        <v>6.7518479999999998</v>
      </c>
    </row>
    <row r="1685" spans="2:41" x14ac:dyDescent="0.25">
      <c r="B1685" s="21">
        <v>43994</v>
      </c>
      <c r="C1685" s="27">
        <v>22.4252</v>
      </c>
      <c r="E1685" s="30">
        <v>0.88646000000000003</v>
      </c>
      <c r="G1685" s="27">
        <v>69.344544999999997</v>
      </c>
      <c r="I1685" s="29">
        <v>6.9181280000000003</v>
      </c>
      <c r="K1685" s="29">
        <v>5.0130509999999999</v>
      </c>
      <c r="M1685" s="41">
        <v>791.93532000000005</v>
      </c>
      <c r="O1685" s="26">
        <v>3773.1022029999999</v>
      </c>
      <c r="Q1685" s="26">
        <v>6682.4428770000004</v>
      </c>
      <c r="S1685" s="26">
        <v>1333.017777</v>
      </c>
      <c r="U1685" s="29">
        <v>3.4588480000000001</v>
      </c>
      <c r="W1685" s="14">
        <v>42.876316000000003</v>
      </c>
      <c r="Y1685" s="29">
        <v>8.5529770000000003</v>
      </c>
      <c r="AA1685" s="41">
        <v>580.76883799999996</v>
      </c>
      <c r="AC1685" s="27">
        <v>58.087699999999998</v>
      </c>
      <c r="AE1685" s="27">
        <v>1</v>
      </c>
      <c r="AG1685" s="29">
        <v>7.70662</v>
      </c>
      <c r="AI1685" s="29">
        <v>8.75</v>
      </c>
      <c r="AK1685" s="27">
        <v>24.872574</v>
      </c>
      <c r="AM1685" s="27">
        <v>33.908835000000003</v>
      </c>
      <c r="AO1685" s="29">
        <v>6.7651719999999997</v>
      </c>
    </row>
    <row r="1686" spans="2:41" x14ac:dyDescent="0.25">
      <c r="B1686" s="21">
        <v>43995</v>
      </c>
      <c r="C1686" s="27">
        <v>22.4252</v>
      </c>
      <c r="E1686" s="30">
        <v>0.88852600000000004</v>
      </c>
      <c r="G1686" s="27">
        <v>69.387932000000006</v>
      </c>
      <c r="I1686" s="29">
        <v>6.9096130000000002</v>
      </c>
      <c r="K1686" s="29">
        <v>5.0495000000000001</v>
      </c>
      <c r="M1686" s="41">
        <v>792.2</v>
      </c>
      <c r="O1686" s="26">
        <v>3778.6475</v>
      </c>
      <c r="Q1686" s="26">
        <v>6683.0685999999996</v>
      </c>
      <c r="S1686" s="26">
        <v>1323.5178309999999</v>
      </c>
      <c r="U1686" s="29">
        <v>3.4649749999999999</v>
      </c>
      <c r="W1686" s="14">
        <v>42.926907999999997</v>
      </c>
      <c r="Y1686" s="29">
        <v>8.5012500000000006</v>
      </c>
      <c r="AA1686" s="41">
        <v>579.78313000000003</v>
      </c>
      <c r="AC1686" s="27">
        <v>58.397500000000001</v>
      </c>
      <c r="AE1686" s="27">
        <v>1</v>
      </c>
      <c r="AG1686" s="29">
        <v>7.6973729999999998</v>
      </c>
      <c r="AI1686" s="29">
        <v>8.75</v>
      </c>
      <c r="AK1686" s="27">
        <v>24.88785</v>
      </c>
      <c r="AM1686" s="27">
        <v>34.051749999999998</v>
      </c>
      <c r="AO1686" s="29">
        <v>6.7561140000000002</v>
      </c>
    </row>
    <row r="1687" spans="2:41" x14ac:dyDescent="0.25">
      <c r="B1687" s="21">
        <v>43996</v>
      </c>
      <c r="C1687" s="27">
        <v>22.4252</v>
      </c>
      <c r="E1687" s="30">
        <v>0.88863300000000001</v>
      </c>
      <c r="G1687" s="27">
        <v>69.395976000000005</v>
      </c>
      <c r="I1687" s="29">
        <v>6.9093739999999997</v>
      </c>
      <c r="K1687" s="29">
        <v>5.0496549999999996</v>
      </c>
      <c r="M1687" s="41">
        <v>792.20130099999994</v>
      </c>
      <c r="O1687" s="26">
        <v>3778.5760949999999</v>
      </c>
      <c r="Q1687" s="26">
        <v>6681.9269190000005</v>
      </c>
      <c r="S1687" s="26">
        <v>1323.2511139999999</v>
      </c>
      <c r="U1687" s="29">
        <v>3.46502</v>
      </c>
      <c r="W1687" s="14">
        <v>42.926907999999997</v>
      </c>
      <c r="Y1687" s="29">
        <v>8.5009890000000006</v>
      </c>
      <c r="AA1687" s="41">
        <v>579.72573599999998</v>
      </c>
      <c r="AC1687" s="27">
        <v>58.38205</v>
      </c>
      <c r="AE1687" s="27">
        <v>1</v>
      </c>
      <c r="AG1687" s="29">
        <v>7.6967869999999996</v>
      </c>
      <c r="AI1687" s="29">
        <v>8.75</v>
      </c>
      <c r="AK1687" s="27">
        <v>24.886500000000002</v>
      </c>
      <c r="AM1687" s="27">
        <v>34.051749999999998</v>
      </c>
      <c r="AO1687" s="29">
        <v>6.7559490000000002</v>
      </c>
    </row>
    <row r="1688" spans="2:41" x14ac:dyDescent="0.25">
      <c r="B1688" s="21">
        <v>43997</v>
      </c>
      <c r="C1688" s="27">
        <v>22.334700000000002</v>
      </c>
      <c r="E1688" s="30">
        <v>0.88699399999999995</v>
      </c>
      <c r="G1688" s="27">
        <v>69.402720000000002</v>
      </c>
      <c r="I1688" s="29">
        <v>6.9153120000000001</v>
      </c>
      <c r="K1688" s="29">
        <v>5.1066979999999997</v>
      </c>
      <c r="M1688" s="41">
        <v>791.07673</v>
      </c>
      <c r="O1688" s="26">
        <v>3779.7277490000001</v>
      </c>
      <c r="Q1688" s="26">
        <v>6681.4022260000002</v>
      </c>
      <c r="S1688" s="26">
        <v>1308.3683080000001</v>
      </c>
      <c r="U1688" s="29">
        <v>3.4746100000000002</v>
      </c>
      <c r="W1688" s="14">
        <v>42.974096000000003</v>
      </c>
      <c r="Y1688" s="29">
        <v>8.4152699999999996</v>
      </c>
      <c r="AA1688" s="41">
        <v>579.81653800000004</v>
      </c>
      <c r="AC1688" s="27">
        <v>58.337380000000003</v>
      </c>
      <c r="AE1688" s="27">
        <v>1</v>
      </c>
      <c r="AG1688" s="29">
        <v>7.7046679999999999</v>
      </c>
      <c r="AI1688" s="29">
        <v>8.75</v>
      </c>
      <c r="AK1688" s="27">
        <v>24.872281999999998</v>
      </c>
      <c r="AM1688" s="27">
        <v>33.987526000000003</v>
      </c>
      <c r="AO1688" s="29">
        <v>6.7619340000000001</v>
      </c>
    </row>
    <row r="1689" spans="2:41" x14ac:dyDescent="0.25">
      <c r="B1689" s="21">
        <v>43998</v>
      </c>
      <c r="C1689" s="27">
        <v>22.543500000000002</v>
      </c>
      <c r="E1689" s="30">
        <v>0.885023</v>
      </c>
      <c r="G1689" s="27">
        <v>69.455853000000005</v>
      </c>
      <c r="I1689" s="29">
        <v>6.8955019999999996</v>
      </c>
      <c r="K1689" s="29">
        <v>5.1690680000000002</v>
      </c>
      <c r="M1689" s="41">
        <v>782.43953299999998</v>
      </c>
      <c r="O1689" s="26">
        <v>3765.5321210000002</v>
      </c>
      <c r="Q1689" s="26">
        <v>6671.8696179999997</v>
      </c>
      <c r="S1689" s="26">
        <v>1290.7402970000001</v>
      </c>
      <c r="U1689" s="29">
        <v>3.471012</v>
      </c>
      <c r="W1689" s="14">
        <v>42.734011000000002</v>
      </c>
      <c r="Y1689" s="29">
        <v>8.2673020000000008</v>
      </c>
      <c r="AA1689" s="41">
        <v>577.86840600000005</v>
      </c>
      <c r="AC1689" s="27">
        <v>58.234504000000001</v>
      </c>
      <c r="AE1689" s="27">
        <v>1</v>
      </c>
      <c r="AG1689" s="29">
        <v>7.6882679999999999</v>
      </c>
      <c r="AI1689" s="29">
        <v>8.75</v>
      </c>
      <c r="AK1689" s="27">
        <v>24.807368</v>
      </c>
      <c r="AM1689" s="27">
        <v>34.009312999999999</v>
      </c>
      <c r="AO1689" s="29">
        <v>6.7440540000000002</v>
      </c>
    </row>
    <row r="1690" spans="2:41" x14ac:dyDescent="0.25">
      <c r="B1690" s="21">
        <v>43999</v>
      </c>
      <c r="C1690" s="27">
        <v>22.216799999999999</v>
      </c>
      <c r="E1690" s="30">
        <v>0.88898600000000005</v>
      </c>
      <c r="G1690" s="27">
        <v>69.632345000000001</v>
      </c>
      <c r="I1690" s="29">
        <v>6.9123479999999997</v>
      </c>
      <c r="K1690" s="29">
        <v>5.2416679999999998</v>
      </c>
      <c r="M1690" s="41">
        <v>791.71505200000001</v>
      </c>
      <c r="O1690" s="26">
        <v>3746.8880009999998</v>
      </c>
      <c r="Q1690" s="26">
        <v>6700.7244199999996</v>
      </c>
      <c r="S1690" s="26">
        <v>1278.365139</v>
      </c>
      <c r="U1690" s="29">
        <v>3.486802</v>
      </c>
      <c r="W1690" s="14">
        <v>42.852713999999999</v>
      </c>
      <c r="Y1690" s="29">
        <v>8.1754270000000009</v>
      </c>
      <c r="AA1690" s="41">
        <v>578.62511800000004</v>
      </c>
      <c r="AC1690" s="27">
        <v>58.402867999999998</v>
      </c>
      <c r="AE1690" s="27">
        <v>1</v>
      </c>
      <c r="AG1690" s="29">
        <v>7.7089270000000001</v>
      </c>
      <c r="AI1690" s="29">
        <v>8.75</v>
      </c>
      <c r="AK1690" s="27">
        <v>24.880801999999999</v>
      </c>
      <c r="AM1690" s="27">
        <v>34.234355999999998</v>
      </c>
      <c r="AO1690" s="29">
        <v>6.76213</v>
      </c>
    </row>
    <row r="1691" spans="2:41" x14ac:dyDescent="0.25">
      <c r="B1691" s="21">
        <v>44000</v>
      </c>
      <c r="C1691" s="27">
        <v>22.278300000000002</v>
      </c>
      <c r="E1691" s="30">
        <v>0.89058000000000004</v>
      </c>
      <c r="G1691" s="27">
        <v>69.662008</v>
      </c>
      <c r="I1691" s="29">
        <v>6.906091</v>
      </c>
      <c r="K1691" s="29">
        <v>5.2943040000000003</v>
      </c>
      <c r="M1691" s="41">
        <v>808.12377100000003</v>
      </c>
      <c r="O1691" s="26">
        <v>3750.4144059999999</v>
      </c>
      <c r="Q1691" s="26">
        <v>6709.2089450000003</v>
      </c>
      <c r="S1691" s="26">
        <v>1267.257809</v>
      </c>
      <c r="U1691" s="29">
        <v>3.4953259999999999</v>
      </c>
      <c r="W1691" s="14">
        <v>42.729515999999997</v>
      </c>
      <c r="Y1691" s="29">
        <v>8.0708760000000002</v>
      </c>
      <c r="AA1691" s="41">
        <v>578.03664000000003</v>
      </c>
      <c r="AC1691" s="27">
        <v>58.414189999999998</v>
      </c>
      <c r="AE1691" s="27">
        <v>1</v>
      </c>
      <c r="AG1691" s="29">
        <v>7.7023469999999996</v>
      </c>
      <c r="AI1691" s="29">
        <v>8.75</v>
      </c>
      <c r="AK1691" s="27">
        <v>24.899311999999998</v>
      </c>
      <c r="AM1691" s="27">
        <v>34.104886</v>
      </c>
      <c r="AO1691" s="29">
        <v>6.7577980000000002</v>
      </c>
    </row>
    <row r="1692" spans="2:41" x14ac:dyDescent="0.25">
      <c r="B1692" s="21">
        <v>44001</v>
      </c>
      <c r="C1692" s="27">
        <v>22.608799999999999</v>
      </c>
      <c r="E1692" s="30">
        <v>0.89270099999999997</v>
      </c>
      <c r="G1692" s="27">
        <v>69.722136000000006</v>
      </c>
      <c r="I1692" s="29">
        <v>6.906091</v>
      </c>
      <c r="K1692" s="29">
        <v>5.353294</v>
      </c>
      <c r="M1692" s="41">
        <v>817.09234200000003</v>
      </c>
      <c r="O1692" s="26">
        <v>3749.4398540000002</v>
      </c>
      <c r="Q1692" s="26">
        <v>6712.5613499999999</v>
      </c>
      <c r="S1692" s="26">
        <v>1253.9195890000001</v>
      </c>
      <c r="U1692" s="29">
        <v>3.5135360000000002</v>
      </c>
      <c r="W1692" s="14">
        <v>42.690959999999997</v>
      </c>
      <c r="Y1692" s="29">
        <v>7.9747339999999998</v>
      </c>
      <c r="AA1692" s="41">
        <v>578.03664000000003</v>
      </c>
      <c r="AC1692" s="27">
        <v>58.432478000000003</v>
      </c>
      <c r="AE1692" s="27">
        <v>1</v>
      </c>
      <c r="AG1692" s="29">
        <v>7.7023469999999996</v>
      </c>
      <c r="AI1692" s="29">
        <v>8.75</v>
      </c>
      <c r="AK1692" s="27">
        <v>24.89799</v>
      </c>
      <c r="AM1692" s="27">
        <v>34.183244000000002</v>
      </c>
      <c r="AO1692" s="29">
        <v>6.7647300000000001</v>
      </c>
    </row>
    <row r="1693" spans="2:41" x14ac:dyDescent="0.25">
      <c r="B1693" s="21">
        <v>44002</v>
      </c>
      <c r="C1693" s="27">
        <v>22.608799999999999</v>
      </c>
      <c r="E1693" s="30">
        <v>0.89464600000000005</v>
      </c>
      <c r="G1693" s="27">
        <v>69.743899999999996</v>
      </c>
      <c r="I1693" s="29">
        <v>6.906091</v>
      </c>
      <c r="K1693" s="29">
        <v>5.3133499999999998</v>
      </c>
      <c r="M1693" s="41">
        <v>817.3</v>
      </c>
      <c r="O1693" s="26">
        <v>3747.5574999999999</v>
      </c>
      <c r="Q1693" s="26">
        <v>6712.5613499999999</v>
      </c>
      <c r="S1693" s="26">
        <v>1263.3450539999999</v>
      </c>
      <c r="U1693" s="29">
        <v>3.5052249999999998</v>
      </c>
      <c r="W1693" s="14">
        <v>42.609180000000002</v>
      </c>
      <c r="Y1693" s="29">
        <v>8.0192899999999998</v>
      </c>
      <c r="AA1693" s="41">
        <v>578.03664000000003</v>
      </c>
      <c r="AC1693" s="27">
        <v>58.497500000000002</v>
      </c>
      <c r="AE1693" s="27">
        <v>1</v>
      </c>
      <c r="AG1693" s="29">
        <v>7.7023469999999996</v>
      </c>
      <c r="AI1693" s="29">
        <v>8.75</v>
      </c>
      <c r="AK1693" s="27">
        <v>24.890075</v>
      </c>
      <c r="AM1693" s="27">
        <v>34.34975</v>
      </c>
      <c r="AO1693" s="29">
        <v>6.758286</v>
      </c>
    </row>
    <row r="1694" spans="2:41" x14ac:dyDescent="0.25">
      <c r="B1694" s="21">
        <v>44003</v>
      </c>
      <c r="C1694" s="27">
        <v>22.608799999999999</v>
      </c>
      <c r="E1694" s="30">
        <v>0.89462399999999997</v>
      </c>
      <c r="G1694" s="27">
        <v>69.742356999999998</v>
      </c>
      <c r="I1694" s="29">
        <v>6.906091</v>
      </c>
      <c r="K1694" s="29">
        <v>5.3132260000000002</v>
      </c>
      <c r="M1694" s="41">
        <v>817.3</v>
      </c>
      <c r="O1694" s="26">
        <v>3747.5574999999999</v>
      </c>
      <c r="Q1694" s="26">
        <v>6712.5613499999999</v>
      </c>
      <c r="S1694" s="26">
        <v>1263.3744799999999</v>
      </c>
      <c r="U1694" s="29">
        <v>3.5052249999999998</v>
      </c>
      <c r="W1694" s="14">
        <v>42.609180000000002</v>
      </c>
      <c r="Y1694" s="29">
        <v>8.0194770000000002</v>
      </c>
      <c r="AA1694" s="41">
        <v>578.03664000000003</v>
      </c>
      <c r="AC1694" s="27">
        <v>58.497500000000002</v>
      </c>
      <c r="AE1694" s="27">
        <v>1</v>
      </c>
      <c r="AG1694" s="29">
        <v>7.7023469999999996</v>
      </c>
      <c r="AI1694" s="29">
        <v>8.75</v>
      </c>
      <c r="AK1694" s="27">
        <v>24.890075</v>
      </c>
      <c r="AM1694" s="27">
        <v>34.34975</v>
      </c>
      <c r="AO1694" s="29">
        <v>6.758286</v>
      </c>
    </row>
    <row r="1695" spans="2:41" x14ac:dyDescent="0.25">
      <c r="B1695" s="21">
        <v>44004</v>
      </c>
      <c r="C1695" s="27">
        <v>22.63</v>
      </c>
      <c r="E1695" s="30">
        <v>0.89069399999999999</v>
      </c>
      <c r="G1695" s="27">
        <v>69.834756999999996</v>
      </c>
      <c r="I1695" s="29">
        <v>6.9140360000000003</v>
      </c>
      <c r="K1695" s="29">
        <v>5.2631399999999999</v>
      </c>
      <c r="M1695" s="41">
        <v>817.18866400000002</v>
      </c>
      <c r="O1695" s="26">
        <v>3741.5488270000001</v>
      </c>
      <c r="Q1695" s="26">
        <v>6722.6953670000003</v>
      </c>
      <c r="S1695" s="26">
        <v>1277.3970380000001</v>
      </c>
      <c r="U1695" s="29">
        <v>3.51959</v>
      </c>
      <c r="W1695" s="14">
        <v>42.673071999999998</v>
      </c>
      <c r="Y1695" s="29">
        <v>8.1082610000000006</v>
      </c>
      <c r="AA1695" s="41">
        <v>577.99694399999998</v>
      </c>
      <c r="AC1695" s="27">
        <v>58.392474999999997</v>
      </c>
      <c r="AE1695" s="27">
        <v>1</v>
      </c>
      <c r="AG1695" s="29">
        <v>7.7106769999999996</v>
      </c>
      <c r="AI1695" s="29">
        <v>8.75</v>
      </c>
      <c r="AK1695" s="27">
        <v>24.850957999999999</v>
      </c>
      <c r="AM1695" s="27">
        <v>34.271374000000002</v>
      </c>
      <c r="AO1695" s="29">
        <v>6.7653920000000003</v>
      </c>
    </row>
    <row r="1696" spans="2:41" x14ac:dyDescent="0.25">
      <c r="B1696" s="21">
        <v>44005</v>
      </c>
      <c r="C1696" s="27">
        <v>22.441299999999998</v>
      </c>
      <c r="E1696" s="30">
        <v>0.88523600000000002</v>
      </c>
      <c r="G1696" s="27">
        <v>69.970597999999995</v>
      </c>
      <c r="I1696" s="29">
        <v>6.9050279999999997</v>
      </c>
      <c r="K1696" s="29">
        <v>5.2075620000000002</v>
      </c>
      <c r="M1696" s="41">
        <v>819.15308400000004</v>
      </c>
      <c r="O1696" s="26">
        <v>3717.2533800000001</v>
      </c>
      <c r="Q1696" s="26">
        <v>6721.480294</v>
      </c>
      <c r="S1696" s="26">
        <v>1290.723596</v>
      </c>
      <c r="U1696" s="29">
        <v>3.498462</v>
      </c>
      <c r="W1696" s="14">
        <v>42.598725000000002</v>
      </c>
      <c r="Y1696" s="29">
        <v>8.1801980000000007</v>
      </c>
      <c r="AA1696" s="41">
        <v>577.34785399999998</v>
      </c>
      <c r="AC1696" s="27">
        <v>58.348331999999999</v>
      </c>
      <c r="AE1696" s="27">
        <v>1</v>
      </c>
      <c r="AG1696" s="29">
        <v>7.6996589999999996</v>
      </c>
      <c r="AI1696" s="29">
        <v>8.75</v>
      </c>
      <c r="AK1696" s="27">
        <v>24.803989999999999</v>
      </c>
      <c r="AM1696" s="27">
        <v>34.469887999999997</v>
      </c>
      <c r="AO1696" s="29">
        <v>6.7582009999999997</v>
      </c>
    </row>
    <row r="1697" spans="2:41" x14ac:dyDescent="0.25">
      <c r="B1697" s="21">
        <v>44006</v>
      </c>
      <c r="C1697" s="27">
        <v>22.413</v>
      </c>
      <c r="E1697" s="30">
        <v>0.885992</v>
      </c>
      <c r="G1697" s="27">
        <v>70.058903999999998</v>
      </c>
      <c r="I1697" s="29">
        <v>6.9058599999999997</v>
      </c>
      <c r="K1697" s="29">
        <v>5.2235909999999999</v>
      </c>
      <c r="M1697" s="41">
        <v>819.64919699999996</v>
      </c>
      <c r="O1697" s="26">
        <v>3712.1274400000002</v>
      </c>
      <c r="Q1697" s="26">
        <v>6722.8927960000001</v>
      </c>
      <c r="S1697" s="26">
        <v>1287.033895</v>
      </c>
      <c r="U1697" s="29">
        <v>3.5055339999999999</v>
      </c>
      <c r="W1697" s="14">
        <v>42.431196</v>
      </c>
      <c r="Y1697" s="29">
        <v>8.1230279999999997</v>
      </c>
      <c r="AA1697" s="41">
        <v>577.23241199999995</v>
      </c>
      <c r="AC1697" s="27">
        <v>58.312654000000002</v>
      </c>
      <c r="AE1697" s="27">
        <v>1</v>
      </c>
      <c r="AG1697" s="29">
        <v>7.6977000000000002</v>
      </c>
      <c r="AI1697" s="29">
        <v>8.75</v>
      </c>
      <c r="AK1697" s="27">
        <v>24.798065999999999</v>
      </c>
      <c r="AM1697" s="27">
        <v>34.598993999999998</v>
      </c>
      <c r="AO1697" s="29">
        <v>6.7592040000000004</v>
      </c>
    </row>
    <row r="1698" spans="2:41" x14ac:dyDescent="0.25">
      <c r="B1698" s="21">
        <v>44007</v>
      </c>
      <c r="C1698" s="27">
        <v>22.6662</v>
      </c>
      <c r="E1698" s="30">
        <v>0.89055799999999996</v>
      </c>
      <c r="G1698" s="27">
        <v>70.109489999999994</v>
      </c>
      <c r="I1698" s="29">
        <v>6.9158059999999999</v>
      </c>
      <c r="K1698" s="29">
        <v>5.3464039999999997</v>
      </c>
      <c r="M1698" s="41">
        <v>815.34190799999999</v>
      </c>
      <c r="O1698" s="26">
        <v>3730.685238</v>
      </c>
      <c r="Q1698" s="26">
        <v>6737.0639060000003</v>
      </c>
      <c r="S1698" s="26">
        <v>1260.119545</v>
      </c>
      <c r="U1698" s="29">
        <v>3.5258240000000001</v>
      </c>
      <c r="W1698" s="14">
        <v>42.390591999999998</v>
      </c>
      <c r="Y1698" s="29">
        <v>7.9288379999999998</v>
      </c>
      <c r="AA1698" s="41">
        <v>578.59424899999999</v>
      </c>
      <c r="AC1698" s="27">
        <v>58.498631000000003</v>
      </c>
      <c r="AE1698" s="27">
        <v>1</v>
      </c>
      <c r="AG1698" s="29">
        <v>7.7084869999999999</v>
      </c>
      <c r="AI1698" s="29">
        <v>8.75</v>
      </c>
      <c r="AK1698" s="27">
        <v>24.852176</v>
      </c>
      <c r="AM1698" s="27">
        <v>34.749392</v>
      </c>
      <c r="AO1698" s="29">
        <v>6.7703069999999999</v>
      </c>
    </row>
    <row r="1699" spans="2:41" x14ac:dyDescent="0.25">
      <c r="B1699" s="21">
        <v>44008</v>
      </c>
      <c r="C1699" s="27">
        <v>22.796299999999999</v>
      </c>
      <c r="E1699" s="30">
        <v>0.89124899999999996</v>
      </c>
      <c r="G1699" s="27">
        <v>70.167578000000006</v>
      </c>
      <c r="I1699" s="29">
        <v>6.9097099999999996</v>
      </c>
      <c r="K1699" s="29">
        <v>5.41134</v>
      </c>
      <c r="M1699" s="41">
        <v>813.59666200000004</v>
      </c>
      <c r="O1699" s="26">
        <v>3736.149214</v>
      </c>
      <c r="Q1699" s="26">
        <v>6739.2660180000003</v>
      </c>
      <c r="S1699" s="26">
        <v>1245.404364</v>
      </c>
      <c r="U1699" s="29">
        <v>3.5102500000000001</v>
      </c>
      <c r="W1699" s="14">
        <v>42.188547999999997</v>
      </c>
      <c r="Y1699" s="29">
        <v>7.7963519999999997</v>
      </c>
      <c r="AA1699" s="41">
        <v>578.31999099999996</v>
      </c>
      <c r="AC1699" s="27">
        <v>58.366022000000001</v>
      </c>
      <c r="AE1699" s="27">
        <v>1</v>
      </c>
      <c r="AG1699" s="29">
        <v>7.6991319999999996</v>
      </c>
      <c r="AI1699" s="29">
        <v>8.75</v>
      </c>
      <c r="AK1699" s="27">
        <v>24.805678</v>
      </c>
      <c r="AM1699" s="27">
        <v>34.562938000000003</v>
      </c>
      <c r="AO1699" s="29">
        <v>6.7618819999999999</v>
      </c>
    </row>
    <row r="1700" spans="2:41" x14ac:dyDescent="0.25">
      <c r="B1700" s="21">
        <v>44009</v>
      </c>
      <c r="C1700" s="27">
        <v>22.796299999999999</v>
      </c>
      <c r="E1700" s="30">
        <v>0.89138899999999999</v>
      </c>
      <c r="G1700" s="27">
        <v>70.158725000000004</v>
      </c>
      <c r="I1700" s="29">
        <v>6.9122719999999997</v>
      </c>
      <c r="K1700" s="29">
        <v>5.4835250000000002</v>
      </c>
      <c r="M1700" s="41">
        <v>821.5</v>
      </c>
      <c r="O1700" s="26">
        <v>3748.9974999999999</v>
      </c>
      <c r="Q1700" s="26">
        <v>6744.9018749999996</v>
      </c>
      <c r="S1700" s="26">
        <v>1230.0396599999999</v>
      </c>
      <c r="U1700" s="29">
        <v>3.5263749999999998</v>
      </c>
      <c r="W1700" s="14">
        <v>42.363219999999998</v>
      </c>
      <c r="Y1700" s="29">
        <v>7.7255890000000003</v>
      </c>
      <c r="AA1700" s="41">
        <v>578.43385499999999</v>
      </c>
      <c r="AC1700" s="27">
        <v>58.572499999999998</v>
      </c>
      <c r="AE1700" s="27">
        <v>1</v>
      </c>
      <c r="AG1700" s="29">
        <v>7.6997400000000003</v>
      </c>
      <c r="AI1700" s="29">
        <v>8.75</v>
      </c>
      <c r="AK1700" s="27">
        <v>24.800975000000001</v>
      </c>
      <c r="AM1700" s="27">
        <v>34.45975</v>
      </c>
      <c r="AO1700" s="29">
        <v>6.7620500000000003</v>
      </c>
    </row>
    <row r="1701" spans="2:41" x14ac:dyDescent="0.25">
      <c r="B1701" s="21">
        <v>44010</v>
      </c>
      <c r="C1701" s="27">
        <v>22.796299999999999</v>
      </c>
      <c r="E1701" s="30">
        <v>0.89134500000000005</v>
      </c>
      <c r="G1701" s="27">
        <v>70.155643999999995</v>
      </c>
      <c r="I1701" s="29">
        <v>6.9122719999999997</v>
      </c>
      <c r="K1701" s="29">
        <v>5.4835380000000002</v>
      </c>
      <c r="M1701" s="41">
        <v>821.47871399999997</v>
      </c>
      <c r="O1701" s="26">
        <v>3748.9055069999999</v>
      </c>
      <c r="Q1701" s="26">
        <v>6744.9018749999996</v>
      </c>
      <c r="S1701" s="26">
        <v>1230.036758</v>
      </c>
      <c r="U1701" s="29">
        <v>3.5266160000000002</v>
      </c>
      <c r="W1701" s="14">
        <v>42.342761000000003</v>
      </c>
      <c r="Y1701" s="29">
        <v>7.721838</v>
      </c>
      <c r="AA1701" s="41">
        <v>578.43385499999999</v>
      </c>
      <c r="AC1701" s="27">
        <v>58.572499999999998</v>
      </c>
      <c r="AE1701" s="27">
        <v>1</v>
      </c>
      <c r="AG1701" s="29">
        <v>7.6997400000000003</v>
      </c>
      <c r="AI1701" s="29">
        <v>8.75</v>
      </c>
      <c r="AK1701" s="27">
        <v>24.800975000000001</v>
      </c>
      <c r="AM1701" s="27">
        <v>34.45975</v>
      </c>
      <c r="AO1701" s="29">
        <v>6.7620500000000003</v>
      </c>
    </row>
    <row r="1702" spans="2:41" x14ac:dyDescent="0.25">
      <c r="B1702" s="21">
        <v>44011</v>
      </c>
      <c r="C1702" s="27">
        <v>22.971499999999999</v>
      </c>
      <c r="E1702" s="30">
        <v>0.88904399999999995</v>
      </c>
      <c r="G1702" s="27">
        <v>70.248363999999995</v>
      </c>
      <c r="I1702" s="29">
        <v>6.9138789999999997</v>
      </c>
      <c r="K1702" s="29">
        <v>5.4554739999999997</v>
      </c>
      <c r="M1702" s="41">
        <v>820.77535899999998</v>
      </c>
      <c r="O1702" s="26">
        <v>3748.7430319999999</v>
      </c>
      <c r="Q1702" s="26">
        <v>6753.8532180000002</v>
      </c>
      <c r="S1702" s="26">
        <v>1238.0052619999999</v>
      </c>
      <c r="U1702" s="29">
        <v>3.5191880000000002</v>
      </c>
      <c r="W1702" s="14">
        <v>42.115188000000003</v>
      </c>
      <c r="Y1702" s="29">
        <v>7.7198419999999999</v>
      </c>
      <c r="AA1702" s="41">
        <v>579.17161999999996</v>
      </c>
      <c r="AC1702" s="27">
        <v>58.312026000000003</v>
      </c>
      <c r="AE1702" s="27">
        <v>1</v>
      </c>
      <c r="AG1702" s="29">
        <v>7.7007440000000003</v>
      </c>
      <c r="AI1702" s="29">
        <v>8.75</v>
      </c>
      <c r="AK1702" s="27">
        <v>24.797767</v>
      </c>
      <c r="AM1702" s="27">
        <v>34.274627000000002</v>
      </c>
      <c r="AO1702" s="29">
        <v>6.7629539999999997</v>
      </c>
    </row>
    <row r="1703" spans="2:41" x14ac:dyDescent="0.25">
      <c r="B1703" s="21">
        <v>44012</v>
      </c>
      <c r="C1703" s="27">
        <v>23.1325</v>
      </c>
      <c r="E1703" s="30">
        <v>0.89055399999999996</v>
      </c>
      <c r="G1703" s="27">
        <v>70.387060000000005</v>
      </c>
      <c r="I1703" s="29">
        <v>6.9331680000000002</v>
      </c>
      <c r="K1703" s="29">
        <v>5.431419</v>
      </c>
      <c r="M1703" s="41">
        <v>821.42760699999997</v>
      </c>
      <c r="O1703" s="26">
        <v>3750.245316</v>
      </c>
      <c r="Q1703" s="26">
        <v>6786.915618</v>
      </c>
      <c r="S1703" s="26">
        <v>1249.572858</v>
      </c>
      <c r="U1703" s="29">
        <v>3.5375299999999998</v>
      </c>
      <c r="W1703" s="14">
        <v>42.160454000000001</v>
      </c>
      <c r="Y1703" s="29">
        <v>7.7623540000000002</v>
      </c>
      <c r="AA1703" s="41">
        <v>581.18993399999999</v>
      </c>
      <c r="AC1703" s="27">
        <v>58.483465000000002</v>
      </c>
      <c r="AE1703" s="27">
        <v>1</v>
      </c>
      <c r="AG1703" s="29">
        <v>7.7185759999999997</v>
      </c>
      <c r="AI1703" s="29">
        <v>8.75</v>
      </c>
      <c r="AK1703" s="27">
        <v>24.867647999999999</v>
      </c>
      <c r="AM1703" s="27">
        <v>34.237476000000001</v>
      </c>
      <c r="AO1703" s="29">
        <v>6.7787139999999999</v>
      </c>
    </row>
    <row r="1704" spans="2:41" ht="13" x14ac:dyDescent="0.3">
      <c r="B1704" s="25" t="s">
        <v>192</v>
      </c>
      <c r="C1704" s="19">
        <v>22.3001</v>
      </c>
      <c r="E1704" s="19">
        <v>0.88880000000000003</v>
      </c>
      <c r="G1704" s="19">
        <v>69.481499999999997</v>
      </c>
      <c r="I1704" s="19">
        <v>6.9078999999999997</v>
      </c>
      <c r="J1704" s="9"/>
      <c r="K1704" s="19">
        <v>5.1909000000000001</v>
      </c>
      <c r="M1704" s="19">
        <v>796.77020000000005</v>
      </c>
      <c r="O1704" s="19">
        <v>3708.2363999999998</v>
      </c>
      <c r="Q1704" s="19">
        <v>6690.3721999999998</v>
      </c>
      <c r="S1704" s="19">
        <v>1290.2853</v>
      </c>
      <c r="U1704" s="19">
        <v>3.4725000000000001</v>
      </c>
      <c r="W1704" s="19">
        <v>42.716999999999999</v>
      </c>
      <c r="Y1704" s="19">
        <v>8.2406000000000006</v>
      </c>
      <c r="AA1704" s="19">
        <v>576.30690000000004</v>
      </c>
      <c r="AC1704" s="19">
        <v>57.965899999999998</v>
      </c>
      <c r="AE1704" s="19">
        <v>1</v>
      </c>
      <c r="AG1704" s="19">
        <v>7.6943999999999999</v>
      </c>
      <c r="AI1704" s="19">
        <v>8.75</v>
      </c>
      <c r="AK1704" s="19">
        <v>24.846800000000002</v>
      </c>
      <c r="AM1704" s="19">
        <v>34.136000000000003</v>
      </c>
      <c r="AO1704" s="19">
        <v>6.7596999999999996</v>
      </c>
    </row>
    <row r="1705" spans="2:41" x14ac:dyDescent="0.25">
      <c r="B1705" s="21">
        <v>44013</v>
      </c>
      <c r="C1705" s="27">
        <v>23.089300000000001</v>
      </c>
      <c r="E1705" s="30">
        <v>0.88989600000000002</v>
      </c>
      <c r="G1705" s="30">
        <v>70.478365999999994</v>
      </c>
      <c r="I1705" s="30">
        <v>6.9090800000000003</v>
      </c>
      <c r="K1705" s="30">
        <v>5.4026300000000003</v>
      </c>
      <c r="M1705" s="30">
        <v>818.28511000000003</v>
      </c>
      <c r="O1705" s="30">
        <v>3748.2241210000002</v>
      </c>
      <c r="Q1705" s="30">
        <v>6794.0369840000003</v>
      </c>
      <c r="S1705" s="30">
        <v>1257.549626</v>
      </c>
      <c r="U1705" s="30">
        <v>3.5325579999999999</v>
      </c>
      <c r="W1705" s="30">
        <v>42.051971000000002</v>
      </c>
      <c r="Y1705" s="30">
        <v>7.7836379999999998</v>
      </c>
      <c r="AA1705" s="30">
        <v>579.79826100000002</v>
      </c>
      <c r="AC1705" s="30">
        <v>58.428013999999997</v>
      </c>
      <c r="AE1705" s="27">
        <v>1</v>
      </c>
      <c r="AG1705" s="30">
        <v>7.7014800000000001</v>
      </c>
      <c r="AI1705" s="30">
        <v>8.75</v>
      </c>
      <c r="AK1705" s="30">
        <v>24.793565000000001</v>
      </c>
      <c r="AM1705" s="30">
        <v>34.232909999999997</v>
      </c>
      <c r="AO1705" s="30">
        <v>6.7522440000000001</v>
      </c>
    </row>
    <row r="1706" spans="2:41" x14ac:dyDescent="0.25">
      <c r="B1706" s="21">
        <v>44014</v>
      </c>
      <c r="C1706" s="27">
        <v>22.8078</v>
      </c>
      <c r="E1706" s="30">
        <v>0.88833399999999996</v>
      </c>
      <c r="G1706" s="30">
        <v>70.539484000000002</v>
      </c>
      <c r="I1706" s="30">
        <v>6.8978979999999996</v>
      </c>
      <c r="K1706" s="30">
        <v>5.3256709999999998</v>
      </c>
      <c r="M1706" s="30">
        <v>805.44912599999998</v>
      </c>
      <c r="O1706" s="30">
        <v>3695.1360650000001</v>
      </c>
      <c r="Q1706" s="30">
        <v>6793.4449800000002</v>
      </c>
      <c r="S1706" s="30">
        <v>1275.6110639999999</v>
      </c>
      <c r="U1706" s="30">
        <v>3.5254639999999999</v>
      </c>
      <c r="W1706" s="30">
        <v>42.080781999999999</v>
      </c>
      <c r="Y1706" s="30">
        <v>7.9015250000000004</v>
      </c>
      <c r="AA1706" s="30">
        <v>579.96534799999995</v>
      </c>
      <c r="AC1706" s="30">
        <v>58.406440000000003</v>
      </c>
      <c r="AE1706" s="27">
        <v>1</v>
      </c>
      <c r="AG1706" s="30">
        <v>7.6956509999999998</v>
      </c>
      <c r="AI1706" s="30">
        <v>8.75</v>
      </c>
      <c r="AK1706" s="30">
        <v>24.768090000000001</v>
      </c>
      <c r="AM1706" s="30">
        <v>34.131644999999999</v>
      </c>
      <c r="AO1706" s="30">
        <v>6.7412280000000004</v>
      </c>
    </row>
    <row r="1707" spans="2:41" x14ac:dyDescent="0.25">
      <c r="B1707" s="21">
        <v>44015</v>
      </c>
      <c r="C1707" s="27">
        <v>22.522500000000001</v>
      </c>
      <c r="E1707" s="30">
        <v>0.88971599999999995</v>
      </c>
      <c r="G1707" s="30">
        <v>70.602941000000001</v>
      </c>
      <c r="I1707" s="30">
        <v>6.9126260000000004</v>
      </c>
      <c r="K1707" s="30">
        <v>5.3423040000000004</v>
      </c>
      <c r="M1707" s="30">
        <v>801.60894499999995</v>
      </c>
      <c r="O1707" s="30">
        <v>3647.3215479999999</v>
      </c>
      <c r="Q1707" s="30">
        <v>6807.1965950000003</v>
      </c>
      <c r="S1707" s="30">
        <v>1274.2132790000001</v>
      </c>
      <c r="U1707" s="30">
        <v>3.5308060000000001</v>
      </c>
      <c r="W1707" s="30">
        <v>42.337549000000003</v>
      </c>
      <c r="Y1707" s="30">
        <v>7.9249900000000002</v>
      </c>
      <c r="AA1707" s="30">
        <v>581.26472799999999</v>
      </c>
      <c r="AC1707" s="30">
        <v>58.487223999999998</v>
      </c>
      <c r="AE1707" s="27">
        <v>1</v>
      </c>
      <c r="AG1707" s="30">
        <v>7.7097660000000001</v>
      </c>
      <c r="AI1707" s="30">
        <v>8.75</v>
      </c>
      <c r="AK1707" s="30">
        <v>24.804106000000001</v>
      </c>
      <c r="AM1707" s="30">
        <v>34.357678</v>
      </c>
      <c r="AO1707" s="30">
        <v>6.7537320000000003</v>
      </c>
    </row>
    <row r="1708" spans="2:41" x14ac:dyDescent="0.25">
      <c r="B1708" s="21">
        <v>44016</v>
      </c>
      <c r="C1708" s="27">
        <v>22.522500000000001</v>
      </c>
      <c r="E1708" s="30">
        <v>0.88902400000000004</v>
      </c>
      <c r="G1708" s="30">
        <v>70.619974999999997</v>
      </c>
      <c r="I1708" s="30">
        <v>6.9099300000000001</v>
      </c>
      <c r="K1708" s="30">
        <v>5.3128000000000002</v>
      </c>
      <c r="M1708" s="30">
        <v>802.5</v>
      </c>
      <c r="O1708" s="30">
        <v>3650.2224999999999</v>
      </c>
      <c r="Q1708" s="30">
        <v>6802.5105249999997</v>
      </c>
      <c r="S1708" s="30">
        <v>1280.40652</v>
      </c>
      <c r="U1708" s="30">
        <v>3.5219749999999999</v>
      </c>
      <c r="W1708" s="30">
        <v>42.522255000000001</v>
      </c>
      <c r="Y1708" s="30">
        <v>8.0037649999999996</v>
      </c>
      <c r="AA1708" s="30">
        <v>580.59223799999995</v>
      </c>
      <c r="AC1708" s="30">
        <v>58.572499999999998</v>
      </c>
      <c r="AE1708" s="27">
        <v>1</v>
      </c>
      <c r="AG1708" s="30">
        <v>7.7036860000000003</v>
      </c>
      <c r="AI1708" s="30">
        <v>8.75</v>
      </c>
      <c r="AK1708" s="30">
        <v>24.833725000000001</v>
      </c>
      <c r="AM1708" s="30">
        <v>34.479750000000003</v>
      </c>
      <c r="AO1708" s="30">
        <v>6.7487139999999997</v>
      </c>
    </row>
    <row r="1709" spans="2:41" x14ac:dyDescent="0.25">
      <c r="B1709" s="21">
        <v>44017</v>
      </c>
      <c r="C1709" s="27">
        <v>22.522500000000001</v>
      </c>
      <c r="E1709" s="30">
        <v>0.88904899999999998</v>
      </c>
      <c r="G1709" s="30">
        <v>70.624770999999996</v>
      </c>
      <c r="I1709" s="30">
        <v>6.9099300000000001</v>
      </c>
      <c r="K1709" s="30">
        <v>5.3129140000000001</v>
      </c>
      <c r="M1709" s="30">
        <v>802.50042299999996</v>
      </c>
      <c r="O1709" s="30">
        <v>3650.0410280000001</v>
      </c>
      <c r="Q1709" s="30">
        <v>6802.5105249999997</v>
      </c>
      <c r="S1709" s="30">
        <v>1280.3797340000001</v>
      </c>
      <c r="U1709" s="30">
        <v>3.5227620000000002</v>
      </c>
      <c r="W1709" s="30">
        <v>42.497590000000002</v>
      </c>
      <c r="Y1709" s="30">
        <v>7.9989540000000003</v>
      </c>
      <c r="AA1709" s="30">
        <v>580.59223799999995</v>
      </c>
      <c r="AC1709" s="30">
        <v>58.572499999999998</v>
      </c>
      <c r="AE1709" s="27">
        <v>1</v>
      </c>
      <c r="AG1709" s="30">
        <v>7.7036860000000003</v>
      </c>
      <c r="AI1709" s="30">
        <v>8.75</v>
      </c>
      <c r="AK1709" s="30">
        <v>24.833725000000001</v>
      </c>
      <c r="AM1709" s="30">
        <v>34.479750000000003</v>
      </c>
      <c r="AO1709" s="30">
        <v>6.7487139999999997</v>
      </c>
    </row>
    <row r="1710" spans="2:41" x14ac:dyDescent="0.25">
      <c r="B1710" s="21">
        <v>44018</v>
      </c>
      <c r="C1710" s="27">
        <v>22.4147</v>
      </c>
      <c r="E1710" s="30">
        <v>0.88499000000000005</v>
      </c>
      <c r="G1710" s="30">
        <v>70.652962000000002</v>
      </c>
      <c r="I1710" s="30">
        <v>6.9028080000000003</v>
      </c>
      <c r="K1710" s="30">
        <v>5.3140299999999998</v>
      </c>
      <c r="M1710" s="30">
        <v>800.67218800000001</v>
      </c>
      <c r="O1710" s="30">
        <v>3642.1909000000001</v>
      </c>
      <c r="Q1710" s="30">
        <v>6799.4099619999997</v>
      </c>
      <c r="S1710" s="30">
        <v>1279.5904419999999</v>
      </c>
      <c r="U1710" s="30">
        <v>3.5283380000000002</v>
      </c>
      <c r="W1710" s="30">
        <v>42.410454000000001</v>
      </c>
      <c r="Y1710" s="30">
        <v>7.9811540000000001</v>
      </c>
      <c r="AA1710" s="30">
        <v>580.84902099999999</v>
      </c>
      <c r="AC1710" s="30">
        <v>58.447339999999997</v>
      </c>
      <c r="AE1710" s="27">
        <v>1</v>
      </c>
      <c r="AG1710" s="30">
        <v>7.6979959999999998</v>
      </c>
      <c r="AI1710" s="30">
        <v>8.75</v>
      </c>
      <c r="AK1710" s="30">
        <v>24.772690000000001</v>
      </c>
      <c r="AM1710" s="30">
        <v>34.557763000000001</v>
      </c>
      <c r="AO1710" s="30">
        <v>6.7450340000000004</v>
      </c>
    </row>
    <row r="1711" spans="2:41" x14ac:dyDescent="0.25">
      <c r="B1711" s="21">
        <v>44019</v>
      </c>
      <c r="C1711" s="27">
        <v>22.280799999999999</v>
      </c>
      <c r="E1711" s="30">
        <v>0.88557799999999998</v>
      </c>
      <c r="G1711" s="30">
        <v>70.806377999999995</v>
      </c>
      <c r="I1711" s="30">
        <v>6.8994</v>
      </c>
      <c r="K1711" s="30">
        <v>5.3581399999999997</v>
      </c>
      <c r="M1711" s="30">
        <v>795.768551</v>
      </c>
      <c r="O1711" s="30">
        <v>3632.7558309999999</v>
      </c>
      <c r="Q1711" s="30">
        <v>6807.6440359999997</v>
      </c>
      <c r="S1711" s="30">
        <v>1270.5312240000001</v>
      </c>
      <c r="U1711" s="30">
        <v>3.5385580000000001</v>
      </c>
      <c r="W1711" s="30">
        <v>42.681567999999999</v>
      </c>
      <c r="Y1711" s="30">
        <v>7.9657720000000003</v>
      </c>
      <c r="AA1711" s="30">
        <v>581.49063200000001</v>
      </c>
      <c r="AC1711" s="30">
        <v>58.369636</v>
      </c>
      <c r="AE1711" s="27">
        <v>1</v>
      </c>
      <c r="AG1711" s="30">
        <v>7.6951470000000004</v>
      </c>
      <c r="AI1711" s="30">
        <v>8.75</v>
      </c>
      <c r="AK1711" s="30">
        <v>24.774139000000002</v>
      </c>
      <c r="AM1711" s="30">
        <v>34.520305</v>
      </c>
      <c r="AO1711" s="30">
        <v>6.7458400000000003</v>
      </c>
    </row>
    <row r="1712" spans="2:41" x14ac:dyDescent="0.25">
      <c r="B1712" s="21">
        <v>44020</v>
      </c>
      <c r="C1712" s="27">
        <v>22.621300000000002</v>
      </c>
      <c r="E1712" s="30">
        <v>0.88473599999999997</v>
      </c>
      <c r="G1712" s="30">
        <v>70.885776000000007</v>
      </c>
      <c r="I1712" s="30">
        <v>6.9075569999999997</v>
      </c>
      <c r="K1712" s="30">
        <v>5.3655160000000004</v>
      </c>
      <c r="M1712" s="30">
        <v>787.92652999999996</v>
      </c>
      <c r="O1712" s="30">
        <v>3629.245152</v>
      </c>
      <c r="Q1712" s="30">
        <v>6833.1464470000001</v>
      </c>
      <c r="S1712" s="30">
        <v>1273.5377579999999</v>
      </c>
      <c r="U1712" s="30">
        <v>3.5363880000000001</v>
      </c>
      <c r="W1712" s="30">
        <v>43.081268000000001</v>
      </c>
      <c r="Y1712" s="30">
        <v>8.0293150000000004</v>
      </c>
      <c r="AA1712" s="30">
        <v>582.82410600000003</v>
      </c>
      <c r="AC1712" s="30">
        <v>58.353726000000002</v>
      </c>
      <c r="AE1712" s="27">
        <v>1</v>
      </c>
      <c r="AG1712" s="30">
        <v>7.7023780000000004</v>
      </c>
      <c r="AI1712" s="30">
        <v>8.75</v>
      </c>
      <c r="AK1712" s="30">
        <v>24.796112999999998</v>
      </c>
      <c r="AM1712" s="30">
        <v>34.559348</v>
      </c>
      <c r="AO1712" s="30">
        <v>6.7601490000000002</v>
      </c>
    </row>
    <row r="1713" spans="2:41" x14ac:dyDescent="0.25">
      <c r="B1713" s="21">
        <v>44021</v>
      </c>
      <c r="C1713" s="27">
        <v>22.822500000000002</v>
      </c>
      <c r="E1713" s="30">
        <v>0.88325600000000004</v>
      </c>
      <c r="G1713" s="30">
        <v>70.884268000000006</v>
      </c>
      <c r="I1713" s="30">
        <v>6.8857600000000003</v>
      </c>
      <c r="K1713" s="30">
        <v>5.3360510000000003</v>
      </c>
      <c r="M1713" s="30">
        <v>786.14300200000002</v>
      </c>
      <c r="O1713" s="30">
        <v>3634.829436</v>
      </c>
      <c r="Q1713" s="30">
        <v>6816.0190439999997</v>
      </c>
      <c r="S1713" s="30">
        <v>1277.3601530000001</v>
      </c>
      <c r="U1713" s="30">
        <v>3.5145499999999998</v>
      </c>
      <c r="W1713" s="30">
        <v>43.319091</v>
      </c>
      <c r="Y1713" s="30">
        <v>8.1182210000000001</v>
      </c>
      <c r="AA1713" s="30">
        <v>581.60157600000002</v>
      </c>
      <c r="AC1713" s="30">
        <v>58.302722000000003</v>
      </c>
      <c r="AE1713" s="27">
        <v>1</v>
      </c>
      <c r="AG1713" s="30">
        <v>7.6771539999999998</v>
      </c>
      <c r="AI1713" s="30">
        <v>8.75</v>
      </c>
      <c r="AK1713" s="30">
        <v>24.725577999999999</v>
      </c>
      <c r="AM1713" s="30">
        <v>34.626075999999998</v>
      </c>
      <c r="AO1713" s="30">
        <v>6.7440819999999997</v>
      </c>
    </row>
    <row r="1714" spans="2:41" x14ac:dyDescent="0.25">
      <c r="B1714" s="21">
        <v>44022</v>
      </c>
      <c r="C1714" s="27">
        <v>22.694500000000001</v>
      </c>
      <c r="E1714" s="30">
        <v>0.88569500000000001</v>
      </c>
      <c r="G1714" s="30">
        <v>70.873596000000006</v>
      </c>
      <c r="I1714" s="30">
        <v>6.9059549999999996</v>
      </c>
      <c r="K1714" s="30">
        <v>5.3372380000000001</v>
      </c>
      <c r="M1714" s="30">
        <v>790.17630599999995</v>
      </c>
      <c r="O1714" s="30">
        <v>3619.1653409999999</v>
      </c>
      <c r="Q1714" s="30">
        <v>6837.6976400000003</v>
      </c>
      <c r="S1714" s="30">
        <v>1281.13807</v>
      </c>
      <c r="U1714" s="30">
        <v>3.51024</v>
      </c>
      <c r="W1714" s="30">
        <v>43.667853999999998</v>
      </c>
      <c r="Y1714" s="30">
        <v>8.1817620000000009</v>
      </c>
      <c r="AA1714" s="30">
        <v>583.21029099999998</v>
      </c>
      <c r="AC1714" s="30">
        <v>58.429603</v>
      </c>
      <c r="AE1714" s="27">
        <v>1</v>
      </c>
      <c r="AG1714" s="30">
        <v>7.6948850000000002</v>
      </c>
      <c r="AI1714" s="30">
        <v>8.75</v>
      </c>
      <c r="AK1714" s="30">
        <v>24.779318</v>
      </c>
      <c r="AM1714" s="30">
        <v>34.715026000000002</v>
      </c>
      <c r="AO1714" s="30">
        <v>6.7625599999999997</v>
      </c>
    </row>
    <row r="1715" spans="2:41" x14ac:dyDescent="0.25">
      <c r="B1715" s="21">
        <v>44023</v>
      </c>
      <c r="C1715" s="27">
        <v>22.694500000000001</v>
      </c>
      <c r="E1715" s="30">
        <v>0.88494799999999996</v>
      </c>
      <c r="G1715" s="30">
        <v>70.865399999999994</v>
      </c>
      <c r="I1715" s="30">
        <v>6.9048720000000001</v>
      </c>
      <c r="K1715" s="30">
        <v>5.3239159999999996</v>
      </c>
      <c r="M1715" s="30">
        <v>792.4</v>
      </c>
      <c r="O1715" s="30">
        <v>3609.75</v>
      </c>
      <c r="Q1715" s="30">
        <v>6838.3517499999998</v>
      </c>
      <c r="S1715" s="30">
        <v>1284.469634</v>
      </c>
      <c r="U1715" s="30">
        <v>3.5051999999999999</v>
      </c>
      <c r="W1715" s="30">
        <v>43.654262000000003</v>
      </c>
      <c r="Y1715" s="30">
        <v>8.1997009999999992</v>
      </c>
      <c r="AA1715" s="30">
        <v>582.92132500000002</v>
      </c>
      <c r="AC1715" s="30">
        <v>58.46</v>
      </c>
      <c r="AE1715" s="27">
        <v>1</v>
      </c>
      <c r="AG1715" s="30">
        <v>7.6905539999999997</v>
      </c>
      <c r="AI1715" s="30">
        <v>8.75</v>
      </c>
      <c r="AK1715" s="30">
        <v>24.836424999999998</v>
      </c>
      <c r="AM1715" s="30">
        <v>34.554749999999999</v>
      </c>
      <c r="AO1715" s="30">
        <v>6.7591760000000001</v>
      </c>
    </row>
    <row r="1716" spans="2:41" x14ac:dyDescent="0.25">
      <c r="B1716" s="21">
        <v>44024</v>
      </c>
      <c r="C1716" s="27">
        <v>22.694500000000001</v>
      </c>
      <c r="E1716" s="30">
        <v>0.884849</v>
      </c>
      <c r="G1716" s="30">
        <v>70.853528999999995</v>
      </c>
      <c r="I1716" s="30">
        <v>6.9048160000000003</v>
      </c>
      <c r="K1716" s="30">
        <v>5.3242770000000004</v>
      </c>
      <c r="M1716" s="30">
        <v>792.4</v>
      </c>
      <c r="O1716" s="30">
        <v>3609.9874</v>
      </c>
      <c r="Q1716" s="30">
        <v>6838.5045250000003</v>
      </c>
      <c r="S1716" s="30">
        <v>1284.4110250000001</v>
      </c>
      <c r="U1716" s="30">
        <v>3.5052099999999999</v>
      </c>
      <c r="W1716" s="30">
        <v>43.654262000000003</v>
      </c>
      <c r="Y1716" s="30">
        <v>8.1991429999999994</v>
      </c>
      <c r="AA1716" s="30">
        <v>582.92256399999997</v>
      </c>
      <c r="AC1716" s="30">
        <v>58.451948000000002</v>
      </c>
      <c r="AE1716" s="27">
        <v>1</v>
      </c>
      <c r="AG1716" s="30">
        <v>7.6905419999999998</v>
      </c>
      <c r="AI1716" s="30">
        <v>8.75</v>
      </c>
      <c r="AK1716" s="30">
        <v>24.836449999999999</v>
      </c>
      <c r="AM1716" s="30">
        <v>34.561810000000001</v>
      </c>
      <c r="AO1716" s="30">
        <v>6.7591900000000003</v>
      </c>
    </row>
    <row r="1717" spans="2:41" x14ac:dyDescent="0.25">
      <c r="B1717" s="21">
        <v>44025</v>
      </c>
      <c r="C1717" s="27">
        <v>22.534199999999998</v>
      </c>
      <c r="E1717" s="30">
        <v>0.88202700000000001</v>
      </c>
      <c r="G1717" s="30">
        <v>70.981036000000003</v>
      </c>
      <c r="I1717" s="30">
        <v>6.9079819999999996</v>
      </c>
      <c r="K1717" s="30">
        <v>5.348096</v>
      </c>
      <c r="M1717" s="30">
        <v>790.78792599999997</v>
      </c>
      <c r="O1717" s="30">
        <v>3619.4814000000001</v>
      </c>
      <c r="Q1717" s="30">
        <v>6846.5095940000001</v>
      </c>
      <c r="S1717" s="30">
        <v>1280.1846880000001</v>
      </c>
      <c r="U1717" s="30">
        <v>3.5023520000000001</v>
      </c>
      <c r="W1717" s="30">
        <v>43.661914000000003</v>
      </c>
      <c r="Y1717" s="30">
        <v>8.1640379999999997</v>
      </c>
      <c r="AA1717" s="30">
        <v>583.01022399999999</v>
      </c>
      <c r="AC1717" s="30">
        <v>58.412702000000003</v>
      </c>
      <c r="AE1717" s="27">
        <v>1</v>
      </c>
      <c r="AG1717" s="30">
        <v>7.6935969999999996</v>
      </c>
      <c r="AI1717" s="30">
        <v>8.75</v>
      </c>
      <c r="AK1717" s="30">
        <v>24.823998</v>
      </c>
      <c r="AM1717" s="30">
        <v>34.604064000000001</v>
      </c>
      <c r="AO1717" s="30">
        <v>6.760122</v>
      </c>
    </row>
    <row r="1718" spans="2:41" x14ac:dyDescent="0.25">
      <c r="B1718" s="21">
        <v>44026</v>
      </c>
      <c r="C1718" s="27">
        <v>22.4633</v>
      </c>
      <c r="E1718" s="30">
        <v>0.879386</v>
      </c>
      <c r="G1718" s="30">
        <v>71.213723000000002</v>
      </c>
      <c r="I1718" s="30">
        <v>6.9065919999999998</v>
      </c>
      <c r="K1718" s="30">
        <v>5.3932219999999997</v>
      </c>
      <c r="M1718" s="30">
        <v>788.49945200000002</v>
      </c>
      <c r="O1718" s="30">
        <v>3621.8389980000002</v>
      </c>
      <c r="Q1718" s="30">
        <v>6859.2739320000001</v>
      </c>
      <c r="S1718" s="30">
        <v>1271.8392699999999</v>
      </c>
      <c r="U1718" s="30">
        <v>3.5002779999999998</v>
      </c>
      <c r="W1718" s="30">
        <v>43.645859999999999</v>
      </c>
      <c r="Y1718" s="30">
        <v>8.0927509999999998</v>
      </c>
      <c r="AA1718" s="30">
        <v>582.87474099999997</v>
      </c>
      <c r="AC1718" s="30">
        <v>58.334488</v>
      </c>
      <c r="AE1718" s="27">
        <v>1</v>
      </c>
      <c r="AG1718" s="30">
        <v>7.6936900000000001</v>
      </c>
      <c r="AI1718" s="30">
        <v>8.75</v>
      </c>
      <c r="AK1718" s="30">
        <v>24.772964000000002</v>
      </c>
      <c r="AM1718" s="30">
        <v>34.586888000000002</v>
      </c>
      <c r="AO1718" s="30">
        <v>6.758686</v>
      </c>
    </row>
    <row r="1719" spans="2:41" x14ac:dyDescent="0.25">
      <c r="B1719" s="21">
        <v>44027</v>
      </c>
      <c r="C1719" s="27">
        <v>22.6173</v>
      </c>
      <c r="E1719" s="30">
        <v>0.87595699999999999</v>
      </c>
      <c r="G1719" s="30">
        <v>71.274420000000006</v>
      </c>
      <c r="I1719" s="30">
        <v>6.9003439999999996</v>
      </c>
      <c r="K1719" s="30">
        <v>5.3644610000000004</v>
      </c>
      <c r="M1719" s="30">
        <v>785.95689800000002</v>
      </c>
      <c r="O1719" s="30">
        <v>3621.5992080000001</v>
      </c>
      <c r="Q1719" s="30">
        <v>6870.1300099999999</v>
      </c>
      <c r="S1719" s="30">
        <v>1280.6829720000001</v>
      </c>
      <c r="U1719" s="30">
        <v>3.4979369999999999</v>
      </c>
      <c r="W1719" s="30">
        <v>43.650818000000001</v>
      </c>
      <c r="Y1719" s="30">
        <v>8.1370690000000003</v>
      </c>
      <c r="AA1719" s="30">
        <v>582.030484</v>
      </c>
      <c r="AC1719" s="30">
        <v>58.457794</v>
      </c>
      <c r="AE1719" s="27">
        <v>1</v>
      </c>
      <c r="AG1719" s="30">
        <v>7.6890080000000003</v>
      </c>
      <c r="AI1719" s="30">
        <v>8.75</v>
      </c>
      <c r="AK1719" s="30">
        <v>24.810815999999999</v>
      </c>
      <c r="AM1719" s="30">
        <v>34.556038000000001</v>
      </c>
      <c r="AO1719" s="30">
        <v>6.7550600000000003</v>
      </c>
    </row>
    <row r="1720" spans="2:41" x14ac:dyDescent="0.25">
      <c r="B1720" s="21">
        <v>44028</v>
      </c>
      <c r="C1720" s="27">
        <v>22.364699999999999</v>
      </c>
      <c r="E1720" s="30">
        <v>0.877077</v>
      </c>
      <c r="G1720" s="30">
        <v>71.326403999999997</v>
      </c>
      <c r="I1720" s="30">
        <v>6.9083899999999998</v>
      </c>
      <c r="K1720" s="30">
        <v>5.3534430000000004</v>
      </c>
      <c r="M1720" s="30">
        <v>785.01787000000002</v>
      </c>
      <c r="O1720" s="30">
        <v>3629.2592119999999</v>
      </c>
      <c r="Q1720" s="30">
        <v>6884.2334730000002</v>
      </c>
      <c r="S1720" s="30">
        <v>1285.9553550000001</v>
      </c>
      <c r="U1720" s="30">
        <v>3.5013260000000002</v>
      </c>
      <c r="W1720" s="30">
        <v>43.847954999999999</v>
      </c>
      <c r="Y1720" s="30">
        <v>8.1906490000000005</v>
      </c>
      <c r="AA1720" s="30">
        <v>582.30880200000001</v>
      </c>
      <c r="AC1720" s="30">
        <v>58.446216</v>
      </c>
      <c r="AE1720" s="27">
        <v>1</v>
      </c>
      <c r="AG1720" s="30">
        <v>7.6992719999999997</v>
      </c>
      <c r="AI1720" s="30">
        <v>8.75</v>
      </c>
      <c r="AK1720" s="30">
        <v>24.783570999999998</v>
      </c>
      <c r="AM1720" s="30">
        <v>34.727969999999999</v>
      </c>
      <c r="AO1720" s="30">
        <v>6.7638239999999996</v>
      </c>
    </row>
    <row r="1721" spans="2:41" x14ac:dyDescent="0.25">
      <c r="B1721" s="21">
        <v>44029</v>
      </c>
      <c r="C1721" s="27">
        <v>22.3032</v>
      </c>
      <c r="E1721" s="30">
        <v>0.87612999999999996</v>
      </c>
      <c r="G1721" s="30">
        <v>71.409716000000003</v>
      </c>
      <c r="I1721" s="30">
        <v>6.9065649999999996</v>
      </c>
      <c r="K1721" s="30">
        <v>5.3494000000000002</v>
      </c>
      <c r="M1721" s="30">
        <v>788.11728900000003</v>
      </c>
      <c r="O1721" s="30">
        <v>3643.9569999999999</v>
      </c>
      <c r="Q1721" s="30">
        <v>6882.3634899999997</v>
      </c>
      <c r="S1721" s="30">
        <v>1286.5753380000001</v>
      </c>
      <c r="U1721" s="30">
        <v>3.503422</v>
      </c>
      <c r="W1721" s="30">
        <v>43.890768999999999</v>
      </c>
      <c r="Y1721" s="30">
        <v>8.2048330000000007</v>
      </c>
      <c r="AA1721" s="30">
        <v>582.28655400000002</v>
      </c>
      <c r="AC1721" s="30">
        <v>58.415225</v>
      </c>
      <c r="AE1721" s="27">
        <v>1</v>
      </c>
      <c r="AG1721" s="30">
        <v>7.6980139999999997</v>
      </c>
      <c r="AI1721" s="30">
        <v>8.75</v>
      </c>
      <c r="AK1721" s="30">
        <v>24.777729000000001</v>
      </c>
      <c r="AM1721" s="30">
        <v>34.721086</v>
      </c>
      <c r="AO1721" s="30">
        <v>6.7626020000000002</v>
      </c>
    </row>
    <row r="1722" spans="2:41" x14ac:dyDescent="0.25">
      <c r="B1722" s="21">
        <v>44030</v>
      </c>
      <c r="C1722" s="27">
        <v>22.3032</v>
      </c>
      <c r="E1722" s="30">
        <v>0.87502800000000003</v>
      </c>
      <c r="G1722" s="30">
        <v>71.488699999999994</v>
      </c>
      <c r="I1722" s="30">
        <v>6.9054520000000004</v>
      </c>
      <c r="K1722" s="30">
        <v>5.3871250000000002</v>
      </c>
      <c r="M1722" s="30">
        <v>787.8</v>
      </c>
      <c r="O1722" s="30">
        <v>3652.6025</v>
      </c>
      <c r="Q1722" s="30">
        <v>6880.8077499999999</v>
      </c>
      <c r="S1722" s="30">
        <v>1277.278182</v>
      </c>
      <c r="U1722" s="30">
        <v>3.5138500000000001</v>
      </c>
      <c r="W1722" s="30">
        <v>43.809593999999997</v>
      </c>
      <c r="Y1722" s="30">
        <v>8.1323089999999993</v>
      </c>
      <c r="AA1722" s="30">
        <v>582.22668999999996</v>
      </c>
      <c r="AC1722" s="30">
        <v>58.502499999999998</v>
      </c>
      <c r="AE1722" s="27">
        <v>1</v>
      </c>
      <c r="AG1722" s="30">
        <v>7.6969339999999997</v>
      </c>
      <c r="AI1722" s="30">
        <v>8.75</v>
      </c>
      <c r="AK1722" s="30">
        <v>24.814399999999999</v>
      </c>
      <c r="AM1722" s="30">
        <v>34.638500000000001</v>
      </c>
      <c r="AO1722" s="30">
        <v>6.7619129999999998</v>
      </c>
    </row>
    <row r="1723" spans="2:41" x14ac:dyDescent="0.25">
      <c r="B1723" s="21">
        <v>44031</v>
      </c>
      <c r="C1723" s="27">
        <v>22.3032</v>
      </c>
      <c r="E1723" s="30">
        <v>0.875</v>
      </c>
      <c r="G1723" s="30">
        <v>71.485076000000007</v>
      </c>
      <c r="I1723" s="30">
        <v>6.9054520000000004</v>
      </c>
      <c r="K1723" s="30">
        <v>5.3870079999999998</v>
      </c>
      <c r="M1723" s="30">
        <v>787.801964</v>
      </c>
      <c r="O1723" s="30">
        <v>3652.6435839999999</v>
      </c>
      <c r="Q1723" s="30">
        <v>6880.8077499999999</v>
      </c>
      <c r="S1723" s="30">
        <v>1277.30567</v>
      </c>
      <c r="U1723" s="30">
        <v>3.5140500000000001</v>
      </c>
      <c r="W1723" s="30">
        <v>43.809593999999997</v>
      </c>
      <c r="Y1723" s="30">
        <v>8.1324839999999998</v>
      </c>
      <c r="AA1723" s="30">
        <v>582.22668999999996</v>
      </c>
      <c r="AC1723" s="30">
        <v>58.502499999999998</v>
      </c>
      <c r="AE1723" s="27">
        <v>1</v>
      </c>
      <c r="AG1723" s="30">
        <v>7.6969339999999997</v>
      </c>
      <c r="AI1723" s="30">
        <v>8.75</v>
      </c>
      <c r="AK1723" s="30">
        <v>24.814399999999999</v>
      </c>
      <c r="AM1723" s="30">
        <v>34.638500000000001</v>
      </c>
      <c r="AO1723" s="30">
        <v>6.7619129999999998</v>
      </c>
    </row>
    <row r="1724" spans="2:41" x14ac:dyDescent="0.25">
      <c r="B1724" s="21">
        <v>44032</v>
      </c>
      <c r="C1724" s="27">
        <v>22.489699999999999</v>
      </c>
      <c r="E1724" s="30">
        <v>0.87408600000000003</v>
      </c>
      <c r="G1724" s="30">
        <v>71.515253999999999</v>
      </c>
      <c r="I1724" s="30">
        <v>6.9010259999999999</v>
      </c>
      <c r="K1724" s="30">
        <v>5.3648920000000002</v>
      </c>
      <c r="M1724" s="30">
        <v>786.90567399999998</v>
      </c>
      <c r="O1724" s="30">
        <v>3652.3792840000001</v>
      </c>
      <c r="Q1724" s="30">
        <v>6905.9400310000001</v>
      </c>
      <c r="S1724" s="30">
        <v>1287.254334</v>
      </c>
      <c r="U1724" s="30">
        <v>3.5091929999999998</v>
      </c>
      <c r="W1724" s="30">
        <v>43.814554000000001</v>
      </c>
      <c r="Y1724" s="30">
        <v>8.1669330000000002</v>
      </c>
      <c r="AA1724" s="30">
        <v>582.04993999999999</v>
      </c>
      <c r="AC1724" s="30">
        <v>58.414540000000002</v>
      </c>
      <c r="AE1724" s="27">
        <v>1</v>
      </c>
      <c r="AG1724" s="30">
        <v>7.6956189999999998</v>
      </c>
      <c r="AI1724" s="30">
        <v>8.75</v>
      </c>
      <c r="AK1724" s="30">
        <v>24.781960999999999</v>
      </c>
      <c r="AM1724" s="30">
        <v>34.663465000000002</v>
      </c>
      <c r="AO1724" s="30">
        <v>6.7607540000000004</v>
      </c>
    </row>
    <row r="1725" spans="2:41" x14ac:dyDescent="0.25">
      <c r="B1725" s="21">
        <v>44033</v>
      </c>
      <c r="C1725" s="27">
        <v>22.627800000000001</v>
      </c>
      <c r="E1725" s="30">
        <v>0.87138599999999999</v>
      </c>
      <c r="G1725" s="30">
        <v>71.655195000000006</v>
      </c>
      <c r="I1725" s="30">
        <v>6.900398</v>
      </c>
      <c r="K1725" s="30">
        <v>5.2644970000000004</v>
      </c>
      <c r="M1725" s="30">
        <v>780.55379000000005</v>
      </c>
      <c r="O1725" s="30">
        <v>3640.359246</v>
      </c>
      <c r="Q1725" s="30">
        <v>6914.4855369999996</v>
      </c>
      <c r="S1725" s="30">
        <v>1313.4257279999999</v>
      </c>
      <c r="U1725" s="30">
        <v>3.5057119999999999</v>
      </c>
      <c r="W1725" s="30">
        <v>43.643804000000003</v>
      </c>
      <c r="Y1725" s="30">
        <v>8.2902400000000007</v>
      </c>
      <c r="AA1725" s="30">
        <v>581.81699000000003</v>
      </c>
      <c r="AC1725" s="30">
        <v>58.413314</v>
      </c>
      <c r="AE1725" s="27">
        <v>1</v>
      </c>
      <c r="AG1725" s="30">
        <v>7.6959860000000004</v>
      </c>
      <c r="AI1725" s="30">
        <v>8.75</v>
      </c>
      <c r="AK1725" s="30">
        <v>24.781558</v>
      </c>
      <c r="AM1725" s="30">
        <v>34.655723000000002</v>
      </c>
      <c r="AO1725" s="30">
        <v>6.7613009999999996</v>
      </c>
    </row>
    <row r="1726" spans="2:41" x14ac:dyDescent="0.25">
      <c r="B1726" s="21">
        <v>44034</v>
      </c>
      <c r="C1726" s="27">
        <v>22.3597</v>
      </c>
      <c r="E1726" s="30">
        <v>0.86518200000000001</v>
      </c>
      <c r="G1726" s="30">
        <v>71.735159999999993</v>
      </c>
      <c r="I1726" s="30">
        <v>6.8922080000000001</v>
      </c>
      <c r="K1726" s="30">
        <v>5.143046</v>
      </c>
      <c r="M1726" s="30">
        <v>770.06420900000001</v>
      </c>
      <c r="O1726" s="30">
        <v>3623.3279080000002</v>
      </c>
      <c r="Q1726" s="30">
        <v>6912.7824369999998</v>
      </c>
      <c r="S1726" s="30">
        <v>1344.1104620000001</v>
      </c>
      <c r="U1726" s="30">
        <v>3.4884559999999998</v>
      </c>
      <c r="W1726" s="30">
        <v>43.325153</v>
      </c>
      <c r="Y1726" s="30">
        <v>8.4240519999999997</v>
      </c>
      <c r="AA1726" s="30">
        <v>580.57165199999997</v>
      </c>
      <c r="AC1726" s="30">
        <v>58.405361999999997</v>
      </c>
      <c r="AE1726" s="27">
        <v>1</v>
      </c>
      <c r="AG1726" s="30">
        <v>7.6842439999999996</v>
      </c>
      <c r="AI1726" s="30">
        <v>8.75</v>
      </c>
      <c r="AK1726" s="30">
        <v>24.751076000000001</v>
      </c>
      <c r="AM1726" s="30">
        <v>34.519300000000001</v>
      </c>
      <c r="AO1726" s="30">
        <v>6.7511060000000001</v>
      </c>
    </row>
    <row r="1727" spans="2:41" x14ac:dyDescent="0.25">
      <c r="B1727" s="21">
        <v>44035</v>
      </c>
      <c r="C1727" s="27">
        <v>22.251000000000001</v>
      </c>
      <c r="E1727" s="30">
        <v>0.86300699999999997</v>
      </c>
      <c r="G1727" s="30">
        <v>71.757413999999997</v>
      </c>
      <c r="I1727" s="30">
        <v>6.9055109999999997</v>
      </c>
      <c r="K1727" s="30">
        <v>5.1536059999999999</v>
      </c>
      <c r="M1727" s="30">
        <v>768.24920599999996</v>
      </c>
      <c r="O1727" s="30">
        <v>3648.200844</v>
      </c>
      <c r="Q1727" s="30">
        <v>6934.3971320000001</v>
      </c>
      <c r="S1727" s="30">
        <v>1345.550203</v>
      </c>
      <c r="U1727" s="30">
        <v>3.50447</v>
      </c>
      <c r="W1727" s="30">
        <v>43.130094</v>
      </c>
      <c r="Y1727" s="30">
        <v>8.3689450000000001</v>
      </c>
      <c r="AA1727" s="30">
        <v>581.71419600000002</v>
      </c>
      <c r="AC1727" s="30">
        <v>58.455548</v>
      </c>
      <c r="AE1727" s="27">
        <v>1</v>
      </c>
      <c r="AG1727" s="30">
        <v>7.6990030000000003</v>
      </c>
      <c r="AI1727" s="30">
        <v>8.75</v>
      </c>
      <c r="AK1727" s="30">
        <v>24.781039</v>
      </c>
      <c r="AM1727" s="30">
        <v>34.656922999999999</v>
      </c>
      <c r="AO1727" s="30">
        <v>6.7642309999999997</v>
      </c>
    </row>
    <row r="1728" spans="2:41" x14ac:dyDescent="0.25">
      <c r="B1728" s="21">
        <v>44036</v>
      </c>
      <c r="C1728" s="27">
        <v>22.3627</v>
      </c>
      <c r="E1728" s="30">
        <v>0.86051</v>
      </c>
      <c r="G1728" s="30">
        <v>71.813795999999996</v>
      </c>
      <c r="I1728" s="30">
        <v>6.8993880000000001</v>
      </c>
      <c r="K1728" s="30">
        <v>5.2118679999999999</v>
      </c>
      <c r="M1728" s="30">
        <v>771.03212199999996</v>
      </c>
      <c r="O1728" s="30">
        <v>3678.8416739999998</v>
      </c>
      <c r="Q1728" s="30">
        <v>6940.881292</v>
      </c>
      <c r="S1728" s="30">
        <v>1331.752784</v>
      </c>
      <c r="U1728" s="30">
        <v>3.515644</v>
      </c>
      <c r="W1728" s="30">
        <v>42.771090999999998</v>
      </c>
      <c r="Y1728" s="30">
        <v>8.2065099999999997</v>
      </c>
      <c r="AA1728" s="30">
        <v>581.29793800000004</v>
      </c>
      <c r="AC1728" s="30">
        <v>58.386814000000001</v>
      </c>
      <c r="AE1728" s="27">
        <v>1</v>
      </c>
      <c r="AG1728" s="30">
        <v>7.6914619999999996</v>
      </c>
      <c r="AI1728" s="30">
        <v>8.75</v>
      </c>
      <c r="AK1728" s="30">
        <v>24.757912999999999</v>
      </c>
      <c r="AM1728" s="30">
        <v>34.645583999999999</v>
      </c>
      <c r="AO1728" s="30">
        <v>6.7584</v>
      </c>
    </row>
    <row r="1729" spans="2:41" x14ac:dyDescent="0.25">
      <c r="B1729" s="21">
        <v>44037</v>
      </c>
      <c r="C1729" s="27">
        <v>22.3627</v>
      </c>
      <c r="E1729" s="30">
        <v>0.85793799999999998</v>
      </c>
      <c r="G1729" s="30">
        <v>71.8416</v>
      </c>
      <c r="I1729" s="30">
        <v>6.9017999999999997</v>
      </c>
      <c r="K1729" s="30">
        <v>5.2317749999999998</v>
      </c>
      <c r="M1729" s="30">
        <v>774.2</v>
      </c>
      <c r="O1729" s="30">
        <v>3692.2024999999999</v>
      </c>
      <c r="Q1729" s="30">
        <v>6946.5495000000001</v>
      </c>
      <c r="S1729" s="30">
        <v>1327.7694329999999</v>
      </c>
      <c r="U1729" s="30">
        <v>3.5342750000000001</v>
      </c>
      <c r="W1729" s="30">
        <v>42.582348000000003</v>
      </c>
      <c r="Y1729" s="30">
        <v>8.1392140000000008</v>
      </c>
      <c r="AA1729" s="30">
        <v>581.45892000000003</v>
      </c>
      <c r="AC1729" s="30">
        <v>58.585000000000001</v>
      </c>
      <c r="AE1729" s="27">
        <v>1</v>
      </c>
      <c r="AG1729" s="30">
        <v>7.693562</v>
      </c>
      <c r="AI1729" s="30">
        <v>8.75</v>
      </c>
      <c r="AK1729" s="30">
        <v>24.819724999999998</v>
      </c>
      <c r="AM1729" s="30">
        <v>34.564749999999997</v>
      </c>
      <c r="AO1729" s="30">
        <v>6.7608199999999998</v>
      </c>
    </row>
    <row r="1730" spans="2:41" x14ac:dyDescent="0.25">
      <c r="B1730" s="21">
        <v>44038</v>
      </c>
      <c r="C1730" s="27">
        <v>22.3627</v>
      </c>
      <c r="E1730" s="30">
        <v>0.85801000000000005</v>
      </c>
      <c r="G1730" s="30">
        <v>71.845051999999995</v>
      </c>
      <c r="I1730" s="30">
        <v>6.9017999999999997</v>
      </c>
      <c r="K1730" s="30">
        <v>5.2318150000000001</v>
      </c>
      <c r="M1730" s="30">
        <v>774.2</v>
      </c>
      <c r="O1730" s="30">
        <v>3692.235326</v>
      </c>
      <c r="Q1730" s="30">
        <v>6946.5495000000001</v>
      </c>
      <c r="S1730" s="30">
        <v>1327.759157</v>
      </c>
      <c r="U1730" s="30">
        <v>3.534294</v>
      </c>
      <c r="W1730" s="30">
        <v>42.582348000000003</v>
      </c>
      <c r="Y1730" s="30">
        <v>8.1391500000000008</v>
      </c>
      <c r="AA1730" s="30">
        <v>581.45892000000003</v>
      </c>
      <c r="AC1730" s="30">
        <v>58.585000000000001</v>
      </c>
      <c r="AE1730" s="27">
        <v>1</v>
      </c>
      <c r="AG1730" s="30">
        <v>7.693562</v>
      </c>
      <c r="AI1730" s="30">
        <v>8.75</v>
      </c>
      <c r="AK1730" s="30">
        <v>24.819724999999998</v>
      </c>
      <c r="AM1730" s="30">
        <v>34.564749999999997</v>
      </c>
      <c r="AO1730" s="30">
        <v>6.7608199999999998</v>
      </c>
    </row>
    <row r="1731" spans="2:41" x14ac:dyDescent="0.25">
      <c r="B1731" s="21">
        <v>44039</v>
      </c>
      <c r="C1731" s="27">
        <v>22.3842</v>
      </c>
      <c r="E1731" s="30">
        <v>0.85264399999999996</v>
      </c>
      <c r="G1731" s="30">
        <v>71.831473000000003</v>
      </c>
      <c r="I1731" s="30">
        <v>6.890288</v>
      </c>
      <c r="K1731" s="30">
        <v>5.200094</v>
      </c>
      <c r="M1731" s="30">
        <v>771.49136799999997</v>
      </c>
      <c r="O1731" s="30">
        <v>3686.12662</v>
      </c>
      <c r="Q1731" s="30">
        <v>6926.0336850000003</v>
      </c>
      <c r="S1731" s="30">
        <v>1331.9125200000001</v>
      </c>
      <c r="U1731" s="30">
        <v>3.519476</v>
      </c>
      <c r="W1731" s="30">
        <v>42.452489999999997</v>
      </c>
      <c r="Y1731" s="30">
        <v>8.1638219999999997</v>
      </c>
      <c r="AA1731" s="30">
        <v>580.47175800000002</v>
      </c>
      <c r="AC1731" s="30">
        <v>58.392749000000002</v>
      </c>
      <c r="AE1731" s="27">
        <v>1</v>
      </c>
      <c r="AG1731" s="30">
        <v>7.6806869999999998</v>
      </c>
      <c r="AI1731" s="30">
        <v>8.75</v>
      </c>
      <c r="AK1731" s="30">
        <v>24.726171000000001</v>
      </c>
      <c r="AM1731" s="30">
        <v>34.524292000000003</v>
      </c>
      <c r="AO1731" s="30">
        <v>6.7495779999999996</v>
      </c>
    </row>
    <row r="1732" spans="2:41" x14ac:dyDescent="0.25">
      <c r="B1732" s="21">
        <v>44040</v>
      </c>
      <c r="C1732" s="27">
        <v>22.0275</v>
      </c>
      <c r="E1732" s="30">
        <v>0.85252399999999995</v>
      </c>
      <c r="G1732" s="30">
        <v>72.055160999999998</v>
      </c>
      <c r="I1732" s="30">
        <v>6.8970560000000001</v>
      </c>
      <c r="K1732" s="30">
        <v>5.1538599999999999</v>
      </c>
      <c r="M1732" s="30">
        <v>767.79426100000001</v>
      </c>
      <c r="O1732" s="30">
        <v>3696.824975</v>
      </c>
      <c r="Q1732" s="30">
        <v>6926.5704480000004</v>
      </c>
      <c r="S1732" s="30">
        <v>1343.9660220000001</v>
      </c>
      <c r="U1732" s="30">
        <v>3.5157910000000001</v>
      </c>
      <c r="W1732" s="30">
        <v>42.457571000000002</v>
      </c>
      <c r="Y1732" s="30">
        <v>8.2380429999999993</v>
      </c>
      <c r="AA1732" s="30">
        <v>580.97007799999994</v>
      </c>
      <c r="AC1732" s="30">
        <v>58.533864000000001</v>
      </c>
      <c r="AE1732" s="27">
        <v>1</v>
      </c>
      <c r="AG1732" s="30">
        <v>7.6898980000000003</v>
      </c>
      <c r="AI1732" s="30">
        <v>8.75</v>
      </c>
      <c r="AK1732" s="30">
        <v>24.802454000000001</v>
      </c>
      <c r="AM1732" s="30">
        <v>34.612800999999997</v>
      </c>
      <c r="AO1732" s="30">
        <v>6.7558860000000003</v>
      </c>
    </row>
    <row r="1733" spans="2:41" x14ac:dyDescent="0.25">
      <c r="B1733" s="21">
        <v>44041</v>
      </c>
      <c r="C1733" s="27">
        <v>21.961500000000001</v>
      </c>
      <c r="E1733" s="30">
        <v>0.85066799999999998</v>
      </c>
      <c r="G1733" s="30">
        <v>72.122997999999995</v>
      </c>
      <c r="I1733" s="30">
        <v>6.9148550000000002</v>
      </c>
      <c r="K1733" s="30">
        <v>5.1555980000000003</v>
      </c>
      <c r="M1733" s="30">
        <v>762.09983999999997</v>
      </c>
      <c r="O1733" s="30">
        <v>3716.1576930000001</v>
      </c>
      <c r="Q1733" s="30">
        <v>6946.1503080000002</v>
      </c>
      <c r="S1733" s="30">
        <v>1347.3098849999999</v>
      </c>
      <c r="U1733" s="30">
        <v>3.5119210000000001</v>
      </c>
      <c r="W1733" s="30">
        <v>42.493516</v>
      </c>
      <c r="Y1733" s="30">
        <v>8.2422339999999998</v>
      </c>
      <c r="AA1733" s="30">
        <v>581.940515</v>
      </c>
      <c r="AC1733" s="30">
        <v>58.490352000000001</v>
      </c>
      <c r="AE1733" s="27">
        <v>1</v>
      </c>
      <c r="AG1733" s="30">
        <v>7.7043179999999998</v>
      </c>
      <c r="AI1733" s="30">
        <v>8.75</v>
      </c>
      <c r="AK1733" s="30">
        <v>24.790745000000001</v>
      </c>
      <c r="AM1733" s="30">
        <v>34.710054</v>
      </c>
      <c r="AO1733" s="30">
        <v>6.7674250000000002</v>
      </c>
    </row>
    <row r="1734" spans="2:41" x14ac:dyDescent="0.25">
      <c r="B1734" s="21">
        <v>44042</v>
      </c>
      <c r="C1734" s="27">
        <v>21.9907</v>
      </c>
      <c r="E1734" s="30">
        <v>0.84817600000000004</v>
      </c>
      <c r="G1734" s="30">
        <v>72.218637999999999</v>
      </c>
      <c r="I1734" s="30">
        <v>6.9049909999999999</v>
      </c>
      <c r="K1734" s="30">
        <v>5.1684140000000003</v>
      </c>
      <c r="M1734" s="30">
        <v>757.83702100000005</v>
      </c>
      <c r="O1734" s="30">
        <v>3713.9195319999999</v>
      </c>
      <c r="Q1734" s="30">
        <v>6941.5583180000003</v>
      </c>
      <c r="S1734" s="30">
        <v>1343.08044</v>
      </c>
      <c r="U1734" s="30">
        <v>3.5046740000000001</v>
      </c>
      <c r="W1734" s="30">
        <v>42.376688000000001</v>
      </c>
      <c r="Y1734" s="30">
        <v>8.199192</v>
      </c>
      <c r="AA1734" s="30">
        <v>581.03200200000003</v>
      </c>
      <c r="AC1734" s="30">
        <v>58.387481999999999</v>
      </c>
      <c r="AE1734" s="27">
        <v>1</v>
      </c>
      <c r="AG1734" s="30">
        <v>7.6928080000000003</v>
      </c>
      <c r="AI1734" s="30">
        <v>8.75</v>
      </c>
      <c r="AK1734" s="30">
        <v>24.754929000000001</v>
      </c>
      <c r="AM1734" s="30">
        <v>34.585796000000002</v>
      </c>
      <c r="AO1734" s="30">
        <v>6.7567399999999997</v>
      </c>
    </row>
    <row r="1735" spans="2:41" x14ac:dyDescent="0.25">
      <c r="B1735" s="21">
        <v>44043</v>
      </c>
      <c r="C1735" s="27">
        <v>22.172699999999999</v>
      </c>
      <c r="E1735" s="30">
        <v>0.84476399999999996</v>
      </c>
      <c r="G1735" s="30">
        <v>72.295689999999993</v>
      </c>
      <c r="I1735" s="30">
        <v>6.8904180000000004</v>
      </c>
      <c r="K1735" s="30">
        <v>5.1818160000000004</v>
      </c>
      <c r="M1735" s="30">
        <v>759.41195600000003</v>
      </c>
      <c r="O1735" s="30">
        <v>3726.2058950000001</v>
      </c>
      <c r="Q1735" s="30">
        <v>6929.2978780000003</v>
      </c>
      <c r="S1735" s="30">
        <v>1337.240354</v>
      </c>
      <c r="U1735" s="30">
        <v>3.5099930000000001</v>
      </c>
      <c r="W1735" s="30">
        <v>42.361938000000002</v>
      </c>
      <c r="Y1735" s="30">
        <v>8.1751400000000007</v>
      </c>
      <c r="AA1735" s="30">
        <v>580.81448399999999</v>
      </c>
      <c r="AC1735" s="30">
        <v>58.415072000000002</v>
      </c>
      <c r="AE1735" s="27">
        <v>1</v>
      </c>
      <c r="AG1735" s="30">
        <v>7.6844979999999996</v>
      </c>
      <c r="AI1735" s="30">
        <v>8.75</v>
      </c>
      <c r="AK1735" s="30">
        <v>24.698781</v>
      </c>
      <c r="AM1735" s="30">
        <v>34.474618</v>
      </c>
      <c r="AO1735" s="30">
        <v>6.7445919999999999</v>
      </c>
    </row>
    <row r="1736" spans="2:41" ht="13" x14ac:dyDescent="0.3">
      <c r="B1736" s="25" t="s">
        <v>193</v>
      </c>
      <c r="C1736" s="19">
        <v>22.449300000000001</v>
      </c>
      <c r="E1736" s="24">
        <v>0.87353499999999995</v>
      </c>
      <c r="G1736" s="24">
        <v>71.308192000000005</v>
      </c>
      <c r="I1736" s="23">
        <v>6.9029400000000001</v>
      </c>
      <c r="J1736" s="9"/>
      <c r="K1736" s="23">
        <v>5.293533</v>
      </c>
      <c r="M1736" s="42">
        <v>784.95600000000002</v>
      </c>
      <c r="O1736" s="31">
        <v>3657.32</v>
      </c>
      <c r="Q1736" s="31">
        <v>6872.45</v>
      </c>
      <c r="S1736" s="61">
        <v>1298.714559</v>
      </c>
      <c r="U1736" s="23">
        <v>3.5148100000000002</v>
      </c>
      <c r="W1736" s="23">
        <v>43.040869999999998</v>
      </c>
      <c r="Y1736" s="24">
        <v>8.1321139999999996</v>
      </c>
      <c r="AA1736" s="42">
        <v>581.63199999999995</v>
      </c>
      <c r="AC1736" s="19">
        <v>58.445700000000002</v>
      </c>
      <c r="AE1736" s="19">
        <v>1</v>
      </c>
      <c r="AG1736" s="23">
        <v>7.6947099999999997</v>
      </c>
      <c r="AI1736" s="23">
        <v>8.75</v>
      </c>
      <c r="AK1736" s="23">
        <v>24.787669999999999</v>
      </c>
      <c r="AM1736" s="23">
        <v>34.562190000000001</v>
      </c>
      <c r="AO1736" s="23">
        <v>6.7560099999999998</v>
      </c>
    </row>
    <row r="1737" spans="2:41" x14ac:dyDescent="0.25">
      <c r="B1737" s="21">
        <v>44044</v>
      </c>
      <c r="C1737" s="27">
        <v>22.172699999999999</v>
      </c>
      <c r="E1737" s="30">
        <v>0.84894400000000003</v>
      </c>
      <c r="G1737" s="30">
        <v>72.412625000000006</v>
      </c>
      <c r="I1737" s="30">
        <v>6.903702</v>
      </c>
      <c r="K1737" s="30">
        <v>5.2227249999999996</v>
      </c>
      <c r="M1737" s="30">
        <v>756.7</v>
      </c>
      <c r="O1737" s="30">
        <v>3733.165</v>
      </c>
      <c r="Q1737" s="30">
        <v>6941.2579999999998</v>
      </c>
      <c r="S1737" s="30">
        <v>1329.0566349999999</v>
      </c>
      <c r="U1737" s="30">
        <v>3.5329999999999999</v>
      </c>
      <c r="W1737" s="30">
        <v>42.549309000000001</v>
      </c>
      <c r="Y1737" s="30">
        <v>8.1469819999999995</v>
      </c>
      <c r="AA1737" s="30">
        <v>582.58222499999999</v>
      </c>
      <c r="AC1737" s="30">
        <v>58.582500000000003</v>
      </c>
      <c r="AE1737" s="27">
        <v>1</v>
      </c>
      <c r="AG1737" s="30">
        <v>7.7031739999999997</v>
      </c>
      <c r="AI1737" s="30">
        <v>8.75</v>
      </c>
      <c r="AK1737" s="30">
        <v>24.810075000000001</v>
      </c>
      <c r="AM1737" s="30">
        <v>34.424750000000003</v>
      </c>
      <c r="AO1737" s="30">
        <v>6.7568659999999996</v>
      </c>
    </row>
    <row r="1738" spans="2:41" x14ac:dyDescent="0.25">
      <c r="B1738" s="21">
        <v>44045</v>
      </c>
      <c r="C1738" s="27">
        <v>22.172699999999999</v>
      </c>
      <c r="E1738" s="30">
        <v>0.848908</v>
      </c>
      <c r="G1738" s="30">
        <v>72.407527999999999</v>
      </c>
      <c r="I1738" s="30">
        <v>6.903702</v>
      </c>
      <c r="K1738" s="30">
        <v>5.2226920000000003</v>
      </c>
      <c r="M1738" s="30">
        <v>756.70003199999996</v>
      </c>
      <c r="O1738" s="30">
        <v>3733.1687139999999</v>
      </c>
      <c r="Q1738" s="30">
        <v>6941.2579999999998</v>
      </c>
      <c r="S1738" s="30">
        <v>1329.0650330000001</v>
      </c>
      <c r="U1738" s="30">
        <v>3.5329999999999999</v>
      </c>
      <c r="W1738" s="30">
        <v>42.549309000000001</v>
      </c>
      <c r="Y1738" s="30">
        <v>8.1470339999999997</v>
      </c>
      <c r="AA1738" s="30">
        <v>582.58222499999999</v>
      </c>
      <c r="AC1738" s="30">
        <v>58.582500000000003</v>
      </c>
      <c r="AE1738" s="27">
        <v>1</v>
      </c>
      <c r="AG1738" s="30">
        <v>7.7031739999999997</v>
      </c>
      <c r="AI1738" s="30">
        <v>8.75</v>
      </c>
      <c r="AK1738" s="30">
        <v>24.810075000000001</v>
      </c>
      <c r="AM1738" s="30">
        <v>34.427964000000003</v>
      </c>
      <c r="AO1738" s="30">
        <v>6.7568659999999996</v>
      </c>
    </row>
    <row r="1739" spans="2:41" x14ac:dyDescent="0.25">
      <c r="B1739" s="21">
        <v>44046</v>
      </c>
      <c r="C1739" s="27">
        <v>22.2012</v>
      </c>
      <c r="E1739" s="30">
        <v>0.85078600000000004</v>
      </c>
      <c r="G1739" s="30">
        <v>72.475989999999996</v>
      </c>
      <c r="I1739" s="30">
        <v>6.9143540000000003</v>
      </c>
      <c r="K1739" s="30">
        <v>5.2667919999999997</v>
      </c>
      <c r="M1739" s="30">
        <v>758.35215500000004</v>
      </c>
      <c r="O1739" s="30">
        <v>3748.0451560000001</v>
      </c>
      <c r="Q1739" s="30">
        <v>6943.5674159999999</v>
      </c>
      <c r="S1739" s="30">
        <v>1318.373887</v>
      </c>
      <c r="U1739" s="30">
        <v>3.538961</v>
      </c>
      <c r="W1739" s="30">
        <v>42.643300000000004</v>
      </c>
      <c r="Y1739" s="30">
        <v>8.0966579999999997</v>
      </c>
      <c r="AA1739" s="30">
        <v>583.69662500000004</v>
      </c>
      <c r="AC1739" s="30">
        <v>58.915554</v>
      </c>
      <c r="AE1739" s="27">
        <v>1</v>
      </c>
      <c r="AG1739" s="30">
        <v>7.7148060000000003</v>
      </c>
      <c r="AI1739" s="30">
        <v>8.75</v>
      </c>
      <c r="AK1739" s="30">
        <v>24.791725</v>
      </c>
      <c r="AM1739" s="30">
        <v>34.892831000000001</v>
      </c>
      <c r="AO1739" s="30">
        <v>6.7687670000000004</v>
      </c>
    </row>
    <row r="1740" spans="2:41" x14ac:dyDescent="0.25">
      <c r="B1740" s="21">
        <v>44047</v>
      </c>
      <c r="C1740" s="27">
        <v>22.614000000000001</v>
      </c>
      <c r="E1740" s="30">
        <v>0.849271</v>
      </c>
      <c r="G1740" s="30">
        <v>72.501807999999997</v>
      </c>
      <c r="I1740" s="30">
        <v>6.9040429999999997</v>
      </c>
      <c r="K1740" s="30">
        <v>5.3160179999999997</v>
      </c>
      <c r="M1740" s="30">
        <v>763.73013600000002</v>
      </c>
      <c r="O1740" s="30">
        <v>3776.0284929999998</v>
      </c>
      <c r="Q1740" s="30">
        <v>6929.8707279999999</v>
      </c>
      <c r="S1740" s="30">
        <v>1303.5899320000001</v>
      </c>
      <c r="U1740" s="30">
        <v>3.5404559999999998</v>
      </c>
      <c r="W1740" s="30">
        <v>42.431614000000003</v>
      </c>
      <c r="Y1740" s="30">
        <v>7.9818660000000001</v>
      </c>
      <c r="AA1740" s="30">
        <v>583.44287499999996</v>
      </c>
      <c r="AC1740" s="30">
        <v>58.747444000000002</v>
      </c>
      <c r="AE1740" s="27">
        <v>1</v>
      </c>
      <c r="AG1740" s="30">
        <v>7.7009650000000001</v>
      </c>
      <c r="AI1740" s="30">
        <v>8.75</v>
      </c>
      <c r="AK1740" s="30">
        <v>24.743587999999999</v>
      </c>
      <c r="AM1740" s="30">
        <v>34.740470999999999</v>
      </c>
      <c r="AO1740" s="30">
        <v>6.7573410000000003</v>
      </c>
    </row>
    <row r="1741" spans="2:41" x14ac:dyDescent="0.25">
      <c r="B1741" s="21">
        <v>44048</v>
      </c>
      <c r="C1741" s="27">
        <v>22.784500000000001</v>
      </c>
      <c r="E1741" s="30">
        <v>0.84402600000000005</v>
      </c>
      <c r="G1741" s="30">
        <v>72.569528000000005</v>
      </c>
      <c r="I1741" s="30">
        <v>6.9007480000000001</v>
      </c>
      <c r="K1741" s="30">
        <v>5.289631</v>
      </c>
      <c r="M1741" s="30">
        <v>773.69145700000001</v>
      </c>
      <c r="O1741" s="30">
        <v>3781.309264</v>
      </c>
      <c r="Q1741" s="30">
        <v>6932.3570460000001</v>
      </c>
      <c r="S1741" s="30">
        <v>1310.562925</v>
      </c>
      <c r="U1741" s="30">
        <v>3.538678</v>
      </c>
      <c r="W1741" s="30">
        <v>42.421405999999998</v>
      </c>
      <c r="Y1741" s="30">
        <v>8.0197529999999997</v>
      </c>
      <c r="AA1741" s="30">
        <v>584.45029</v>
      </c>
      <c r="AC1741" s="30">
        <v>58.374972999999997</v>
      </c>
      <c r="AE1741" s="27">
        <v>1</v>
      </c>
      <c r="AG1741" s="30">
        <v>7.6981539999999997</v>
      </c>
      <c r="AI1741" s="30">
        <v>8.75</v>
      </c>
      <c r="AK1741" s="30">
        <v>24.689233999999999</v>
      </c>
      <c r="AM1741" s="30">
        <v>34.793419999999998</v>
      </c>
      <c r="AO1741" s="30">
        <v>6.7543579999999999</v>
      </c>
    </row>
    <row r="1742" spans="2:41" x14ac:dyDescent="0.25">
      <c r="B1742" s="21">
        <v>44049</v>
      </c>
      <c r="C1742" s="27">
        <v>22.4068</v>
      </c>
      <c r="E1742" s="30">
        <v>0.842723</v>
      </c>
      <c r="G1742" s="30">
        <v>72.62012</v>
      </c>
      <c r="I1742" s="30">
        <v>6.8985159999999999</v>
      </c>
      <c r="K1742" s="30">
        <v>5.3168540000000002</v>
      </c>
      <c r="M1742" s="30">
        <v>776.46970099999999</v>
      </c>
      <c r="O1742" s="30">
        <v>3766.2105390000002</v>
      </c>
      <c r="Q1742" s="30">
        <v>6928.5670760000003</v>
      </c>
      <c r="S1742" s="30">
        <v>1303.1407979999999</v>
      </c>
      <c r="U1742" s="30">
        <v>3.5440689999999999</v>
      </c>
      <c r="W1742" s="30">
        <v>42.623719999999999</v>
      </c>
      <c r="Y1742" s="30">
        <v>8.0167459999999995</v>
      </c>
      <c r="AA1742" s="30">
        <v>585.62710500000003</v>
      </c>
      <c r="AC1742" s="30">
        <v>58.404121000000004</v>
      </c>
      <c r="AE1742" s="27">
        <v>1</v>
      </c>
      <c r="AG1742" s="30">
        <v>7.6989549999999998</v>
      </c>
      <c r="AI1742" s="30">
        <v>8.75</v>
      </c>
      <c r="AK1742" s="30">
        <v>24.706130999999999</v>
      </c>
      <c r="AM1742" s="30">
        <v>34.726782999999998</v>
      </c>
      <c r="AO1742" s="30">
        <v>6.7548120000000003</v>
      </c>
    </row>
    <row r="1743" spans="2:41" x14ac:dyDescent="0.25">
      <c r="B1743" s="21">
        <v>44050</v>
      </c>
      <c r="C1743" s="27">
        <v>22.365200000000002</v>
      </c>
      <c r="E1743" s="30">
        <v>0.84655899999999995</v>
      </c>
      <c r="G1743" s="30">
        <v>72.722725999999994</v>
      </c>
      <c r="I1743" s="30">
        <v>6.9004880000000002</v>
      </c>
      <c r="K1743" s="30">
        <v>5.3776270000000004</v>
      </c>
      <c r="M1743" s="30">
        <v>779.886842</v>
      </c>
      <c r="O1743" s="30">
        <v>3744.076262</v>
      </c>
      <c r="Q1743" s="30">
        <v>6928.2421700000004</v>
      </c>
      <c r="S1743" s="30">
        <v>1288.3519490000001</v>
      </c>
      <c r="U1743" s="30">
        <v>3.5440330000000002</v>
      </c>
      <c r="W1743" s="30">
        <v>42.647382999999998</v>
      </c>
      <c r="Y1743" s="30">
        <v>7.9305430000000001</v>
      </c>
      <c r="AA1743" s="30">
        <v>585.94411600000001</v>
      </c>
      <c r="AC1743" s="30">
        <v>58.483522000000001</v>
      </c>
      <c r="AE1743" s="27">
        <v>1</v>
      </c>
      <c r="AG1743" s="30">
        <v>7.7005410000000003</v>
      </c>
      <c r="AI1743" s="30">
        <v>8.75</v>
      </c>
      <c r="AK1743" s="30">
        <v>24.721463</v>
      </c>
      <c r="AM1743" s="30">
        <v>34.669656000000003</v>
      </c>
      <c r="AO1743" s="30">
        <v>6.7582240000000002</v>
      </c>
    </row>
    <row r="1744" spans="2:41" x14ac:dyDescent="0.25">
      <c r="B1744" s="21">
        <v>44051</v>
      </c>
      <c r="C1744" s="27">
        <v>22.365200000000002</v>
      </c>
      <c r="E1744" s="30">
        <v>0.848464</v>
      </c>
      <c r="G1744" s="30">
        <v>72.773200000000003</v>
      </c>
      <c r="I1744" s="30">
        <v>6.9056300000000004</v>
      </c>
      <c r="K1744" s="30">
        <v>5.4381000000000004</v>
      </c>
      <c r="M1744" s="30">
        <v>788.8</v>
      </c>
      <c r="O1744" s="30">
        <v>3742.25</v>
      </c>
      <c r="Q1744" s="30">
        <v>6934.4512500000001</v>
      </c>
      <c r="S1744" s="30">
        <v>1275.166352</v>
      </c>
      <c r="U1744" s="30">
        <v>3.5522999999999998</v>
      </c>
      <c r="W1744" s="30">
        <v>42.604877999999999</v>
      </c>
      <c r="Y1744" s="30">
        <v>7.8345359999999999</v>
      </c>
      <c r="AA1744" s="30">
        <v>586.29800499999999</v>
      </c>
      <c r="AC1744" s="30">
        <v>58.564999999999998</v>
      </c>
      <c r="AE1744" s="27">
        <v>1</v>
      </c>
      <c r="AG1744" s="30">
        <v>7.7032749999999997</v>
      </c>
      <c r="AI1744" s="30">
        <v>8.75</v>
      </c>
      <c r="AK1744" s="30">
        <v>24.800274999999999</v>
      </c>
      <c r="AM1744" s="30">
        <v>34.603499999999997</v>
      </c>
      <c r="AO1744" s="30">
        <v>6.7623329999999999</v>
      </c>
    </row>
    <row r="1745" spans="2:41" x14ac:dyDescent="0.25">
      <c r="B1745" s="21">
        <v>44052</v>
      </c>
      <c r="C1745" s="27">
        <v>22.365200000000002</v>
      </c>
      <c r="E1745" s="30">
        <v>0.84848599999999996</v>
      </c>
      <c r="G1745" s="30">
        <v>72.788659999999993</v>
      </c>
      <c r="I1745" s="30">
        <v>6.9056300000000004</v>
      </c>
      <c r="K1745" s="30">
        <v>5.4380800000000002</v>
      </c>
      <c r="M1745" s="30">
        <v>788.79894200000001</v>
      </c>
      <c r="O1745" s="30">
        <v>3742.859238</v>
      </c>
      <c r="Q1745" s="30">
        <v>6934.4512500000001</v>
      </c>
      <c r="S1745" s="30">
        <v>1275.1721540000001</v>
      </c>
      <c r="U1745" s="30">
        <v>3.552044</v>
      </c>
      <c r="W1745" s="30">
        <v>42.604877999999999</v>
      </c>
      <c r="Y1745" s="30">
        <v>7.834568</v>
      </c>
      <c r="AA1745" s="30">
        <v>586.29800499999999</v>
      </c>
      <c r="AC1745" s="30">
        <v>58.564999999999998</v>
      </c>
      <c r="AE1745" s="27">
        <v>1</v>
      </c>
      <c r="AG1745" s="30">
        <v>7.7032749999999997</v>
      </c>
      <c r="AI1745" s="30">
        <v>8.75</v>
      </c>
      <c r="AK1745" s="30">
        <v>24.800274999999999</v>
      </c>
      <c r="AM1745" s="30">
        <v>34.603499999999997</v>
      </c>
      <c r="AO1745" s="30">
        <v>6.7623329999999999</v>
      </c>
    </row>
    <row r="1746" spans="2:41" x14ac:dyDescent="0.25">
      <c r="B1746" s="21">
        <v>44053</v>
      </c>
      <c r="C1746" s="27">
        <v>22.4892</v>
      </c>
      <c r="E1746" s="30">
        <v>0.84992800000000002</v>
      </c>
      <c r="G1746" s="30">
        <v>72.858811000000003</v>
      </c>
      <c r="I1746" s="30">
        <v>6.908811</v>
      </c>
      <c r="K1746" s="30">
        <v>5.4376329999999999</v>
      </c>
      <c r="M1746" s="30">
        <v>794.19731999999999</v>
      </c>
      <c r="O1746" s="30">
        <v>3759.3911779999999</v>
      </c>
      <c r="Q1746" s="30">
        <v>6936.1055539999998</v>
      </c>
      <c r="S1746" s="30">
        <v>1275.5810320000001</v>
      </c>
      <c r="U1746" s="30">
        <v>3.5548999999999999</v>
      </c>
      <c r="W1746" s="30">
        <v>42.681136000000002</v>
      </c>
      <c r="Y1746" s="30">
        <v>7.8492360000000003</v>
      </c>
      <c r="AA1746" s="30">
        <v>586.53287799999998</v>
      </c>
      <c r="AC1746" s="30">
        <v>58.540753000000002</v>
      </c>
      <c r="AE1746" s="27">
        <v>1</v>
      </c>
      <c r="AG1746" s="30">
        <v>7.7059879999999996</v>
      </c>
      <c r="AI1746" s="30">
        <v>8.75</v>
      </c>
      <c r="AK1746" s="30">
        <v>24.748481999999999</v>
      </c>
      <c r="AM1746" s="30">
        <v>34.739446000000001</v>
      </c>
      <c r="AO1746" s="30">
        <v>6.7661020000000001</v>
      </c>
    </row>
    <row r="1747" spans="2:41" x14ac:dyDescent="0.25">
      <c r="B1747" s="21">
        <v>44054</v>
      </c>
      <c r="C1747" s="27">
        <v>22.484999999999999</v>
      </c>
      <c r="E1747" s="30">
        <v>0.85057499999999997</v>
      </c>
      <c r="G1747" s="30">
        <v>72.931303999999997</v>
      </c>
      <c r="I1747" s="30">
        <v>6.9116999999999997</v>
      </c>
      <c r="K1747" s="30">
        <v>5.4434079999999998</v>
      </c>
      <c r="M1747" s="30">
        <v>800.16768999999999</v>
      </c>
      <c r="O1747" s="30">
        <v>3761.2660510000001</v>
      </c>
      <c r="Q1747" s="30">
        <v>6934.2379270000001</v>
      </c>
      <c r="S1747" s="30">
        <v>1273.8847780000001</v>
      </c>
      <c r="U1747" s="30">
        <v>3.5615320000000001</v>
      </c>
      <c r="W1747" s="30">
        <v>42.693040000000003</v>
      </c>
      <c r="Y1747" s="30">
        <v>7.8430989999999996</v>
      </c>
      <c r="AA1747" s="30">
        <v>587.89486999999997</v>
      </c>
      <c r="AC1747" s="30">
        <v>58.593960000000003</v>
      </c>
      <c r="AE1747" s="27">
        <v>1</v>
      </c>
      <c r="AG1747" s="30">
        <v>7.7086920000000001</v>
      </c>
      <c r="AI1747" s="30">
        <v>8.75</v>
      </c>
      <c r="AK1747" s="30">
        <v>24.732706</v>
      </c>
      <c r="AM1747" s="30">
        <v>34.739575000000002</v>
      </c>
      <c r="AO1747" s="30">
        <v>6.769412</v>
      </c>
    </row>
    <row r="1748" spans="2:41" x14ac:dyDescent="0.25">
      <c r="B1748" s="21">
        <v>44055</v>
      </c>
      <c r="C1748" s="27">
        <v>22.349</v>
      </c>
      <c r="E1748" s="30">
        <v>0.85005399999999998</v>
      </c>
      <c r="G1748" s="30">
        <v>72.986176999999998</v>
      </c>
      <c r="I1748" s="30">
        <v>6.9175250000000004</v>
      </c>
      <c r="K1748" s="30">
        <v>5.417192</v>
      </c>
      <c r="M1748" s="30">
        <v>793.39075200000002</v>
      </c>
      <c r="O1748" s="30">
        <v>3748.7043760000001</v>
      </c>
      <c r="Q1748" s="30">
        <v>6936.7721289999999</v>
      </c>
      <c r="S1748" s="30">
        <v>1280.517431</v>
      </c>
      <c r="U1748" s="30">
        <v>3.5719699999999999</v>
      </c>
      <c r="W1748" s="30">
        <v>42.644046000000003</v>
      </c>
      <c r="Y1748" s="30">
        <v>7.8720100000000004</v>
      </c>
      <c r="AA1748" s="30">
        <v>589.52958599999999</v>
      </c>
      <c r="AC1748" s="30">
        <v>58.677928000000001</v>
      </c>
      <c r="AE1748" s="27">
        <v>1</v>
      </c>
      <c r="AG1748" s="30">
        <v>7.7138679999999997</v>
      </c>
      <c r="AI1748" s="30">
        <v>8.75</v>
      </c>
      <c r="AK1748" s="30">
        <v>24.756193</v>
      </c>
      <c r="AM1748" s="30">
        <v>34.697608000000002</v>
      </c>
      <c r="AO1748" s="30">
        <v>6.7752080000000001</v>
      </c>
    </row>
    <row r="1749" spans="2:41" x14ac:dyDescent="0.25">
      <c r="B1749" s="21">
        <v>44056</v>
      </c>
      <c r="C1749" s="27">
        <v>22.345700000000001</v>
      </c>
      <c r="E1749" s="30">
        <v>0.84592999999999996</v>
      </c>
      <c r="G1749" s="30">
        <v>73.060524999999998</v>
      </c>
      <c r="I1749" s="30">
        <v>6.9058260000000002</v>
      </c>
      <c r="K1749" s="30">
        <v>5.4050630000000002</v>
      </c>
      <c r="M1749" s="30">
        <v>792.80527400000005</v>
      </c>
      <c r="O1749" s="30">
        <v>3762.7430020000002</v>
      </c>
      <c r="Q1749" s="30">
        <v>6932.1933449999997</v>
      </c>
      <c r="S1749" s="30">
        <v>1282.543813</v>
      </c>
      <c r="U1749" s="30">
        <v>3.5626440000000001</v>
      </c>
      <c r="W1749" s="30">
        <v>42.504148000000001</v>
      </c>
      <c r="Y1749" s="30">
        <v>7.8637949999999996</v>
      </c>
      <c r="AA1749" s="30">
        <v>588.69529999999997</v>
      </c>
      <c r="AC1749" s="30">
        <v>58.440890000000003</v>
      </c>
      <c r="AE1749" s="27">
        <v>1</v>
      </c>
      <c r="AG1749" s="30">
        <v>7.7012900000000002</v>
      </c>
      <c r="AI1749" s="30">
        <v>8.75</v>
      </c>
      <c r="AK1749" s="30">
        <v>24.709962000000001</v>
      </c>
      <c r="AM1749" s="30">
        <v>34.666446000000001</v>
      </c>
      <c r="AO1749" s="30">
        <v>6.7637980000000004</v>
      </c>
    </row>
    <row r="1750" spans="2:41" x14ac:dyDescent="0.25">
      <c r="B1750" s="21">
        <v>44057</v>
      </c>
      <c r="C1750" s="27">
        <v>22.262799999999999</v>
      </c>
      <c r="E1750" s="30">
        <v>0.84586600000000001</v>
      </c>
      <c r="G1750" s="30">
        <v>73.092849000000001</v>
      </c>
      <c r="I1750" s="30">
        <v>6.9119799999999998</v>
      </c>
      <c r="K1750" s="30">
        <v>5.3903400000000001</v>
      </c>
      <c r="M1750" s="30">
        <v>795.19791799999996</v>
      </c>
      <c r="O1750" s="30">
        <v>3778.7239960000002</v>
      </c>
      <c r="Q1750" s="30">
        <v>6946.9745700000003</v>
      </c>
      <c r="S1750" s="30">
        <v>1288.7893340000001</v>
      </c>
      <c r="U1750" s="30">
        <v>3.5741179999999999</v>
      </c>
      <c r="W1750" s="30">
        <v>42.552847999999997</v>
      </c>
      <c r="Y1750" s="30">
        <v>7.894304</v>
      </c>
      <c r="AA1750" s="30">
        <v>592.44075599999996</v>
      </c>
      <c r="AC1750" s="30">
        <v>58.497531000000002</v>
      </c>
      <c r="AE1750" s="27">
        <v>1</v>
      </c>
      <c r="AG1750" s="30">
        <v>7.708342</v>
      </c>
      <c r="AI1750" s="30">
        <v>8.75</v>
      </c>
      <c r="AK1750" s="30">
        <v>24.700302000000001</v>
      </c>
      <c r="AM1750" s="30">
        <v>34.752063999999997</v>
      </c>
      <c r="AO1750" s="30">
        <v>6.7699759999999998</v>
      </c>
    </row>
    <row r="1751" spans="2:41" x14ac:dyDescent="0.25">
      <c r="B1751" s="21">
        <v>44058</v>
      </c>
      <c r="C1751" s="27">
        <v>22.262799999999999</v>
      </c>
      <c r="E1751" s="30">
        <v>0.84440899999999997</v>
      </c>
      <c r="G1751" s="30">
        <v>73.157174999999995</v>
      </c>
      <c r="I1751" s="30">
        <v>6.9071210000000001</v>
      </c>
      <c r="K1751" s="30">
        <v>5.424563</v>
      </c>
      <c r="M1751" s="30">
        <v>797.58</v>
      </c>
      <c r="O1751" s="30">
        <v>3790.7424999999998</v>
      </c>
      <c r="Q1751" s="30">
        <v>6942.6222500000003</v>
      </c>
      <c r="S1751" s="30">
        <v>1279.860077</v>
      </c>
      <c r="U1751" s="30">
        <v>3.571971</v>
      </c>
      <c r="W1751" s="30">
        <v>42.532367999999998</v>
      </c>
      <c r="Y1751" s="30">
        <v>7.840738</v>
      </c>
      <c r="AA1751" s="30">
        <v>594.74920499999996</v>
      </c>
      <c r="AC1751" s="30">
        <v>58.417839999999998</v>
      </c>
      <c r="AE1751" s="27">
        <v>1</v>
      </c>
      <c r="AG1751" s="30">
        <v>7.7023799999999998</v>
      </c>
      <c r="AI1751" s="30">
        <v>8.75</v>
      </c>
      <c r="AK1751" s="30">
        <v>24.677852000000001</v>
      </c>
      <c r="AM1751" s="30">
        <v>34.854909999999997</v>
      </c>
      <c r="AO1751" s="30">
        <v>6.7650069999999998</v>
      </c>
    </row>
    <row r="1752" spans="2:41" x14ac:dyDescent="0.25">
      <c r="B1752" s="21">
        <v>44059</v>
      </c>
      <c r="C1752" s="27">
        <v>22.262799999999999</v>
      </c>
      <c r="E1752" s="30">
        <v>0.84440000000000004</v>
      </c>
      <c r="G1752" s="30">
        <v>73.156183999999996</v>
      </c>
      <c r="I1752" s="30">
        <v>6.9071210000000001</v>
      </c>
      <c r="K1752" s="30">
        <v>5.4243259999999998</v>
      </c>
      <c r="M1752" s="30">
        <v>797.58165199999996</v>
      </c>
      <c r="O1752" s="30">
        <v>3790.7897779999998</v>
      </c>
      <c r="Q1752" s="30">
        <v>6942.6222500000003</v>
      </c>
      <c r="S1752" s="30">
        <v>1279.91569</v>
      </c>
      <c r="U1752" s="30">
        <v>3.5719029999999998</v>
      </c>
      <c r="W1752" s="30">
        <v>42.532367999999998</v>
      </c>
      <c r="Y1752" s="30">
        <v>7.8410799999999998</v>
      </c>
      <c r="AA1752" s="30">
        <v>594.50382999999999</v>
      </c>
      <c r="AC1752" s="30">
        <v>58.417839999999998</v>
      </c>
      <c r="AE1752" s="27">
        <v>1</v>
      </c>
      <c r="AG1752" s="30">
        <v>7.7023799999999998</v>
      </c>
      <c r="AI1752" s="30">
        <v>8.75</v>
      </c>
      <c r="AK1752" s="30">
        <v>24.677852000000001</v>
      </c>
      <c r="AM1752" s="30">
        <v>34.848883999999998</v>
      </c>
      <c r="AO1752" s="30">
        <v>6.7650069999999998</v>
      </c>
    </row>
    <row r="1753" spans="2:41" x14ac:dyDescent="0.25">
      <c r="B1753" s="21">
        <v>44060</v>
      </c>
      <c r="C1753" s="27">
        <v>22.031300000000002</v>
      </c>
      <c r="E1753" s="30">
        <v>0.84318899999999997</v>
      </c>
      <c r="G1753" s="30">
        <v>73.061685999999995</v>
      </c>
      <c r="I1753" s="30">
        <v>6.9023880000000002</v>
      </c>
      <c r="K1753" s="30">
        <v>5.4529019999999999</v>
      </c>
      <c r="M1753" s="30">
        <v>801.27797799999996</v>
      </c>
      <c r="O1753" s="30">
        <v>3790.983988</v>
      </c>
      <c r="Q1753" s="30">
        <v>6938.9824420000004</v>
      </c>
      <c r="S1753" s="30">
        <v>1272.5368080000001</v>
      </c>
      <c r="U1753" s="30">
        <v>3.5717020000000002</v>
      </c>
      <c r="W1753" s="30">
        <v>42.465522</v>
      </c>
      <c r="Y1753" s="30">
        <v>7.7877159999999996</v>
      </c>
      <c r="AA1753" s="30">
        <v>594.62423000000001</v>
      </c>
      <c r="AC1753" s="30">
        <v>58.449874999999999</v>
      </c>
      <c r="AE1753" s="27">
        <v>1</v>
      </c>
      <c r="AG1753" s="30">
        <v>7.6962780000000004</v>
      </c>
      <c r="AI1753" s="30">
        <v>8.75</v>
      </c>
      <c r="AK1753" s="30">
        <v>24.684180000000001</v>
      </c>
      <c r="AM1753" s="30">
        <v>34.708576000000001</v>
      </c>
      <c r="AO1753" s="30">
        <v>6.7596579999999999</v>
      </c>
    </row>
    <row r="1754" spans="2:41" x14ac:dyDescent="0.25">
      <c r="B1754" s="21">
        <v>44061</v>
      </c>
      <c r="C1754" s="27">
        <v>22.056999999999999</v>
      </c>
      <c r="E1754" s="30">
        <v>0.83931199999999995</v>
      </c>
      <c r="G1754" s="30">
        <v>73.226159999999993</v>
      </c>
      <c r="I1754" s="30">
        <v>6.8998480000000004</v>
      </c>
      <c r="K1754" s="30">
        <v>5.4901439999999999</v>
      </c>
      <c r="M1754" s="30">
        <v>801.63717899999995</v>
      </c>
      <c r="O1754" s="30">
        <v>3789.2567640000002</v>
      </c>
      <c r="Q1754" s="30">
        <v>6926.8013030000002</v>
      </c>
      <c r="S1754" s="30">
        <v>1261.686346</v>
      </c>
      <c r="U1754" s="30">
        <v>3.5664220000000002</v>
      </c>
      <c r="W1754" s="30">
        <v>42.468953999999997</v>
      </c>
      <c r="Y1754" s="30">
        <v>7.7355159999999996</v>
      </c>
      <c r="AA1754" s="30">
        <v>594.66666099999998</v>
      </c>
      <c r="AC1754" s="30">
        <v>58.42671</v>
      </c>
      <c r="AE1754" s="27">
        <v>1</v>
      </c>
      <c r="AG1754" s="30">
        <v>7.6935469999999997</v>
      </c>
      <c r="AI1754" s="30">
        <v>8.75</v>
      </c>
      <c r="AK1754" s="30">
        <v>24.673812000000002</v>
      </c>
      <c r="AM1754" s="30">
        <v>34.631492000000001</v>
      </c>
      <c r="AO1754" s="30">
        <v>6.7649299999999997</v>
      </c>
    </row>
    <row r="1755" spans="2:41" x14ac:dyDescent="0.25">
      <c r="B1755" s="21">
        <v>44062</v>
      </c>
      <c r="C1755" s="27">
        <v>22.153500000000001</v>
      </c>
      <c r="E1755" s="30">
        <v>0.839754</v>
      </c>
      <c r="G1755" s="30">
        <v>73.41798</v>
      </c>
      <c r="I1755" s="30">
        <v>6.8888850000000001</v>
      </c>
      <c r="K1755" s="30">
        <v>5.49132</v>
      </c>
      <c r="M1755" s="30">
        <v>789.46281599999998</v>
      </c>
      <c r="O1755" s="30">
        <v>3774.8022179999998</v>
      </c>
      <c r="Q1755" s="30">
        <v>6915.445745</v>
      </c>
      <c r="S1755" s="30">
        <v>1259.347638</v>
      </c>
      <c r="U1755" s="30">
        <v>3.5670130000000002</v>
      </c>
      <c r="W1755" s="30">
        <v>42.577528000000001</v>
      </c>
      <c r="Y1755" s="30">
        <v>7.7536300000000002</v>
      </c>
      <c r="AA1755" s="30">
        <v>594.09365400000002</v>
      </c>
      <c r="AC1755" s="30">
        <v>58.241903999999998</v>
      </c>
      <c r="AE1755" s="27">
        <v>1</v>
      </c>
      <c r="AG1755" s="30">
        <v>7.685632</v>
      </c>
      <c r="AI1755" s="30">
        <v>8.75</v>
      </c>
      <c r="AK1755" s="30">
        <v>24.611353999999999</v>
      </c>
      <c r="AM1755" s="30">
        <v>34.752875000000003</v>
      </c>
      <c r="AO1755" s="30">
        <v>6.7645179999999998</v>
      </c>
    </row>
    <row r="1756" spans="2:41" x14ac:dyDescent="0.25">
      <c r="B1756" s="21">
        <v>44063</v>
      </c>
      <c r="C1756" s="27">
        <v>22.052700000000002</v>
      </c>
      <c r="E1756" s="30">
        <v>0.84409699999999999</v>
      </c>
      <c r="G1756" s="30">
        <v>73.456770000000006</v>
      </c>
      <c r="I1756" s="30">
        <v>6.9123359999999998</v>
      </c>
      <c r="K1756" s="30">
        <v>5.5765820000000001</v>
      </c>
      <c r="M1756" s="30">
        <v>785.56930399999999</v>
      </c>
      <c r="O1756" s="30">
        <v>3775.363836</v>
      </c>
      <c r="Q1756" s="30">
        <v>6940.1446999999998</v>
      </c>
      <c r="S1756" s="30">
        <v>1244.522802</v>
      </c>
      <c r="U1756" s="30">
        <v>3.5732759999999999</v>
      </c>
      <c r="W1756" s="30">
        <v>42.88935</v>
      </c>
      <c r="Y1756" s="30">
        <v>7.6910020000000001</v>
      </c>
      <c r="AA1756" s="30">
        <v>596.01277600000003</v>
      </c>
      <c r="AC1756" s="30">
        <v>58.499020000000002</v>
      </c>
      <c r="AE1756" s="27">
        <v>1</v>
      </c>
      <c r="AG1756" s="30">
        <v>7.7114200000000004</v>
      </c>
      <c r="AI1756" s="30">
        <v>8.75</v>
      </c>
      <c r="AK1756" s="30">
        <v>24.690757000000001</v>
      </c>
      <c r="AM1756" s="30">
        <v>34.886738999999999</v>
      </c>
      <c r="AO1756" s="30">
        <v>6.7872769999999996</v>
      </c>
    </row>
    <row r="1757" spans="2:41" x14ac:dyDescent="0.25">
      <c r="B1757" s="21">
        <v>44064</v>
      </c>
      <c r="C1757" s="27">
        <v>22.175999999999998</v>
      </c>
      <c r="E1757" s="30">
        <v>0.84632799999999997</v>
      </c>
      <c r="G1757" s="30">
        <v>73.515873999999997</v>
      </c>
      <c r="I1757" s="30">
        <v>6.8988880000000004</v>
      </c>
      <c r="K1757" s="30">
        <v>5.5834979999999996</v>
      </c>
      <c r="M1757" s="30">
        <v>789.060382</v>
      </c>
      <c r="O1757" s="30">
        <v>3818.1232869999999</v>
      </c>
      <c r="Q1757" s="30">
        <v>6955.8685020000003</v>
      </c>
      <c r="S1757" s="30">
        <v>1245.797736</v>
      </c>
      <c r="U1757" s="30">
        <v>3.5737719999999999</v>
      </c>
      <c r="W1757" s="30">
        <v>42.852096000000003</v>
      </c>
      <c r="Y1757" s="30">
        <v>7.6748050000000001</v>
      </c>
      <c r="AA1757" s="30">
        <v>594.59896300000003</v>
      </c>
      <c r="AC1757" s="30">
        <v>58.423158999999998</v>
      </c>
      <c r="AE1757" s="27">
        <v>1</v>
      </c>
      <c r="AG1757" s="30">
        <v>7.6932219999999996</v>
      </c>
      <c r="AI1757" s="30">
        <v>8.75</v>
      </c>
      <c r="AK1757" s="30">
        <v>24.630562000000001</v>
      </c>
      <c r="AM1757" s="30">
        <v>34.812128999999999</v>
      </c>
      <c r="AO1757" s="30">
        <v>6.771242</v>
      </c>
    </row>
    <row r="1758" spans="2:41" x14ac:dyDescent="0.25">
      <c r="B1758" s="21">
        <v>44065</v>
      </c>
      <c r="C1758" s="27">
        <v>22.175999999999998</v>
      </c>
      <c r="E1758" s="30">
        <v>0.84772999999999998</v>
      </c>
      <c r="G1758" s="30">
        <v>73.571899999999999</v>
      </c>
      <c r="I1758" s="30">
        <v>6.9046149999999997</v>
      </c>
      <c r="K1758" s="30">
        <v>5.6204340000000004</v>
      </c>
      <c r="M1758" s="30">
        <v>792.99749999999995</v>
      </c>
      <c r="O1758" s="30">
        <v>3841.2975000000001</v>
      </c>
      <c r="Q1758" s="30">
        <v>6967.3109999999997</v>
      </c>
      <c r="S1758" s="30">
        <v>1239.6500799999999</v>
      </c>
      <c r="U1758" s="30">
        <v>3.5817079999999999</v>
      </c>
      <c r="W1758" s="30">
        <v>42.888019999999997</v>
      </c>
      <c r="Y1758" s="30">
        <v>7.6307809999999998</v>
      </c>
      <c r="AA1758" s="30">
        <v>595.08404199999995</v>
      </c>
      <c r="AC1758" s="30">
        <v>58.474347999999999</v>
      </c>
      <c r="AE1758" s="27">
        <v>1</v>
      </c>
      <c r="AG1758" s="30">
        <v>7.6995699999999996</v>
      </c>
      <c r="AI1758" s="30">
        <v>8.75</v>
      </c>
      <c r="AK1758" s="30">
        <v>24.650421999999999</v>
      </c>
      <c r="AM1758" s="30">
        <v>34.832804000000003</v>
      </c>
      <c r="AO1758" s="30">
        <v>6.7767970000000002</v>
      </c>
    </row>
    <row r="1759" spans="2:41" x14ac:dyDescent="0.25">
      <c r="B1759" s="21">
        <v>44066</v>
      </c>
      <c r="C1759" s="27">
        <v>22.175999999999998</v>
      </c>
      <c r="E1759" s="30">
        <v>0.84770500000000004</v>
      </c>
      <c r="G1759" s="30">
        <v>73.570734000000002</v>
      </c>
      <c r="I1759" s="30">
        <v>6.9046149999999997</v>
      </c>
      <c r="K1759" s="30">
        <v>5.6203779999999997</v>
      </c>
      <c r="M1759" s="30">
        <v>793.00596399999995</v>
      </c>
      <c r="O1759" s="30">
        <v>3840.8600280000001</v>
      </c>
      <c r="Q1759" s="30">
        <v>6967.3109999999997</v>
      </c>
      <c r="S1759" s="30">
        <v>1239.6616939999999</v>
      </c>
      <c r="U1759" s="30">
        <v>3.5813549999999998</v>
      </c>
      <c r="W1759" s="30">
        <v>42.888019999999997</v>
      </c>
      <c r="Y1759" s="30">
        <v>7.630852</v>
      </c>
      <c r="AA1759" s="30">
        <v>595.08404199999995</v>
      </c>
      <c r="AC1759" s="30">
        <v>58.474347999999999</v>
      </c>
      <c r="AE1759" s="27">
        <v>1</v>
      </c>
      <c r="AG1759" s="30">
        <v>7.6995699999999996</v>
      </c>
      <c r="AI1759" s="30">
        <v>8.75</v>
      </c>
      <c r="AK1759" s="30">
        <v>24.650421999999999</v>
      </c>
      <c r="AM1759" s="30">
        <v>34.832804000000003</v>
      </c>
      <c r="AO1759" s="30">
        <v>6.7767970000000002</v>
      </c>
    </row>
    <row r="1760" spans="2:41" x14ac:dyDescent="0.25">
      <c r="B1760" s="21">
        <v>44067</v>
      </c>
      <c r="C1760" s="27">
        <v>22.036200000000001</v>
      </c>
      <c r="E1760" s="30">
        <v>0.84698200000000001</v>
      </c>
      <c r="G1760" s="30">
        <v>73.615843999999996</v>
      </c>
      <c r="I1760" s="30">
        <v>6.9056199999999999</v>
      </c>
      <c r="K1760" s="30">
        <v>5.6104419999999999</v>
      </c>
      <c r="M1760" s="30">
        <v>789.81491900000003</v>
      </c>
      <c r="O1760" s="30">
        <v>3841.9061200000001</v>
      </c>
      <c r="Q1760" s="30">
        <v>6966.698394</v>
      </c>
      <c r="S1760" s="30">
        <v>1241.7442779999999</v>
      </c>
      <c r="U1760" s="30">
        <v>3.5822539999999998</v>
      </c>
      <c r="W1760" s="30">
        <v>43.003535999999997</v>
      </c>
      <c r="Y1760" s="30">
        <v>7.6649339999999997</v>
      </c>
      <c r="AA1760" s="30">
        <v>594.822047</v>
      </c>
      <c r="AC1760" s="30">
        <v>58.491388000000001</v>
      </c>
      <c r="AE1760" s="27">
        <v>1</v>
      </c>
      <c r="AG1760" s="30">
        <v>7.7006540000000001</v>
      </c>
      <c r="AI1760" s="30">
        <v>8.75</v>
      </c>
      <c r="AK1760" s="30">
        <v>24.656010999999999</v>
      </c>
      <c r="AM1760" s="30">
        <v>34.84243</v>
      </c>
      <c r="AO1760" s="30">
        <v>6.7778390000000002</v>
      </c>
    </row>
    <row r="1761" spans="2:41" x14ac:dyDescent="0.25">
      <c r="B1761" s="21">
        <v>44068</v>
      </c>
      <c r="C1761" s="27">
        <v>21.984000000000002</v>
      </c>
      <c r="E1761" s="30">
        <v>0.84603600000000001</v>
      </c>
      <c r="G1761" s="30">
        <v>73.71884</v>
      </c>
      <c r="I1761" s="30">
        <v>6.9064819999999996</v>
      </c>
      <c r="K1761" s="30">
        <v>5.5830000000000002</v>
      </c>
      <c r="M1761" s="30">
        <v>785.71952799999997</v>
      </c>
      <c r="O1761" s="30">
        <v>3860.8631949999999</v>
      </c>
      <c r="Q1761" s="30">
        <v>6967.5936899999997</v>
      </c>
      <c r="S1761" s="30">
        <v>1248.0081399999999</v>
      </c>
      <c r="U1761" s="30">
        <v>3.5870259999999998</v>
      </c>
      <c r="W1761" s="30">
        <v>43.108809999999998</v>
      </c>
      <c r="Y1761" s="30">
        <v>7.7214650000000002</v>
      </c>
      <c r="AA1761" s="30">
        <v>594.77574200000004</v>
      </c>
      <c r="AC1761" s="30">
        <v>58.505367999999997</v>
      </c>
      <c r="AE1761" s="27">
        <v>1</v>
      </c>
      <c r="AG1761" s="30">
        <v>7.7050640000000001</v>
      </c>
      <c r="AI1761" s="30">
        <v>8.75</v>
      </c>
      <c r="AK1761" s="30">
        <v>24.670843999999999</v>
      </c>
      <c r="AM1761" s="30">
        <v>34.872630000000001</v>
      </c>
      <c r="AO1761" s="30">
        <v>6.78172</v>
      </c>
    </row>
    <row r="1762" spans="2:41" x14ac:dyDescent="0.25">
      <c r="B1762" s="21">
        <v>44069</v>
      </c>
      <c r="C1762" s="27">
        <v>21.972300000000001</v>
      </c>
      <c r="E1762" s="30">
        <v>0.84605799999999998</v>
      </c>
      <c r="G1762" s="30">
        <v>73.784266000000002</v>
      </c>
      <c r="I1762" s="30">
        <v>6.9010160000000003</v>
      </c>
      <c r="K1762" s="30">
        <v>5.5501379999999996</v>
      </c>
      <c r="M1762" s="30">
        <v>786.55463799999995</v>
      </c>
      <c r="O1762" s="30">
        <v>3855.8019559999998</v>
      </c>
      <c r="Q1762" s="30">
        <v>6960.1729859999996</v>
      </c>
      <c r="S1762" s="30">
        <v>1254.0602019999999</v>
      </c>
      <c r="U1762" s="30">
        <v>3.5820690000000002</v>
      </c>
      <c r="W1762" s="30">
        <v>42.919229999999999</v>
      </c>
      <c r="Y1762" s="30">
        <v>7.7330259999999997</v>
      </c>
      <c r="AA1762" s="30">
        <v>594.48312999999996</v>
      </c>
      <c r="AC1762" s="30">
        <v>58.442590000000003</v>
      </c>
      <c r="AE1762" s="27">
        <v>1</v>
      </c>
      <c r="AG1762" s="30">
        <v>7.6994199999999999</v>
      </c>
      <c r="AI1762" s="30">
        <v>8.75</v>
      </c>
      <c r="AK1762" s="30">
        <v>24.656638000000001</v>
      </c>
      <c r="AM1762" s="30">
        <v>34.854588</v>
      </c>
      <c r="AO1762" s="30">
        <v>6.776732</v>
      </c>
    </row>
    <row r="1763" spans="2:41" x14ac:dyDescent="0.25">
      <c r="B1763" s="21">
        <v>44070</v>
      </c>
      <c r="C1763" s="27">
        <v>21.920200000000001</v>
      </c>
      <c r="E1763" s="30">
        <v>0.84580200000000005</v>
      </c>
      <c r="G1763" s="30">
        <v>73.829211999999998</v>
      </c>
      <c r="I1763" s="30">
        <v>6.9003329999999998</v>
      </c>
      <c r="K1763" s="30">
        <v>5.5939930000000002</v>
      </c>
      <c r="M1763" s="30">
        <v>784.64364399999999</v>
      </c>
      <c r="O1763" s="30">
        <v>3831.689421</v>
      </c>
      <c r="Q1763" s="30">
        <v>6962.5780779999996</v>
      </c>
      <c r="S1763" s="30">
        <v>1244.658897</v>
      </c>
      <c r="U1763" s="30">
        <v>3.575977</v>
      </c>
      <c r="W1763" s="30">
        <v>42.825403999999999</v>
      </c>
      <c r="Y1763" s="30">
        <v>7.6556280000000001</v>
      </c>
      <c r="AA1763" s="30">
        <v>594.56239600000004</v>
      </c>
      <c r="AC1763" s="30">
        <v>58.41921</v>
      </c>
      <c r="AE1763" s="27">
        <v>1</v>
      </c>
      <c r="AG1763" s="30">
        <v>7.6978260000000001</v>
      </c>
      <c r="AI1763" s="30">
        <v>8.75</v>
      </c>
      <c r="AK1763" s="30">
        <v>24.645952000000001</v>
      </c>
      <c r="AM1763" s="30">
        <v>34.842244000000001</v>
      </c>
      <c r="AO1763" s="30">
        <v>6.7737119999999997</v>
      </c>
    </row>
    <row r="1764" spans="2:41" x14ac:dyDescent="0.25">
      <c r="B1764" s="21">
        <v>44071</v>
      </c>
      <c r="C1764" s="27">
        <v>22.116800000000001</v>
      </c>
      <c r="E1764" s="30">
        <v>0.84157499999999996</v>
      </c>
      <c r="G1764" s="30">
        <v>73.917745999999994</v>
      </c>
      <c r="I1764" s="30">
        <v>6.9014179999999996</v>
      </c>
      <c r="K1764" s="30">
        <v>5.5007999999999999</v>
      </c>
      <c r="M1764" s="30">
        <v>781.93269399999997</v>
      </c>
      <c r="O1764" s="30">
        <v>3789.35574</v>
      </c>
      <c r="Q1764" s="30">
        <v>6971.2651839999999</v>
      </c>
      <c r="S1764" s="30">
        <v>1267.3265160000001</v>
      </c>
      <c r="U1764" s="30">
        <v>3.5678800000000002</v>
      </c>
      <c r="W1764" s="30">
        <v>42.745570000000001</v>
      </c>
      <c r="Y1764" s="30">
        <v>7.7708219999999999</v>
      </c>
      <c r="AA1764" s="30">
        <v>594.99092199999996</v>
      </c>
      <c r="AC1764" s="30">
        <v>58.425949000000003</v>
      </c>
      <c r="AE1764" s="27">
        <v>1</v>
      </c>
      <c r="AG1764" s="30">
        <v>7.7045760000000003</v>
      </c>
      <c r="AI1764" s="30">
        <v>8.75</v>
      </c>
      <c r="AK1764" s="30">
        <v>24.656296000000001</v>
      </c>
      <c r="AM1764" s="30">
        <v>34.859031999999999</v>
      </c>
      <c r="AO1764" s="30">
        <v>6.7762229999999999</v>
      </c>
    </row>
    <row r="1765" spans="2:41" x14ac:dyDescent="0.25">
      <c r="B1765" s="21">
        <v>44072</v>
      </c>
      <c r="C1765" s="27">
        <v>22.116800000000001</v>
      </c>
      <c r="E1765" s="30">
        <v>0.84001199999999998</v>
      </c>
      <c r="G1765" s="30">
        <v>73.932974999999999</v>
      </c>
      <c r="I1765" s="30">
        <v>6.9015950000000004</v>
      </c>
      <c r="K1765" s="30">
        <v>5.3892049999999996</v>
      </c>
      <c r="M1765" s="30">
        <v>779.49</v>
      </c>
      <c r="O1765" s="30">
        <v>3745.7925</v>
      </c>
      <c r="Q1765" s="30">
        <v>6970.2669999999998</v>
      </c>
      <c r="S1765" s="30">
        <v>1293.385094</v>
      </c>
      <c r="U1765" s="30">
        <v>3.5489299999999999</v>
      </c>
      <c r="W1765" s="30">
        <v>42.731878999999999</v>
      </c>
      <c r="Y1765" s="30">
        <v>7.9291939999999999</v>
      </c>
      <c r="AA1765" s="30">
        <v>595.09200499999997</v>
      </c>
      <c r="AC1765" s="30">
        <v>58.427357999999998</v>
      </c>
      <c r="AE1765" s="27">
        <v>1</v>
      </c>
      <c r="AG1765" s="30">
        <v>7.7070080000000001</v>
      </c>
      <c r="AI1765" s="30">
        <v>8.75</v>
      </c>
      <c r="AK1765" s="30">
        <v>24.661678999999999</v>
      </c>
      <c r="AM1765" s="30">
        <v>34.863835999999999</v>
      </c>
      <c r="AO1765" s="30">
        <v>6.7776540000000001</v>
      </c>
    </row>
    <row r="1766" spans="2:41" x14ac:dyDescent="0.25">
      <c r="B1766" s="21">
        <v>44073</v>
      </c>
      <c r="C1766" s="27">
        <v>22.116800000000001</v>
      </c>
      <c r="E1766" s="30">
        <v>0.83998200000000001</v>
      </c>
      <c r="G1766" s="30">
        <v>73.930760000000006</v>
      </c>
      <c r="I1766" s="30">
        <v>6.9015950000000004</v>
      </c>
      <c r="K1766" s="30">
        <v>5.3892670000000003</v>
      </c>
      <c r="M1766" s="30">
        <v>779.49082599999997</v>
      </c>
      <c r="O1766" s="30">
        <v>3745.768345</v>
      </c>
      <c r="Q1766" s="30">
        <v>6970.2669999999998</v>
      </c>
      <c r="S1766" s="30">
        <v>1293.36987</v>
      </c>
      <c r="U1766" s="30">
        <v>3.549912</v>
      </c>
      <c r="W1766" s="30">
        <v>42.731878999999999</v>
      </c>
      <c r="Y1766" s="30">
        <v>7.9291020000000003</v>
      </c>
      <c r="AA1766" s="30">
        <v>595.09200499999997</v>
      </c>
      <c r="AC1766" s="30">
        <v>58.427357999999998</v>
      </c>
      <c r="AE1766" s="27">
        <v>1</v>
      </c>
      <c r="AG1766" s="30">
        <v>7.7070080000000001</v>
      </c>
      <c r="AI1766" s="30">
        <v>8.75</v>
      </c>
      <c r="AK1766" s="30">
        <v>24.661678999999999</v>
      </c>
      <c r="AM1766" s="30">
        <v>34.863835999999999</v>
      </c>
      <c r="AO1766" s="30">
        <v>6.7776540000000001</v>
      </c>
    </row>
    <row r="1767" spans="2:41" x14ac:dyDescent="0.25">
      <c r="B1767" s="21">
        <v>44074</v>
      </c>
      <c r="C1767" s="27">
        <v>21.860199999999999</v>
      </c>
      <c r="E1767" s="30">
        <v>0.83862999999999999</v>
      </c>
      <c r="G1767" s="30">
        <v>74.020803999999998</v>
      </c>
      <c r="I1767" s="30">
        <v>6.8967479999999997</v>
      </c>
      <c r="K1767" s="30">
        <v>5.4327699999999997</v>
      </c>
      <c r="M1767" s="30">
        <v>778.03506400000003</v>
      </c>
      <c r="O1767" s="30">
        <v>3744.5817729999999</v>
      </c>
      <c r="Q1767" s="30">
        <v>6967.6714830000001</v>
      </c>
      <c r="S1767" s="30">
        <v>1282.532766</v>
      </c>
      <c r="U1767" s="30">
        <v>3.5417969999999999</v>
      </c>
      <c r="W1767" s="30">
        <v>42.673439999999999</v>
      </c>
      <c r="Y1767" s="30">
        <v>7.8548460000000002</v>
      </c>
      <c r="AA1767" s="30">
        <v>594.871849</v>
      </c>
      <c r="AC1767" s="30">
        <v>58.391204000000002</v>
      </c>
      <c r="AE1767" s="27">
        <v>1</v>
      </c>
      <c r="AG1767" s="30">
        <v>7.7074939999999996</v>
      </c>
      <c r="AI1767" s="30">
        <v>8.75</v>
      </c>
      <c r="AK1767" s="30">
        <v>24.650597000000001</v>
      </c>
      <c r="AM1767" s="30">
        <v>34.848542999999999</v>
      </c>
      <c r="AO1767" s="30">
        <v>6.7746779999999998</v>
      </c>
    </row>
    <row r="1768" spans="2:41" ht="13" x14ac:dyDescent="0.3">
      <c r="B1768" s="25" t="s">
        <v>194</v>
      </c>
      <c r="C1768" s="19">
        <v>22.221</v>
      </c>
      <c r="E1768" s="24">
        <v>0.84556500000000001</v>
      </c>
      <c r="G1768" s="24">
        <v>73.196347000000003</v>
      </c>
      <c r="I1768" s="24">
        <v>6.904299</v>
      </c>
      <c r="J1768" s="9"/>
      <c r="K1768" s="24">
        <v>5.4424489999999999</v>
      </c>
      <c r="M1768" s="24">
        <v>784.92717100000004</v>
      </c>
      <c r="O1768" s="24">
        <v>3780.8361359999999</v>
      </c>
      <c r="Q1768" s="24">
        <v>6946.2557889999998</v>
      </c>
      <c r="S1768" s="24">
        <v>1276.834216</v>
      </c>
      <c r="U1768" s="24">
        <v>3.5611830000000002</v>
      </c>
      <c r="W1768" s="24">
        <v>42.676935</v>
      </c>
      <c r="Y1768" s="24">
        <v>7.8443959999999997</v>
      </c>
      <c r="AA1768" s="24">
        <v>590.90717299999994</v>
      </c>
      <c r="AC1768" s="24">
        <v>58.494424000000002</v>
      </c>
      <c r="AE1768" s="19">
        <v>1</v>
      </c>
      <c r="AG1768" s="24">
        <v>7.702502</v>
      </c>
      <c r="AI1768" s="24">
        <v>8.75</v>
      </c>
      <c r="AK1768" s="24">
        <v>24.700883999999999</v>
      </c>
      <c r="AM1768" s="24">
        <v>34.757624999999997</v>
      </c>
      <c r="AO1768" s="24">
        <v>6.7685110000000002</v>
      </c>
    </row>
    <row r="1769" spans="2:41" x14ac:dyDescent="0.25">
      <c r="B1769" s="21">
        <v>44075</v>
      </c>
      <c r="C1769" s="27">
        <v>21.888000000000002</v>
      </c>
      <c r="E1769" s="30">
        <v>0.83640000000000003</v>
      </c>
      <c r="G1769" s="30">
        <v>74.174115999999998</v>
      </c>
      <c r="I1769" s="30">
        <v>6.8954219999999999</v>
      </c>
      <c r="K1769" s="30">
        <v>5.4373699999999996</v>
      </c>
      <c r="M1769" s="30">
        <v>773.67109600000003</v>
      </c>
      <c r="O1769" s="30">
        <v>3719.5331259999998</v>
      </c>
      <c r="Q1769" s="30">
        <v>6961.6138959999998</v>
      </c>
      <c r="S1769" s="30">
        <v>1280.3347779999999</v>
      </c>
      <c r="U1769" s="30">
        <v>3.554224</v>
      </c>
      <c r="W1769" s="30">
        <v>42.561397999999997</v>
      </c>
      <c r="Y1769" s="30">
        <v>7.8276000000000003</v>
      </c>
      <c r="AA1769" s="30">
        <v>594.64842199999998</v>
      </c>
      <c r="AC1769" s="30">
        <v>58.359954000000002</v>
      </c>
      <c r="AE1769" s="27">
        <v>1</v>
      </c>
      <c r="AG1769" s="30">
        <v>7.7115900000000002</v>
      </c>
      <c r="AI1769" s="30">
        <v>8.75</v>
      </c>
      <c r="AK1769" s="30">
        <v>24.639022000000001</v>
      </c>
      <c r="AM1769" s="30">
        <v>34.841152000000001</v>
      </c>
      <c r="AO1769" s="30">
        <v>6.771833</v>
      </c>
    </row>
    <row r="1770" spans="2:41" x14ac:dyDescent="0.25">
      <c r="B1770" s="21">
        <v>44076</v>
      </c>
      <c r="C1770" s="27">
        <v>21.744499999999999</v>
      </c>
      <c r="E1770" s="30">
        <v>0.842746</v>
      </c>
      <c r="G1770" s="30">
        <v>74.270294000000007</v>
      </c>
      <c r="I1770" s="30">
        <v>6.9109740000000004</v>
      </c>
      <c r="K1770" s="30">
        <v>5.3799659999999996</v>
      </c>
      <c r="M1770" s="30">
        <v>771.40541900000005</v>
      </c>
      <c r="O1770" s="30">
        <v>3670.8972859999999</v>
      </c>
      <c r="Q1770" s="30">
        <v>6976.6288240000003</v>
      </c>
      <c r="S1770" s="30">
        <v>1296.786218</v>
      </c>
      <c r="U1770" s="30">
        <v>3.55687</v>
      </c>
      <c r="W1770" s="30">
        <v>42.669911999999997</v>
      </c>
      <c r="Y1770" s="30">
        <v>7.9312870000000002</v>
      </c>
      <c r="AA1770" s="30">
        <v>596.10521400000005</v>
      </c>
      <c r="AC1770" s="30">
        <v>58.468228000000003</v>
      </c>
      <c r="AE1770" s="27">
        <v>1</v>
      </c>
      <c r="AG1770" s="30">
        <v>7.7290099999999997</v>
      </c>
      <c r="AI1770" s="30">
        <v>8.75</v>
      </c>
      <c r="AK1770" s="30">
        <v>24.684518000000001</v>
      </c>
      <c r="AM1770" s="30">
        <v>34.914614</v>
      </c>
      <c r="AO1770" s="30">
        <v>6.7846060000000001</v>
      </c>
    </row>
    <row r="1771" spans="2:41" x14ac:dyDescent="0.25">
      <c r="B1771" s="21">
        <v>44077</v>
      </c>
      <c r="C1771" s="27">
        <v>21.839300000000001</v>
      </c>
      <c r="E1771" s="30">
        <v>0.84523599999999999</v>
      </c>
      <c r="G1771" s="30">
        <v>74.328956000000005</v>
      </c>
      <c r="I1771" s="30">
        <v>6.9069510000000003</v>
      </c>
      <c r="K1771" s="30">
        <v>5.3200089999999998</v>
      </c>
      <c r="M1771" s="30">
        <v>772.89378599999998</v>
      </c>
      <c r="O1771" s="30">
        <v>3659.2003089999998</v>
      </c>
      <c r="Q1771" s="30">
        <v>6979.0113199999996</v>
      </c>
      <c r="S1771" s="30">
        <v>1311.8488520000001</v>
      </c>
      <c r="U1771" s="30">
        <v>3.5498620000000001</v>
      </c>
      <c r="W1771" s="30">
        <v>42.646096</v>
      </c>
      <c r="Y1771" s="30">
        <v>8.016197</v>
      </c>
      <c r="AA1771" s="30">
        <v>596.122298</v>
      </c>
      <c r="AC1771" s="30">
        <v>58.459386000000002</v>
      </c>
      <c r="AE1771" s="27">
        <v>1</v>
      </c>
      <c r="AG1771" s="30">
        <v>7.7264540000000004</v>
      </c>
      <c r="AI1771" s="30">
        <v>8.75</v>
      </c>
      <c r="AK1771" s="30">
        <v>24.670774000000002</v>
      </c>
      <c r="AM1771" s="30">
        <v>34.898192000000002</v>
      </c>
      <c r="AO1771" s="30">
        <v>6.7813759999999998</v>
      </c>
    </row>
    <row r="1772" spans="2:41" x14ac:dyDescent="0.25">
      <c r="B1772" s="21">
        <v>44078</v>
      </c>
      <c r="C1772" s="27">
        <v>21.638300000000001</v>
      </c>
      <c r="E1772" s="30">
        <v>0.84465999999999997</v>
      </c>
      <c r="G1772" s="30">
        <v>74.380893999999998</v>
      </c>
      <c r="I1772" s="30">
        <v>6.8991340000000001</v>
      </c>
      <c r="K1772" s="30">
        <v>5.2947040000000003</v>
      </c>
      <c r="M1772" s="30">
        <v>773.90234599999997</v>
      </c>
      <c r="O1772" s="30">
        <v>3689.4123300000001</v>
      </c>
      <c r="Q1772" s="30">
        <v>6971.4960929999997</v>
      </c>
      <c r="S1772" s="30">
        <v>1316.6990780000001</v>
      </c>
      <c r="U1772" s="30">
        <v>3.5432139999999999</v>
      </c>
      <c r="W1772" s="30">
        <v>42.517553999999997</v>
      </c>
      <c r="Y1772" s="30">
        <v>8.0302319999999998</v>
      </c>
      <c r="AA1772" s="30">
        <v>595.30933200000004</v>
      </c>
      <c r="AC1772" s="30">
        <v>58.327326999999997</v>
      </c>
      <c r="AE1772" s="27">
        <v>1</v>
      </c>
      <c r="AG1772" s="30">
        <v>7.7170880000000004</v>
      </c>
      <c r="AI1772" s="30">
        <v>8.75</v>
      </c>
      <c r="AK1772" s="30">
        <v>24.661971999999999</v>
      </c>
      <c r="AM1772" s="30">
        <v>34.790819999999997</v>
      </c>
      <c r="AO1772" s="30">
        <v>6.7689919999999999</v>
      </c>
    </row>
    <row r="1773" spans="2:41" x14ac:dyDescent="0.25">
      <c r="B1773" s="21">
        <v>44079</v>
      </c>
      <c r="C1773" s="27">
        <v>21.638300000000001</v>
      </c>
      <c r="E1773" s="30">
        <v>0.84471600000000002</v>
      </c>
      <c r="G1773" s="30">
        <v>74.431725</v>
      </c>
      <c r="I1773" s="30">
        <v>6.9059999999999997</v>
      </c>
      <c r="K1773" s="30">
        <v>5.3023999999999996</v>
      </c>
      <c r="M1773" s="30">
        <v>771.49749999999995</v>
      </c>
      <c r="O1773" s="30">
        <v>3715.1574999999998</v>
      </c>
      <c r="Q1773" s="30">
        <v>6979.0842499999999</v>
      </c>
      <c r="S1773" s="30">
        <v>1316.2183239999999</v>
      </c>
      <c r="U1773" s="30">
        <v>3.5462250000000002</v>
      </c>
      <c r="W1773" s="30">
        <v>42.635371999999997</v>
      </c>
      <c r="Y1773" s="30">
        <v>8.0407960000000003</v>
      </c>
      <c r="AA1773" s="30">
        <v>595.72182799999996</v>
      </c>
      <c r="AC1773" s="30">
        <v>58.422499999999999</v>
      </c>
      <c r="AE1773" s="27">
        <v>1</v>
      </c>
      <c r="AG1773" s="30">
        <v>7.722245</v>
      </c>
      <c r="AI1773" s="30">
        <v>8.75</v>
      </c>
      <c r="AK1773" s="30">
        <v>24.722825</v>
      </c>
      <c r="AM1773" s="30">
        <v>34.731499999999997</v>
      </c>
      <c r="AO1773" s="30">
        <v>6.7712669999999999</v>
      </c>
    </row>
    <row r="1774" spans="2:41" x14ac:dyDescent="0.25">
      <c r="B1774" s="21">
        <v>44080</v>
      </c>
      <c r="C1774" s="27">
        <v>21.638300000000001</v>
      </c>
      <c r="E1774" s="30">
        <v>0.84469000000000005</v>
      </c>
      <c r="G1774" s="30">
        <v>74.430846000000003</v>
      </c>
      <c r="I1774" s="30">
        <v>6.9059999999999997</v>
      </c>
      <c r="K1774" s="30">
        <v>5.3023319999999998</v>
      </c>
      <c r="M1774" s="30">
        <v>771.49773800000003</v>
      </c>
      <c r="O1774" s="30">
        <v>3715.145113</v>
      </c>
      <c r="Q1774" s="30">
        <v>6979.0842499999999</v>
      </c>
      <c r="S1774" s="30">
        <v>1316.235238</v>
      </c>
      <c r="U1774" s="30">
        <v>3.54555</v>
      </c>
      <c r="W1774" s="30">
        <v>42.635371999999997</v>
      </c>
      <c r="Y1774" s="30">
        <v>8.0408989999999996</v>
      </c>
      <c r="AA1774" s="30">
        <v>595.72182799999996</v>
      </c>
      <c r="AC1774" s="30">
        <v>58.422499999999999</v>
      </c>
      <c r="AE1774" s="27">
        <v>1</v>
      </c>
      <c r="AG1774" s="30">
        <v>7.722245</v>
      </c>
      <c r="AI1774" s="30">
        <v>8.75</v>
      </c>
      <c r="AK1774" s="30">
        <v>24.722825</v>
      </c>
      <c r="AM1774" s="30">
        <v>34.727722</v>
      </c>
      <c r="AO1774" s="30">
        <v>6.7712669999999999</v>
      </c>
    </row>
    <row r="1775" spans="2:41" x14ac:dyDescent="0.25">
      <c r="B1775" s="21">
        <v>44081</v>
      </c>
      <c r="C1775" s="27">
        <v>21.611499999999999</v>
      </c>
      <c r="E1775" s="30">
        <v>0.84565000000000001</v>
      </c>
      <c r="G1775" s="30">
        <v>74.524017000000001</v>
      </c>
      <c r="I1775" s="30">
        <v>6.9069770000000004</v>
      </c>
      <c r="K1775" s="30">
        <v>5.3010799999999998</v>
      </c>
      <c r="M1775" s="30">
        <v>772.96115899999995</v>
      </c>
      <c r="O1775" s="30">
        <v>3715.0081770000002</v>
      </c>
      <c r="Q1775" s="30">
        <v>6989.2241139999996</v>
      </c>
      <c r="S1775" s="30">
        <v>1318.45928</v>
      </c>
      <c r="U1775" s="30">
        <v>3.5391650000000001</v>
      </c>
      <c r="W1775" s="30">
        <v>42.623654000000002</v>
      </c>
      <c r="Y1775" s="30">
        <v>8.0405859999999993</v>
      </c>
      <c r="AA1775" s="30">
        <v>596.13974299999995</v>
      </c>
      <c r="AC1775" s="30">
        <v>58.436073999999998</v>
      </c>
      <c r="AE1775" s="27">
        <v>1</v>
      </c>
      <c r="AG1775" s="30">
        <v>7.7290190000000001</v>
      </c>
      <c r="AI1775" s="30">
        <v>8.75</v>
      </c>
      <c r="AK1775" s="30">
        <v>24.657402999999999</v>
      </c>
      <c r="AM1775" s="30">
        <v>34.875132999999998</v>
      </c>
      <c r="AO1775" s="30">
        <v>6.77407</v>
      </c>
    </row>
    <row r="1776" spans="2:41" x14ac:dyDescent="0.25">
      <c r="B1776" s="21">
        <v>44082</v>
      </c>
      <c r="C1776" s="27">
        <v>21.588699999999999</v>
      </c>
      <c r="E1776" s="30">
        <v>0.8478</v>
      </c>
      <c r="G1776" s="30">
        <v>74.650626000000003</v>
      </c>
      <c r="I1776" s="30">
        <v>6.9081099999999998</v>
      </c>
      <c r="K1776" s="30">
        <v>5.3297819999999998</v>
      </c>
      <c r="M1776" s="30">
        <v>774.87453800000003</v>
      </c>
      <c r="O1776" s="30">
        <v>3727.3116759999998</v>
      </c>
      <c r="Q1776" s="30">
        <v>6989.9746429999996</v>
      </c>
      <c r="S1776" s="30">
        <v>1311.500411</v>
      </c>
      <c r="U1776" s="30">
        <v>3.5395180000000002</v>
      </c>
      <c r="W1776" s="30">
        <v>42.547116000000003</v>
      </c>
      <c r="Y1776" s="30">
        <v>7.9829280000000002</v>
      </c>
      <c r="AA1776" s="30">
        <v>596.58688400000005</v>
      </c>
      <c r="AC1776" s="30">
        <v>58.446744000000002</v>
      </c>
      <c r="AE1776" s="27">
        <v>1</v>
      </c>
      <c r="AG1776" s="30">
        <v>7.7335539999999998</v>
      </c>
      <c r="AI1776" s="30">
        <v>8.75</v>
      </c>
      <c r="AK1776" s="30">
        <v>24.675675999999999</v>
      </c>
      <c r="AM1776" s="30">
        <v>34.824717</v>
      </c>
      <c r="AO1776" s="30">
        <v>6.7755580000000002</v>
      </c>
    </row>
    <row r="1777" spans="2:41" x14ac:dyDescent="0.25">
      <c r="B1777" s="21">
        <v>44083</v>
      </c>
      <c r="C1777" s="27">
        <v>21.713799999999999</v>
      </c>
      <c r="E1777" s="30">
        <v>0.84825600000000001</v>
      </c>
      <c r="G1777" s="30">
        <v>74.687337999999997</v>
      </c>
      <c r="I1777" s="30">
        <v>6.9100999999999999</v>
      </c>
      <c r="K1777" s="30">
        <v>5.3317360000000003</v>
      </c>
      <c r="M1777" s="30">
        <v>769.94533699999999</v>
      </c>
      <c r="O1777" s="30">
        <v>3727.8233639999999</v>
      </c>
      <c r="Q1777" s="30">
        <v>6987.7833440000004</v>
      </c>
      <c r="S1777" s="30">
        <v>1310.608506</v>
      </c>
      <c r="U1777" s="30">
        <v>3.5399229999999999</v>
      </c>
      <c r="W1777" s="30">
        <v>42.519801999999999</v>
      </c>
      <c r="Y1777" s="30">
        <v>7.9748760000000001</v>
      </c>
      <c r="AA1777" s="30">
        <v>597.083348</v>
      </c>
      <c r="AC1777" s="30">
        <v>58.451771999999998</v>
      </c>
      <c r="AE1777" s="27">
        <v>1</v>
      </c>
      <c r="AG1777" s="30">
        <v>7.738696</v>
      </c>
      <c r="AI1777" s="30">
        <v>8.75</v>
      </c>
      <c r="AK1777" s="30">
        <v>24.701225999999998</v>
      </c>
      <c r="AM1777" s="30">
        <v>34.781637000000003</v>
      </c>
      <c r="AO1777" s="30">
        <v>6.7768490000000003</v>
      </c>
    </row>
    <row r="1778" spans="2:41" x14ac:dyDescent="0.25">
      <c r="B1778" s="21">
        <v>44084</v>
      </c>
      <c r="C1778" s="27">
        <v>21.537700000000001</v>
      </c>
      <c r="E1778" s="30">
        <v>0.84474700000000003</v>
      </c>
      <c r="G1778" s="30">
        <v>74.748531999999997</v>
      </c>
      <c r="I1778" s="30">
        <v>6.8990859999999996</v>
      </c>
      <c r="K1778" s="30">
        <v>5.3079039999999997</v>
      </c>
      <c r="M1778" s="30">
        <v>768.13539000000003</v>
      </c>
      <c r="O1778" s="30">
        <v>3709.7358260000001</v>
      </c>
      <c r="Q1778" s="30">
        <v>6977.9377169999998</v>
      </c>
      <c r="S1778" s="30">
        <v>1314.63851</v>
      </c>
      <c r="U1778" s="30">
        <v>3.5377160000000001</v>
      </c>
      <c r="W1778" s="30">
        <v>42.428023000000003</v>
      </c>
      <c r="Y1778" s="30">
        <v>7.9933920000000001</v>
      </c>
      <c r="AA1778" s="30">
        <v>596.56651199999999</v>
      </c>
      <c r="AC1778" s="30">
        <v>58.341287999999999</v>
      </c>
      <c r="AE1778" s="27">
        <v>1</v>
      </c>
      <c r="AG1778" s="30">
        <v>7.731306</v>
      </c>
      <c r="AI1778" s="30">
        <v>8.75</v>
      </c>
      <c r="AK1778" s="30">
        <v>24.660222999999998</v>
      </c>
      <c r="AM1778" s="30">
        <v>34.698481999999998</v>
      </c>
      <c r="AO1778" s="30">
        <v>6.7630150000000002</v>
      </c>
    </row>
    <row r="1779" spans="2:41" x14ac:dyDescent="0.25">
      <c r="B1779" s="21">
        <v>44085</v>
      </c>
      <c r="C1779" s="27">
        <v>21.2773</v>
      </c>
      <c r="E1779" s="30">
        <v>0.84444600000000003</v>
      </c>
      <c r="G1779" s="30">
        <v>74.820441000000002</v>
      </c>
      <c r="I1779" s="30">
        <v>6.9058140000000003</v>
      </c>
      <c r="K1779" s="30">
        <v>5.3160949999999998</v>
      </c>
      <c r="M1779" s="30">
        <v>771.13391799999999</v>
      </c>
      <c r="O1779" s="30">
        <v>3708.968327</v>
      </c>
      <c r="Q1779" s="30">
        <v>6985.9004910000003</v>
      </c>
      <c r="S1779" s="30">
        <v>1314.1103599999999</v>
      </c>
      <c r="U1779" s="30">
        <v>3.5520390000000002</v>
      </c>
      <c r="W1779" s="30">
        <v>42.553137999999997</v>
      </c>
      <c r="Y1779" s="30">
        <v>8.0046119999999998</v>
      </c>
      <c r="AA1779" s="30">
        <v>597.00976900000001</v>
      </c>
      <c r="AC1779" s="30">
        <v>58.447778</v>
      </c>
      <c r="AE1779" s="27">
        <v>1</v>
      </c>
      <c r="AG1779" s="30">
        <v>7.7457750000000001</v>
      </c>
      <c r="AI1779" s="30">
        <v>8.75</v>
      </c>
      <c r="AK1779" s="30">
        <v>24.683532</v>
      </c>
      <c r="AM1779" s="30">
        <v>34.729750000000003</v>
      </c>
      <c r="AO1779" s="30">
        <v>6.7664419999999996</v>
      </c>
    </row>
    <row r="1780" spans="2:41" x14ac:dyDescent="0.25">
      <c r="B1780" s="21">
        <v>44086</v>
      </c>
      <c r="C1780" s="27">
        <v>21.2773</v>
      </c>
      <c r="E1780" s="30">
        <v>0.84410600000000002</v>
      </c>
      <c r="G1780" s="30">
        <v>74.848500000000001</v>
      </c>
      <c r="I1780" s="30">
        <v>6.9050789999999997</v>
      </c>
      <c r="K1780" s="30">
        <v>5.3185000000000002</v>
      </c>
      <c r="M1780" s="30">
        <v>769.9</v>
      </c>
      <c r="O1780" s="30">
        <v>3705.6725000000001</v>
      </c>
      <c r="Q1780" s="30">
        <v>6984.3294999999998</v>
      </c>
      <c r="S1780" s="30">
        <v>1313.2201</v>
      </c>
      <c r="U1780" s="30">
        <v>3.5743</v>
      </c>
      <c r="W1780" s="30">
        <v>42.530154000000003</v>
      </c>
      <c r="Y1780" s="30">
        <v>7.9966720000000002</v>
      </c>
      <c r="AA1780" s="30">
        <v>596.60932200000002</v>
      </c>
      <c r="AC1780" s="30">
        <v>58.467500000000001</v>
      </c>
      <c r="AE1780" s="27">
        <v>1</v>
      </c>
      <c r="AG1780" s="30">
        <v>7.748094</v>
      </c>
      <c r="AI1780" s="30">
        <v>8.75</v>
      </c>
      <c r="AK1780" s="30">
        <v>24.725124999999998</v>
      </c>
      <c r="AM1780" s="30">
        <v>34.658250000000002</v>
      </c>
      <c r="AO1780" s="30">
        <v>6.7657360000000004</v>
      </c>
    </row>
    <row r="1781" spans="2:41" x14ac:dyDescent="0.25">
      <c r="B1781" s="21">
        <v>44087</v>
      </c>
      <c r="C1781" s="27">
        <v>21.2773</v>
      </c>
      <c r="E1781" s="30">
        <v>0.84416000000000002</v>
      </c>
      <c r="G1781" s="30">
        <v>74.850741999999997</v>
      </c>
      <c r="I1781" s="30">
        <v>6.9050789999999997</v>
      </c>
      <c r="K1781" s="30">
        <v>5.3185859999999998</v>
      </c>
      <c r="M1781" s="30">
        <v>769.9</v>
      </c>
      <c r="O1781" s="30">
        <v>3705.6588740000002</v>
      </c>
      <c r="Q1781" s="30">
        <v>6984.3294999999998</v>
      </c>
      <c r="S1781" s="30">
        <v>1313.1988260000001</v>
      </c>
      <c r="U1781" s="30">
        <v>3.5736379999999999</v>
      </c>
      <c r="W1781" s="30">
        <v>42.530154000000003</v>
      </c>
      <c r="Y1781" s="30">
        <v>7.9965419999999998</v>
      </c>
      <c r="AA1781" s="30">
        <v>596.60932200000002</v>
      </c>
      <c r="AC1781" s="30">
        <v>58.467500000000001</v>
      </c>
      <c r="AE1781" s="27">
        <v>1</v>
      </c>
      <c r="AG1781" s="30">
        <v>7.748094</v>
      </c>
      <c r="AI1781" s="30">
        <v>8.75</v>
      </c>
      <c r="AK1781" s="30">
        <v>24.725124999999998</v>
      </c>
      <c r="AM1781" s="30">
        <v>34.658250000000002</v>
      </c>
      <c r="AO1781" s="30">
        <v>6.7657360000000004</v>
      </c>
    </row>
    <row r="1782" spans="2:41" x14ac:dyDescent="0.25">
      <c r="B1782" s="21">
        <v>44088</v>
      </c>
      <c r="C1782" s="27">
        <v>21.321000000000002</v>
      </c>
      <c r="E1782" s="30">
        <v>0.84308300000000003</v>
      </c>
      <c r="G1782" s="30">
        <v>74.953208000000004</v>
      </c>
      <c r="I1782" s="30">
        <v>6.9085419999999997</v>
      </c>
      <c r="K1782" s="30">
        <v>5.3025270000000004</v>
      </c>
      <c r="M1782" s="30">
        <v>767.95070599999997</v>
      </c>
      <c r="O1782" s="30">
        <v>3700.2451380000002</v>
      </c>
      <c r="Q1782" s="30">
        <v>6980.5550670000002</v>
      </c>
      <c r="S1782" s="30">
        <v>1316.4646459999999</v>
      </c>
      <c r="U1782" s="30">
        <v>3.5662729999999998</v>
      </c>
      <c r="W1782" s="30">
        <v>42.564321999999997</v>
      </c>
      <c r="Y1782" s="30">
        <v>8.0272020000000008</v>
      </c>
      <c r="AA1782" s="30">
        <v>596.67562799999996</v>
      </c>
      <c r="AC1782" s="30">
        <v>58.508274</v>
      </c>
      <c r="AE1782" s="27">
        <v>1</v>
      </c>
      <c r="AG1782" s="30">
        <v>7.7559279999999999</v>
      </c>
      <c r="AI1782" s="30">
        <v>8.75</v>
      </c>
      <c r="AK1782" s="30">
        <v>24.692288999999999</v>
      </c>
      <c r="AM1782" s="30">
        <v>34.755617999999998</v>
      </c>
      <c r="AO1782" s="30">
        <v>6.7688829999999998</v>
      </c>
    </row>
    <row r="1783" spans="2:41" x14ac:dyDescent="0.25">
      <c r="B1783" s="21">
        <v>44089</v>
      </c>
      <c r="C1783" s="27">
        <v>21.072800000000001</v>
      </c>
      <c r="E1783" s="30">
        <v>0.84251600000000004</v>
      </c>
      <c r="G1783" s="30">
        <v>75.105849000000006</v>
      </c>
      <c r="I1783" s="30">
        <v>6.9071639999999999</v>
      </c>
      <c r="K1783" s="30">
        <v>5.2724739999999999</v>
      </c>
      <c r="M1783" s="30">
        <v>763.44423400000005</v>
      </c>
      <c r="O1783" s="30">
        <v>3690.9711309999998</v>
      </c>
      <c r="Q1783" s="30">
        <v>6971.7938100000001</v>
      </c>
      <c r="S1783" s="30">
        <v>1322.307188</v>
      </c>
      <c r="U1783" s="30">
        <v>3.560956</v>
      </c>
      <c r="W1783" s="30">
        <v>42.526004</v>
      </c>
      <c r="Y1783" s="30">
        <v>8.0656909999999993</v>
      </c>
      <c r="AA1783" s="30">
        <v>596.04411300000004</v>
      </c>
      <c r="AC1783" s="30">
        <v>58.469816000000002</v>
      </c>
      <c r="AE1783" s="27">
        <v>1</v>
      </c>
      <c r="AG1783" s="30">
        <v>7.7618770000000001</v>
      </c>
      <c r="AI1783" s="30">
        <v>8.75</v>
      </c>
      <c r="AK1783" s="30">
        <v>24.689408</v>
      </c>
      <c r="AM1783" s="30">
        <v>34.734999999999999</v>
      </c>
      <c r="AO1783" s="30">
        <v>6.7662820000000004</v>
      </c>
    </row>
    <row r="1784" spans="2:41" x14ac:dyDescent="0.25">
      <c r="B1784" s="21">
        <v>44090</v>
      </c>
      <c r="C1784" s="27">
        <v>21.072800000000001</v>
      </c>
      <c r="E1784" s="30">
        <v>0.84455999999999998</v>
      </c>
      <c r="G1784" s="30">
        <v>75.177862000000005</v>
      </c>
      <c r="I1784" s="30">
        <v>6.9270120000000004</v>
      </c>
      <c r="K1784" s="30">
        <v>5.2600559999999996</v>
      </c>
      <c r="M1784" s="30">
        <v>761.99623699999995</v>
      </c>
      <c r="O1784" s="30">
        <v>3701.434448</v>
      </c>
      <c r="Q1784" s="30">
        <v>6992.9415259999996</v>
      </c>
      <c r="S1784" s="30">
        <v>1329.449478</v>
      </c>
      <c r="U1784" s="30">
        <v>3.5524689999999999</v>
      </c>
      <c r="W1784" s="30">
        <v>42.579089000000003</v>
      </c>
      <c r="Y1784" s="30">
        <v>8.0948239999999991</v>
      </c>
      <c r="AA1784" s="30">
        <v>597.80324599999994</v>
      </c>
      <c r="AC1784" s="30">
        <v>58.641725999999998</v>
      </c>
      <c r="AE1784" s="27">
        <v>1</v>
      </c>
      <c r="AG1784" s="30">
        <v>7.7927840000000002</v>
      </c>
      <c r="AI1784" s="30">
        <v>8.75</v>
      </c>
      <c r="AK1784" s="30">
        <v>24.754542000000001</v>
      </c>
      <c r="AM1784" s="30">
        <v>34.808166</v>
      </c>
      <c r="AO1784" s="30">
        <v>6.7871940000000004</v>
      </c>
    </row>
    <row r="1785" spans="2:41" x14ac:dyDescent="0.25">
      <c r="B1785" s="21">
        <v>44091</v>
      </c>
      <c r="C1785" s="27">
        <v>21.069199999999999</v>
      </c>
      <c r="E1785" s="30">
        <v>0.84712699999999996</v>
      </c>
      <c r="G1785" s="30">
        <v>75.241844</v>
      </c>
      <c r="I1785" s="30">
        <v>6.9344979999999996</v>
      </c>
      <c r="K1785" s="30">
        <v>5.2433370000000004</v>
      </c>
      <c r="M1785" s="30">
        <v>761.71356700000001</v>
      </c>
      <c r="O1785" s="30">
        <v>3699.6178540000001</v>
      </c>
      <c r="Q1785" s="30">
        <v>7004.4599520000002</v>
      </c>
      <c r="S1785" s="30">
        <v>1335.8858560000001</v>
      </c>
      <c r="U1785" s="30">
        <v>3.540368</v>
      </c>
      <c r="W1785" s="30">
        <v>42.624893999999998</v>
      </c>
      <c r="Y1785" s="30">
        <v>8.1293749999999996</v>
      </c>
      <c r="AA1785" s="30">
        <v>598.29342199999996</v>
      </c>
      <c r="AC1785" s="30">
        <v>58.705914</v>
      </c>
      <c r="AE1785" s="27">
        <v>1</v>
      </c>
      <c r="AG1785" s="30">
        <v>7.7995260000000002</v>
      </c>
      <c r="AI1785" s="30">
        <v>8.75</v>
      </c>
      <c r="AK1785" s="30">
        <v>24.769003999999999</v>
      </c>
      <c r="AM1785" s="30">
        <v>34.769509999999997</v>
      </c>
      <c r="AO1785" s="30">
        <v>6.7971300000000001</v>
      </c>
    </row>
    <row r="1786" spans="2:41" x14ac:dyDescent="0.25">
      <c r="B1786" s="21">
        <v>44092</v>
      </c>
      <c r="C1786" s="27">
        <v>20.984999999999999</v>
      </c>
      <c r="E1786" s="30">
        <v>0.843912</v>
      </c>
      <c r="G1786" s="30">
        <v>75.324504000000005</v>
      </c>
      <c r="I1786" s="30">
        <v>6.911022</v>
      </c>
      <c r="K1786" s="30">
        <v>5.2892809999999999</v>
      </c>
      <c r="M1786" s="30">
        <v>762.22765000000004</v>
      </c>
      <c r="O1786" s="30">
        <v>3721.2571379999999</v>
      </c>
      <c r="Q1786" s="30">
        <v>6984.4476219999997</v>
      </c>
      <c r="S1786" s="30">
        <v>1320.4978840000001</v>
      </c>
      <c r="U1786" s="30">
        <v>3.5212219999999999</v>
      </c>
      <c r="W1786" s="30">
        <v>42.367058</v>
      </c>
      <c r="Y1786" s="30">
        <v>8.0100119999999997</v>
      </c>
      <c r="AA1786" s="30">
        <v>596.18732399999999</v>
      </c>
      <c r="AC1786" s="30">
        <v>58.369596000000001</v>
      </c>
      <c r="AE1786" s="27">
        <v>1</v>
      </c>
      <c r="AG1786" s="30">
        <v>7.7709149999999996</v>
      </c>
      <c r="AI1786" s="30">
        <v>8.75</v>
      </c>
      <c r="AK1786" s="30">
        <v>24.677358999999999</v>
      </c>
      <c r="AM1786" s="30">
        <v>34.664233000000003</v>
      </c>
      <c r="AO1786" s="30">
        <v>6.7774179999999999</v>
      </c>
    </row>
    <row r="1787" spans="2:41" x14ac:dyDescent="0.25">
      <c r="B1787" s="21">
        <v>44093</v>
      </c>
      <c r="C1787" s="27">
        <v>20.984999999999999</v>
      </c>
      <c r="E1787" s="30">
        <v>0.84459799999999996</v>
      </c>
      <c r="G1787" s="30">
        <v>75.3078</v>
      </c>
      <c r="I1787" s="30">
        <v>6.9119859999999997</v>
      </c>
      <c r="K1787" s="30">
        <v>5.3910999999999998</v>
      </c>
      <c r="M1787" s="30">
        <v>763.32</v>
      </c>
      <c r="O1787" s="30">
        <v>3730.7575000000002</v>
      </c>
      <c r="Q1787" s="30">
        <v>6986.5932499999999</v>
      </c>
      <c r="S1787" s="30">
        <v>1295.95525</v>
      </c>
      <c r="U1787" s="30">
        <v>3.5292249999999998</v>
      </c>
      <c r="W1787" s="30">
        <v>42.440483999999998</v>
      </c>
      <c r="Y1787" s="30">
        <v>7.872344</v>
      </c>
      <c r="AA1787" s="30">
        <v>596.58402000000001</v>
      </c>
      <c r="AC1787" s="30">
        <v>58.572499999999998</v>
      </c>
      <c r="AE1787" s="27">
        <v>1</v>
      </c>
      <c r="AG1787" s="30">
        <v>7.7724260000000003</v>
      </c>
      <c r="AI1787" s="30">
        <v>8.75</v>
      </c>
      <c r="AK1787" s="30">
        <v>24.696124999999999</v>
      </c>
      <c r="AM1787" s="30">
        <v>34.624749999999999</v>
      </c>
      <c r="AO1787" s="30">
        <v>6.7800909999999996</v>
      </c>
    </row>
    <row r="1788" spans="2:41" x14ac:dyDescent="0.25">
      <c r="B1788" s="21">
        <v>44094</v>
      </c>
      <c r="C1788" s="27">
        <v>20.984999999999999</v>
      </c>
      <c r="E1788" s="30">
        <v>0.84454200000000001</v>
      </c>
      <c r="G1788" s="30">
        <v>75.303703999999996</v>
      </c>
      <c r="I1788" s="30">
        <v>6.9119859999999997</v>
      </c>
      <c r="K1788" s="30">
        <v>5.3910799999999997</v>
      </c>
      <c r="M1788" s="30">
        <v>763.31834800000001</v>
      </c>
      <c r="O1788" s="30">
        <v>3730.7443079999998</v>
      </c>
      <c r="Q1788" s="30">
        <v>6986.5932499999999</v>
      </c>
      <c r="S1788" s="30">
        <v>1295.96018</v>
      </c>
      <c r="U1788" s="30">
        <v>3.5292249999999998</v>
      </c>
      <c r="W1788" s="30">
        <v>42.441732000000002</v>
      </c>
      <c r="Y1788" s="30">
        <v>7.8726050000000001</v>
      </c>
      <c r="AA1788" s="30">
        <v>596.58402000000001</v>
      </c>
      <c r="AC1788" s="30">
        <v>58.572499999999998</v>
      </c>
      <c r="AE1788" s="27">
        <v>1</v>
      </c>
      <c r="AG1788" s="30">
        <v>7.7724260000000003</v>
      </c>
      <c r="AI1788" s="30">
        <v>8.75</v>
      </c>
      <c r="AK1788" s="30">
        <v>24.696124999999999</v>
      </c>
      <c r="AM1788" s="30">
        <v>34.624749999999999</v>
      </c>
      <c r="AO1788" s="30">
        <v>6.7800909999999996</v>
      </c>
    </row>
    <row r="1789" spans="2:41" x14ac:dyDescent="0.25">
      <c r="B1789" s="21">
        <v>44095</v>
      </c>
      <c r="C1789" s="27">
        <v>20.9697</v>
      </c>
      <c r="E1789" s="30">
        <v>0.84757400000000005</v>
      </c>
      <c r="G1789" s="30">
        <v>75.384581999999995</v>
      </c>
      <c r="I1789" s="30">
        <v>6.9088000000000003</v>
      </c>
      <c r="K1789" s="30">
        <v>5.4086210000000001</v>
      </c>
      <c r="M1789" s="30">
        <v>768.78454599999998</v>
      </c>
      <c r="O1789" s="30">
        <v>3751.4024180000001</v>
      </c>
      <c r="Q1789" s="30">
        <v>6981.1249619999999</v>
      </c>
      <c r="S1789" s="30">
        <v>1290.7466899999999</v>
      </c>
      <c r="U1789" s="30">
        <v>3.52922</v>
      </c>
      <c r="W1789" s="30">
        <v>42.429107000000002</v>
      </c>
      <c r="Y1789" s="30">
        <v>7.8447430000000002</v>
      </c>
      <c r="AA1789" s="30">
        <v>596.64064399999995</v>
      </c>
      <c r="AC1789" s="30">
        <v>58.430931999999999</v>
      </c>
      <c r="AE1789" s="27">
        <v>1</v>
      </c>
      <c r="AG1789" s="30">
        <v>7.7665749999999996</v>
      </c>
      <c r="AI1789" s="30">
        <v>8.75</v>
      </c>
      <c r="AK1789" s="30">
        <v>24.664353999999999</v>
      </c>
      <c r="AM1789" s="30">
        <v>34.728740999999999</v>
      </c>
      <c r="AO1789" s="30">
        <v>6.7765719999999998</v>
      </c>
    </row>
    <row r="1790" spans="2:41" x14ac:dyDescent="0.25">
      <c r="B1790" s="21">
        <v>44096</v>
      </c>
      <c r="C1790" s="27">
        <v>21.504999999999999</v>
      </c>
      <c r="E1790" s="30">
        <v>0.852159</v>
      </c>
      <c r="G1790" s="30">
        <v>75.562398000000002</v>
      </c>
      <c r="I1790" s="30">
        <v>6.9124439999999998</v>
      </c>
      <c r="K1790" s="30">
        <v>5.4350579999999997</v>
      </c>
      <c r="M1790" s="30">
        <v>774.98558300000002</v>
      </c>
      <c r="O1790" s="30">
        <v>3803.5548520000002</v>
      </c>
      <c r="Q1790" s="30">
        <v>6986.3351869999997</v>
      </c>
      <c r="S1790" s="30">
        <v>1285.4269300000001</v>
      </c>
      <c r="U1790" s="30">
        <v>3.542138</v>
      </c>
      <c r="W1790" s="30">
        <v>42.496355999999999</v>
      </c>
      <c r="Y1790" s="30">
        <v>7.8189580000000003</v>
      </c>
      <c r="AA1790" s="30">
        <v>597.35510599999998</v>
      </c>
      <c r="AC1790" s="30">
        <v>58.499631999999998</v>
      </c>
      <c r="AE1790" s="27">
        <v>1</v>
      </c>
      <c r="AG1790" s="30">
        <v>7.7726240000000004</v>
      </c>
      <c r="AI1790" s="30">
        <v>8.75</v>
      </c>
      <c r="AK1790" s="30">
        <v>24.669751999999999</v>
      </c>
      <c r="AM1790" s="30">
        <v>34.819547999999998</v>
      </c>
      <c r="AO1790" s="30">
        <v>6.7822329999999997</v>
      </c>
    </row>
    <row r="1791" spans="2:41" x14ac:dyDescent="0.25">
      <c r="B1791" s="21">
        <v>44097</v>
      </c>
      <c r="C1791" s="27">
        <v>21.568200000000001</v>
      </c>
      <c r="E1791" s="30">
        <v>0.856016</v>
      </c>
      <c r="G1791" s="30">
        <v>75.629294000000002</v>
      </c>
      <c r="I1791" s="30">
        <v>6.9166309999999998</v>
      </c>
      <c r="K1791" s="30">
        <v>5.5163539999999998</v>
      </c>
      <c r="M1791" s="30">
        <v>779.83340599999997</v>
      </c>
      <c r="O1791" s="30">
        <v>3826.7426919999998</v>
      </c>
      <c r="Q1791" s="30">
        <v>6995.6068340000002</v>
      </c>
      <c r="S1791" s="30">
        <v>1268.1640789999999</v>
      </c>
      <c r="U1791" s="30">
        <v>3.5700150000000002</v>
      </c>
      <c r="W1791" s="30">
        <v>42.593317999999996</v>
      </c>
      <c r="Y1791" s="30">
        <v>7.7213019999999997</v>
      </c>
      <c r="AA1791" s="30">
        <v>598.67030199999999</v>
      </c>
      <c r="AC1791" s="30">
        <v>58.655999999999999</v>
      </c>
      <c r="AE1791" s="27">
        <v>1</v>
      </c>
      <c r="AG1791" s="30">
        <v>7.7790480000000004</v>
      </c>
      <c r="AI1791" s="30">
        <v>8.75</v>
      </c>
      <c r="AK1791" s="30">
        <v>24.695656</v>
      </c>
      <c r="AM1791" s="30">
        <v>34.909109999999998</v>
      </c>
      <c r="AO1791" s="30">
        <v>6.7944500000000003</v>
      </c>
    </row>
    <row r="1792" spans="2:41" x14ac:dyDescent="0.25">
      <c r="B1792" s="21">
        <v>44098</v>
      </c>
      <c r="C1792" s="27">
        <v>22.089700000000001</v>
      </c>
      <c r="E1792" s="30">
        <v>0.85766900000000001</v>
      </c>
      <c r="G1792" s="30">
        <v>75.694277999999997</v>
      </c>
      <c r="I1792" s="30">
        <v>6.9052879999999996</v>
      </c>
      <c r="K1792" s="30">
        <v>5.5642509999999996</v>
      </c>
      <c r="M1792" s="30">
        <v>784.29888800000003</v>
      </c>
      <c r="O1792" s="30">
        <v>3834.6747220000002</v>
      </c>
      <c r="Q1792" s="30">
        <v>6993.990006</v>
      </c>
      <c r="S1792" s="30">
        <v>1256.957017</v>
      </c>
      <c r="U1792" s="30">
        <v>3.568292</v>
      </c>
      <c r="W1792" s="30">
        <v>42.51641</v>
      </c>
      <c r="Y1792" s="30">
        <v>7.6410159999999996</v>
      </c>
      <c r="AA1792" s="30">
        <v>598.846271</v>
      </c>
      <c r="AC1792" s="30">
        <v>58.492297999999998</v>
      </c>
      <c r="AE1792" s="27">
        <v>1</v>
      </c>
      <c r="AG1792" s="30">
        <v>7.7717239999999999</v>
      </c>
      <c r="AI1792" s="30">
        <v>8.75</v>
      </c>
      <c r="AK1792" s="30">
        <v>24.667494999999999</v>
      </c>
      <c r="AM1792" s="30">
        <v>34.880217999999999</v>
      </c>
      <c r="AO1792" s="30">
        <v>6.7951370000000004</v>
      </c>
    </row>
    <row r="1793" spans="2:41" x14ac:dyDescent="0.25">
      <c r="B1793" s="21">
        <v>44099</v>
      </c>
      <c r="C1793" s="27">
        <v>22.367799999999999</v>
      </c>
      <c r="E1793" s="30">
        <v>0.85872599999999999</v>
      </c>
      <c r="G1793" s="30">
        <v>75.728235999999995</v>
      </c>
      <c r="I1793" s="30">
        <v>6.901097</v>
      </c>
      <c r="K1793" s="30">
        <v>5.5351480000000004</v>
      </c>
      <c r="M1793" s="30">
        <v>785.61811399999999</v>
      </c>
      <c r="O1793" s="30">
        <v>3850.8162579999998</v>
      </c>
      <c r="Q1793" s="30">
        <v>6990.9338500000003</v>
      </c>
      <c r="S1793" s="30">
        <v>1263.013874</v>
      </c>
      <c r="U1793" s="30">
        <v>3.5785840000000002</v>
      </c>
      <c r="W1793" s="30">
        <v>42.389488999999998</v>
      </c>
      <c r="Y1793" s="30">
        <v>7.658264</v>
      </c>
      <c r="AA1793" s="30">
        <v>599.46546799999999</v>
      </c>
      <c r="AC1793" s="30">
        <v>58.368341000000001</v>
      </c>
      <c r="AE1793" s="27">
        <v>1</v>
      </c>
      <c r="AG1793" s="30">
        <v>7.7688119999999996</v>
      </c>
      <c r="AI1793" s="30">
        <v>8.75</v>
      </c>
      <c r="AK1793" s="30">
        <v>24.644697000000001</v>
      </c>
      <c r="AM1793" s="30">
        <v>34.789366999999999</v>
      </c>
      <c r="AO1793" s="30">
        <v>6.7914700000000003</v>
      </c>
    </row>
    <row r="1794" spans="2:41" x14ac:dyDescent="0.25">
      <c r="B1794" s="21">
        <v>44100</v>
      </c>
      <c r="C1794" s="27">
        <v>22.367799999999999</v>
      </c>
      <c r="E1794" s="30">
        <v>0.859734</v>
      </c>
      <c r="G1794" s="30">
        <v>75.784450000000007</v>
      </c>
      <c r="I1794" s="30">
        <v>6.906517</v>
      </c>
      <c r="K1794" s="30">
        <v>5.5619249999999996</v>
      </c>
      <c r="M1794" s="30">
        <v>788.08</v>
      </c>
      <c r="O1794" s="30">
        <v>3886.7175000000002</v>
      </c>
      <c r="Q1794" s="30">
        <v>6994.2370000000001</v>
      </c>
      <c r="S1794" s="30">
        <v>1257.529121</v>
      </c>
      <c r="U1794" s="30">
        <v>3.5877249999999998</v>
      </c>
      <c r="W1794" s="30">
        <v>42.425657000000001</v>
      </c>
      <c r="Y1794" s="30">
        <v>7.62791</v>
      </c>
      <c r="AA1794" s="30">
        <v>600.65469199999995</v>
      </c>
      <c r="AC1794" s="30">
        <v>58.447499999999998</v>
      </c>
      <c r="AE1794" s="27">
        <v>1</v>
      </c>
      <c r="AG1794" s="30">
        <v>7.7749119999999996</v>
      </c>
      <c r="AI1794" s="30">
        <v>8.75</v>
      </c>
      <c r="AK1794" s="30">
        <v>24.666274999999999</v>
      </c>
      <c r="AM1794" s="30">
        <v>34.771500000000003</v>
      </c>
      <c r="AO1794" s="30">
        <v>6.7955629999999996</v>
      </c>
    </row>
    <row r="1795" spans="2:41" x14ac:dyDescent="0.25">
      <c r="B1795" s="21">
        <v>44101</v>
      </c>
      <c r="C1795" s="27">
        <v>22.367799999999999</v>
      </c>
      <c r="E1795" s="30">
        <v>0.85973100000000002</v>
      </c>
      <c r="G1795" s="30">
        <v>75.785527999999999</v>
      </c>
      <c r="I1795" s="30">
        <v>6.9065219999999998</v>
      </c>
      <c r="K1795" s="30">
        <v>5.5619319999999997</v>
      </c>
      <c r="M1795" s="30">
        <v>788.08153000000004</v>
      </c>
      <c r="O1795" s="30">
        <v>3886.739122</v>
      </c>
      <c r="Q1795" s="30">
        <v>6994.2220669999997</v>
      </c>
      <c r="S1795" s="30">
        <v>1257.524588</v>
      </c>
      <c r="U1795" s="30">
        <v>3.5876039999999998</v>
      </c>
      <c r="W1795" s="30">
        <v>42.426180000000002</v>
      </c>
      <c r="Y1795" s="30">
        <v>7.627993</v>
      </c>
      <c r="AA1795" s="30">
        <v>600.60366199999999</v>
      </c>
      <c r="AC1795" s="30">
        <v>58.447456000000003</v>
      </c>
      <c r="AE1795" s="27">
        <v>1</v>
      </c>
      <c r="AG1795" s="30">
        <v>7.7748860000000004</v>
      </c>
      <c r="AI1795" s="30">
        <v>8.75</v>
      </c>
      <c r="AK1795" s="30">
        <v>24.666208999999998</v>
      </c>
      <c r="AM1795" s="30">
        <v>34.773131999999997</v>
      </c>
      <c r="AO1795" s="30">
        <v>6.7955370000000004</v>
      </c>
    </row>
    <row r="1796" spans="2:41" x14ac:dyDescent="0.25">
      <c r="B1796" s="21">
        <v>44102</v>
      </c>
      <c r="C1796" s="27">
        <v>22.440200000000001</v>
      </c>
      <c r="E1796" s="30">
        <v>0.858294</v>
      </c>
      <c r="G1796" s="30">
        <v>75.971602000000004</v>
      </c>
      <c r="I1796" s="30">
        <v>6.9093010000000001</v>
      </c>
      <c r="K1796" s="30">
        <v>5.5912480000000002</v>
      </c>
      <c r="M1796" s="30">
        <v>786.26789599999995</v>
      </c>
      <c r="O1796" s="30">
        <v>3878.3391689999999</v>
      </c>
      <c r="Q1796" s="30">
        <v>6991.4506840000004</v>
      </c>
      <c r="S1796" s="30">
        <v>1250.4337</v>
      </c>
      <c r="U1796" s="30">
        <v>3.5909309999999999</v>
      </c>
      <c r="W1796" s="30">
        <v>42.481406</v>
      </c>
      <c r="Y1796" s="30">
        <v>7.5978640000000004</v>
      </c>
      <c r="AA1796" s="30">
        <v>600.80275200000005</v>
      </c>
      <c r="AC1796" s="30">
        <v>58.491954</v>
      </c>
      <c r="AE1796" s="27">
        <v>1</v>
      </c>
      <c r="AG1796" s="30">
        <v>7.7801799999999997</v>
      </c>
      <c r="AI1796" s="30">
        <v>8.75</v>
      </c>
      <c r="AK1796" s="30">
        <v>24.66799</v>
      </c>
      <c r="AM1796" s="30">
        <v>34.824862000000003</v>
      </c>
      <c r="AO1796" s="30">
        <v>6.7998070000000004</v>
      </c>
    </row>
    <row r="1797" spans="2:41" x14ac:dyDescent="0.25">
      <c r="B1797" s="21">
        <v>44103</v>
      </c>
      <c r="C1797" s="27">
        <v>22.4573</v>
      </c>
      <c r="E1797" s="30">
        <v>0.85426400000000002</v>
      </c>
      <c r="G1797" s="30">
        <v>76.077732999999995</v>
      </c>
      <c r="I1797" s="30">
        <v>6.9010230000000004</v>
      </c>
      <c r="K1797" s="30">
        <v>5.6508279999999997</v>
      </c>
      <c r="M1797" s="30">
        <v>784.49019599999997</v>
      </c>
      <c r="O1797" s="30">
        <v>3877.5330309999999</v>
      </c>
      <c r="Q1797" s="30">
        <v>6973.818295</v>
      </c>
      <c r="S1797" s="30">
        <v>1234.1293659999999</v>
      </c>
      <c r="U1797" s="30">
        <v>3.5829170000000001</v>
      </c>
      <c r="W1797" s="30">
        <v>42.456581999999997</v>
      </c>
      <c r="Y1797" s="30">
        <v>7.5133619999999999</v>
      </c>
      <c r="AA1797" s="30">
        <v>601.37790399999994</v>
      </c>
      <c r="AC1797" s="30">
        <v>58.414760000000001</v>
      </c>
      <c r="AE1797" s="27">
        <v>1</v>
      </c>
      <c r="AG1797" s="30">
        <v>7.7756299999999996</v>
      </c>
      <c r="AI1797" s="30">
        <v>8.75</v>
      </c>
      <c r="AK1797" s="30">
        <v>24.629861999999999</v>
      </c>
      <c r="AM1797" s="30">
        <v>34.762965000000001</v>
      </c>
      <c r="AO1797" s="30">
        <v>6.7932930000000002</v>
      </c>
    </row>
    <row r="1798" spans="2:41" x14ac:dyDescent="0.25">
      <c r="B1798" s="21">
        <v>44104</v>
      </c>
      <c r="C1798" s="27">
        <v>22.3598</v>
      </c>
      <c r="E1798" s="30">
        <v>0.85290500000000002</v>
      </c>
      <c r="G1798" s="30">
        <v>76.141497999999999</v>
      </c>
      <c r="I1798" s="30">
        <v>6.895664</v>
      </c>
      <c r="K1798" s="30">
        <v>5.6291219999999997</v>
      </c>
      <c r="M1798" s="30">
        <v>785.48056899999995</v>
      </c>
      <c r="O1798" s="30">
        <v>3866.9335329999999</v>
      </c>
      <c r="Q1798" s="30">
        <v>6967.7483130000001</v>
      </c>
      <c r="S1798" s="30">
        <v>1237.8100219999999</v>
      </c>
      <c r="U1798" s="30">
        <v>3.5883449999999999</v>
      </c>
      <c r="W1798" s="30">
        <v>42.461365999999998</v>
      </c>
      <c r="Y1798" s="30">
        <v>7.5431840000000001</v>
      </c>
      <c r="AA1798" s="30">
        <v>602.18432299999995</v>
      </c>
      <c r="AC1798" s="30">
        <v>58.324072999999999</v>
      </c>
      <c r="AE1798" s="27">
        <v>1</v>
      </c>
      <c r="AG1798" s="30">
        <v>7.7717790000000004</v>
      </c>
      <c r="AI1798" s="30">
        <v>8.75</v>
      </c>
      <c r="AK1798" s="30">
        <v>24.596091999999999</v>
      </c>
      <c r="AM1798" s="30">
        <v>34.727245000000003</v>
      </c>
      <c r="AO1798" s="30">
        <v>6.7865479999999998</v>
      </c>
    </row>
    <row r="1799" spans="2:41" ht="13" x14ac:dyDescent="0.3">
      <c r="B1799" s="25" t="s">
        <v>195</v>
      </c>
      <c r="C1799" s="19">
        <v>21.6218</v>
      </c>
      <c r="E1799" s="19">
        <v>0.84819999999999995</v>
      </c>
      <c r="G1799" s="19">
        <v>75.110699999999994</v>
      </c>
      <c r="I1799" s="19">
        <v>6.9080000000000004</v>
      </c>
      <c r="J1799" s="9"/>
      <c r="K1799" s="19">
        <v>5.3955000000000002</v>
      </c>
      <c r="M1799" s="19">
        <v>773.38699999999994</v>
      </c>
      <c r="O1799" s="19">
        <v>3753.6001999999999</v>
      </c>
      <c r="Q1799" s="19">
        <v>6984.1082999999999</v>
      </c>
      <c r="S1799" s="19">
        <v>1295.0705</v>
      </c>
      <c r="U1799" s="19">
        <v>3.5558999999999998</v>
      </c>
      <c r="W1799" s="19">
        <v>42.520600000000002</v>
      </c>
      <c r="Y1799" s="19">
        <v>7.8848000000000003</v>
      </c>
      <c r="AA1799" s="19">
        <v>597.50019999999995</v>
      </c>
      <c r="AC1799" s="19">
        <v>58.464399999999998</v>
      </c>
      <c r="AE1799" s="19">
        <v>1</v>
      </c>
      <c r="AG1799" s="19">
        <v>7.7554999999999996</v>
      </c>
      <c r="AI1799" s="19">
        <v>8.75</v>
      </c>
      <c r="AK1799" s="19">
        <v>24.682400000000001</v>
      </c>
      <c r="AM1799" s="19">
        <v>34.770000000000003</v>
      </c>
      <c r="AO1799" s="19">
        <v>6.7801</v>
      </c>
    </row>
    <row r="1800" spans="2:41" x14ac:dyDescent="0.25">
      <c r="B1800" s="21">
        <v>44105</v>
      </c>
      <c r="C1800" s="27">
        <v>22.143799999999999</v>
      </c>
      <c r="E1800" s="30">
        <v>0.851603</v>
      </c>
      <c r="G1800" s="30">
        <v>76.186093</v>
      </c>
      <c r="I1800" s="30">
        <v>6.8990780000000003</v>
      </c>
      <c r="K1800" s="30">
        <v>5.6270239999999996</v>
      </c>
      <c r="M1800" s="30">
        <v>785.50127999999995</v>
      </c>
      <c r="O1800" s="30">
        <v>3834.7531269999999</v>
      </c>
      <c r="Q1800" s="30">
        <v>6974.9046639999997</v>
      </c>
      <c r="S1800" s="30">
        <v>1239.5431940000001</v>
      </c>
      <c r="U1800" s="30">
        <v>3.6011660000000001</v>
      </c>
      <c r="W1800" s="30">
        <v>42.490912000000002</v>
      </c>
      <c r="Y1800" s="30">
        <v>7.551247</v>
      </c>
      <c r="AA1800" s="30">
        <v>602.81534599999998</v>
      </c>
      <c r="AC1800" s="30">
        <v>58.403565999999998</v>
      </c>
      <c r="AE1800" s="27">
        <v>1</v>
      </c>
      <c r="AG1800" s="30">
        <v>7.7757389999999997</v>
      </c>
      <c r="AI1800" s="30">
        <v>8.75</v>
      </c>
      <c r="AK1800" s="30">
        <v>24.614466</v>
      </c>
      <c r="AM1800" s="30">
        <v>34.750855999999999</v>
      </c>
      <c r="AO1800" s="30">
        <v>6.7880520000000004</v>
      </c>
    </row>
    <row r="1801" spans="2:41" x14ac:dyDescent="0.25">
      <c r="B1801" s="21">
        <v>44106</v>
      </c>
      <c r="C1801" s="27">
        <v>21.956199999999999</v>
      </c>
      <c r="E1801" s="30">
        <v>0.85328800000000005</v>
      </c>
      <c r="G1801" s="30">
        <v>76.516148000000001</v>
      </c>
      <c r="I1801" s="30">
        <v>6.9040140000000001</v>
      </c>
      <c r="K1801" s="30">
        <v>5.6524239999999999</v>
      </c>
      <c r="M1801" s="30">
        <v>788.61468500000001</v>
      </c>
      <c r="O1801" s="30">
        <v>3854.3613</v>
      </c>
      <c r="Q1801" s="30">
        <v>6982.0895579999997</v>
      </c>
      <c r="S1801" s="30">
        <v>1235.244252</v>
      </c>
      <c r="U1801" s="30">
        <v>3.6110730000000002</v>
      </c>
      <c r="W1801" s="30">
        <v>42.555604000000002</v>
      </c>
      <c r="Y1801" s="30">
        <v>7.5287579999999998</v>
      </c>
      <c r="AA1801" s="30">
        <v>603.315472</v>
      </c>
      <c r="AC1801" s="30">
        <v>58.443263999999999</v>
      </c>
      <c r="AE1801" s="27">
        <v>1</v>
      </c>
      <c r="AG1801" s="30">
        <v>7.7821879999999997</v>
      </c>
      <c r="AI1801" s="30">
        <v>8.75</v>
      </c>
      <c r="AK1801" s="30">
        <v>24.628634000000002</v>
      </c>
      <c r="AM1801" s="30">
        <v>34.778711999999999</v>
      </c>
      <c r="AO1801" s="30">
        <v>6.7911520000000003</v>
      </c>
    </row>
    <row r="1802" spans="2:41" x14ac:dyDescent="0.25">
      <c r="B1802" s="21">
        <v>44107</v>
      </c>
      <c r="C1802" s="27">
        <v>21.956199999999999</v>
      </c>
      <c r="E1802" s="30">
        <v>0.85348299999999999</v>
      </c>
      <c r="G1802" s="30">
        <v>76.879300000000001</v>
      </c>
      <c r="I1802" s="30">
        <v>6.9035399999999996</v>
      </c>
      <c r="K1802" s="30">
        <v>5.6844000000000001</v>
      </c>
      <c r="M1802" s="30">
        <v>789.6</v>
      </c>
      <c r="O1802" s="30">
        <v>3871.6075000000001</v>
      </c>
      <c r="Q1802" s="30">
        <v>6981.8517499999998</v>
      </c>
      <c r="S1802" s="30">
        <v>1228.2530300000001</v>
      </c>
      <c r="U1802" s="30">
        <v>3.6204749999999999</v>
      </c>
      <c r="W1802" s="30">
        <v>42.576096</v>
      </c>
      <c r="Y1802" s="30">
        <v>7.4900080000000004</v>
      </c>
      <c r="AA1802" s="30">
        <v>603.276072</v>
      </c>
      <c r="AC1802" s="30">
        <v>58.482500000000002</v>
      </c>
      <c r="AE1802" s="27">
        <v>1</v>
      </c>
      <c r="AG1802" s="30">
        <v>7.782343</v>
      </c>
      <c r="AI1802" s="30">
        <v>8.75</v>
      </c>
      <c r="AK1802" s="30">
        <v>24.631625</v>
      </c>
      <c r="AM1802" s="30">
        <v>34.729750000000003</v>
      </c>
      <c r="AO1802" s="30">
        <v>6.7891810000000001</v>
      </c>
    </row>
    <row r="1803" spans="2:41" x14ac:dyDescent="0.25">
      <c r="B1803" s="21">
        <v>44108</v>
      </c>
      <c r="C1803" s="27">
        <v>21.956199999999999</v>
      </c>
      <c r="E1803" s="30">
        <v>0.85350300000000001</v>
      </c>
      <c r="G1803" s="30">
        <v>76.878817999999995</v>
      </c>
      <c r="I1803" s="30">
        <v>6.9034940000000002</v>
      </c>
      <c r="K1803" s="30">
        <v>5.6843389999999996</v>
      </c>
      <c r="M1803" s="30">
        <v>789.6</v>
      </c>
      <c r="O1803" s="30">
        <v>3871.6145179999999</v>
      </c>
      <c r="Q1803" s="30">
        <v>6981.766044</v>
      </c>
      <c r="S1803" s="30">
        <v>1228.2511340000001</v>
      </c>
      <c r="U1803" s="30">
        <v>3.6205240000000001</v>
      </c>
      <c r="W1803" s="30">
        <v>42.575629999999997</v>
      </c>
      <c r="Y1803" s="30">
        <v>7.4900060000000002</v>
      </c>
      <c r="AA1803" s="30">
        <v>603.26998500000002</v>
      </c>
      <c r="AC1803" s="30">
        <v>58.482723999999997</v>
      </c>
      <c r="AE1803" s="27">
        <v>1</v>
      </c>
      <c r="AG1803" s="30">
        <v>7.7822719999999999</v>
      </c>
      <c r="AI1803" s="30">
        <v>8.75</v>
      </c>
      <c r="AK1803" s="30">
        <v>24.631297</v>
      </c>
      <c r="AM1803" s="30">
        <v>34.731174000000003</v>
      </c>
      <c r="AO1803" s="30">
        <v>6.7891899999999996</v>
      </c>
    </row>
    <row r="1804" spans="2:41" x14ac:dyDescent="0.25">
      <c r="B1804" s="21">
        <v>44109</v>
      </c>
      <c r="C1804" s="27">
        <v>21.702500000000001</v>
      </c>
      <c r="E1804" s="30">
        <v>0.85042200000000001</v>
      </c>
      <c r="G1804" s="30">
        <v>76.903561999999994</v>
      </c>
      <c r="I1804" s="30">
        <v>6.9001000000000001</v>
      </c>
      <c r="K1804" s="30">
        <v>5.6405050000000001</v>
      </c>
      <c r="M1804" s="30">
        <v>793.00986999999998</v>
      </c>
      <c r="O1804" s="30">
        <v>3855.7991010000001</v>
      </c>
      <c r="Q1804" s="30">
        <v>6981.0486559999999</v>
      </c>
      <c r="S1804" s="30">
        <v>1237.66948</v>
      </c>
      <c r="U1804" s="30">
        <v>3.6136089999999998</v>
      </c>
      <c r="W1804" s="30">
        <v>42.552574</v>
      </c>
      <c r="Y1804" s="30">
        <v>7.5441279999999997</v>
      </c>
      <c r="AA1804" s="30">
        <v>602.61744399999998</v>
      </c>
      <c r="AC1804" s="30">
        <v>58.392758999999998</v>
      </c>
      <c r="AE1804" s="27">
        <v>1</v>
      </c>
      <c r="AG1804" s="30">
        <v>7.7787189999999997</v>
      </c>
      <c r="AI1804" s="30">
        <v>8.75</v>
      </c>
      <c r="AK1804" s="30">
        <v>24.613256</v>
      </c>
      <c r="AM1804" s="30">
        <v>34.746893999999998</v>
      </c>
      <c r="AO1804" s="30">
        <v>6.7830130000000004</v>
      </c>
    </row>
    <row r="1805" spans="2:41" x14ac:dyDescent="0.25">
      <c r="B1805" s="21">
        <v>44110</v>
      </c>
      <c r="C1805" s="27">
        <v>21.396000000000001</v>
      </c>
      <c r="E1805" s="30">
        <v>0.84916400000000003</v>
      </c>
      <c r="G1805" s="30">
        <v>76.999217999999999</v>
      </c>
      <c r="I1805" s="30">
        <v>6.8954659999999999</v>
      </c>
      <c r="K1805" s="30">
        <v>5.5676550000000002</v>
      </c>
      <c r="M1805" s="30">
        <v>798.28034000000002</v>
      </c>
      <c r="O1805" s="30">
        <v>3829.9288200000001</v>
      </c>
      <c r="Q1805" s="30">
        <v>6981.5933439999999</v>
      </c>
      <c r="S1805" s="30">
        <v>1253.9621</v>
      </c>
      <c r="U1805" s="30">
        <v>3.5978780000000001</v>
      </c>
      <c r="W1805" s="30">
        <v>42.488273999999997</v>
      </c>
      <c r="Y1805" s="30">
        <v>7.6312920000000002</v>
      </c>
      <c r="AA1805" s="30">
        <v>601.59607000000005</v>
      </c>
      <c r="AC1805" s="30">
        <v>58.316533999999997</v>
      </c>
      <c r="AE1805" s="27">
        <v>1</v>
      </c>
      <c r="AG1805" s="30">
        <v>7.7715360000000002</v>
      </c>
      <c r="AI1805" s="30">
        <v>8.75</v>
      </c>
      <c r="AK1805" s="30">
        <v>24.59554</v>
      </c>
      <c r="AM1805" s="30">
        <v>34.714899000000003</v>
      </c>
      <c r="AO1805" s="30">
        <v>6.7782460000000002</v>
      </c>
    </row>
    <row r="1806" spans="2:41" x14ac:dyDescent="0.25">
      <c r="B1806" s="21">
        <v>44111</v>
      </c>
      <c r="C1806" s="27">
        <v>21.450700000000001</v>
      </c>
      <c r="E1806" s="30">
        <v>0.85060400000000003</v>
      </c>
      <c r="G1806" s="30">
        <v>77.083241999999998</v>
      </c>
      <c r="I1806" s="30">
        <v>6.9082169999999996</v>
      </c>
      <c r="K1806" s="30">
        <v>5.5996750000000004</v>
      </c>
      <c r="M1806" s="30">
        <v>796.76993400000003</v>
      </c>
      <c r="O1806" s="30">
        <v>3835.2383169999998</v>
      </c>
      <c r="Q1806" s="30">
        <v>6999.8456859999997</v>
      </c>
      <c r="S1806" s="30">
        <v>1250.0515580000001</v>
      </c>
      <c r="U1806" s="30">
        <v>3.5886200000000001</v>
      </c>
      <c r="W1806" s="30">
        <v>42.591394000000001</v>
      </c>
      <c r="Y1806" s="30">
        <v>7.6060720000000002</v>
      </c>
      <c r="AA1806" s="30">
        <v>602.52080799999999</v>
      </c>
      <c r="AC1806" s="30">
        <v>58.471921999999999</v>
      </c>
      <c r="AE1806" s="27">
        <v>1</v>
      </c>
      <c r="AG1806" s="30">
        <v>7.7844030000000002</v>
      </c>
      <c r="AI1806" s="30">
        <v>8.75</v>
      </c>
      <c r="AK1806" s="30">
        <v>24.624184</v>
      </c>
      <c r="AM1806" s="30">
        <v>34.805590000000002</v>
      </c>
      <c r="AO1806" s="30">
        <v>6.7850080000000004</v>
      </c>
    </row>
    <row r="1807" spans="2:41" x14ac:dyDescent="0.25">
      <c r="B1807" s="21">
        <v>44112</v>
      </c>
      <c r="C1807" s="27">
        <v>21.492999999999999</v>
      </c>
      <c r="E1807" s="30">
        <v>0.85028400000000004</v>
      </c>
      <c r="G1807" s="30">
        <v>77.105748000000006</v>
      </c>
      <c r="I1807" s="30">
        <v>6.9018660000000001</v>
      </c>
      <c r="K1807" s="30">
        <v>5.6075280000000003</v>
      </c>
      <c r="M1807" s="30">
        <v>796.12308299999995</v>
      </c>
      <c r="O1807" s="30">
        <v>3841.6585009999999</v>
      </c>
      <c r="Q1807" s="30">
        <v>6999.353134</v>
      </c>
      <c r="S1807" s="30">
        <v>1248.2126920000001</v>
      </c>
      <c r="U1807" s="30">
        <v>3.5795089999999998</v>
      </c>
      <c r="W1807" s="30">
        <v>42.509273999999998</v>
      </c>
      <c r="Y1807" s="30">
        <v>7.5807719999999996</v>
      </c>
      <c r="AA1807" s="30">
        <v>602.48544800000002</v>
      </c>
      <c r="AC1807" s="30">
        <v>58.425494</v>
      </c>
      <c r="AE1807" s="27">
        <v>1</v>
      </c>
      <c r="AG1807" s="30">
        <v>7.7803459999999998</v>
      </c>
      <c r="AI1807" s="30">
        <v>8.75</v>
      </c>
      <c r="AK1807" s="30">
        <v>24.615539999999999</v>
      </c>
      <c r="AM1807" s="30">
        <v>34.753301999999998</v>
      </c>
      <c r="AO1807" s="30">
        <v>6.7745810000000004</v>
      </c>
    </row>
    <row r="1808" spans="2:41" x14ac:dyDescent="0.25">
      <c r="B1808" s="21">
        <v>44113</v>
      </c>
      <c r="C1808" s="27">
        <v>21.431799999999999</v>
      </c>
      <c r="E1808" s="30">
        <v>0.84738800000000003</v>
      </c>
      <c r="G1808" s="30">
        <v>77.115712000000002</v>
      </c>
      <c r="I1808" s="30">
        <v>6.9021359999999996</v>
      </c>
      <c r="K1808" s="30">
        <v>5.5678520000000002</v>
      </c>
      <c r="M1808" s="30">
        <v>796.99511600000005</v>
      </c>
      <c r="O1808" s="30">
        <v>3833.3643000000002</v>
      </c>
      <c r="Q1808" s="30">
        <v>7001.9672399999999</v>
      </c>
      <c r="S1808" s="30">
        <v>1257.5767330000001</v>
      </c>
      <c r="U1808" s="30">
        <v>3.5748319999999998</v>
      </c>
      <c r="W1808" s="30">
        <v>42.526251000000002</v>
      </c>
      <c r="Y1808" s="30">
        <v>7.6378440000000003</v>
      </c>
      <c r="AA1808" s="30">
        <v>602.82834600000001</v>
      </c>
      <c r="AC1808" s="30">
        <v>58.453394000000003</v>
      </c>
      <c r="AE1808" s="27">
        <v>1</v>
      </c>
      <c r="AG1808" s="30">
        <v>7.7806480000000002</v>
      </c>
      <c r="AI1808" s="30">
        <v>8.75</v>
      </c>
      <c r="AK1808" s="30">
        <v>24.613963999999999</v>
      </c>
      <c r="AM1808" s="30">
        <v>34.754536000000002</v>
      </c>
      <c r="AO1808" s="30">
        <v>6.773428</v>
      </c>
    </row>
    <row r="1809" spans="2:41" x14ac:dyDescent="0.25">
      <c r="B1809" s="21">
        <v>44114</v>
      </c>
      <c r="C1809" s="27">
        <v>21.431799999999999</v>
      </c>
      <c r="E1809" s="30">
        <v>0.84543000000000001</v>
      </c>
      <c r="G1809" s="30">
        <v>77.143900000000002</v>
      </c>
      <c r="I1809" s="30">
        <v>6.9048189999999998</v>
      </c>
      <c r="K1809" s="30">
        <v>5.5321999999999996</v>
      </c>
      <c r="M1809" s="30">
        <v>794.7</v>
      </c>
      <c r="O1809" s="30">
        <v>3827.6125000000002</v>
      </c>
      <c r="Q1809" s="30">
        <v>7003.277</v>
      </c>
      <c r="S1809" s="30">
        <v>1265.917254</v>
      </c>
      <c r="U1809" s="30">
        <v>3.5785</v>
      </c>
      <c r="W1809" s="30">
        <v>42.552503999999999</v>
      </c>
      <c r="Y1809" s="30">
        <v>7.6918119999999996</v>
      </c>
      <c r="AA1809" s="30">
        <v>602.87986999999998</v>
      </c>
      <c r="AC1809" s="30">
        <v>58.482500000000002</v>
      </c>
      <c r="AE1809" s="27">
        <v>1</v>
      </c>
      <c r="AG1809" s="30">
        <v>7.781021</v>
      </c>
      <c r="AI1809" s="30">
        <v>8.75</v>
      </c>
      <c r="AK1809" s="30">
        <v>24.608149999999998</v>
      </c>
      <c r="AM1809" s="30">
        <v>34.700499999999998</v>
      </c>
      <c r="AO1809" s="30">
        <v>6.7732919999999996</v>
      </c>
    </row>
    <row r="1810" spans="2:41" x14ac:dyDescent="0.25">
      <c r="B1810" s="21">
        <v>44115</v>
      </c>
      <c r="C1810" s="27">
        <v>21.431799999999999</v>
      </c>
      <c r="E1810" s="30">
        <v>0.84553100000000003</v>
      </c>
      <c r="G1810" s="30">
        <v>77.144301999999996</v>
      </c>
      <c r="I1810" s="30">
        <v>6.9048020000000001</v>
      </c>
      <c r="K1810" s="30">
        <v>5.5321709999999999</v>
      </c>
      <c r="M1810" s="30">
        <v>794.7</v>
      </c>
      <c r="O1810" s="30">
        <v>3827.6421580000001</v>
      </c>
      <c r="Q1810" s="30">
        <v>7003.2551100000001</v>
      </c>
      <c r="S1810" s="30">
        <v>1265.9199840000001</v>
      </c>
      <c r="U1810" s="30">
        <v>3.5784799999999999</v>
      </c>
      <c r="W1810" s="30">
        <v>42.552903999999998</v>
      </c>
      <c r="Y1810" s="30">
        <v>7.6919250000000003</v>
      </c>
      <c r="AA1810" s="30">
        <v>602.87309300000004</v>
      </c>
      <c r="AC1810" s="30">
        <v>58.482098000000001</v>
      </c>
      <c r="AE1810" s="27">
        <v>1</v>
      </c>
      <c r="AG1810" s="30">
        <v>7.7810240000000004</v>
      </c>
      <c r="AI1810" s="30">
        <v>8.75</v>
      </c>
      <c r="AK1810" s="30">
        <v>24.608384000000001</v>
      </c>
      <c r="AM1810" s="30">
        <v>34.701400999999997</v>
      </c>
      <c r="AO1810" s="30">
        <v>6.7733590000000001</v>
      </c>
    </row>
    <row r="1811" spans="2:41" x14ac:dyDescent="0.25">
      <c r="B1811" s="21">
        <v>44116</v>
      </c>
      <c r="C1811" s="27">
        <v>21.182200000000002</v>
      </c>
      <c r="E1811" s="30">
        <v>0.84664200000000001</v>
      </c>
      <c r="G1811" s="30">
        <v>77.157904000000002</v>
      </c>
      <c r="I1811" s="30">
        <v>6.907305</v>
      </c>
      <c r="K1811" s="30">
        <v>5.5311760000000003</v>
      </c>
      <c r="M1811" s="30">
        <v>795.40243699999996</v>
      </c>
      <c r="O1811" s="30">
        <v>3828.9545899999998</v>
      </c>
      <c r="Q1811" s="30">
        <v>7005.2485470000001</v>
      </c>
      <c r="S1811" s="30">
        <v>1266.508871</v>
      </c>
      <c r="U1811" s="30">
        <v>3.5802900000000002</v>
      </c>
      <c r="W1811" s="30">
        <v>42.538190999999998</v>
      </c>
      <c r="Y1811" s="30">
        <v>7.6906480000000004</v>
      </c>
      <c r="AA1811" s="30">
        <v>602.64540799999997</v>
      </c>
      <c r="AC1811" s="30">
        <v>58.452226000000003</v>
      </c>
      <c r="AE1811" s="27">
        <v>1</v>
      </c>
      <c r="AG1811" s="30">
        <v>7.7814560000000004</v>
      </c>
      <c r="AI1811" s="30">
        <v>8.75</v>
      </c>
      <c r="AK1811" s="30">
        <v>24.610626</v>
      </c>
      <c r="AM1811" s="30">
        <v>34.737591999999999</v>
      </c>
      <c r="AO1811" s="30">
        <v>6.7698770000000001</v>
      </c>
    </row>
    <row r="1812" spans="2:41" x14ac:dyDescent="0.25">
      <c r="B1812" s="21">
        <v>44117</v>
      </c>
      <c r="C1812" s="27">
        <v>21.218299999999999</v>
      </c>
      <c r="E1812" s="30">
        <v>0.84952000000000005</v>
      </c>
      <c r="G1812" s="30">
        <v>77.188995000000006</v>
      </c>
      <c r="I1812" s="30">
        <v>6.9081630000000001</v>
      </c>
      <c r="K1812" s="30">
        <v>5.5445539999999998</v>
      </c>
      <c r="M1812" s="30">
        <v>796.36781399999995</v>
      </c>
      <c r="O1812" s="30">
        <v>3836.5636239999999</v>
      </c>
      <c r="Q1812" s="30">
        <v>7005.0403999999999</v>
      </c>
      <c r="S1812" s="30">
        <v>1263.4155290000001</v>
      </c>
      <c r="U1812" s="30">
        <v>3.5797500000000002</v>
      </c>
      <c r="W1812" s="30">
        <v>42.556888999999998</v>
      </c>
      <c r="Y1812" s="30">
        <v>7.675465</v>
      </c>
      <c r="AA1812" s="30">
        <v>602.43534799999998</v>
      </c>
      <c r="AC1812" s="30">
        <v>58.449826999999999</v>
      </c>
      <c r="AE1812" s="27">
        <v>1</v>
      </c>
      <c r="AG1812" s="30">
        <v>7.7803890000000004</v>
      </c>
      <c r="AI1812" s="30">
        <v>8.75</v>
      </c>
      <c r="AK1812" s="30">
        <v>24.606114000000002</v>
      </c>
      <c r="AM1812" s="30">
        <v>34.726739999999999</v>
      </c>
      <c r="AO1812" s="30">
        <v>6.7675270000000003</v>
      </c>
    </row>
    <row r="1813" spans="2:41" x14ac:dyDescent="0.25">
      <c r="B1813" s="21">
        <v>44118</v>
      </c>
      <c r="C1813" s="27">
        <v>21.367699999999999</v>
      </c>
      <c r="E1813" s="30">
        <v>0.85128599999999999</v>
      </c>
      <c r="G1813" s="30">
        <v>77.5</v>
      </c>
      <c r="I1813" s="30">
        <v>6.9139499999999998</v>
      </c>
      <c r="K1813" s="30">
        <v>5.5667479999999996</v>
      </c>
      <c r="M1813" s="30">
        <v>797.78344800000002</v>
      </c>
      <c r="O1813" s="30">
        <v>3844.235032</v>
      </c>
      <c r="Q1813" s="30">
        <v>7007.043678</v>
      </c>
      <c r="S1813" s="30">
        <v>1258.7379619999999</v>
      </c>
      <c r="U1813" s="30">
        <v>3.5880000000000001</v>
      </c>
      <c r="W1813" s="30">
        <v>42.615721000000001</v>
      </c>
      <c r="Y1813" s="30">
        <v>7.65543</v>
      </c>
      <c r="AA1813" s="30">
        <v>602.83036400000003</v>
      </c>
      <c r="AC1813" s="30">
        <v>58.461222999999997</v>
      </c>
      <c r="AE1813" s="27">
        <v>1</v>
      </c>
      <c r="AG1813" s="30">
        <v>7.7845250000000004</v>
      </c>
      <c r="AI1813" s="30">
        <v>8.75</v>
      </c>
      <c r="AK1813" s="30">
        <v>24.63325</v>
      </c>
      <c r="AM1813" s="30">
        <v>34.698610000000002</v>
      </c>
      <c r="AO1813" s="30">
        <v>6.7800750000000001</v>
      </c>
    </row>
    <row r="1814" spans="2:41" x14ac:dyDescent="0.25">
      <c r="B1814" s="21">
        <v>44119</v>
      </c>
      <c r="C1814" s="27">
        <v>21.299800000000001</v>
      </c>
      <c r="E1814" s="30">
        <v>0.85328300000000001</v>
      </c>
      <c r="G1814" s="30">
        <v>77.5</v>
      </c>
      <c r="I1814" s="30">
        <v>6.9108939999999999</v>
      </c>
      <c r="K1814" s="30">
        <v>5.6019730000000001</v>
      </c>
      <c r="M1814" s="30">
        <v>800.88731800000005</v>
      </c>
      <c r="O1814" s="30">
        <v>3844.588726</v>
      </c>
      <c r="Q1814" s="30">
        <v>7008.3699969999998</v>
      </c>
      <c r="S1814" s="30">
        <v>1251.0599239999999</v>
      </c>
      <c r="U1814" s="30">
        <v>3.5880000000000001</v>
      </c>
      <c r="W1814" s="30">
        <v>42.607047999999999</v>
      </c>
      <c r="Y1814" s="30">
        <v>7.6057439999999996</v>
      </c>
      <c r="AA1814" s="30">
        <v>602.98555599999997</v>
      </c>
      <c r="AC1814" s="30">
        <v>58.372632000000003</v>
      </c>
      <c r="AE1814" s="27">
        <v>1</v>
      </c>
      <c r="AG1814" s="30">
        <v>7.7837610000000002</v>
      </c>
      <c r="AI1814" s="30">
        <v>8.75</v>
      </c>
      <c r="AK1814" s="30">
        <v>24.63325</v>
      </c>
      <c r="AM1814" s="30">
        <v>34.785634999999999</v>
      </c>
      <c r="AO1814" s="30">
        <v>6.7751340000000004</v>
      </c>
    </row>
    <row r="1815" spans="2:41" x14ac:dyDescent="0.25">
      <c r="B1815" s="21">
        <v>44120</v>
      </c>
      <c r="C1815" s="27">
        <v>21.383199999999999</v>
      </c>
      <c r="E1815" s="30">
        <v>0.853576</v>
      </c>
      <c r="G1815" s="30">
        <v>77.5</v>
      </c>
      <c r="I1815" s="30">
        <v>6.912801</v>
      </c>
      <c r="K1815" s="30">
        <v>5.6101089999999996</v>
      </c>
      <c r="M1815" s="30">
        <v>803.19599200000005</v>
      </c>
      <c r="O1815" s="30">
        <v>3852.3812849999999</v>
      </c>
      <c r="Q1815" s="30">
        <v>7012.6001100000003</v>
      </c>
      <c r="S1815" s="30">
        <v>1249.9989660000001</v>
      </c>
      <c r="U1815" s="30">
        <v>3.5863360000000002</v>
      </c>
      <c r="W1815" s="30">
        <v>42.655037999999998</v>
      </c>
      <c r="Y1815" s="30">
        <v>7.6032640000000002</v>
      </c>
      <c r="AA1815" s="30">
        <v>603.21131200000002</v>
      </c>
      <c r="AC1815" s="30">
        <v>58.429245999999999</v>
      </c>
      <c r="AE1815" s="27">
        <v>1</v>
      </c>
      <c r="AG1815" s="30">
        <v>7.7828939999999998</v>
      </c>
      <c r="AI1815" s="30">
        <v>8.75</v>
      </c>
      <c r="AK1815" s="30">
        <v>24.624126</v>
      </c>
      <c r="AM1815" s="30">
        <v>34.859627000000003</v>
      </c>
      <c r="AO1815" s="30">
        <v>6.7816890000000001</v>
      </c>
    </row>
    <row r="1816" spans="2:41" x14ac:dyDescent="0.25">
      <c r="B1816" s="21">
        <v>44121</v>
      </c>
      <c r="C1816" s="27">
        <v>21.383199999999999</v>
      </c>
      <c r="E1816" s="30">
        <v>0.85345400000000005</v>
      </c>
      <c r="G1816" s="30">
        <v>77.467500000000001</v>
      </c>
      <c r="I1816" s="30">
        <v>6.9129500000000004</v>
      </c>
      <c r="K1816" s="30">
        <v>5.6101320000000001</v>
      </c>
      <c r="M1816" s="30">
        <v>803.2</v>
      </c>
      <c r="O1816" s="30">
        <v>3852.3715790000001</v>
      </c>
      <c r="Q1816" s="30">
        <v>7012.6104310000001</v>
      </c>
      <c r="S1816" s="30">
        <v>1249.995737</v>
      </c>
      <c r="U1816" s="30">
        <v>3.58345</v>
      </c>
      <c r="W1816" s="30">
        <v>42.654310000000002</v>
      </c>
      <c r="Y1816" s="30">
        <v>7.6031040000000001</v>
      </c>
      <c r="AA1816" s="30">
        <v>603.21241099999997</v>
      </c>
      <c r="AC1816" s="30">
        <v>58.429245999999999</v>
      </c>
      <c r="AE1816" s="27">
        <v>1</v>
      </c>
      <c r="AG1816" s="30">
        <v>7.7826000000000004</v>
      </c>
      <c r="AI1816" s="30">
        <v>8.75</v>
      </c>
      <c r="AK1816" s="30">
        <v>24.62285</v>
      </c>
      <c r="AM1816" s="30">
        <v>34.863359000000003</v>
      </c>
      <c r="AO1816" s="30">
        <v>6.7821499999999997</v>
      </c>
    </row>
    <row r="1817" spans="2:41" x14ac:dyDescent="0.25">
      <c r="B1817" s="21">
        <v>44122</v>
      </c>
      <c r="C1817" s="27">
        <v>21.383199999999999</v>
      </c>
      <c r="E1817" s="30">
        <v>0.85345800000000005</v>
      </c>
      <c r="G1817" s="30">
        <v>77.468500000000006</v>
      </c>
      <c r="I1817" s="30">
        <v>6.9129500000000004</v>
      </c>
      <c r="K1817" s="30">
        <v>5.6101320000000001</v>
      </c>
      <c r="M1817" s="30">
        <v>803.2</v>
      </c>
      <c r="O1817" s="30">
        <v>3852.3715790000001</v>
      </c>
      <c r="Q1817" s="30">
        <v>7012.6104310000001</v>
      </c>
      <c r="S1817" s="30">
        <v>1249.995737</v>
      </c>
      <c r="U1817" s="30">
        <v>3.58345</v>
      </c>
      <c r="W1817" s="30">
        <v>42.654310000000002</v>
      </c>
      <c r="Y1817" s="30">
        <v>7.6031040000000001</v>
      </c>
      <c r="AA1817" s="30">
        <v>603.21241099999997</v>
      </c>
      <c r="AC1817" s="30">
        <v>58.429245999999999</v>
      </c>
      <c r="AE1817" s="27">
        <v>1</v>
      </c>
      <c r="AG1817" s="30">
        <v>7.7826000000000004</v>
      </c>
      <c r="AI1817" s="30">
        <v>8.75</v>
      </c>
      <c r="AK1817" s="30">
        <v>24.62285</v>
      </c>
      <c r="AM1817" s="30">
        <v>34.863359000000003</v>
      </c>
      <c r="AO1817" s="30">
        <v>6.7821499999999997</v>
      </c>
    </row>
    <row r="1818" spans="2:41" x14ac:dyDescent="0.25">
      <c r="B1818" s="21">
        <v>44123</v>
      </c>
      <c r="C1818" s="27">
        <v>21.176500000000001</v>
      </c>
      <c r="E1818" s="30">
        <v>0.85096400000000005</v>
      </c>
      <c r="G1818" s="30">
        <v>77.526314999999997</v>
      </c>
      <c r="I1818" s="30">
        <v>6.9124150000000002</v>
      </c>
      <c r="K1818" s="30">
        <v>5.6072709999999999</v>
      </c>
      <c r="M1818" s="30">
        <v>798.751845</v>
      </c>
      <c r="O1818" s="30">
        <v>3850.242804</v>
      </c>
      <c r="Q1818" s="30">
        <v>7013.4876690000001</v>
      </c>
      <c r="S1818" s="30">
        <v>1250.7902280000001</v>
      </c>
      <c r="U1818" s="30">
        <v>3.5828229999999999</v>
      </c>
      <c r="W1818" s="30">
        <v>42.714575000000004</v>
      </c>
      <c r="Y1818" s="30">
        <v>7.6177320000000002</v>
      </c>
      <c r="AA1818" s="30">
        <v>603.20333500000004</v>
      </c>
      <c r="AC1818" s="30">
        <v>58.433602</v>
      </c>
      <c r="AE1818" s="27">
        <v>1</v>
      </c>
      <c r="AG1818" s="30">
        <v>7.7820400000000003</v>
      </c>
      <c r="AI1818" s="30">
        <v>8.75</v>
      </c>
      <c r="AK1818" s="30">
        <v>24.620077999999999</v>
      </c>
      <c r="AM1818" s="30">
        <v>34.859423999999997</v>
      </c>
      <c r="AO1818" s="30">
        <v>6.7836470000000002</v>
      </c>
    </row>
    <row r="1819" spans="2:41" x14ac:dyDescent="0.25">
      <c r="B1819" s="21">
        <v>44124</v>
      </c>
      <c r="C1819" s="27">
        <v>21.1342</v>
      </c>
      <c r="E1819" s="30">
        <v>0.84721100000000005</v>
      </c>
      <c r="G1819" s="30">
        <v>77.598799</v>
      </c>
      <c r="I1819" s="30">
        <v>6.8974039999999999</v>
      </c>
      <c r="K1819" s="30">
        <v>5.5981100000000001</v>
      </c>
      <c r="M1819" s="30">
        <v>786.811868</v>
      </c>
      <c r="O1819" s="30">
        <v>3836.5559990000002</v>
      </c>
      <c r="Q1819" s="30">
        <v>7019.9247560000003</v>
      </c>
      <c r="S1819" s="30">
        <v>1253.989266</v>
      </c>
      <c r="U1819" s="30">
        <v>3.5854940000000002</v>
      </c>
      <c r="W1819" s="30">
        <v>42.765230000000003</v>
      </c>
      <c r="Y1819" s="30">
        <v>7.6392540000000002</v>
      </c>
      <c r="AA1819" s="30">
        <v>602.66783799999996</v>
      </c>
      <c r="AC1819" s="30">
        <v>58.374755999999998</v>
      </c>
      <c r="AE1819" s="27">
        <v>1</v>
      </c>
      <c r="AG1819" s="30">
        <v>7.7732780000000004</v>
      </c>
      <c r="AI1819" s="30">
        <v>8.75</v>
      </c>
      <c r="AK1819" s="30">
        <v>24.588267999999999</v>
      </c>
      <c r="AM1819" s="30">
        <v>34.777011999999999</v>
      </c>
      <c r="AO1819" s="30">
        <v>6.7800599999999998</v>
      </c>
    </row>
    <row r="1820" spans="2:41" x14ac:dyDescent="0.25">
      <c r="B1820" s="21">
        <v>44125</v>
      </c>
      <c r="C1820" s="27">
        <v>21.090199999999999</v>
      </c>
      <c r="E1820" s="30">
        <v>0.84348800000000002</v>
      </c>
      <c r="G1820" s="30">
        <v>77.662912000000006</v>
      </c>
      <c r="I1820" s="30">
        <v>6.8940340000000004</v>
      </c>
      <c r="K1820" s="30">
        <v>5.6044</v>
      </c>
      <c r="M1820" s="30">
        <v>784.66300799999999</v>
      </c>
      <c r="O1820" s="30">
        <v>3802.7179339999998</v>
      </c>
      <c r="Q1820" s="30">
        <v>7020.2376039999999</v>
      </c>
      <c r="S1820" s="30">
        <v>1252.6383000000001</v>
      </c>
      <c r="U1820" s="30">
        <v>3.59063</v>
      </c>
      <c r="W1820" s="30">
        <v>42.774715999999998</v>
      </c>
      <c r="Y1820" s="30">
        <v>7.6323749999999997</v>
      </c>
      <c r="AA1820" s="30">
        <v>602.45011299999999</v>
      </c>
      <c r="AC1820" s="30">
        <v>58.332611999999997</v>
      </c>
      <c r="AE1820" s="27">
        <v>1</v>
      </c>
      <c r="AG1820" s="30">
        <v>7.7720960000000003</v>
      </c>
      <c r="AI1820" s="30">
        <v>8.75</v>
      </c>
      <c r="AK1820" s="30">
        <v>24.58071</v>
      </c>
      <c r="AM1820" s="30">
        <v>34.766145999999999</v>
      </c>
      <c r="AO1820" s="30">
        <v>6.7778299999999998</v>
      </c>
    </row>
    <row r="1821" spans="2:41" x14ac:dyDescent="0.25">
      <c r="B1821" s="21">
        <v>44126</v>
      </c>
      <c r="C1821" s="27">
        <v>21.064</v>
      </c>
      <c r="E1821" s="30">
        <v>0.84510200000000002</v>
      </c>
      <c r="G1821" s="30">
        <v>77.812723000000005</v>
      </c>
      <c r="I1821" s="30">
        <v>6.900398</v>
      </c>
      <c r="K1821" s="30">
        <v>5.5998479999999997</v>
      </c>
      <c r="M1821" s="30">
        <v>781.60972000000004</v>
      </c>
      <c r="O1821" s="30">
        <v>3772.8556079999998</v>
      </c>
      <c r="Q1821" s="30">
        <v>7023.908512</v>
      </c>
      <c r="S1821" s="30">
        <v>1254.3119200000001</v>
      </c>
      <c r="U1821" s="30">
        <v>3.6014680000000001</v>
      </c>
      <c r="W1821" s="30">
        <v>42.757179000000001</v>
      </c>
      <c r="Y1821" s="30">
        <v>7.635446</v>
      </c>
      <c r="AA1821" s="30">
        <v>602.704566</v>
      </c>
      <c r="AC1821" s="30">
        <v>58.423147999999998</v>
      </c>
      <c r="AE1821" s="27">
        <v>1</v>
      </c>
      <c r="AG1821" s="30">
        <v>7.7754570000000003</v>
      </c>
      <c r="AI1821" s="30">
        <v>8.75</v>
      </c>
      <c r="AK1821" s="30">
        <v>24.589269999999999</v>
      </c>
      <c r="AM1821" s="30">
        <v>34.74991</v>
      </c>
      <c r="AO1821" s="30">
        <v>6.7805869999999997</v>
      </c>
    </row>
    <row r="1822" spans="2:41" x14ac:dyDescent="0.25">
      <c r="B1822" s="21">
        <v>44127</v>
      </c>
      <c r="C1822" s="27">
        <v>21.03</v>
      </c>
      <c r="E1822" s="30">
        <v>0.84504199999999996</v>
      </c>
      <c r="G1822" s="30">
        <v>78.044397000000004</v>
      </c>
      <c r="I1822" s="30">
        <v>6.9032850000000003</v>
      </c>
      <c r="K1822" s="30">
        <v>5.6040359999999998</v>
      </c>
      <c r="M1822" s="30">
        <v>777.55418099999997</v>
      </c>
      <c r="O1822" s="30">
        <v>3784.6228540000002</v>
      </c>
      <c r="Q1822" s="30">
        <v>7026.6156709999996</v>
      </c>
      <c r="S1822" s="30">
        <v>1253.8573779999999</v>
      </c>
      <c r="U1822" s="30">
        <v>3.6046200000000002</v>
      </c>
      <c r="W1822" s="30">
        <v>42.700356999999997</v>
      </c>
      <c r="Y1822" s="30">
        <v>7.6196000000000002</v>
      </c>
      <c r="AA1822" s="30">
        <v>602.90117599999996</v>
      </c>
      <c r="AC1822" s="30">
        <v>58.496552000000001</v>
      </c>
      <c r="AE1822" s="27">
        <v>1</v>
      </c>
      <c r="AG1822" s="30">
        <v>7.7781609999999999</v>
      </c>
      <c r="AI1822" s="30">
        <v>8.75</v>
      </c>
      <c r="AK1822" s="30">
        <v>24.597885999999999</v>
      </c>
      <c r="AM1822" s="30">
        <v>34.842861999999997</v>
      </c>
      <c r="AO1822" s="30">
        <v>6.7836679999999996</v>
      </c>
    </row>
    <row r="1823" spans="2:41" x14ac:dyDescent="0.25">
      <c r="B1823" s="21">
        <v>44128</v>
      </c>
      <c r="C1823" s="27">
        <v>21.03</v>
      </c>
      <c r="E1823" s="30">
        <v>0.84309199999999995</v>
      </c>
      <c r="G1823" s="30">
        <v>78.129800000000003</v>
      </c>
      <c r="I1823" s="30">
        <v>6.9046000000000003</v>
      </c>
      <c r="K1823" s="30">
        <v>5.6199000000000003</v>
      </c>
      <c r="M1823" s="30">
        <v>775.7</v>
      </c>
      <c r="O1823" s="30">
        <v>3789.085</v>
      </c>
      <c r="Q1823" s="30">
        <v>7028.4</v>
      </c>
      <c r="S1823" s="30">
        <v>1250.632548</v>
      </c>
      <c r="U1823" s="30">
        <v>3.5999500000000002</v>
      </c>
      <c r="W1823" s="30">
        <v>42.674999999999997</v>
      </c>
      <c r="Y1823" s="30">
        <v>7.5935759999999997</v>
      </c>
      <c r="AA1823" s="30">
        <v>603.03499999999997</v>
      </c>
      <c r="AC1823" s="30">
        <v>58.414999999999999</v>
      </c>
      <c r="AE1823" s="27">
        <v>1</v>
      </c>
      <c r="AG1823" s="30">
        <v>7.7784000000000004</v>
      </c>
      <c r="AI1823" s="30">
        <v>8.75</v>
      </c>
      <c r="AK1823" s="30">
        <v>24.597999999999999</v>
      </c>
      <c r="AM1823" s="30">
        <v>34.749499999999998</v>
      </c>
      <c r="AO1823" s="30">
        <v>6.7840499999999997</v>
      </c>
    </row>
    <row r="1824" spans="2:41" x14ac:dyDescent="0.25">
      <c r="B1824" s="21">
        <v>44129</v>
      </c>
      <c r="C1824" s="27">
        <v>21.03</v>
      </c>
      <c r="E1824" s="30">
        <v>0.84319999999999995</v>
      </c>
      <c r="G1824" s="30">
        <v>78.134656000000007</v>
      </c>
      <c r="I1824" s="30">
        <v>6.9046000000000003</v>
      </c>
      <c r="K1824" s="30">
        <v>5.6199000000000003</v>
      </c>
      <c r="M1824" s="30">
        <v>775.7</v>
      </c>
      <c r="O1824" s="30">
        <v>3789.085</v>
      </c>
      <c r="Q1824" s="30">
        <v>7028.4</v>
      </c>
      <c r="S1824" s="30">
        <v>1250.633362</v>
      </c>
      <c r="U1824" s="30">
        <v>3.5999500000000002</v>
      </c>
      <c r="W1824" s="30">
        <v>42.674999999999997</v>
      </c>
      <c r="Y1824" s="30">
        <v>7.5935800000000002</v>
      </c>
      <c r="AA1824" s="30">
        <v>603.03499999999997</v>
      </c>
      <c r="AC1824" s="30">
        <v>58.414999999999999</v>
      </c>
      <c r="AE1824" s="27">
        <v>1</v>
      </c>
      <c r="AG1824" s="30">
        <v>7.7784000000000004</v>
      </c>
      <c r="AI1824" s="30">
        <v>8.75</v>
      </c>
      <c r="AK1824" s="30">
        <v>24.597999999999999</v>
      </c>
      <c r="AM1824" s="30">
        <v>34.749499999999998</v>
      </c>
      <c r="AO1824" s="30">
        <v>6.7840499999999997</v>
      </c>
    </row>
    <row r="1825" spans="2:41" x14ac:dyDescent="0.25">
      <c r="B1825" s="21">
        <v>44130</v>
      </c>
      <c r="C1825" s="27">
        <v>20.920500000000001</v>
      </c>
      <c r="E1825" s="30">
        <v>0.84583200000000003</v>
      </c>
      <c r="G1825" s="30">
        <v>78.154399999999995</v>
      </c>
      <c r="I1825" s="30">
        <v>6.9042490000000001</v>
      </c>
      <c r="K1825" s="30">
        <v>5.6236040000000003</v>
      </c>
      <c r="M1825" s="30">
        <v>776.80831799999999</v>
      </c>
      <c r="O1825" s="30">
        <v>3800.2425819999999</v>
      </c>
      <c r="Q1825" s="30">
        <v>7030.3311720000002</v>
      </c>
      <c r="S1825" s="30">
        <v>1250.15562</v>
      </c>
      <c r="U1825" s="30">
        <v>3.6021160000000001</v>
      </c>
      <c r="W1825" s="30">
        <v>42.684418000000001</v>
      </c>
      <c r="Y1825" s="30">
        <v>7.5902539999999998</v>
      </c>
      <c r="AA1825" s="30">
        <v>603.13127999999995</v>
      </c>
      <c r="AC1825" s="30">
        <v>58.428432000000001</v>
      </c>
      <c r="AE1825" s="27">
        <v>1</v>
      </c>
      <c r="AG1825" s="30">
        <v>7.7791519999999998</v>
      </c>
      <c r="AI1825" s="30">
        <v>8.75</v>
      </c>
      <c r="AK1825" s="30">
        <v>24.597899999999999</v>
      </c>
      <c r="AM1825" s="30">
        <v>34.803615999999998</v>
      </c>
      <c r="AO1825" s="30">
        <v>6.7848699999999997</v>
      </c>
    </row>
    <row r="1826" spans="2:41" x14ac:dyDescent="0.25">
      <c r="B1826" s="21">
        <v>44131</v>
      </c>
      <c r="C1826" s="27">
        <v>20.9818</v>
      </c>
      <c r="E1826" s="30">
        <v>0.84626800000000002</v>
      </c>
      <c r="G1826" s="30">
        <v>78.234610000000004</v>
      </c>
      <c r="I1826" s="30">
        <v>6.9062799999999998</v>
      </c>
      <c r="K1826" s="30">
        <v>5.6466900000000004</v>
      </c>
      <c r="M1826" s="30">
        <v>773.67931199999998</v>
      </c>
      <c r="O1826" s="30">
        <v>3812.1425100000001</v>
      </c>
      <c r="Q1826" s="30">
        <v>7034.1210700000001</v>
      </c>
      <c r="S1826" s="30">
        <v>1245.7136740000001</v>
      </c>
      <c r="U1826" s="30">
        <v>3.6010719999999998</v>
      </c>
      <c r="W1826" s="30">
        <v>42.687296000000003</v>
      </c>
      <c r="Y1826" s="30">
        <v>7.559723</v>
      </c>
      <c r="AA1826" s="30">
        <v>603.37695299999996</v>
      </c>
      <c r="AC1826" s="30">
        <v>58.368093999999999</v>
      </c>
      <c r="AE1826" s="27">
        <v>1</v>
      </c>
      <c r="AG1826" s="30">
        <v>7.7808479999999998</v>
      </c>
      <c r="AI1826" s="30">
        <v>8.75</v>
      </c>
      <c r="AK1826" s="30">
        <v>24.596851999999998</v>
      </c>
      <c r="AM1826" s="30">
        <v>34.791994000000003</v>
      </c>
      <c r="AO1826" s="30">
        <v>6.7864579999999997</v>
      </c>
    </row>
    <row r="1827" spans="2:41" x14ac:dyDescent="0.25">
      <c r="B1827" s="21">
        <v>44132</v>
      </c>
      <c r="C1827" s="27">
        <v>20.879799999999999</v>
      </c>
      <c r="E1827" s="30">
        <v>0.85060999999999998</v>
      </c>
      <c r="G1827" s="30">
        <v>78.302958000000004</v>
      </c>
      <c r="I1827" s="30">
        <v>6.9084580000000004</v>
      </c>
      <c r="K1827" s="30">
        <v>5.7242059999999997</v>
      </c>
      <c r="M1827" s="30">
        <v>773.82690000000002</v>
      </c>
      <c r="O1827" s="30">
        <v>3820.7941580000002</v>
      </c>
      <c r="Q1827" s="30">
        <v>7034.7703270000002</v>
      </c>
      <c r="S1827" s="30">
        <v>1228.957482</v>
      </c>
      <c r="U1827" s="30">
        <v>3.6118679999999999</v>
      </c>
      <c r="W1827" s="30">
        <v>42.787072000000002</v>
      </c>
      <c r="Y1827" s="30">
        <v>7.4747820000000003</v>
      </c>
      <c r="AA1827" s="30">
        <v>604.28872000000001</v>
      </c>
      <c r="AC1827" s="30">
        <v>58.489806000000002</v>
      </c>
      <c r="AE1827" s="27">
        <v>1</v>
      </c>
      <c r="AG1827" s="30">
        <v>7.781517</v>
      </c>
      <c r="AI1827" s="30">
        <v>8.75</v>
      </c>
      <c r="AK1827" s="30">
        <v>24.598403999999999</v>
      </c>
      <c r="AM1827" s="30">
        <v>34.851270999999997</v>
      </c>
      <c r="AO1827" s="30">
        <v>6.796106</v>
      </c>
    </row>
    <row r="1828" spans="2:41" x14ac:dyDescent="0.25">
      <c r="B1828" s="21">
        <v>44133</v>
      </c>
      <c r="C1828" s="27">
        <v>21.1648</v>
      </c>
      <c r="E1828" s="30">
        <v>0.85402800000000001</v>
      </c>
      <c r="G1828" s="30">
        <v>78.295918999999998</v>
      </c>
      <c r="I1828" s="30">
        <v>6.9078439999999999</v>
      </c>
      <c r="K1828" s="30">
        <v>5.7599859999999996</v>
      </c>
      <c r="M1828" s="30">
        <v>772.58762300000001</v>
      </c>
      <c r="O1828" s="30">
        <v>3841.3031980000001</v>
      </c>
      <c r="Q1828" s="30">
        <v>7034.0305559999997</v>
      </c>
      <c r="S1828" s="30">
        <v>1221.1949239999999</v>
      </c>
      <c r="U1828" s="30">
        <v>3.6054409999999999</v>
      </c>
      <c r="W1828" s="30">
        <v>42.733618</v>
      </c>
      <c r="Y1828" s="30">
        <v>7.4190670000000001</v>
      </c>
      <c r="AA1828" s="30">
        <v>604.92809399999999</v>
      </c>
      <c r="AC1828" s="30">
        <v>58.389605000000003</v>
      </c>
      <c r="AE1828" s="27">
        <v>1</v>
      </c>
      <c r="AG1828" s="30">
        <v>7.7816140000000003</v>
      </c>
      <c r="AI1828" s="30">
        <v>8.75</v>
      </c>
      <c r="AK1828" s="30">
        <v>24.590328</v>
      </c>
      <c r="AM1828" s="30">
        <v>34.766174999999997</v>
      </c>
      <c r="AO1828" s="30">
        <v>6.8000980000000002</v>
      </c>
    </row>
    <row r="1829" spans="2:41" x14ac:dyDescent="0.25">
      <c r="B1829" s="21">
        <v>44134</v>
      </c>
      <c r="C1829" s="27">
        <v>21.376999999999999</v>
      </c>
      <c r="E1829" s="30">
        <v>0.85702500000000004</v>
      </c>
      <c r="G1829" s="30">
        <v>78.304720000000003</v>
      </c>
      <c r="I1829" s="30">
        <v>6.9069599999999998</v>
      </c>
      <c r="K1829" s="30">
        <v>5.7669420000000002</v>
      </c>
      <c r="M1829" s="30">
        <v>772.33995400000003</v>
      </c>
      <c r="O1829" s="30">
        <v>3862.2533979999998</v>
      </c>
      <c r="Q1829" s="30">
        <v>7032.1192600000004</v>
      </c>
      <c r="S1829" s="30">
        <v>1219.3908610000001</v>
      </c>
      <c r="U1829" s="30">
        <v>3.6172339999999998</v>
      </c>
      <c r="W1829" s="30">
        <v>42.900976</v>
      </c>
      <c r="Y1829" s="30">
        <v>7.4391379999999998</v>
      </c>
      <c r="AA1829" s="30">
        <v>605.654</v>
      </c>
      <c r="AC1829" s="30">
        <v>58.517916</v>
      </c>
      <c r="AE1829" s="27">
        <v>1</v>
      </c>
      <c r="AG1829" s="30">
        <v>7.7852759999999996</v>
      </c>
      <c r="AI1829" s="30">
        <v>8.75</v>
      </c>
      <c r="AK1829" s="30">
        <v>24.584381</v>
      </c>
      <c r="AM1829" s="30">
        <v>34.874741999999998</v>
      </c>
      <c r="AO1829" s="30">
        <v>6.8040320000000003</v>
      </c>
    </row>
    <row r="1830" spans="2:41" x14ac:dyDescent="0.25">
      <c r="B1830" s="21">
        <v>44135</v>
      </c>
      <c r="C1830" s="27">
        <v>21.376999999999999</v>
      </c>
      <c r="E1830" s="30">
        <v>0.85851599999999995</v>
      </c>
      <c r="G1830" s="30">
        <v>78.333150000000003</v>
      </c>
      <c r="I1830" s="30">
        <v>6.9073500000000001</v>
      </c>
      <c r="K1830" s="30">
        <v>5.7423000000000002</v>
      </c>
      <c r="M1830" s="30">
        <v>773.3</v>
      </c>
      <c r="O1830" s="30">
        <v>3869.1950000000002</v>
      </c>
      <c r="Q1830" s="30">
        <v>7031.65</v>
      </c>
      <c r="S1830" s="30">
        <v>1224.5440779999999</v>
      </c>
      <c r="U1830" s="30">
        <v>3.61585</v>
      </c>
      <c r="W1830" s="30">
        <v>43.03</v>
      </c>
      <c r="Y1830" s="30">
        <v>7.4935520000000002</v>
      </c>
      <c r="AA1830" s="30">
        <v>606.16999999999996</v>
      </c>
      <c r="AC1830" s="30">
        <v>58.5</v>
      </c>
      <c r="AE1830" s="27">
        <v>1</v>
      </c>
      <c r="AG1830" s="30">
        <v>7.7888000000000002</v>
      </c>
      <c r="AI1830" s="30">
        <v>8.75</v>
      </c>
      <c r="AK1830" s="30">
        <v>24.5822</v>
      </c>
      <c r="AM1830" s="30">
        <v>34.805500000000002</v>
      </c>
      <c r="AO1830" s="30">
        <v>6.8036500000000002</v>
      </c>
    </row>
    <row r="1831" spans="2:41" ht="13" x14ac:dyDescent="0.3">
      <c r="B1831" s="25" t="s">
        <v>196</v>
      </c>
      <c r="C1831" s="19">
        <v>21.3491</v>
      </c>
      <c r="E1831" s="19">
        <v>0.8498</v>
      </c>
      <c r="G1831" s="19">
        <v>77.492699999999999</v>
      </c>
      <c r="I1831" s="19">
        <v>6.9053000000000004</v>
      </c>
      <c r="J1831" s="9"/>
      <c r="K1831" s="19">
        <v>5.6222000000000003</v>
      </c>
      <c r="M1831" s="19">
        <v>788.62139999999999</v>
      </c>
      <c r="O1831" s="19">
        <v>3833.1014</v>
      </c>
      <c r="Q1831" s="19">
        <v>7010.0798000000004</v>
      </c>
      <c r="S1831" s="19">
        <v>1247.0039999999999</v>
      </c>
      <c r="U1831" s="19">
        <v>3.5958999999999999</v>
      </c>
      <c r="W1831" s="19">
        <v>42.6496</v>
      </c>
      <c r="Y1831" s="19">
        <v>7.5867000000000004</v>
      </c>
      <c r="AA1831" s="19">
        <v>603.17930000000001</v>
      </c>
      <c r="AC1831" s="19">
        <v>58.433700000000002</v>
      </c>
      <c r="AE1831" s="19">
        <v>1</v>
      </c>
      <c r="AG1831" s="19">
        <v>7.7804000000000002</v>
      </c>
      <c r="AI1831" s="19">
        <v>8.75</v>
      </c>
      <c r="AK1831" s="19">
        <v>24.6084</v>
      </c>
      <c r="AM1831" s="19">
        <v>34.777099999999997</v>
      </c>
      <c r="AO1831" s="19">
        <v>6.7834000000000003</v>
      </c>
    </row>
    <row r="1832" spans="2:41" x14ac:dyDescent="0.25">
      <c r="B1832" s="21">
        <v>44136</v>
      </c>
      <c r="C1832" s="27">
        <v>21.376999999999999</v>
      </c>
      <c r="E1832" s="27">
        <v>0.85853599999999997</v>
      </c>
      <c r="G1832" s="27">
        <v>78.328435999999996</v>
      </c>
      <c r="I1832" s="27">
        <v>6.9073500000000001</v>
      </c>
      <c r="K1832" s="27">
        <v>5.7423479999999998</v>
      </c>
      <c r="M1832" s="27">
        <v>773.3</v>
      </c>
      <c r="O1832" s="27">
        <v>3869.242256</v>
      </c>
      <c r="Q1832" s="27">
        <v>7031.65</v>
      </c>
      <c r="S1832" s="27">
        <v>1224.533688</v>
      </c>
      <c r="U1832" s="27">
        <v>3.6158359999999998</v>
      </c>
      <c r="W1832" s="27">
        <v>43.031663999999999</v>
      </c>
      <c r="Y1832" s="27">
        <v>7.4937779999999998</v>
      </c>
      <c r="AA1832" s="27">
        <v>606.16999999999996</v>
      </c>
      <c r="AC1832" s="27">
        <v>58.5</v>
      </c>
      <c r="AE1832" s="27">
        <v>1</v>
      </c>
      <c r="AG1832" s="27">
        <v>7.7888000000000002</v>
      </c>
      <c r="AI1832" s="27">
        <v>8.75</v>
      </c>
      <c r="AK1832" s="27">
        <v>24.5822</v>
      </c>
      <c r="AM1832" s="27">
        <v>34.805500000000002</v>
      </c>
      <c r="AO1832" s="27">
        <v>6.8036500000000002</v>
      </c>
    </row>
    <row r="1833" spans="2:41" x14ac:dyDescent="0.25">
      <c r="B1833" s="21">
        <v>44137</v>
      </c>
      <c r="C1833" s="27">
        <v>21.376999999999999</v>
      </c>
      <c r="E1833" s="27">
        <v>0.85925399999999996</v>
      </c>
      <c r="G1833" s="27">
        <v>78.514685999999998</v>
      </c>
      <c r="I1833" s="27">
        <v>6.9097540000000004</v>
      </c>
      <c r="K1833" s="27">
        <v>5.7421069999999999</v>
      </c>
      <c r="M1833" s="27">
        <v>770.77046600000006</v>
      </c>
      <c r="O1833" s="27">
        <v>3874.7152470000001</v>
      </c>
      <c r="Q1833" s="27">
        <v>7031.8792709999998</v>
      </c>
      <c r="S1833" s="27">
        <v>1224.623032</v>
      </c>
      <c r="U1833" s="27">
        <v>3.6173169999999999</v>
      </c>
      <c r="W1833" s="27">
        <v>43.003165000000003</v>
      </c>
      <c r="Y1833" s="27">
        <v>7.4891120000000004</v>
      </c>
      <c r="AA1833" s="27">
        <v>606.45999099999995</v>
      </c>
      <c r="AC1833" s="27">
        <v>58.516302000000003</v>
      </c>
      <c r="AE1833" s="27">
        <v>1</v>
      </c>
      <c r="AG1833" s="27">
        <v>7.791353</v>
      </c>
      <c r="AI1833" s="27">
        <v>8.75</v>
      </c>
      <c r="AK1833" s="27">
        <v>24.584765999999998</v>
      </c>
      <c r="AM1833" s="27">
        <v>34.80885</v>
      </c>
      <c r="AO1833" s="27">
        <v>6.8049419999999996</v>
      </c>
    </row>
    <row r="1834" spans="2:41" x14ac:dyDescent="0.25">
      <c r="B1834" s="21">
        <v>44138</v>
      </c>
      <c r="C1834" s="27">
        <v>21.250800000000002</v>
      </c>
      <c r="E1834" s="27">
        <v>0.85538000000000003</v>
      </c>
      <c r="G1834" s="27">
        <v>78.782713000000001</v>
      </c>
      <c r="I1834" s="27">
        <v>6.9109920000000002</v>
      </c>
      <c r="K1834" s="27">
        <v>5.7358260000000003</v>
      </c>
      <c r="M1834" s="27">
        <v>762.67090199999996</v>
      </c>
      <c r="O1834" s="27">
        <v>3853.7060059999999</v>
      </c>
      <c r="Q1834" s="27">
        <v>7029.5839180000003</v>
      </c>
      <c r="S1834" s="27">
        <v>1225.56468</v>
      </c>
      <c r="U1834" s="27">
        <v>3.6092149999999998</v>
      </c>
      <c r="W1834" s="27">
        <v>43.010286000000001</v>
      </c>
      <c r="Y1834" s="27">
        <v>7.4985540000000004</v>
      </c>
      <c r="AA1834" s="27">
        <v>606.69831699999997</v>
      </c>
      <c r="AC1834" s="27">
        <v>58.500312000000001</v>
      </c>
      <c r="AE1834" s="27">
        <v>1</v>
      </c>
      <c r="AG1834" s="27">
        <v>7.7964549999999999</v>
      </c>
      <c r="AI1834" s="27">
        <v>8.75</v>
      </c>
      <c r="AK1834" s="27">
        <v>24.582744999999999</v>
      </c>
      <c r="AM1834" s="27">
        <v>34.778910000000003</v>
      </c>
      <c r="AO1834" s="27">
        <v>6.8043610000000001</v>
      </c>
    </row>
    <row r="1835" spans="2:41" x14ac:dyDescent="0.25">
      <c r="B1835" s="21">
        <v>44139</v>
      </c>
      <c r="C1835" s="27">
        <v>21.1555</v>
      </c>
      <c r="E1835" s="27">
        <v>0.85505399999999998</v>
      </c>
      <c r="G1835" s="27">
        <v>78.961196000000001</v>
      </c>
      <c r="I1835" s="27">
        <v>6.9117660000000001</v>
      </c>
      <c r="K1835" s="27">
        <v>5.716234</v>
      </c>
      <c r="M1835" s="27">
        <v>757.48831700000005</v>
      </c>
      <c r="O1835" s="27">
        <v>3815.2235700000001</v>
      </c>
      <c r="Q1835" s="27">
        <v>7030.3585819999998</v>
      </c>
      <c r="S1835" s="27">
        <v>1229.8996239999999</v>
      </c>
      <c r="U1835" s="27">
        <v>3.6081099999999999</v>
      </c>
      <c r="W1835" s="27">
        <v>42.981710999999997</v>
      </c>
      <c r="Y1835" s="27">
        <v>7.5192540000000001</v>
      </c>
      <c r="AA1835" s="27">
        <v>606.71</v>
      </c>
      <c r="AC1835" s="27">
        <v>58.491612000000003</v>
      </c>
      <c r="AE1835" s="27">
        <v>1</v>
      </c>
      <c r="AG1835" s="27">
        <v>7.8007939999999998</v>
      </c>
      <c r="AI1835" s="27">
        <v>8.75</v>
      </c>
      <c r="AK1835" s="27">
        <v>24.583162000000002</v>
      </c>
      <c r="AM1835" s="27">
        <v>34.812159999999999</v>
      </c>
      <c r="AO1835" s="27">
        <v>6.8045210000000003</v>
      </c>
    </row>
    <row r="1836" spans="2:41" x14ac:dyDescent="0.25">
      <c r="B1836" s="21">
        <v>44140</v>
      </c>
      <c r="C1836" s="27">
        <v>21.034500000000001</v>
      </c>
      <c r="E1836" s="27">
        <v>0.84839200000000003</v>
      </c>
      <c r="G1836" s="27">
        <v>79.022400000000005</v>
      </c>
      <c r="I1836" s="27">
        <v>6.9098550000000003</v>
      </c>
      <c r="K1836" s="27">
        <v>5.6094819999999999</v>
      </c>
      <c r="M1836" s="27">
        <v>754.17655999999999</v>
      </c>
      <c r="O1836" s="27">
        <v>3789.218382</v>
      </c>
      <c r="Q1836" s="27">
        <v>7029.0185179999999</v>
      </c>
      <c r="S1836" s="27">
        <v>1253.066337</v>
      </c>
      <c r="U1836" s="27">
        <v>3.6078030000000001</v>
      </c>
      <c r="W1836" s="27">
        <v>42.906343999999997</v>
      </c>
      <c r="Y1836" s="27">
        <v>7.6489140000000004</v>
      </c>
      <c r="AA1836" s="27">
        <v>608.39165800000001</v>
      </c>
      <c r="AC1836" s="27">
        <v>58.414842</v>
      </c>
      <c r="AE1836" s="27">
        <v>1</v>
      </c>
      <c r="AG1836" s="27">
        <v>7.7990640000000004</v>
      </c>
      <c r="AI1836" s="27">
        <v>8.75</v>
      </c>
      <c r="AK1836" s="27">
        <v>24.576485999999999</v>
      </c>
      <c r="AM1836" s="27">
        <v>34.811712999999997</v>
      </c>
      <c r="AO1836" s="27">
        <v>6.8045499999999999</v>
      </c>
    </row>
    <row r="1837" spans="2:41" x14ac:dyDescent="0.25">
      <c r="B1837" s="21">
        <v>44141</v>
      </c>
      <c r="C1837" s="27">
        <v>20.761199999999999</v>
      </c>
      <c r="E1837" s="27">
        <v>0.84353</v>
      </c>
      <c r="G1837" s="27">
        <v>79.064899999999994</v>
      </c>
      <c r="I1837" s="27">
        <v>6.896293</v>
      </c>
      <c r="K1837" s="27">
        <v>5.4862479999999998</v>
      </c>
      <c r="M1837" s="27">
        <v>755.37630000000001</v>
      </c>
      <c r="O1837" s="27">
        <v>3744.2983079999999</v>
      </c>
      <c r="Q1837" s="27">
        <v>7025.9095200000002</v>
      </c>
      <c r="S1837" s="27">
        <v>1280.647876</v>
      </c>
      <c r="U1837" s="27">
        <v>3.5946380000000002</v>
      </c>
      <c r="W1837" s="27">
        <v>42.817971999999997</v>
      </c>
      <c r="Y1837" s="27">
        <v>7.8046199999999999</v>
      </c>
      <c r="AA1837" s="27">
        <v>610.65279999999996</v>
      </c>
      <c r="AC1837" s="27">
        <v>58.442692000000001</v>
      </c>
      <c r="AE1837" s="27">
        <v>1</v>
      </c>
      <c r="AG1837" s="27">
        <v>7.7828920000000004</v>
      </c>
      <c r="AI1837" s="27">
        <v>8.75</v>
      </c>
      <c r="AK1837" s="27">
        <v>24.557369000000001</v>
      </c>
      <c r="AM1837" s="27">
        <v>34.906520999999998</v>
      </c>
      <c r="AO1837" s="27">
        <v>6.7793939999999999</v>
      </c>
    </row>
    <row r="1838" spans="2:41" x14ac:dyDescent="0.25">
      <c r="B1838" s="21">
        <v>44142</v>
      </c>
      <c r="C1838" s="27">
        <v>20.761199999999999</v>
      </c>
      <c r="E1838" s="27">
        <v>0.842198</v>
      </c>
      <c r="G1838" s="27">
        <v>79.040850000000006</v>
      </c>
      <c r="I1838" s="27">
        <v>6.8935500000000003</v>
      </c>
      <c r="K1838" s="27">
        <v>5.3650000000000002</v>
      </c>
      <c r="M1838" s="27">
        <v>751.5</v>
      </c>
      <c r="O1838" s="27">
        <v>3723.6149999999998</v>
      </c>
      <c r="Q1838" s="27">
        <v>7025</v>
      </c>
      <c r="S1838" s="27">
        <v>1309.418686</v>
      </c>
      <c r="U1838" s="27">
        <v>3.5929500000000001</v>
      </c>
      <c r="W1838" s="27">
        <v>42.755000000000003</v>
      </c>
      <c r="Y1838" s="27">
        <v>7.969258</v>
      </c>
      <c r="AA1838" s="27">
        <v>611.13499999999999</v>
      </c>
      <c r="AC1838" s="27">
        <v>58.445</v>
      </c>
      <c r="AE1838" s="27">
        <v>1</v>
      </c>
      <c r="AG1838" s="27">
        <v>7.7807500000000003</v>
      </c>
      <c r="AI1838" s="27">
        <v>8.75</v>
      </c>
      <c r="AK1838" s="27">
        <v>24.553100000000001</v>
      </c>
      <c r="AM1838" s="27">
        <v>35.259500000000003</v>
      </c>
      <c r="AO1838" s="27">
        <v>6.7767499999999998</v>
      </c>
    </row>
    <row r="1839" spans="2:41" x14ac:dyDescent="0.25">
      <c r="B1839" s="21">
        <v>44143</v>
      </c>
      <c r="C1839" s="27">
        <v>20.761199999999999</v>
      </c>
      <c r="E1839" s="27">
        <v>0.84210099999999999</v>
      </c>
      <c r="G1839" s="27">
        <v>79.032061999999996</v>
      </c>
      <c r="I1839" s="27">
        <v>6.8935500000000003</v>
      </c>
      <c r="K1839" s="27">
        <v>5.3650000000000002</v>
      </c>
      <c r="M1839" s="27">
        <v>751.5</v>
      </c>
      <c r="O1839" s="27">
        <v>3723.6149999999998</v>
      </c>
      <c r="Q1839" s="27">
        <v>7025</v>
      </c>
      <c r="S1839" s="27">
        <v>1309.418686</v>
      </c>
      <c r="U1839" s="27">
        <v>3.592911</v>
      </c>
      <c r="W1839" s="27">
        <v>42.755000000000003</v>
      </c>
      <c r="Y1839" s="27">
        <v>7.969258</v>
      </c>
      <c r="AA1839" s="27">
        <v>611.13499999999999</v>
      </c>
      <c r="AC1839" s="27">
        <v>58.445</v>
      </c>
      <c r="AE1839" s="27">
        <v>1</v>
      </c>
      <c r="AG1839" s="27">
        <v>7.7816739999999998</v>
      </c>
      <c r="AI1839" s="27">
        <v>8.75</v>
      </c>
      <c r="AK1839" s="27">
        <v>24.553100000000001</v>
      </c>
      <c r="AM1839" s="27">
        <v>35.259500000000003</v>
      </c>
      <c r="AO1839" s="27">
        <v>6.7767499999999998</v>
      </c>
    </row>
    <row r="1840" spans="2:41" x14ac:dyDescent="0.25">
      <c r="B1840" s="21">
        <v>44144</v>
      </c>
      <c r="C1840" s="27">
        <v>20.62</v>
      </c>
      <c r="E1840" s="27">
        <v>0.84302200000000005</v>
      </c>
      <c r="G1840" s="27">
        <v>79.149709000000001</v>
      </c>
      <c r="I1840" s="27">
        <v>6.8931019999999998</v>
      </c>
      <c r="K1840" s="27">
        <v>5.3552910000000002</v>
      </c>
      <c r="M1840" s="27">
        <v>753.60804099999996</v>
      </c>
      <c r="O1840" s="27">
        <v>3698.3106419999999</v>
      </c>
      <c r="Q1840" s="27">
        <v>7025.492225</v>
      </c>
      <c r="S1840" s="27">
        <v>1311.8862790000001</v>
      </c>
      <c r="U1840" s="27">
        <v>3.5899939999999999</v>
      </c>
      <c r="W1840" s="27">
        <v>42.788925999999996</v>
      </c>
      <c r="Y1840" s="27">
        <v>7.9900539999999998</v>
      </c>
      <c r="AA1840" s="27">
        <v>611.38129200000003</v>
      </c>
      <c r="AC1840" s="27">
        <v>58.433016000000002</v>
      </c>
      <c r="AE1840" s="27">
        <v>1</v>
      </c>
      <c r="AG1840" s="27">
        <v>7.7835559999999999</v>
      </c>
      <c r="AI1840" s="27">
        <v>8.75</v>
      </c>
      <c r="AK1840" s="27">
        <v>24.552496999999999</v>
      </c>
      <c r="AM1840" s="27">
        <v>35.142802000000003</v>
      </c>
      <c r="AO1840" s="27">
        <v>6.7841100000000001</v>
      </c>
    </row>
    <row r="1841" spans="2:41" x14ac:dyDescent="0.25">
      <c r="B1841" s="21">
        <v>44145</v>
      </c>
      <c r="C1841" s="27">
        <v>20.36</v>
      </c>
      <c r="E1841" s="27">
        <v>0.84615899999999999</v>
      </c>
      <c r="G1841" s="27">
        <v>79.325124000000002</v>
      </c>
      <c r="I1841" s="27">
        <v>6.8985519999999996</v>
      </c>
      <c r="K1841" s="27">
        <v>5.3865119999999997</v>
      </c>
      <c r="M1841" s="27">
        <v>757.59546799999998</v>
      </c>
      <c r="O1841" s="27">
        <v>3646.1197910000001</v>
      </c>
      <c r="Q1841" s="27">
        <v>7032.3237499999996</v>
      </c>
      <c r="S1841" s="27">
        <v>1305.5504599999999</v>
      </c>
      <c r="U1841" s="27">
        <v>3.6005060000000002</v>
      </c>
      <c r="W1841" s="27">
        <v>42.806246000000002</v>
      </c>
      <c r="Y1841" s="27">
        <v>7.9469620000000001</v>
      </c>
      <c r="AA1841" s="27">
        <v>612.27598999999998</v>
      </c>
      <c r="AC1841" s="27">
        <v>58.625307999999997</v>
      </c>
      <c r="AE1841" s="27">
        <v>1</v>
      </c>
      <c r="AG1841" s="27">
        <v>7.7865279999999997</v>
      </c>
      <c r="AI1841" s="27">
        <v>8.75</v>
      </c>
      <c r="AK1841" s="27">
        <v>24.557886</v>
      </c>
      <c r="AM1841" s="27">
        <v>35.217075999999999</v>
      </c>
      <c r="AO1841" s="27">
        <v>6.7900780000000003</v>
      </c>
    </row>
    <row r="1842" spans="2:41" x14ac:dyDescent="0.25">
      <c r="B1842" s="21">
        <v>44146</v>
      </c>
      <c r="C1842" s="27">
        <v>20.401800000000001</v>
      </c>
      <c r="E1842" s="27">
        <v>0.84816199999999997</v>
      </c>
      <c r="G1842" s="27">
        <v>79.416246000000001</v>
      </c>
      <c r="I1842" s="27">
        <v>6.8939339999999998</v>
      </c>
      <c r="K1842" s="27">
        <v>5.4102399999999999</v>
      </c>
      <c r="M1842" s="27">
        <v>755.18626700000004</v>
      </c>
      <c r="O1842" s="27">
        <v>3636.43669</v>
      </c>
      <c r="Q1842" s="27">
        <v>7030.6960019999997</v>
      </c>
      <c r="S1842" s="27">
        <v>1299.523512</v>
      </c>
      <c r="U1842" s="27">
        <v>3.6148210000000001</v>
      </c>
      <c r="W1842" s="27">
        <v>42.625055000000003</v>
      </c>
      <c r="Y1842" s="27">
        <v>7.8786079999999998</v>
      </c>
      <c r="AA1842" s="27">
        <v>613.12469099999998</v>
      </c>
      <c r="AC1842" s="27">
        <v>58.383907999999998</v>
      </c>
      <c r="AE1842" s="27">
        <v>1</v>
      </c>
      <c r="AG1842" s="27">
        <v>7.7824119999999999</v>
      </c>
      <c r="AI1842" s="27">
        <v>8.75</v>
      </c>
      <c r="AK1842" s="27">
        <v>24.554338000000001</v>
      </c>
      <c r="AM1842" s="27">
        <v>34.83</v>
      </c>
      <c r="AO1842" s="27">
        <v>6.7855059999999998</v>
      </c>
    </row>
    <row r="1843" spans="2:41" x14ac:dyDescent="0.25">
      <c r="B1843" s="21">
        <v>44147</v>
      </c>
      <c r="C1843" s="27">
        <v>20.577200000000001</v>
      </c>
      <c r="E1843" s="27">
        <v>0.84785200000000005</v>
      </c>
      <c r="G1843" s="27">
        <v>79.481858000000003</v>
      </c>
      <c r="I1843" s="27">
        <v>6.8969319999999996</v>
      </c>
      <c r="K1843" s="27">
        <v>5.4124489999999996</v>
      </c>
      <c r="M1843" s="27">
        <v>756.89676399999996</v>
      </c>
      <c r="O1843" s="27">
        <v>3641.2972580000001</v>
      </c>
      <c r="Q1843" s="27">
        <v>7026.3986999999997</v>
      </c>
      <c r="S1843" s="27">
        <v>1298.198922</v>
      </c>
      <c r="U1843" s="27">
        <v>3.628393</v>
      </c>
      <c r="W1843" s="27">
        <v>42.635570000000001</v>
      </c>
      <c r="Y1843" s="27">
        <v>7.8773419999999996</v>
      </c>
      <c r="AA1843" s="27">
        <v>613.46455600000002</v>
      </c>
      <c r="AC1843" s="27">
        <v>58.420468</v>
      </c>
      <c r="AE1843" s="27">
        <v>1</v>
      </c>
      <c r="AG1843" s="27">
        <v>7.7824780000000002</v>
      </c>
      <c r="AI1843" s="27">
        <v>8.75</v>
      </c>
      <c r="AK1843" s="27">
        <v>24.531022</v>
      </c>
      <c r="AM1843" s="27">
        <v>34.904935000000002</v>
      </c>
      <c r="AO1843" s="27">
        <v>6.7847379999999999</v>
      </c>
    </row>
    <row r="1844" spans="2:41" x14ac:dyDescent="0.25">
      <c r="B1844" s="21">
        <v>44148</v>
      </c>
      <c r="C1844" s="27">
        <v>20.5303</v>
      </c>
      <c r="E1844" s="27">
        <v>0.846113</v>
      </c>
      <c r="G1844" s="27">
        <v>79.611832000000007</v>
      </c>
      <c r="I1844" s="27">
        <v>6.9005720000000004</v>
      </c>
      <c r="K1844" s="27">
        <v>5.467994</v>
      </c>
      <c r="M1844" s="27">
        <v>764.0883</v>
      </c>
      <c r="O1844" s="27">
        <v>3642.414538</v>
      </c>
      <c r="Q1844" s="27">
        <v>7032.1618660000004</v>
      </c>
      <c r="S1844" s="27">
        <v>1286.0654939999999</v>
      </c>
      <c r="U1844" s="27">
        <v>3.6422720000000002</v>
      </c>
      <c r="W1844" s="27">
        <v>42.780186</v>
      </c>
      <c r="Y1844" s="27">
        <v>7.8237680000000003</v>
      </c>
      <c r="AA1844" s="27">
        <v>613.86744599999997</v>
      </c>
      <c r="AC1844" s="27">
        <v>58.461368</v>
      </c>
      <c r="AE1844" s="27">
        <v>1</v>
      </c>
      <c r="AG1844" s="27">
        <v>7.785507</v>
      </c>
      <c r="AI1844" s="27">
        <v>8.75</v>
      </c>
      <c r="AK1844" s="27">
        <v>24.485479000000002</v>
      </c>
      <c r="AM1844" s="27">
        <v>34.866475999999999</v>
      </c>
      <c r="AO1844" s="27">
        <v>6.7874999999999996</v>
      </c>
    </row>
    <row r="1845" spans="2:41" x14ac:dyDescent="0.25">
      <c r="B1845" s="21">
        <v>44149</v>
      </c>
      <c r="C1845" s="27">
        <v>20.5303</v>
      </c>
      <c r="E1845" s="27">
        <v>0.84496199999999999</v>
      </c>
      <c r="G1845" s="27">
        <v>79.735749999999996</v>
      </c>
      <c r="I1845" s="27">
        <v>6.8987999999999996</v>
      </c>
      <c r="K1845" s="27">
        <v>5.4582249999999997</v>
      </c>
      <c r="M1845" s="27">
        <v>767.09</v>
      </c>
      <c r="O1845" s="27">
        <v>3642.8874999999998</v>
      </c>
      <c r="Q1845" s="27">
        <v>7033.3334080000004</v>
      </c>
      <c r="S1845" s="27">
        <v>1288.5818979999999</v>
      </c>
      <c r="U1845" s="27">
        <v>3.64805</v>
      </c>
      <c r="W1845" s="27">
        <v>42.835208999999999</v>
      </c>
      <c r="Y1845" s="27">
        <v>7.8478510000000004</v>
      </c>
      <c r="AA1845" s="27">
        <v>613.99500599999999</v>
      </c>
      <c r="AC1845" s="27">
        <v>58.462499999999999</v>
      </c>
      <c r="AE1845" s="27">
        <v>1</v>
      </c>
      <c r="AG1845" s="27">
        <v>7.7862520000000002</v>
      </c>
      <c r="AI1845" s="27">
        <v>8.75</v>
      </c>
      <c r="AK1845" s="27">
        <v>24.442550000000001</v>
      </c>
      <c r="AM1845" s="27">
        <v>34.84975</v>
      </c>
      <c r="AO1845" s="27">
        <v>6.7881819999999999</v>
      </c>
    </row>
    <row r="1846" spans="2:41" x14ac:dyDescent="0.25">
      <c r="B1846" s="21">
        <v>44150</v>
      </c>
      <c r="C1846" s="27">
        <v>20.5303</v>
      </c>
      <c r="E1846" s="27">
        <v>0.84492400000000001</v>
      </c>
      <c r="G1846" s="27">
        <v>79.732095999999999</v>
      </c>
      <c r="I1846" s="27">
        <v>6.8987999999999996</v>
      </c>
      <c r="K1846" s="27">
        <v>5.4582249999999997</v>
      </c>
      <c r="M1846" s="27">
        <v>767.09040900000002</v>
      </c>
      <c r="O1846" s="27">
        <v>3642.8991500000002</v>
      </c>
      <c r="Q1846" s="27">
        <v>7033.3334080000004</v>
      </c>
      <c r="S1846" s="27">
        <v>1288.5818979999999</v>
      </c>
      <c r="U1846" s="27">
        <v>3.6479110000000001</v>
      </c>
      <c r="W1846" s="27">
        <v>42.835208999999999</v>
      </c>
      <c r="Y1846" s="27">
        <v>7.8478510000000004</v>
      </c>
      <c r="AA1846" s="27">
        <v>613.99500599999999</v>
      </c>
      <c r="AC1846" s="27">
        <v>58.462083999999997</v>
      </c>
      <c r="AE1846" s="27">
        <v>1</v>
      </c>
      <c r="AG1846" s="27">
        <v>7.7862520000000002</v>
      </c>
      <c r="AI1846" s="27">
        <v>8.75</v>
      </c>
      <c r="AK1846" s="27">
        <v>24.442550000000001</v>
      </c>
      <c r="AM1846" s="27">
        <v>34.850582000000003</v>
      </c>
      <c r="AO1846" s="27">
        <v>6.7881819999999999</v>
      </c>
    </row>
    <row r="1847" spans="2:41" x14ac:dyDescent="0.25">
      <c r="B1847" s="21">
        <v>44151</v>
      </c>
      <c r="C1847" s="27">
        <v>20.5303</v>
      </c>
      <c r="E1847" s="27">
        <v>0.844217</v>
      </c>
      <c r="G1847" s="27">
        <v>79.737222000000003</v>
      </c>
      <c r="I1847" s="27">
        <v>6.8902939999999999</v>
      </c>
      <c r="K1847" s="27">
        <v>5.4393120000000001</v>
      </c>
      <c r="M1847" s="27">
        <v>766.92261399999995</v>
      </c>
      <c r="O1847" s="27">
        <v>3641.0920719999999</v>
      </c>
      <c r="Q1847" s="27">
        <v>7025.5356220000003</v>
      </c>
      <c r="S1847" s="27">
        <v>1291.6301579999999</v>
      </c>
      <c r="U1847" s="27">
        <v>3.6472479999999998</v>
      </c>
      <c r="W1847" s="27">
        <v>42.820143000000002</v>
      </c>
      <c r="Y1847" s="27">
        <v>7.872376</v>
      </c>
      <c r="AA1847" s="27">
        <v>613.03555400000005</v>
      </c>
      <c r="AC1847" s="27">
        <v>58.318311999999999</v>
      </c>
      <c r="AE1847" s="27">
        <v>1</v>
      </c>
      <c r="AG1847" s="27">
        <v>7.7765849999999999</v>
      </c>
      <c r="AI1847" s="27">
        <v>8.75</v>
      </c>
      <c r="AK1847" s="27">
        <v>24.480938999999999</v>
      </c>
      <c r="AM1847" s="27">
        <v>34.804231999999999</v>
      </c>
      <c r="AO1847" s="27">
        <v>6.7832239999999997</v>
      </c>
    </row>
    <row r="1848" spans="2:41" x14ac:dyDescent="0.25">
      <c r="B1848" s="21">
        <v>44152</v>
      </c>
      <c r="C1848" s="27">
        <v>20.4833</v>
      </c>
      <c r="E1848" s="27">
        <v>0.84277599999999997</v>
      </c>
      <c r="G1848" s="27">
        <v>79.984914000000003</v>
      </c>
      <c r="I1848" s="27">
        <v>6.8920199999999996</v>
      </c>
      <c r="K1848" s="27">
        <v>5.3871570000000002</v>
      </c>
      <c r="M1848" s="27">
        <v>765.75234799999998</v>
      </c>
      <c r="O1848" s="27">
        <v>3641.708122</v>
      </c>
      <c r="Q1848" s="27">
        <v>7025.0043939999996</v>
      </c>
      <c r="S1848" s="27">
        <v>1304.035813</v>
      </c>
      <c r="U1848" s="27">
        <v>3.6370900000000002</v>
      </c>
      <c r="W1848" s="27">
        <v>42.834339</v>
      </c>
      <c r="Y1848" s="27">
        <v>7.9512260000000001</v>
      </c>
      <c r="AA1848" s="27">
        <v>612.587536</v>
      </c>
      <c r="AC1848" s="27">
        <v>57.801068000000001</v>
      </c>
      <c r="AE1848" s="27">
        <v>1</v>
      </c>
      <c r="AG1848" s="27">
        <v>7.7751520000000003</v>
      </c>
      <c r="AI1848" s="27">
        <v>8.75</v>
      </c>
      <c r="AK1848" s="27">
        <v>24.472372</v>
      </c>
      <c r="AM1848" s="27">
        <v>34.792147999999997</v>
      </c>
      <c r="AO1848" s="27">
        <v>6.7858520000000002</v>
      </c>
    </row>
    <row r="1849" spans="2:41" x14ac:dyDescent="0.25">
      <c r="B1849" s="21">
        <v>44153</v>
      </c>
      <c r="C1849" s="27">
        <v>20.321200000000001</v>
      </c>
      <c r="E1849" s="27">
        <v>0.84271200000000002</v>
      </c>
      <c r="G1849" s="27">
        <v>80.068945999999997</v>
      </c>
      <c r="I1849" s="27">
        <v>6.9007639999999997</v>
      </c>
      <c r="K1849" s="27">
        <v>5.327712</v>
      </c>
      <c r="M1849" s="27">
        <v>760.53858600000001</v>
      </c>
      <c r="O1849" s="27">
        <v>3645.1474800000001</v>
      </c>
      <c r="Q1849" s="27">
        <v>7034.6223600000003</v>
      </c>
      <c r="S1849" s="27">
        <v>1320.3906939999999</v>
      </c>
      <c r="U1849" s="27">
        <v>3.6138859999999999</v>
      </c>
      <c r="W1849" s="27">
        <v>42.932361999999998</v>
      </c>
      <c r="Y1849" s="27">
        <v>8.0583390000000001</v>
      </c>
      <c r="AA1849" s="27">
        <v>612.52259900000001</v>
      </c>
      <c r="AC1849" s="27">
        <v>57.481180000000002</v>
      </c>
      <c r="AE1849" s="27">
        <v>1</v>
      </c>
      <c r="AG1849" s="27">
        <v>7.7856019999999999</v>
      </c>
      <c r="AI1849" s="27">
        <v>8.75</v>
      </c>
      <c r="AK1849" s="27">
        <v>24.509550000000001</v>
      </c>
      <c r="AM1849" s="27">
        <v>34.866729999999997</v>
      </c>
      <c r="AO1849" s="27">
        <v>6.795248</v>
      </c>
    </row>
    <row r="1850" spans="2:41" x14ac:dyDescent="0.25">
      <c r="B1850" s="21">
        <v>44154</v>
      </c>
      <c r="C1850" s="27">
        <v>20.238800000000001</v>
      </c>
      <c r="E1850" s="27">
        <v>0.84414599999999995</v>
      </c>
      <c r="G1850" s="27">
        <v>80.175033999999997</v>
      </c>
      <c r="I1850" s="27">
        <v>6.9002660000000002</v>
      </c>
      <c r="K1850" s="27">
        <v>5.3419299999999996</v>
      </c>
      <c r="M1850" s="27">
        <v>758.79508599999997</v>
      </c>
      <c r="O1850" s="27">
        <v>3646.241884</v>
      </c>
      <c r="Q1850" s="27">
        <v>7037.9674230000001</v>
      </c>
      <c r="S1850" s="27">
        <v>1317.5023120000001</v>
      </c>
      <c r="U1850" s="27">
        <v>3.5744020000000001</v>
      </c>
      <c r="W1850" s="27">
        <v>42.854892</v>
      </c>
      <c r="Y1850" s="27">
        <v>8.0223859999999991</v>
      </c>
      <c r="AA1850" s="27">
        <v>611.92310899999995</v>
      </c>
      <c r="AC1850" s="27">
        <v>57.507317999999998</v>
      </c>
      <c r="AE1850" s="27">
        <v>1</v>
      </c>
      <c r="AG1850" s="27">
        <v>7.7873599999999996</v>
      </c>
      <c r="AI1850" s="27">
        <v>8.75</v>
      </c>
      <c r="AK1850" s="27">
        <v>24.513275</v>
      </c>
      <c r="AM1850" s="27">
        <v>34.878362000000003</v>
      </c>
      <c r="AO1850" s="27">
        <v>6.7961780000000003</v>
      </c>
    </row>
    <row r="1851" spans="2:41" x14ac:dyDescent="0.25">
      <c r="B1851" s="21">
        <v>44155</v>
      </c>
      <c r="C1851" s="27">
        <v>20.1858</v>
      </c>
      <c r="E1851" s="27">
        <v>0.84269899999999998</v>
      </c>
      <c r="G1851" s="27">
        <v>80.310345999999996</v>
      </c>
      <c r="I1851" s="27">
        <v>6.8884660000000002</v>
      </c>
      <c r="K1851" s="27">
        <v>5.3365590000000003</v>
      </c>
      <c r="M1851" s="27">
        <v>760.75784999999996</v>
      </c>
      <c r="O1851" s="27">
        <v>3645.4143939999999</v>
      </c>
      <c r="Q1851" s="27">
        <v>7030.7472349999998</v>
      </c>
      <c r="S1851" s="27">
        <v>1317.475316</v>
      </c>
      <c r="U1851" s="27">
        <v>3.571653</v>
      </c>
      <c r="W1851" s="27">
        <v>42.700626</v>
      </c>
      <c r="Y1851" s="27">
        <v>8.0015549999999998</v>
      </c>
      <c r="AA1851" s="27">
        <v>610.18232599999999</v>
      </c>
      <c r="AC1851" s="27">
        <v>57.917727999999997</v>
      </c>
      <c r="AE1851" s="27">
        <v>1</v>
      </c>
      <c r="AG1851" s="27">
        <v>7.7787179999999996</v>
      </c>
      <c r="AI1851" s="27">
        <v>8.75</v>
      </c>
      <c r="AK1851" s="27">
        <v>24.478511999999998</v>
      </c>
      <c r="AM1851" s="27">
        <v>34.804094999999997</v>
      </c>
      <c r="AO1851" s="27">
        <v>6.7856680000000003</v>
      </c>
    </row>
    <row r="1852" spans="2:41" x14ac:dyDescent="0.25">
      <c r="B1852" s="21">
        <v>44156</v>
      </c>
      <c r="C1852" s="27">
        <v>20.1858</v>
      </c>
      <c r="E1852" s="27">
        <v>0.84342600000000001</v>
      </c>
      <c r="G1852" s="27">
        <v>80.358999999999995</v>
      </c>
      <c r="I1852" s="27">
        <v>6.8896179999999996</v>
      </c>
      <c r="K1852" s="27">
        <v>5.3802000000000003</v>
      </c>
      <c r="M1852" s="27">
        <v>764.16499999999996</v>
      </c>
      <c r="O1852" s="27">
        <v>3633.3724999999999</v>
      </c>
      <c r="Q1852" s="27">
        <v>7035.7875720000002</v>
      </c>
      <c r="S1852" s="27">
        <v>1307.7243739999999</v>
      </c>
      <c r="U1852" s="27">
        <v>3.5909</v>
      </c>
      <c r="W1852" s="27">
        <v>42.759523999999999</v>
      </c>
      <c r="Y1852" s="27">
        <v>7.9475980000000002</v>
      </c>
      <c r="AA1852" s="27">
        <v>609.53561999999999</v>
      </c>
      <c r="AC1852" s="27">
        <v>58.215000000000003</v>
      </c>
      <c r="AE1852" s="27">
        <v>1</v>
      </c>
      <c r="AG1852" s="27">
        <v>7.7836040000000004</v>
      </c>
      <c r="AI1852" s="27">
        <v>8.75</v>
      </c>
      <c r="AK1852" s="27">
        <v>24.431825</v>
      </c>
      <c r="AM1852" s="27">
        <v>34.864750000000001</v>
      </c>
      <c r="AO1852" s="27">
        <v>6.7899099999999999</v>
      </c>
    </row>
    <row r="1853" spans="2:41" x14ac:dyDescent="0.25">
      <c r="B1853" s="21">
        <v>44157</v>
      </c>
      <c r="C1853" s="27">
        <v>20.1858</v>
      </c>
      <c r="E1853" s="27">
        <v>0.843414</v>
      </c>
      <c r="G1853" s="27">
        <v>80.357606000000004</v>
      </c>
      <c r="I1853" s="27">
        <v>6.8896179999999996</v>
      </c>
      <c r="K1853" s="27">
        <v>5.3802009999999996</v>
      </c>
      <c r="M1853" s="27">
        <v>764.16643199999999</v>
      </c>
      <c r="O1853" s="27">
        <v>3633.3552140000002</v>
      </c>
      <c r="Q1853" s="27">
        <v>7035.7875720000002</v>
      </c>
      <c r="S1853" s="27">
        <v>1307.7242369999999</v>
      </c>
      <c r="U1853" s="27">
        <v>3.5910220000000002</v>
      </c>
      <c r="W1853" s="27">
        <v>42.759523999999999</v>
      </c>
      <c r="Y1853" s="27">
        <v>7.9475959999999999</v>
      </c>
      <c r="AA1853" s="27">
        <v>609.53561999999999</v>
      </c>
      <c r="AC1853" s="27">
        <v>58.180939000000002</v>
      </c>
      <c r="AE1853" s="27">
        <v>1</v>
      </c>
      <c r="AG1853" s="27">
        <v>7.7836040000000004</v>
      </c>
      <c r="AI1853" s="27">
        <v>8.75</v>
      </c>
      <c r="AK1853" s="27">
        <v>24.431825</v>
      </c>
      <c r="AM1853" s="27">
        <v>34.864750000000001</v>
      </c>
      <c r="AO1853" s="27">
        <v>6.7899099999999999</v>
      </c>
    </row>
    <row r="1854" spans="2:41" x14ac:dyDescent="0.25">
      <c r="B1854" s="21">
        <v>44158</v>
      </c>
      <c r="C1854" s="27">
        <v>20.1172</v>
      </c>
      <c r="E1854" s="27">
        <v>0.84288600000000002</v>
      </c>
      <c r="G1854" s="27">
        <v>80.309926000000004</v>
      </c>
      <c r="I1854" s="27">
        <v>6.8891900000000001</v>
      </c>
      <c r="K1854" s="27">
        <v>5.3994119999999999</v>
      </c>
      <c r="M1854" s="27">
        <v>766.92913699999997</v>
      </c>
      <c r="O1854" s="27">
        <v>3636.1626179999998</v>
      </c>
      <c r="Q1854" s="27">
        <v>7036.612102</v>
      </c>
      <c r="S1854" s="27">
        <v>1303.224575</v>
      </c>
      <c r="U1854" s="27">
        <v>3.593013</v>
      </c>
      <c r="W1854" s="27">
        <v>42.746279000000001</v>
      </c>
      <c r="Y1854" s="27">
        <v>7.9168620000000001</v>
      </c>
      <c r="AA1854" s="27">
        <v>608.71743000000004</v>
      </c>
      <c r="AC1854" s="27">
        <v>57.322401999999997</v>
      </c>
      <c r="AE1854" s="27">
        <v>1</v>
      </c>
      <c r="AG1854" s="27">
        <v>7.7868849999999998</v>
      </c>
      <c r="AI1854" s="27">
        <v>8.75</v>
      </c>
      <c r="AK1854" s="27">
        <v>24.477145</v>
      </c>
      <c r="AM1854" s="27">
        <v>34.850155000000001</v>
      </c>
      <c r="AO1854" s="27">
        <v>6.7880039999999999</v>
      </c>
    </row>
    <row r="1855" spans="2:41" x14ac:dyDescent="0.25">
      <c r="B1855" s="21">
        <v>44159</v>
      </c>
      <c r="C1855" s="27">
        <v>20.101199999999999</v>
      </c>
      <c r="E1855" s="27">
        <v>0.84266099999999999</v>
      </c>
      <c r="G1855" s="27">
        <v>80.474148</v>
      </c>
      <c r="I1855" s="27">
        <v>6.9062859999999997</v>
      </c>
      <c r="K1855" s="27">
        <v>5.4140759999999997</v>
      </c>
      <c r="M1855" s="27">
        <v>773.54422</v>
      </c>
      <c r="O1855" s="27">
        <v>3643.354597</v>
      </c>
      <c r="Q1855" s="27">
        <v>7043.2049530000004</v>
      </c>
      <c r="S1855" s="27">
        <v>1300.9124750000001</v>
      </c>
      <c r="U1855" s="27">
        <v>3.6092939999999998</v>
      </c>
      <c r="W1855" s="27">
        <v>42.882711999999998</v>
      </c>
      <c r="Y1855" s="27">
        <v>7.9206200000000004</v>
      </c>
      <c r="AA1855" s="27">
        <v>607.75120200000003</v>
      </c>
      <c r="AC1855" s="27">
        <v>57.410165999999997</v>
      </c>
      <c r="AE1855" s="27">
        <v>1</v>
      </c>
      <c r="AG1855" s="27">
        <v>7.80044</v>
      </c>
      <c r="AI1855" s="27">
        <v>8.75</v>
      </c>
      <c r="AK1855" s="27">
        <v>24.38738</v>
      </c>
      <c r="AM1855" s="27">
        <v>34.937728</v>
      </c>
      <c r="AO1855" s="27">
        <v>6.7975199999999996</v>
      </c>
    </row>
    <row r="1856" spans="2:41" x14ac:dyDescent="0.25">
      <c r="B1856" s="21">
        <v>44160</v>
      </c>
      <c r="C1856" s="27">
        <v>20.057700000000001</v>
      </c>
      <c r="E1856" s="27">
        <v>0.83993200000000001</v>
      </c>
      <c r="G1856" s="27">
        <v>80.732885999999993</v>
      </c>
      <c r="I1856" s="27">
        <v>6.896369</v>
      </c>
      <c r="K1856" s="27">
        <v>5.3528840000000004</v>
      </c>
      <c r="M1856" s="27">
        <v>770.781296</v>
      </c>
      <c r="O1856" s="27">
        <v>3628.151402</v>
      </c>
      <c r="Q1856" s="27">
        <v>7032.5810940000001</v>
      </c>
      <c r="S1856" s="27">
        <v>1313.799634</v>
      </c>
      <c r="U1856" s="27">
        <v>3.6031300000000002</v>
      </c>
      <c r="W1856" s="27">
        <v>42.687282000000003</v>
      </c>
      <c r="Y1856" s="27">
        <v>7.9746560000000004</v>
      </c>
      <c r="AA1856" s="27">
        <v>605.933988</v>
      </c>
      <c r="AC1856" s="27">
        <v>58.143079</v>
      </c>
      <c r="AE1856" s="27">
        <v>1</v>
      </c>
      <c r="AG1856" s="27">
        <v>7.7886240000000004</v>
      </c>
      <c r="AI1856" s="27">
        <v>8.75</v>
      </c>
      <c r="AK1856" s="27">
        <v>24.339618000000002</v>
      </c>
      <c r="AM1856" s="27">
        <v>34.820867999999997</v>
      </c>
      <c r="AO1856" s="27">
        <v>6.7868620000000002</v>
      </c>
    </row>
    <row r="1857" spans="2:41" x14ac:dyDescent="0.25">
      <c r="B1857" s="21">
        <v>44161</v>
      </c>
      <c r="C1857" s="27">
        <v>20.046500000000002</v>
      </c>
      <c r="E1857" s="27">
        <v>0.83926900000000004</v>
      </c>
      <c r="G1857" s="27">
        <v>80.834788000000003</v>
      </c>
      <c r="I1857" s="27">
        <v>6.8906099999999997</v>
      </c>
      <c r="K1857" s="27">
        <v>5.3259780000000001</v>
      </c>
      <c r="M1857" s="27">
        <v>765.41517799999997</v>
      </c>
      <c r="O1857" s="27">
        <v>3617.8462399999999</v>
      </c>
      <c r="Q1857" s="27">
        <v>7034.867878</v>
      </c>
      <c r="S1857" s="27">
        <v>1320.866094</v>
      </c>
      <c r="U1857" s="27">
        <v>3.60039</v>
      </c>
      <c r="W1857" s="27">
        <v>42.595306000000001</v>
      </c>
      <c r="Y1857" s="27">
        <v>7.9976760000000002</v>
      </c>
      <c r="AA1857" s="27">
        <v>603.61661000000004</v>
      </c>
      <c r="AC1857" s="27">
        <v>58.136532000000003</v>
      </c>
      <c r="AE1857" s="27">
        <v>1</v>
      </c>
      <c r="AG1857" s="27">
        <v>7.7863800000000003</v>
      </c>
      <c r="AI1857" s="27">
        <v>8.75</v>
      </c>
      <c r="AK1857" s="27">
        <v>24.298068000000001</v>
      </c>
      <c r="AM1857" s="27">
        <v>34.787027000000002</v>
      </c>
      <c r="AO1857" s="27">
        <v>6.7818899999999998</v>
      </c>
    </row>
    <row r="1858" spans="2:41" x14ac:dyDescent="0.25">
      <c r="B1858" s="21">
        <v>44162</v>
      </c>
      <c r="C1858" s="27">
        <v>20.046700000000001</v>
      </c>
      <c r="E1858" s="27">
        <v>0.83781600000000001</v>
      </c>
      <c r="G1858" s="27">
        <v>80.959395000000001</v>
      </c>
      <c r="I1858" s="27">
        <v>6.8951669999999998</v>
      </c>
      <c r="K1858" s="27">
        <v>5.3403229999999997</v>
      </c>
      <c r="M1858" s="27">
        <v>766.94231600000001</v>
      </c>
      <c r="O1858" s="27">
        <v>3614.7030679999998</v>
      </c>
      <c r="Q1858" s="27">
        <v>7044.1969099999997</v>
      </c>
      <c r="S1858" s="27">
        <v>1319.066192</v>
      </c>
      <c r="U1858" s="27">
        <v>3.6018659999999998</v>
      </c>
      <c r="W1858" s="27">
        <v>42.615231999999999</v>
      </c>
      <c r="Y1858" s="27">
        <v>7.9799290000000003</v>
      </c>
      <c r="AA1858" s="27">
        <v>601.38908800000002</v>
      </c>
      <c r="AC1858" s="27">
        <v>58.163882999999998</v>
      </c>
      <c r="AE1858" s="27">
        <v>1</v>
      </c>
      <c r="AG1858" s="27">
        <v>7.7996480000000004</v>
      </c>
      <c r="AI1858" s="27">
        <v>8.75</v>
      </c>
      <c r="AK1858" s="27">
        <v>24.252438999999999</v>
      </c>
      <c r="AM1858" s="27">
        <v>34.839619999999996</v>
      </c>
      <c r="AO1858" s="27">
        <v>6.7811070000000004</v>
      </c>
    </row>
    <row r="1859" spans="2:41" x14ac:dyDescent="0.25">
      <c r="B1859" s="21">
        <v>44163</v>
      </c>
      <c r="C1859" s="27">
        <v>20.046700000000001</v>
      </c>
      <c r="E1859" s="27">
        <v>0.83587999999999996</v>
      </c>
      <c r="G1859" s="27">
        <v>81.061059999999998</v>
      </c>
      <c r="I1859" s="27">
        <v>6.9007909999999999</v>
      </c>
      <c r="K1859" s="27">
        <v>5.3442249999999998</v>
      </c>
      <c r="M1859" s="27">
        <v>768.67499999999995</v>
      </c>
      <c r="O1859" s="27">
        <v>3606.5174999999999</v>
      </c>
      <c r="Q1859" s="27">
        <v>7046.482696</v>
      </c>
      <c r="S1859" s="27">
        <v>1318.5309589999999</v>
      </c>
      <c r="U1859" s="27">
        <v>3.6029249999999999</v>
      </c>
      <c r="W1859" s="27">
        <v>42.634458000000002</v>
      </c>
      <c r="Y1859" s="27">
        <v>7.9777069999999997</v>
      </c>
      <c r="AA1859" s="27">
        <v>602.31119000000001</v>
      </c>
      <c r="AC1859" s="27">
        <v>58.222499999999997</v>
      </c>
      <c r="AE1859" s="27">
        <v>1</v>
      </c>
      <c r="AG1859" s="27">
        <v>7.8086900000000004</v>
      </c>
      <c r="AI1859" s="27">
        <v>8.75</v>
      </c>
      <c r="AK1859" s="27">
        <v>24.2592</v>
      </c>
      <c r="AM1859" s="27">
        <v>34.854750000000003</v>
      </c>
      <c r="AO1859" s="27">
        <v>6.7828049999999998</v>
      </c>
    </row>
    <row r="1860" spans="2:41" x14ac:dyDescent="0.25">
      <c r="B1860" s="21">
        <v>44164</v>
      </c>
      <c r="C1860" s="27">
        <v>20.046700000000001</v>
      </c>
      <c r="E1860" s="27">
        <v>0.83586099999999997</v>
      </c>
      <c r="G1860" s="27">
        <v>81.054085999999998</v>
      </c>
      <c r="I1860" s="27">
        <v>6.9007909999999999</v>
      </c>
      <c r="K1860" s="27">
        <v>5.3442249999999998</v>
      </c>
      <c r="M1860" s="27">
        <v>768.67499999999995</v>
      </c>
      <c r="O1860" s="27">
        <v>3606.5174999999999</v>
      </c>
      <c r="Q1860" s="27">
        <v>7046.482696</v>
      </c>
      <c r="S1860" s="27">
        <v>1318.5309589999999</v>
      </c>
      <c r="U1860" s="27">
        <v>3.6029390000000001</v>
      </c>
      <c r="W1860" s="27">
        <v>42.634458000000002</v>
      </c>
      <c r="Y1860" s="27">
        <v>7.9777069999999997</v>
      </c>
      <c r="AA1860" s="27">
        <v>602.31119000000001</v>
      </c>
      <c r="AC1860" s="27">
        <v>58.222499999999997</v>
      </c>
      <c r="AE1860" s="27">
        <v>1</v>
      </c>
      <c r="AG1860" s="27">
        <v>7.8086169999999999</v>
      </c>
      <c r="AI1860" s="27">
        <v>8.75</v>
      </c>
      <c r="AK1860" s="27">
        <v>24.2592</v>
      </c>
      <c r="AM1860" s="27">
        <v>34.854750000000003</v>
      </c>
      <c r="AO1860" s="27">
        <v>6.7828049999999998</v>
      </c>
    </row>
    <row r="1861" spans="2:41" x14ac:dyDescent="0.25">
      <c r="B1861" s="21">
        <v>44165</v>
      </c>
      <c r="C1861" s="27">
        <v>20.0777</v>
      </c>
      <c r="E1861" s="27">
        <v>0.83577599999999996</v>
      </c>
      <c r="G1861" s="27">
        <v>81.028757999999996</v>
      </c>
      <c r="I1861" s="27">
        <v>6.890498</v>
      </c>
      <c r="K1861" s="27">
        <v>5.3431629999999997</v>
      </c>
      <c r="M1861" s="27">
        <v>766.88225999999997</v>
      </c>
      <c r="O1861" s="27">
        <v>3600.6375880000001</v>
      </c>
      <c r="Q1861" s="27">
        <v>7036.8698860000004</v>
      </c>
      <c r="S1861" s="27">
        <v>1316.9935539999999</v>
      </c>
      <c r="U1861" s="27">
        <v>3.6002540000000001</v>
      </c>
      <c r="W1861" s="27">
        <v>42.582853999999998</v>
      </c>
      <c r="Y1861" s="27">
        <v>7.9696300000000004</v>
      </c>
      <c r="AA1861" s="27">
        <v>601.85210600000005</v>
      </c>
      <c r="AC1861" s="27">
        <v>58.084609999999998</v>
      </c>
      <c r="AE1861" s="27">
        <v>1</v>
      </c>
      <c r="AG1861" s="27">
        <v>7.798095</v>
      </c>
      <c r="AI1861" s="27">
        <v>8.75</v>
      </c>
      <c r="AK1861" s="27">
        <v>24.227236000000001</v>
      </c>
      <c r="AM1861" s="27">
        <v>34.806255999999998</v>
      </c>
      <c r="AO1861" s="27">
        <v>6.7778729999999996</v>
      </c>
    </row>
    <row r="1862" spans="2:41" ht="13" x14ac:dyDescent="0.3">
      <c r="B1862" s="25" t="s">
        <v>197</v>
      </c>
      <c r="C1862" s="19">
        <v>20.49</v>
      </c>
      <c r="E1862" s="19">
        <v>0.84460000000000002</v>
      </c>
      <c r="G1862" s="19">
        <v>79.821600000000004</v>
      </c>
      <c r="I1862" s="19">
        <v>6.8978000000000002</v>
      </c>
      <c r="K1862" s="19">
        <v>5.4390000000000001</v>
      </c>
      <c r="M1862" s="19">
        <v>762.90930000000003</v>
      </c>
      <c r="O1862" s="19">
        <v>3679.4740999999999</v>
      </c>
      <c r="Q1862" s="19">
        <v>7032.9629999999997</v>
      </c>
      <c r="S1862" s="19">
        <v>1293.7989</v>
      </c>
      <c r="U1862" s="19">
        <v>3.6084000000000001</v>
      </c>
      <c r="W1862" s="19">
        <v>42.786900000000003</v>
      </c>
      <c r="Y1862" s="19">
        <v>7.8707000000000003</v>
      </c>
      <c r="AA1862" s="19">
        <v>609.08870000000002</v>
      </c>
      <c r="AC1862" s="19">
        <v>58.2044</v>
      </c>
      <c r="AE1862" s="19">
        <v>1</v>
      </c>
      <c r="AG1862" s="19">
        <v>7.7888000000000002</v>
      </c>
      <c r="AI1862" s="19">
        <v>8.75</v>
      </c>
      <c r="AK1862" s="19">
        <v>24.465299999999999</v>
      </c>
      <c r="AM1862" s="19">
        <v>34.890999999999998</v>
      </c>
      <c r="AO1862" s="19">
        <v>6.7888999999999999</v>
      </c>
    </row>
    <row r="1863" spans="2:41" x14ac:dyDescent="0.25">
      <c r="B1863" s="21">
        <v>44166</v>
      </c>
      <c r="C1863" s="27">
        <v>20.139800000000001</v>
      </c>
      <c r="E1863" s="27">
        <v>0.83357599999999998</v>
      </c>
      <c r="G1863" s="27">
        <v>81.355385999999996</v>
      </c>
      <c r="I1863" s="27">
        <v>6.9010300000000004</v>
      </c>
      <c r="K1863" s="27">
        <v>5.2908189999999999</v>
      </c>
      <c r="M1863" s="27">
        <v>761.31105200000002</v>
      </c>
      <c r="O1863" s="27">
        <v>3576.5154299999999</v>
      </c>
      <c r="Q1863" s="27">
        <v>7046.0583239999996</v>
      </c>
      <c r="S1863" s="27">
        <v>1331.758896</v>
      </c>
      <c r="U1863" s="27">
        <v>3.6094539999999999</v>
      </c>
      <c r="W1863" s="27">
        <v>42.687024000000001</v>
      </c>
      <c r="Y1863" s="27">
        <v>8.0681560000000001</v>
      </c>
      <c r="AA1863" s="27">
        <v>602.99079800000004</v>
      </c>
      <c r="AC1863" s="27">
        <v>58.245438</v>
      </c>
      <c r="AE1863" s="27">
        <v>1</v>
      </c>
      <c r="AG1863" s="27">
        <v>7.8116989999999999</v>
      </c>
      <c r="AI1863" s="27">
        <v>8.75</v>
      </c>
      <c r="AK1863" s="27">
        <v>24.262782000000001</v>
      </c>
      <c r="AM1863" s="27">
        <v>34.856231000000001</v>
      </c>
      <c r="AO1863" s="27">
        <v>6.7922359999999999</v>
      </c>
    </row>
    <row r="1864" spans="2:41" x14ac:dyDescent="0.25">
      <c r="B1864" s="21">
        <v>44167</v>
      </c>
      <c r="C1864" s="27">
        <v>20.050799999999999</v>
      </c>
      <c r="E1864" s="27">
        <v>0.82785399999999998</v>
      </c>
      <c r="G1864" s="27">
        <v>81.454082999999997</v>
      </c>
      <c r="I1864" s="27">
        <v>6.8840839999999996</v>
      </c>
      <c r="K1864" s="27">
        <v>5.2186409999999999</v>
      </c>
      <c r="M1864" s="27">
        <v>757.66195200000004</v>
      </c>
      <c r="O1864" s="27">
        <v>3540.616047</v>
      </c>
      <c r="Q1864" s="27">
        <v>7024.3721599999999</v>
      </c>
      <c r="S1864" s="27">
        <v>1346.0227440000001</v>
      </c>
      <c r="U1864" s="27">
        <v>3.6013419999999998</v>
      </c>
      <c r="W1864" s="27">
        <v>42.437330000000003</v>
      </c>
      <c r="Y1864" s="27">
        <v>8.1319020000000002</v>
      </c>
      <c r="AA1864" s="27">
        <v>601.44665999999995</v>
      </c>
      <c r="AC1864" s="27">
        <v>58.132316000000003</v>
      </c>
      <c r="AE1864" s="27">
        <v>1</v>
      </c>
      <c r="AG1864" s="27">
        <v>7.7947240000000004</v>
      </c>
      <c r="AI1864" s="27">
        <v>8.75</v>
      </c>
      <c r="AK1864" s="27">
        <v>24.197326</v>
      </c>
      <c r="AM1864" s="27">
        <v>34.771574000000001</v>
      </c>
      <c r="AO1864" s="27">
        <v>6.7770130000000002</v>
      </c>
    </row>
    <row r="1865" spans="2:41" x14ac:dyDescent="0.25">
      <c r="B1865" s="21">
        <v>44168</v>
      </c>
      <c r="C1865" s="27">
        <v>20.049700000000001</v>
      </c>
      <c r="E1865" s="27">
        <v>0.82423599999999997</v>
      </c>
      <c r="G1865" s="27">
        <v>81.509364000000005</v>
      </c>
      <c r="I1865" s="27">
        <v>6.8877949999999997</v>
      </c>
      <c r="K1865" s="27">
        <v>5.18574</v>
      </c>
      <c r="M1865" s="27">
        <v>753.62187500000005</v>
      </c>
      <c r="O1865" s="27">
        <v>3501.059315</v>
      </c>
      <c r="Q1865" s="27">
        <v>7023.7758780000004</v>
      </c>
      <c r="S1865" s="27">
        <v>1354.447418</v>
      </c>
      <c r="U1865" s="27">
        <v>3.6021559999999999</v>
      </c>
      <c r="W1865" s="27">
        <v>42.420276000000001</v>
      </c>
      <c r="Y1865" s="27">
        <v>8.1802019999999995</v>
      </c>
      <c r="AA1865" s="27">
        <v>602.011574</v>
      </c>
      <c r="AC1865" s="27">
        <v>58.132505999999999</v>
      </c>
      <c r="AE1865" s="27">
        <v>1</v>
      </c>
      <c r="AG1865" s="27">
        <v>7.7976960000000002</v>
      </c>
      <c r="AI1865" s="27">
        <v>8.75</v>
      </c>
      <c r="AK1865" s="27">
        <v>24.204402999999999</v>
      </c>
      <c r="AM1865" s="27">
        <v>34.786873999999997</v>
      </c>
      <c r="AO1865" s="27">
        <v>6.7803829999999996</v>
      </c>
    </row>
    <row r="1866" spans="2:41" x14ac:dyDescent="0.25">
      <c r="B1866" s="21">
        <v>44169</v>
      </c>
      <c r="C1866" s="27">
        <v>19.908300000000001</v>
      </c>
      <c r="E1866" s="27">
        <v>0.82321900000000003</v>
      </c>
      <c r="G1866" s="27">
        <v>81.571179999999998</v>
      </c>
      <c r="I1866" s="27">
        <v>6.8930030000000002</v>
      </c>
      <c r="K1866" s="27">
        <v>5.1527640000000003</v>
      </c>
      <c r="M1866" s="27">
        <v>747.83708799999999</v>
      </c>
      <c r="O1866" s="27">
        <v>3468.6099060000001</v>
      </c>
      <c r="Q1866" s="27">
        <v>7025.0737650000001</v>
      </c>
      <c r="S1866" s="27">
        <v>1363.3674470000001</v>
      </c>
      <c r="U1866" s="27">
        <v>3.5999439999999998</v>
      </c>
      <c r="W1866" s="27">
        <v>42.494107999999997</v>
      </c>
      <c r="Y1866" s="27">
        <v>8.2468850000000007</v>
      </c>
      <c r="AA1866" s="27">
        <v>602.11394600000006</v>
      </c>
      <c r="AC1866" s="27">
        <v>58.193579999999997</v>
      </c>
      <c r="AE1866" s="27">
        <v>1</v>
      </c>
      <c r="AG1866" s="27">
        <v>7.8065280000000001</v>
      </c>
      <c r="AI1866" s="27">
        <v>8.75</v>
      </c>
      <c r="AK1866" s="27">
        <v>24.215479999999999</v>
      </c>
      <c r="AM1866" s="27">
        <v>34.810111999999997</v>
      </c>
      <c r="AO1866" s="27">
        <v>6.7873999999999999</v>
      </c>
    </row>
    <row r="1867" spans="2:41" x14ac:dyDescent="0.25">
      <c r="B1867" s="21">
        <v>44170</v>
      </c>
      <c r="C1867" s="27">
        <v>19.908300000000001</v>
      </c>
      <c r="E1867" s="27">
        <v>0.82494299999999998</v>
      </c>
      <c r="G1867" s="27">
        <v>81.665989999999994</v>
      </c>
      <c r="I1867" s="27">
        <v>6.8927480000000001</v>
      </c>
      <c r="K1867" s="27">
        <v>5.1562999999999999</v>
      </c>
      <c r="M1867" s="27">
        <v>743.9</v>
      </c>
      <c r="O1867" s="27">
        <v>3465.9675000000002</v>
      </c>
      <c r="Q1867" s="27">
        <v>7026.5679760000003</v>
      </c>
      <c r="S1867" s="27">
        <v>1362.7213959999999</v>
      </c>
      <c r="U1867" s="27">
        <v>3.5887250000000002</v>
      </c>
      <c r="W1867" s="27">
        <v>42.615296000000001</v>
      </c>
      <c r="Y1867" s="27">
        <v>8.2647329999999997</v>
      </c>
      <c r="AA1867" s="27">
        <v>602.04774699999996</v>
      </c>
      <c r="AC1867" s="27">
        <v>58.197499999999998</v>
      </c>
      <c r="AE1867" s="27">
        <v>1</v>
      </c>
      <c r="AG1867" s="27">
        <v>7.8107990000000003</v>
      </c>
      <c r="AI1867" s="27">
        <v>8.75</v>
      </c>
      <c r="AK1867" s="27">
        <v>24.245125000000002</v>
      </c>
      <c r="AM1867" s="27">
        <v>34.832250000000002</v>
      </c>
      <c r="AO1867" s="27">
        <v>6.7896580000000002</v>
      </c>
    </row>
    <row r="1868" spans="2:41" x14ac:dyDescent="0.25">
      <c r="B1868" s="21">
        <v>44171</v>
      </c>
      <c r="C1868" s="27">
        <v>19.908300000000001</v>
      </c>
      <c r="E1868" s="27">
        <v>0.82492600000000005</v>
      </c>
      <c r="G1868" s="27">
        <v>81.664625999999998</v>
      </c>
      <c r="I1868" s="27">
        <v>6.8927180000000003</v>
      </c>
      <c r="K1868" s="27">
        <v>5.1563080000000001</v>
      </c>
      <c r="M1868" s="27">
        <v>743.9</v>
      </c>
      <c r="O1868" s="27">
        <v>3465.9942919999999</v>
      </c>
      <c r="Q1868" s="27">
        <v>7026.5356419999998</v>
      </c>
      <c r="S1868" s="27">
        <v>1362.712976</v>
      </c>
      <c r="U1868" s="27">
        <v>3.5886360000000002</v>
      </c>
      <c r="W1868" s="27">
        <v>42.615650000000002</v>
      </c>
      <c r="Y1868" s="27">
        <v>8.2647879999999994</v>
      </c>
      <c r="AA1868" s="27">
        <v>602.05056999999999</v>
      </c>
      <c r="AC1868" s="27">
        <v>58.197470000000003</v>
      </c>
      <c r="AE1868" s="27">
        <v>1</v>
      </c>
      <c r="AG1868" s="27">
        <v>7.8106859999999996</v>
      </c>
      <c r="AI1868" s="27">
        <v>8.75</v>
      </c>
      <c r="AK1868" s="27">
        <v>24.244471999999998</v>
      </c>
      <c r="AM1868" s="27">
        <v>34.831682000000001</v>
      </c>
      <c r="AO1868" s="27">
        <v>6.7895519999999996</v>
      </c>
    </row>
    <row r="1869" spans="2:41" x14ac:dyDescent="0.25">
      <c r="B1869" s="21">
        <v>44172</v>
      </c>
      <c r="C1869" s="27">
        <v>19.783799999999999</v>
      </c>
      <c r="E1869" s="27">
        <v>0.82491199999999998</v>
      </c>
      <c r="G1869" s="27">
        <v>81.603886000000003</v>
      </c>
      <c r="I1869" s="27">
        <v>6.891032</v>
      </c>
      <c r="K1869" s="27">
        <v>5.1277530000000002</v>
      </c>
      <c r="M1869" s="27">
        <v>744.53035399999999</v>
      </c>
      <c r="O1869" s="27">
        <v>3475.9104860000002</v>
      </c>
      <c r="Q1869" s="27">
        <v>7034.6903279999997</v>
      </c>
      <c r="S1869" s="27">
        <v>1371.8929439999999</v>
      </c>
      <c r="U1869" s="27">
        <v>3.5953590000000002</v>
      </c>
      <c r="W1869" s="27">
        <v>42.666243999999999</v>
      </c>
      <c r="Y1869" s="27">
        <v>8.3206799999999994</v>
      </c>
      <c r="AA1869" s="27">
        <v>602.22944199999995</v>
      </c>
      <c r="AC1869" s="27">
        <v>58.300370000000001</v>
      </c>
      <c r="AE1869" s="27">
        <v>1</v>
      </c>
      <c r="AG1869" s="27">
        <v>7.8158779999999997</v>
      </c>
      <c r="AI1869" s="27">
        <v>8.75</v>
      </c>
      <c r="AK1869" s="27">
        <v>24.230191999999999</v>
      </c>
      <c r="AM1869" s="27">
        <v>34.900309</v>
      </c>
      <c r="AO1869" s="27">
        <v>6.7948259999999996</v>
      </c>
    </row>
    <row r="1870" spans="2:41" x14ac:dyDescent="0.25">
      <c r="B1870" s="21">
        <v>44173</v>
      </c>
      <c r="C1870" s="27">
        <v>19.821300000000001</v>
      </c>
      <c r="E1870" s="27">
        <v>0.82556799999999997</v>
      </c>
      <c r="G1870" s="27">
        <v>81.538371999999995</v>
      </c>
      <c r="I1870" s="27">
        <v>6.8788780000000003</v>
      </c>
      <c r="K1870" s="27">
        <v>5.1039709999999996</v>
      </c>
      <c r="M1870" s="27">
        <v>744.79217800000004</v>
      </c>
      <c r="O1870" s="27">
        <v>3490.1611779999998</v>
      </c>
      <c r="Q1870" s="27">
        <v>7031.3805039999997</v>
      </c>
      <c r="S1870" s="27">
        <v>1377.6368219999999</v>
      </c>
      <c r="U1870" s="27">
        <v>3.595326</v>
      </c>
      <c r="W1870" s="27">
        <v>42.649456999999998</v>
      </c>
      <c r="Y1870" s="27">
        <v>8.3561580000000006</v>
      </c>
      <c r="AA1870" s="27">
        <v>601.54037000000005</v>
      </c>
      <c r="AC1870" s="27">
        <v>58.265256000000001</v>
      </c>
      <c r="AE1870" s="27">
        <v>1</v>
      </c>
      <c r="AG1870" s="27">
        <v>7.8108899999999997</v>
      </c>
      <c r="AI1870" s="27">
        <v>8.75</v>
      </c>
      <c r="AK1870" s="27">
        <v>24.216106</v>
      </c>
      <c r="AM1870" s="27">
        <v>34.837575999999999</v>
      </c>
      <c r="AO1870" s="27">
        <v>6.7900660000000004</v>
      </c>
    </row>
    <row r="1871" spans="2:41" x14ac:dyDescent="0.25">
      <c r="B1871" s="21">
        <v>44174</v>
      </c>
      <c r="C1871" s="27">
        <v>19.753699999999998</v>
      </c>
      <c r="E1871" s="27">
        <v>0.82614399999999999</v>
      </c>
      <c r="G1871" s="27">
        <v>81.789227999999994</v>
      </c>
      <c r="I1871" s="27">
        <v>6.8819619999999997</v>
      </c>
      <c r="K1871" s="27">
        <v>5.1343389999999998</v>
      </c>
      <c r="M1871" s="27">
        <v>743.09073799999999</v>
      </c>
      <c r="O1871" s="27">
        <v>3482.1006160000002</v>
      </c>
      <c r="Q1871" s="27">
        <v>7032.1572319999996</v>
      </c>
      <c r="S1871" s="27">
        <v>1369.6396870000001</v>
      </c>
      <c r="U1871" s="27">
        <v>3.6004879999999999</v>
      </c>
      <c r="W1871" s="27">
        <v>42.648513999999999</v>
      </c>
      <c r="Y1871" s="27">
        <v>8.3065540000000002</v>
      </c>
      <c r="AA1871" s="27">
        <v>601.64779299999998</v>
      </c>
      <c r="AC1871" s="27">
        <v>58.186166</v>
      </c>
      <c r="AE1871" s="27">
        <v>1</v>
      </c>
      <c r="AG1871" s="27">
        <v>7.8105989999999998</v>
      </c>
      <c r="AI1871" s="27">
        <v>8.75</v>
      </c>
      <c r="AK1871" s="27">
        <v>24.222301999999999</v>
      </c>
      <c r="AM1871" s="27">
        <v>34.823754000000001</v>
      </c>
      <c r="AO1871" s="27">
        <v>6.7919669999999996</v>
      </c>
    </row>
    <row r="1872" spans="2:41" x14ac:dyDescent="0.25">
      <c r="B1872" s="21">
        <v>44175</v>
      </c>
      <c r="C1872" s="27">
        <v>19.8368</v>
      </c>
      <c r="E1872" s="27">
        <v>0.82579599999999997</v>
      </c>
      <c r="G1872" s="27">
        <v>82.042698000000001</v>
      </c>
      <c r="I1872" s="27">
        <v>6.8911300000000004</v>
      </c>
      <c r="K1872" s="27">
        <v>5.1152819999999997</v>
      </c>
      <c r="M1872" s="27">
        <v>739.55354399999999</v>
      </c>
      <c r="O1872" s="27">
        <v>3456.4840450000002</v>
      </c>
      <c r="Q1872" s="27">
        <v>7040.139408</v>
      </c>
      <c r="S1872" s="27">
        <v>1376.3027400000001</v>
      </c>
      <c r="U1872" s="27">
        <v>3.6002260000000001</v>
      </c>
      <c r="W1872" s="27">
        <v>42.681891</v>
      </c>
      <c r="Y1872" s="27">
        <v>8.3440209999999997</v>
      </c>
      <c r="AA1872" s="27">
        <v>602.73616000000004</v>
      </c>
      <c r="AC1872" s="27">
        <v>58.251148000000001</v>
      </c>
      <c r="AE1872" s="27">
        <v>1</v>
      </c>
      <c r="AG1872" s="27">
        <v>7.8161740000000002</v>
      </c>
      <c r="AI1872" s="27">
        <v>8.75</v>
      </c>
      <c r="AK1872" s="27">
        <v>24.235495</v>
      </c>
      <c r="AM1872" s="27">
        <v>34.878749999999997</v>
      </c>
      <c r="AO1872" s="27">
        <v>6.7981199999999999</v>
      </c>
    </row>
    <row r="1873" spans="2:41" x14ac:dyDescent="0.25">
      <c r="B1873" s="21">
        <v>44176</v>
      </c>
      <c r="C1873" s="27">
        <v>19.9572</v>
      </c>
      <c r="E1873" s="27">
        <v>0.82439200000000001</v>
      </c>
      <c r="G1873" s="27">
        <v>82.121133999999998</v>
      </c>
      <c r="I1873" s="27">
        <v>6.874136</v>
      </c>
      <c r="K1873" s="27">
        <v>5.0439559999999997</v>
      </c>
      <c r="M1873" s="27">
        <v>734.30721600000004</v>
      </c>
      <c r="O1873" s="27">
        <v>3427.4022399999999</v>
      </c>
      <c r="Q1873" s="27">
        <v>7027.88832</v>
      </c>
      <c r="S1873" s="27">
        <v>1393.3359820000001</v>
      </c>
      <c r="U1873" s="27">
        <v>3.5891199999999999</v>
      </c>
      <c r="W1873" s="27">
        <v>42.505608000000002</v>
      </c>
      <c r="Y1873" s="27">
        <v>8.4270639999999997</v>
      </c>
      <c r="AA1873" s="27">
        <v>602.40944400000001</v>
      </c>
      <c r="AC1873" s="27">
        <v>58.045893999999997</v>
      </c>
      <c r="AE1873" s="27">
        <v>1</v>
      </c>
      <c r="AG1873" s="27">
        <v>7.8029039999999998</v>
      </c>
      <c r="AI1873" s="27">
        <v>8.75</v>
      </c>
      <c r="AK1873" s="27">
        <v>24.195187000000001</v>
      </c>
      <c r="AM1873" s="27">
        <v>34.748668000000002</v>
      </c>
      <c r="AO1873" s="27">
        <v>6.7831809999999999</v>
      </c>
    </row>
    <row r="1874" spans="2:41" x14ac:dyDescent="0.25">
      <c r="B1874" s="21">
        <v>44177</v>
      </c>
      <c r="C1874" s="27">
        <v>19.9572</v>
      </c>
      <c r="E1874" s="27">
        <v>0.82567800000000002</v>
      </c>
      <c r="G1874" s="27">
        <v>82.145099999999999</v>
      </c>
      <c r="I1874" s="27">
        <v>6.8772460000000004</v>
      </c>
      <c r="K1874" s="27">
        <v>5.0660999999999996</v>
      </c>
      <c r="M1874" s="27">
        <v>734.3</v>
      </c>
      <c r="O1874" s="27">
        <v>3438.1</v>
      </c>
      <c r="Q1874" s="27">
        <v>7036.55386</v>
      </c>
      <c r="S1874" s="27">
        <v>1388.9552619999999</v>
      </c>
      <c r="U1874" s="27">
        <v>3.5932249999999999</v>
      </c>
      <c r="W1874" s="27">
        <v>42.522198000000003</v>
      </c>
      <c r="Y1874" s="27">
        <v>8.3934999999999995</v>
      </c>
      <c r="AA1874" s="27">
        <v>603.38254800000004</v>
      </c>
      <c r="AC1874" s="27">
        <v>58.202500000000001</v>
      </c>
      <c r="AE1874" s="27">
        <v>1</v>
      </c>
      <c r="AG1874" s="27">
        <v>7.8122400000000001</v>
      </c>
      <c r="AI1874" s="27">
        <v>8.75</v>
      </c>
      <c r="AK1874" s="27">
        <v>24.27965</v>
      </c>
      <c r="AM1874" s="27">
        <v>34.814749999999997</v>
      </c>
      <c r="AO1874" s="27">
        <v>6.7905949999999997</v>
      </c>
    </row>
    <row r="1875" spans="2:41" x14ac:dyDescent="0.25">
      <c r="B1875" s="21">
        <v>44178</v>
      </c>
      <c r="C1875" s="27">
        <v>19.9572</v>
      </c>
      <c r="E1875" s="27">
        <v>0.82553399999999999</v>
      </c>
      <c r="G1875" s="27">
        <v>82.135214000000005</v>
      </c>
      <c r="I1875" s="27">
        <v>6.8772460000000004</v>
      </c>
      <c r="K1875" s="27">
        <v>5.0661110000000003</v>
      </c>
      <c r="M1875" s="27">
        <v>734.29988000000003</v>
      </c>
      <c r="O1875" s="27">
        <v>3438.1</v>
      </c>
      <c r="Q1875" s="27">
        <v>7036.55386</v>
      </c>
      <c r="S1875" s="27">
        <v>1388.952358</v>
      </c>
      <c r="U1875" s="27">
        <v>3.5931999999999999</v>
      </c>
      <c r="W1875" s="27">
        <v>42.522198000000003</v>
      </c>
      <c r="Y1875" s="27">
        <v>8.3934820000000006</v>
      </c>
      <c r="AA1875" s="27">
        <v>603.36688500000002</v>
      </c>
      <c r="AC1875" s="27">
        <v>58.202530000000003</v>
      </c>
      <c r="AE1875" s="27">
        <v>1</v>
      </c>
      <c r="AG1875" s="27">
        <v>7.8123019999999999</v>
      </c>
      <c r="AI1875" s="27">
        <v>8.75</v>
      </c>
      <c r="AK1875" s="27">
        <v>24.278814000000001</v>
      </c>
      <c r="AM1875" s="27">
        <v>34.814749999999997</v>
      </c>
      <c r="AO1875" s="27">
        <v>6.7906740000000001</v>
      </c>
    </row>
    <row r="1876" spans="2:41" x14ac:dyDescent="0.25">
      <c r="B1876" s="21">
        <v>44179</v>
      </c>
      <c r="C1876" s="27">
        <v>20.107500000000002</v>
      </c>
      <c r="E1876" s="27">
        <v>0.82338999999999996</v>
      </c>
      <c r="G1876" s="27">
        <v>82.227981</v>
      </c>
      <c r="I1876" s="27">
        <v>6.8884780000000001</v>
      </c>
      <c r="K1876" s="27">
        <v>5.08033</v>
      </c>
      <c r="M1876" s="27">
        <v>733.98727299999996</v>
      </c>
      <c r="O1876" s="27">
        <v>3432.7765439999998</v>
      </c>
      <c r="Q1876" s="27">
        <v>7027.162472</v>
      </c>
      <c r="S1876" s="27">
        <v>1383.217594</v>
      </c>
      <c r="U1876" s="27">
        <v>3.5913620000000002</v>
      </c>
      <c r="W1876" s="27">
        <v>42.506934000000001</v>
      </c>
      <c r="Y1876" s="27">
        <v>8.3669919999999998</v>
      </c>
      <c r="AA1876" s="27">
        <v>603.66355799999997</v>
      </c>
      <c r="AC1876" s="27">
        <v>58.152023</v>
      </c>
      <c r="AE1876" s="27">
        <v>1</v>
      </c>
      <c r="AG1876" s="27">
        <v>7.8084040000000003</v>
      </c>
      <c r="AI1876" s="27">
        <v>8.75</v>
      </c>
      <c r="AK1876" s="27">
        <v>24.209826</v>
      </c>
      <c r="AM1876" s="27">
        <v>34.844144999999997</v>
      </c>
      <c r="AO1876" s="27">
        <v>6.7882059999999997</v>
      </c>
    </row>
    <row r="1877" spans="2:41" x14ac:dyDescent="0.25">
      <c r="B1877" s="21">
        <v>44180</v>
      </c>
      <c r="C1877" s="27">
        <v>20.177800000000001</v>
      </c>
      <c r="E1877" s="27">
        <v>0.82285399999999997</v>
      </c>
      <c r="G1877" s="27">
        <v>82.437021999999999</v>
      </c>
      <c r="I1877" s="27">
        <v>6.8953239999999996</v>
      </c>
      <c r="K1877" s="27">
        <v>5.1065870000000002</v>
      </c>
      <c r="M1877" s="27">
        <v>735.29708500000004</v>
      </c>
      <c r="O1877" s="27">
        <v>3424.7885270000002</v>
      </c>
      <c r="Q1877" s="27">
        <v>7019.3295600000001</v>
      </c>
      <c r="S1877" s="27">
        <v>1374.5711220000001</v>
      </c>
      <c r="U1877" s="27">
        <v>3.5895079999999999</v>
      </c>
      <c r="W1877" s="27">
        <v>42.437832999999998</v>
      </c>
      <c r="Y1877" s="27">
        <v>8.3104379999999995</v>
      </c>
      <c r="AA1877" s="27">
        <v>604.45204000000001</v>
      </c>
      <c r="AC1877" s="27">
        <v>58.154648999999999</v>
      </c>
      <c r="AE1877" s="27">
        <v>1</v>
      </c>
      <c r="AG1877" s="27">
        <v>7.8049559999999998</v>
      </c>
      <c r="AI1877" s="27">
        <v>8.75</v>
      </c>
      <c r="AK1877" s="27">
        <v>24.198232000000001</v>
      </c>
      <c r="AM1877" s="27">
        <v>34.862929000000001</v>
      </c>
      <c r="AO1877" s="27">
        <v>6.7885400000000002</v>
      </c>
    </row>
    <row r="1878" spans="2:41" x14ac:dyDescent="0.25">
      <c r="B1878" s="21">
        <v>44181</v>
      </c>
      <c r="C1878" s="27">
        <v>20.1113</v>
      </c>
      <c r="E1878" s="27">
        <v>0.82120000000000004</v>
      </c>
      <c r="G1878" s="27">
        <v>82.534822000000005</v>
      </c>
      <c r="I1878" s="27">
        <v>6.8949400000000001</v>
      </c>
      <c r="K1878" s="27">
        <v>5.0939680000000003</v>
      </c>
      <c r="M1878" s="27">
        <v>735.12052600000004</v>
      </c>
      <c r="O1878" s="27">
        <v>3418.8986</v>
      </c>
      <c r="Q1878" s="27">
        <v>7009.9673670000002</v>
      </c>
      <c r="S1878" s="27">
        <v>1376.1386520000001</v>
      </c>
      <c r="U1878" s="27">
        <v>3.5877659999999998</v>
      </c>
      <c r="W1878" s="27">
        <v>42.452075999999998</v>
      </c>
      <c r="Y1878" s="27">
        <v>8.3338239999999999</v>
      </c>
      <c r="AA1878" s="27">
        <v>604.970011</v>
      </c>
      <c r="AC1878" s="27">
        <v>58.200463999999997</v>
      </c>
      <c r="AE1878" s="27">
        <v>1</v>
      </c>
      <c r="AG1878" s="27">
        <v>7.8048409999999997</v>
      </c>
      <c r="AI1878" s="27">
        <v>8.75</v>
      </c>
      <c r="AK1878" s="27">
        <v>24.197375999999998</v>
      </c>
      <c r="AM1878" s="27">
        <v>34.874426999999997</v>
      </c>
      <c r="AO1878" s="27">
        <v>6.7936610000000002</v>
      </c>
    </row>
    <row r="1879" spans="2:41" x14ac:dyDescent="0.25">
      <c r="B1879" s="21">
        <v>44182</v>
      </c>
      <c r="C1879" s="27">
        <v>19.9513</v>
      </c>
      <c r="E1879" s="27">
        <v>0.81702200000000003</v>
      </c>
      <c r="G1879" s="27">
        <v>82.629457000000002</v>
      </c>
      <c r="I1879" s="27">
        <v>6.8962899999999996</v>
      </c>
      <c r="K1879" s="27">
        <v>5.0745519999999997</v>
      </c>
      <c r="M1879" s="27">
        <v>727.98168599999997</v>
      </c>
      <c r="O1879" s="27">
        <v>3415.7122330000002</v>
      </c>
      <c r="Q1879" s="27">
        <v>6986.5534010000001</v>
      </c>
      <c r="S1879" s="27">
        <v>1376.790364</v>
      </c>
      <c r="U1879" s="27">
        <v>3.5848179999999998</v>
      </c>
      <c r="W1879" s="27">
        <v>42.409236</v>
      </c>
      <c r="Y1879" s="27">
        <v>8.357272</v>
      </c>
      <c r="AA1879" s="27">
        <v>606.10432000000003</v>
      </c>
      <c r="AC1879" s="27">
        <v>58.119866999999999</v>
      </c>
      <c r="AE1879" s="27">
        <v>1</v>
      </c>
      <c r="AG1879" s="27">
        <v>7.798762</v>
      </c>
      <c r="AI1879" s="27">
        <v>8.75</v>
      </c>
      <c r="AK1879" s="27">
        <v>24.17436</v>
      </c>
      <c r="AM1879" s="27">
        <v>34.846885999999998</v>
      </c>
      <c r="AO1879" s="27">
        <v>6.7936949999999996</v>
      </c>
    </row>
    <row r="1880" spans="2:41" x14ac:dyDescent="0.25">
      <c r="B1880" s="21">
        <v>44183</v>
      </c>
      <c r="C1880" s="27">
        <v>19.817299999999999</v>
      </c>
      <c r="E1880" s="27">
        <v>0.81641600000000003</v>
      </c>
      <c r="G1880" s="27">
        <v>82.761714999999995</v>
      </c>
      <c r="I1880" s="27">
        <v>6.8903359999999996</v>
      </c>
      <c r="K1880" s="27">
        <v>5.0767199999999999</v>
      </c>
      <c r="M1880" s="27">
        <v>723.21752000000004</v>
      </c>
      <c r="O1880" s="27">
        <v>3416.331396</v>
      </c>
      <c r="Q1880" s="27">
        <v>6975.7394180000001</v>
      </c>
      <c r="S1880" s="27">
        <v>1374.0718179999999</v>
      </c>
      <c r="U1880" s="27">
        <v>3.58819</v>
      </c>
      <c r="W1880" s="27">
        <v>42.381824000000002</v>
      </c>
      <c r="Y1880" s="27">
        <v>8.3482970000000005</v>
      </c>
      <c r="AA1880" s="27">
        <v>606.08303999999998</v>
      </c>
      <c r="AC1880" s="27">
        <v>58.094982000000002</v>
      </c>
      <c r="AE1880" s="27">
        <v>1</v>
      </c>
      <c r="AG1880" s="27">
        <v>7.7946840000000002</v>
      </c>
      <c r="AI1880" s="27">
        <v>8.75</v>
      </c>
      <c r="AK1880" s="27">
        <v>24.159165999999999</v>
      </c>
      <c r="AM1880" s="27">
        <v>34.837958999999998</v>
      </c>
      <c r="AO1880" s="27">
        <v>6.7943559999999996</v>
      </c>
    </row>
    <row r="1881" spans="2:41" x14ac:dyDescent="0.25">
      <c r="B1881" s="21">
        <v>44184</v>
      </c>
      <c r="C1881" s="27">
        <v>19.817299999999999</v>
      </c>
      <c r="E1881" s="27">
        <v>0.81590700000000005</v>
      </c>
      <c r="G1881" s="27">
        <v>82.763549999999995</v>
      </c>
      <c r="I1881" s="27">
        <v>6.8921460000000003</v>
      </c>
      <c r="K1881" s="27">
        <v>5.1025999999999998</v>
      </c>
      <c r="M1881" s="27">
        <v>725.3</v>
      </c>
      <c r="O1881" s="27">
        <v>3419.5</v>
      </c>
      <c r="Q1881" s="27">
        <v>6980.0515459999997</v>
      </c>
      <c r="S1881" s="27">
        <v>1367.946408</v>
      </c>
      <c r="U1881" s="27">
        <v>3.595275</v>
      </c>
      <c r="W1881" s="27">
        <v>42.391598999999999</v>
      </c>
      <c r="Y1881" s="27">
        <v>8.3078719999999997</v>
      </c>
      <c r="AA1881" s="27">
        <v>606.16252799999995</v>
      </c>
      <c r="AC1881" s="27">
        <v>58.172499999999999</v>
      </c>
      <c r="AE1881" s="27">
        <v>1</v>
      </c>
      <c r="AG1881" s="27">
        <v>7.7967719999999998</v>
      </c>
      <c r="AI1881" s="27">
        <v>8.75</v>
      </c>
      <c r="AK1881" s="27">
        <v>24.1816</v>
      </c>
      <c r="AM1881" s="27">
        <v>34.864750000000001</v>
      </c>
      <c r="AO1881" s="27">
        <v>6.7981239999999996</v>
      </c>
    </row>
    <row r="1882" spans="2:41" x14ac:dyDescent="0.25">
      <c r="B1882" s="21">
        <v>44185</v>
      </c>
      <c r="C1882" s="27">
        <v>19.817299999999999</v>
      </c>
      <c r="E1882" s="27">
        <v>0.81607300000000005</v>
      </c>
      <c r="G1882" s="27">
        <v>82.776156</v>
      </c>
      <c r="I1882" s="27">
        <v>6.8921320000000001</v>
      </c>
      <c r="K1882" s="27">
        <v>5.1026040000000004</v>
      </c>
      <c r="M1882" s="27">
        <v>725.3</v>
      </c>
      <c r="O1882" s="27">
        <v>3419.4834190000001</v>
      </c>
      <c r="Q1882" s="27">
        <v>6980.0087009999997</v>
      </c>
      <c r="S1882" s="27">
        <v>1367.9371759999999</v>
      </c>
      <c r="U1882" s="27">
        <v>3.5953059999999999</v>
      </c>
      <c r="W1882" s="27">
        <v>42.391162999999999</v>
      </c>
      <c r="Y1882" s="27">
        <v>8.3077810000000003</v>
      </c>
      <c r="AA1882" s="27">
        <v>606.16237799999999</v>
      </c>
      <c r="AC1882" s="27">
        <v>58.172767999999998</v>
      </c>
      <c r="AE1882" s="27">
        <v>1</v>
      </c>
      <c r="AG1882" s="27">
        <v>7.7967570000000004</v>
      </c>
      <c r="AI1882" s="27">
        <v>8.75</v>
      </c>
      <c r="AK1882" s="27">
        <v>24.181142999999999</v>
      </c>
      <c r="AM1882" s="27">
        <v>34.864330000000002</v>
      </c>
      <c r="AO1882" s="27">
        <v>6.7980879999999999</v>
      </c>
    </row>
    <row r="1883" spans="2:41" x14ac:dyDescent="0.25">
      <c r="B1883" s="21">
        <v>44186</v>
      </c>
      <c r="C1883" s="27">
        <v>19.948699999999999</v>
      </c>
      <c r="E1883" s="27">
        <v>0.81923699999999999</v>
      </c>
      <c r="G1883" s="27">
        <v>83.049732000000006</v>
      </c>
      <c r="I1883" s="27">
        <v>6.9009679999999998</v>
      </c>
      <c r="K1883" s="27">
        <v>5.12296</v>
      </c>
      <c r="M1883" s="27">
        <v>726.93383200000005</v>
      </c>
      <c r="O1883" s="27">
        <v>3427.4139070000001</v>
      </c>
      <c r="Q1883" s="27">
        <v>6975.7383220000002</v>
      </c>
      <c r="S1883" s="27">
        <v>1361.668392</v>
      </c>
      <c r="U1883" s="27">
        <v>3.6023320000000001</v>
      </c>
      <c r="W1883" s="27">
        <v>42.425376</v>
      </c>
      <c r="Y1883" s="27">
        <v>8.2814420000000002</v>
      </c>
      <c r="AA1883" s="27">
        <v>606.90570400000001</v>
      </c>
      <c r="AC1883" s="27">
        <v>58.232349999999997</v>
      </c>
      <c r="AE1883" s="27">
        <v>1</v>
      </c>
      <c r="AG1883" s="27">
        <v>7.806692</v>
      </c>
      <c r="AI1883" s="27">
        <v>8.75</v>
      </c>
      <c r="AK1883" s="27">
        <v>24.194096999999999</v>
      </c>
      <c r="AM1883" s="27">
        <v>34.896825999999997</v>
      </c>
      <c r="AO1883" s="27">
        <v>6.8075320000000001</v>
      </c>
    </row>
    <row r="1884" spans="2:41" x14ac:dyDescent="0.25">
      <c r="B1884" s="21">
        <v>44187</v>
      </c>
      <c r="C1884" s="27">
        <v>20.090499999999999</v>
      </c>
      <c r="E1884" s="27">
        <v>0.819268</v>
      </c>
      <c r="G1884" s="27">
        <v>83.156198000000003</v>
      </c>
      <c r="I1884" s="27">
        <v>6.8862719999999999</v>
      </c>
      <c r="K1884" s="27">
        <v>5.138236</v>
      </c>
      <c r="M1884" s="27">
        <v>725.52210600000001</v>
      </c>
      <c r="O1884" s="27">
        <v>3441.1007479999998</v>
      </c>
      <c r="Q1884" s="27">
        <v>6932.7799080000004</v>
      </c>
      <c r="S1884" s="27">
        <v>1349.261626</v>
      </c>
      <c r="U1884" s="27">
        <v>3.608171</v>
      </c>
      <c r="W1884" s="27">
        <v>42.158881999999998</v>
      </c>
      <c r="Y1884" s="27">
        <v>8.2049640000000004</v>
      </c>
      <c r="AA1884" s="27">
        <v>605.76961600000004</v>
      </c>
      <c r="AC1884" s="27">
        <v>58.122407000000003</v>
      </c>
      <c r="AE1884" s="27">
        <v>1</v>
      </c>
      <c r="AG1884" s="27">
        <v>7.7931800000000004</v>
      </c>
      <c r="AI1884" s="27">
        <v>8.75</v>
      </c>
      <c r="AK1884" s="27">
        <v>24.199596</v>
      </c>
      <c r="AM1884" s="27">
        <v>34.878971999999997</v>
      </c>
      <c r="AO1884" s="27">
        <v>6.7921940000000003</v>
      </c>
    </row>
    <row r="1885" spans="2:41" x14ac:dyDescent="0.25">
      <c r="B1885" s="21">
        <v>44188</v>
      </c>
      <c r="C1885" s="27">
        <v>20.0562</v>
      </c>
      <c r="E1885" s="27">
        <v>0.82059899999999997</v>
      </c>
      <c r="G1885" s="27">
        <v>83.297415999999998</v>
      </c>
      <c r="I1885" s="27">
        <v>6.895232</v>
      </c>
      <c r="K1885" s="27">
        <v>5.1761999999999997</v>
      </c>
      <c r="M1885" s="27">
        <v>718.710736</v>
      </c>
      <c r="O1885" s="27">
        <v>3476.3825660000002</v>
      </c>
      <c r="Q1885" s="27">
        <v>6908.2205459999996</v>
      </c>
      <c r="S1885" s="27">
        <v>1334.6215179999999</v>
      </c>
      <c r="U1885" s="27">
        <v>3.6122779999999999</v>
      </c>
      <c r="W1885" s="27">
        <v>42.294026000000002</v>
      </c>
      <c r="Y1885" s="27">
        <v>8.1709019999999999</v>
      </c>
      <c r="AA1885" s="27">
        <v>607.06948599999998</v>
      </c>
      <c r="AC1885" s="27">
        <v>58.253585999999999</v>
      </c>
      <c r="AE1885" s="27">
        <v>1</v>
      </c>
      <c r="AG1885" s="27">
        <v>7.8105969999999996</v>
      </c>
      <c r="AI1885" s="27">
        <v>8.75</v>
      </c>
      <c r="AK1885" s="27">
        <v>24.211243</v>
      </c>
      <c r="AM1885" s="27">
        <v>34.907808000000003</v>
      </c>
      <c r="AO1885" s="27">
        <v>6.8035160000000001</v>
      </c>
    </row>
    <row r="1886" spans="2:41" x14ac:dyDescent="0.25">
      <c r="B1886" s="21">
        <v>44189</v>
      </c>
      <c r="C1886" s="27">
        <v>20.1175</v>
      </c>
      <c r="E1886" s="27">
        <v>0.82002399999999998</v>
      </c>
      <c r="G1886" s="27">
        <v>83.31738</v>
      </c>
      <c r="I1886" s="27">
        <v>6.8956980000000003</v>
      </c>
      <c r="K1886" s="27">
        <v>5.2168729999999996</v>
      </c>
      <c r="M1886" s="27">
        <v>713.65124600000001</v>
      </c>
      <c r="O1886" s="27">
        <v>3499.6704110000001</v>
      </c>
      <c r="Q1886" s="27">
        <v>6895.2275600000003</v>
      </c>
      <c r="S1886" s="27">
        <v>1321.7233980000001</v>
      </c>
      <c r="U1886" s="27">
        <v>3.60948</v>
      </c>
      <c r="W1886" s="27">
        <v>42.212108000000001</v>
      </c>
      <c r="Y1886" s="27">
        <v>8.0914819999999992</v>
      </c>
      <c r="AA1886" s="27">
        <v>606.750856</v>
      </c>
      <c r="AC1886" s="27">
        <v>58.082599999999999</v>
      </c>
      <c r="AE1886" s="27">
        <v>1</v>
      </c>
      <c r="AG1886" s="27">
        <v>7.799766</v>
      </c>
      <c r="AI1886" s="27">
        <v>8.75</v>
      </c>
      <c r="AK1886" s="27">
        <v>24.208286999999999</v>
      </c>
      <c r="AM1886" s="27">
        <v>34.859875000000002</v>
      </c>
      <c r="AO1886" s="27">
        <v>6.7944319999999996</v>
      </c>
    </row>
    <row r="1887" spans="2:41" x14ac:dyDescent="0.25">
      <c r="B1887" s="21">
        <v>44190</v>
      </c>
      <c r="C1887" s="27">
        <v>20.1175</v>
      </c>
      <c r="E1887" s="27">
        <v>0.82068799999999997</v>
      </c>
      <c r="G1887" s="27">
        <v>83.250224000000003</v>
      </c>
      <c r="I1887" s="27">
        <v>6.9108999999999998</v>
      </c>
      <c r="K1887" s="27">
        <v>5.2167940000000002</v>
      </c>
      <c r="M1887" s="27">
        <v>714.79760999999996</v>
      </c>
      <c r="O1887" s="27">
        <v>3506.611234</v>
      </c>
      <c r="Q1887" s="27">
        <v>6918.3263219999999</v>
      </c>
      <c r="S1887" s="27">
        <v>1326.1705059999999</v>
      </c>
      <c r="U1887" s="27">
        <v>3.6103420000000002</v>
      </c>
      <c r="W1887" s="27">
        <v>42.281599999999997</v>
      </c>
      <c r="Y1887" s="27">
        <v>8.1049240000000005</v>
      </c>
      <c r="AA1887" s="27">
        <v>607.71346400000004</v>
      </c>
      <c r="AC1887" s="27">
        <v>58.102074000000002</v>
      </c>
      <c r="AE1887" s="27">
        <v>1</v>
      </c>
      <c r="AG1887" s="27">
        <v>7.8030879999999998</v>
      </c>
      <c r="AI1887" s="27">
        <v>8.75</v>
      </c>
      <c r="AK1887" s="27">
        <v>24.175847999999998</v>
      </c>
      <c r="AM1887" s="27">
        <v>34.872678000000001</v>
      </c>
      <c r="AO1887" s="27">
        <v>6.7971510000000004</v>
      </c>
    </row>
    <row r="1888" spans="2:41" x14ac:dyDescent="0.25">
      <c r="B1888" s="21">
        <v>44191</v>
      </c>
      <c r="C1888" s="27">
        <v>20.1175</v>
      </c>
      <c r="E1888" s="27">
        <v>0.82068799999999997</v>
      </c>
      <c r="G1888" s="27">
        <v>82.758523999999994</v>
      </c>
      <c r="I1888" s="27">
        <v>6.9105239999999997</v>
      </c>
      <c r="K1888" s="27">
        <v>5.2168000000000001</v>
      </c>
      <c r="M1888" s="27">
        <v>714.79763200000002</v>
      </c>
      <c r="O1888" s="27">
        <v>3509.7075</v>
      </c>
      <c r="Q1888" s="27">
        <v>6919.9649559999998</v>
      </c>
      <c r="S1888" s="27">
        <v>1326.4829239999999</v>
      </c>
      <c r="U1888" s="27">
        <v>3.6101719999999999</v>
      </c>
      <c r="W1888" s="27">
        <v>42.283472000000003</v>
      </c>
      <c r="Y1888" s="27">
        <v>8.1052719999999994</v>
      </c>
      <c r="AA1888" s="27">
        <v>607.730142</v>
      </c>
      <c r="AC1888" s="27">
        <v>58.095661999999997</v>
      </c>
      <c r="AE1888" s="27">
        <v>1</v>
      </c>
      <c r="AG1888" s="27">
        <v>7.8032380000000003</v>
      </c>
      <c r="AI1888" s="27">
        <v>8.75</v>
      </c>
      <c r="AK1888" s="27">
        <v>24.171997999999999</v>
      </c>
      <c r="AM1888" s="27">
        <v>34.871856999999999</v>
      </c>
      <c r="AO1888" s="27">
        <v>6.7971940000000002</v>
      </c>
    </row>
    <row r="1889" spans="2:41" x14ac:dyDescent="0.25">
      <c r="B1889" s="21">
        <v>44192</v>
      </c>
      <c r="C1889" s="27">
        <v>20.1175</v>
      </c>
      <c r="E1889" s="27">
        <v>0.82062999999999997</v>
      </c>
      <c r="G1889" s="27">
        <v>82.802689000000001</v>
      </c>
      <c r="I1889" s="27">
        <v>6.910399</v>
      </c>
      <c r="K1889" s="27">
        <v>5.2168000000000001</v>
      </c>
      <c r="M1889" s="27">
        <v>714.79770799999994</v>
      </c>
      <c r="O1889" s="27">
        <v>3509.88816</v>
      </c>
      <c r="Q1889" s="27">
        <v>6920.4127570000001</v>
      </c>
      <c r="S1889" s="27">
        <v>1326.5687620000001</v>
      </c>
      <c r="U1889" s="27">
        <v>3.610179</v>
      </c>
      <c r="W1889" s="27">
        <v>42.283473000000001</v>
      </c>
      <c r="Y1889" s="27">
        <v>8.1052719999999994</v>
      </c>
      <c r="AA1889" s="27">
        <v>607.72187199999996</v>
      </c>
      <c r="AC1889" s="27">
        <v>58.095654000000003</v>
      </c>
      <c r="AE1889" s="27">
        <v>1</v>
      </c>
      <c r="AG1889" s="27">
        <v>7.8032539999999999</v>
      </c>
      <c r="AI1889" s="27">
        <v>8.75</v>
      </c>
      <c r="AK1889" s="27">
        <v>24.172203</v>
      </c>
      <c r="AM1889" s="27">
        <v>34.871906000000003</v>
      </c>
      <c r="AO1889" s="27">
        <v>6.7972320000000002</v>
      </c>
    </row>
    <row r="1890" spans="2:41" x14ac:dyDescent="0.25">
      <c r="B1890" s="21">
        <v>44193</v>
      </c>
      <c r="C1890" s="27">
        <v>19.851700000000001</v>
      </c>
      <c r="E1890" s="27">
        <v>0.81867999999999996</v>
      </c>
      <c r="G1890" s="27">
        <v>83.577871000000002</v>
      </c>
      <c r="I1890" s="27">
        <v>6.9016700000000002</v>
      </c>
      <c r="K1890" s="27">
        <v>5.2295309999999997</v>
      </c>
      <c r="M1890" s="27">
        <v>711.88575200000002</v>
      </c>
      <c r="O1890" s="27">
        <v>3506.6466999999998</v>
      </c>
      <c r="Q1890" s="27">
        <v>6894.6312600000001</v>
      </c>
      <c r="S1890" s="27">
        <v>1318.4280900000001</v>
      </c>
      <c r="U1890" s="27">
        <v>3.6098300000000001</v>
      </c>
      <c r="W1890" s="27">
        <v>42.24145</v>
      </c>
      <c r="Y1890" s="27">
        <v>8.0775760000000005</v>
      </c>
      <c r="AA1890" s="27">
        <v>607.83729600000004</v>
      </c>
      <c r="AC1890" s="27">
        <v>58.100572999999997</v>
      </c>
      <c r="AE1890" s="27">
        <v>1</v>
      </c>
      <c r="AG1890" s="27">
        <v>7.7989519999999999</v>
      </c>
      <c r="AI1890" s="27">
        <v>8.75</v>
      </c>
      <c r="AK1890" s="27">
        <v>24.158007999999999</v>
      </c>
      <c r="AM1890" s="27">
        <v>34.855316999999999</v>
      </c>
      <c r="AO1890" s="27">
        <v>6.7921019999999999</v>
      </c>
    </row>
    <row r="1891" spans="2:41" x14ac:dyDescent="0.25">
      <c r="B1891" s="21">
        <v>44194</v>
      </c>
      <c r="C1891" s="27">
        <v>20.047699999999999</v>
      </c>
      <c r="E1891" s="27">
        <v>0.81661600000000001</v>
      </c>
      <c r="G1891" s="27">
        <v>83.922051999999994</v>
      </c>
      <c r="I1891" s="27">
        <v>6.8892280000000001</v>
      </c>
      <c r="K1891" s="27">
        <v>5.2224139999999997</v>
      </c>
      <c r="M1891" s="27">
        <v>712.76169300000004</v>
      </c>
      <c r="O1891" s="27">
        <v>3489.6230799999998</v>
      </c>
      <c r="Q1891" s="27">
        <v>6861.0237100000004</v>
      </c>
      <c r="S1891" s="27">
        <v>1313.7721329999999</v>
      </c>
      <c r="U1891" s="27">
        <v>3.6062159999999999</v>
      </c>
      <c r="W1891" s="27">
        <v>42.184103</v>
      </c>
      <c r="Y1891" s="27">
        <v>8.0775389999999998</v>
      </c>
      <c r="AA1891" s="27">
        <v>608.06979100000001</v>
      </c>
      <c r="AC1891" s="27">
        <v>58.130457999999997</v>
      </c>
      <c r="AE1891" s="27">
        <v>1</v>
      </c>
      <c r="AG1891" s="27">
        <v>7.792802</v>
      </c>
      <c r="AI1891" s="27">
        <v>8.75</v>
      </c>
      <c r="AK1891" s="27">
        <v>24.139391</v>
      </c>
      <c r="AM1891" s="27">
        <v>34.829980999999997</v>
      </c>
      <c r="AO1891" s="27">
        <v>6.7867040000000003</v>
      </c>
    </row>
    <row r="1892" spans="2:41" x14ac:dyDescent="0.25">
      <c r="B1892" s="21">
        <v>44195</v>
      </c>
      <c r="C1892" s="27">
        <v>19.948699999999999</v>
      </c>
      <c r="E1892" s="27">
        <v>0.81411999999999995</v>
      </c>
      <c r="G1892" s="27">
        <v>84.077799999999996</v>
      </c>
      <c r="I1892" s="27">
        <v>6.881704</v>
      </c>
      <c r="K1892" s="27">
        <v>5.1994800000000003</v>
      </c>
      <c r="M1892" s="27">
        <v>713.14943000000005</v>
      </c>
      <c r="O1892" s="27">
        <v>3453.1308319999998</v>
      </c>
      <c r="Q1892" s="27">
        <v>6875.8094940000001</v>
      </c>
      <c r="S1892" s="27">
        <v>1322.4111009999999</v>
      </c>
      <c r="U1892" s="27">
        <v>3.6120040000000002</v>
      </c>
      <c r="W1892" s="27">
        <v>42.146329999999999</v>
      </c>
      <c r="Y1892" s="27">
        <v>8.1059020000000004</v>
      </c>
      <c r="AA1892" s="27">
        <v>608.46710900000005</v>
      </c>
      <c r="AC1892" s="27">
        <v>58.028717999999998</v>
      </c>
      <c r="AE1892" s="27">
        <v>1</v>
      </c>
      <c r="AG1892" s="27">
        <v>7.7894819999999996</v>
      </c>
      <c r="AI1892" s="27">
        <v>8.75</v>
      </c>
      <c r="AK1892" s="27">
        <v>24.135649000000001</v>
      </c>
      <c r="AM1892" s="27">
        <v>34.823180000000001</v>
      </c>
      <c r="AO1892" s="27">
        <v>6.7772430000000004</v>
      </c>
    </row>
    <row r="1893" spans="2:41" x14ac:dyDescent="0.25">
      <c r="B1893" s="21">
        <v>44196</v>
      </c>
      <c r="C1893" s="27">
        <v>19.935199999999998</v>
      </c>
      <c r="E1893" s="27">
        <v>0.81535199999999997</v>
      </c>
      <c r="G1893" s="27">
        <v>84.116254999999995</v>
      </c>
      <c r="I1893" s="27">
        <v>6.8805889999999996</v>
      </c>
      <c r="K1893" s="27">
        <v>5.1939650000000004</v>
      </c>
      <c r="M1893" s="27">
        <v>710.67175399999996</v>
      </c>
      <c r="O1893" s="27">
        <v>3433.2279840000001</v>
      </c>
      <c r="Q1893" s="27">
        <v>6911.2125219999998</v>
      </c>
      <c r="S1893" s="27">
        <v>1330.6329720000001</v>
      </c>
      <c r="U1893" s="27">
        <v>3.6116649999999999</v>
      </c>
      <c r="W1893" s="27">
        <v>42.149656</v>
      </c>
      <c r="Y1893" s="27">
        <v>8.115157</v>
      </c>
      <c r="AA1893" s="27">
        <v>609.05223599999999</v>
      </c>
      <c r="AC1893" s="27">
        <v>58.064951999999998</v>
      </c>
      <c r="AE1893" s="27">
        <v>1</v>
      </c>
      <c r="AG1893" s="27">
        <v>7.787147</v>
      </c>
      <c r="AI1893" s="27">
        <v>8.75</v>
      </c>
      <c r="AK1893" s="27">
        <v>24.125686000000002</v>
      </c>
      <c r="AM1893" s="27">
        <v>34.837508</v>
      </c>
      <c r="AO1893" s="27">
        <v>6.7681769999999997</v>
      </c>
    </row>
    <row r="1894" spans="2:41" ht="13" x14ac:dyDescent="0.3">
      <c r="B1894" s="25" t="s">
        <v>198</v>
      </c>
      <c r="C1894" s="19">
        <v>19.973600000000001</v>
      </c>
      <c r="E1894" s="19">
        <v>0.82179999999999997</v>
      </c>
      <c r="G1894" s="19">
        <v>82.517799999999994</v>
      </c>
      <c r="I1894" s="19">
        <v>6.8914999999999997</v>
      </c>
      <c r="K1894" s="19">
        <v>5.1486000000000001</v>
      </c>
      <c r="M1894" s="19">
        <v>731.19320000000005</v>
      </c>
      <c r="O1894" s="19">
        <v>3465.4166</v>
      </c>
      <c r="Q1894" s="19">
        <v>6980.7712000000001</v>
      </c>
      <c r="S1894" s="19">
        <v>1356.1342</v>
      </c>
      <c r="U1894" s="19">
        <v>3.5996999999999999</v>
      </c>
      <c r="W1894" s="19">
        <v>42.422499999999999</v>
      </c>
      <c r="Y1894" s="19">
        <v>8.2409999999999997</v>
      </c>
      <c r="AA1894" s="19">
        <v>604.86</v>
      </c>
      <c r="AC1894" s="19">
        <v>58.158999999999999</v>
      </c>
      <c r="AE1894" s="19">
        <v>1</v>
      </c>
      <c r="AG1894" s="19">
        <v>7.8033999999999999</v>
      </c>
      <c r="AI1894" s="19">
        <v>8.75</v>
      </c>
      <c r="AK1894" s="19">
        <v>24.200700000000001</v>
      </c>
      <c r="AM1894" s="19">
        <v>34.845399999999998</v>
      </c>
      <c r="AO1894" s="19">
        <v>6.7911000000000001</v>
      </c>
    </row>
    <row r="1895" spans="2:41" x14ac:dyDescent="0.25">
      <c r="B1895" s="21">
        <v>44197</v>
      </c>
      <c r="C1895" s="27">
        <v>19.935199999999998</v>
      </c>
      <c r="E1895" s="27">
        <v>0.81862900000000005</v>
      </c>
      <c r="G1895" s="27">
        <v>84.530663000000004</v>
      </c>
      <c r="I1895" s="27">
        <v>6.9040090000000003</v>
      </c>
      <c r="K1895" s="27">
        <v>5.1937090000000001</v>
      </c>
      <c r="M1895" s="27">
        <v>710.5</v>
      </c>
      <c r="O1895" s="27">
        <v>3418.734657</v>
      </c>
      <c r="Q1895" s="27">
        <v>6931.2451279999996</v>
      </c>
      <c r="S1895" s="27">
        <v>1334.5523820000001</v>
      </c>
      <c r="U1895" s="27">
        <v>3.6240779999999999</v>
      </c>
      <c r="W1895" s="27">
        <v>42.353375999999997</v>
      </c>
      <c r="Y1895" s="27">
        <v>8.1547669999999997</v>
      </c>
      <c r="AA1895" s="27">
        <v>611.06804399999999</v>
      </c>
      <c r="AC1895" s="27">
        <v>58.293714000000001</v>
      </c>
      <c r="AE1895" s="27">
        <v>1</v>
      </c>
      <c r="AG1895" s="27">
        <v>7.8091340000000002</v>
      </c>
      <c r="AI1895" s="27">
        <v>8.75</v>
      </c>
      <c r="AK1895" s="27">
        <v>24.168313999999999</v>
      </c>
      <c r="AM1895" s="27">
        <v>34.968429999999998</v>
      </c>
      <c r="AO1895" s="27">
        <v>6.7845700000000004</v>
      </c>
    </row>
    <row r="1896" spans="2:41" x14ac:dyDescent="0.25">
      <c r="B1896" s="21">
        <v>44198</v>
      </c>
      <c r="C1896" s="27">
        <v>19.935199999999998</v>
      </c>
      <c r="E1896" s="27">
        <v>0.81862900000000005</v>
      </c>
      <c r="G1896" s="27">
        <v>84.593075999999996</v>
      </c>
      <c r="I1896" s="27">
        <v>6.9040340000000002</v>
      </c>
      <c r="K1896" s="27">
        <v>5.1936999999999998</v>
      </c>
      <c r="M1896" s="27">
        <v>710.5</v>
      </c>
      <c r="O1896" s="27">
        <v>3418.75</v>
      </c>
      <c r="Q1896" s="27">
        <v>6932.1846180000002</v>
      </c>
      <c r="S1896" s="27">
        <v>1334.735518</v>
      </c>
      <c r="U1896" s="27">
        <v>3.6284740000000002</v>
      </c>
      <c r="W1896" s="27">
        <v>42.361393</v>
      </c>
      <c r="Y1896" s="27">
        <v>8.1563239999999997</v>
      </c>
      <c r="AA1896" s="27">
        <v>610.96138399999995</v>
      </c>
      <c r="AC1896" s="27">
        <v>58.289625000000001</v>
      </c>
      <c r="AE1896" s="27">
        <v>1</v>
      </c>
      <c r="AG1896" s="27">
        <v>7.8101330000000004</v>
      </c>
      <c r="AI1896" s="27">
        <v>8.75</v>
      </c>
      <c r="AK1896" s="27">
        <v>24.161629999999999</v>
      </c>
      <c r="AM1896" s="27">
        <v>34.968198999999998</v>
      </c>
      <c r="AO1896" s="27">
        <v>6.7850299999999999</v>
      </c>
    </row>
    <row r="1897" spans="2:41" x14ac:dyDescent="0.25">
      <c r="B1897" s="21">
        <v>44199</v>
      </c>
      <c r="C1897" s="27">
        <v>19.935199999999998</v>
      </c>
      <c r="E1897" s="27">
        <v>0.81850000000000001</v>
      </c>
      <c r="G1897" s="27">
        <v>84.569468000000001</v>
      </c>
      <c r="I1897" s="27">
        <v>6.9039260000000002</v>
      </c>
      <c r="K1897" s="27">
        <v>5.1939989999999998</v>
      </c>
      <c r="M1897" s="27">
        <v>710.49989600000004</v>
      </c>
      <c r="O1897" s="27">
        <v>3418.86438</v>
      </c>
      <c r="Q1897" s="27">
        <v>6933.8358470000003</v>
      </c>
      <c r="S1897" s="27">
        <v>1334.9767440000001</v>
      </c>
      <c r="U1897" s="27">
        <v>3.6281400000000001</v>
      </c>
      <c r="W1897" s="27">
        <v>42.357889999999998</v>
      </c>
      <c r="Y1897" s="27">
        <v>8.1551819999999999</v>
      </c>
      <c r="AA1897" s="27">
        <v>610.94387200000006</v>
      </c>
      <c r="AC1897" s="27">
        <v>58.300108000000002</v>
      </c>
      <c r="AE1897" s="27">
        <v>1</v>
      </c>
      <c r="AG1897" s="27">
        <v>7.8099660000000002</v>
      </c>
      <c r="AI1897" s="27">
        <v>8.75</v>
      </c>
      <c r="AK1897" s="27">
        <v>24.161141000000001</v>
      </c>
      <c r="AM1897" s="27">
        <v>34.972358</v>
      </c>
      <c r="AO1897" s="27">
        <v>6.7849560000000002</v>
      </c>
    </row>
    <row r="1898" spans="2:41" x14ac:dyDescent="0.25">
      <c r="B1898" s="21">
        <v>44200</v>
      </c>
      <c r="C1898" s="27">
        <v>19.9087</v>
      </c>
      <c r="E1898" s="27">
        <v>0.81537400000000004</v>
      </c>
      <c r="G1898" s="27">
        <v>84.421790000000001</v>
      </c>
      <c r="I1898" s="27">
        <v>6.8881240000000004</v>
      </c>
      <c r="K1898" s="27">
        <v>5.2141209999999996</v>
      </c>
      <c r="M1898" s="27">
        <v>706.91853600000002</v>
      </c>
      <c r="O1898" s="27">
        <v>3427.613558</v>
      </c>
      <c r="Q1898" s="27">
        <v>6927.1300590000001</v>
      </c>
      <c r="S1898" s="27">
        <v>1328.5467779999999</v>
      </c>
      <c r="U1898" s="27">
        <v>3.623602</v>
      </c>
      <c r="W1898" s="27">
        <v>42.293644</v>
      </c>
      <c r="Y1898" s="27">
        <v>8.1114200000000007</v>
      </c>
      <c r="AA1898" s="27">
        <v>610.39597600000002</v>
      </c>
      <c r="AC1898" s="27">
        <v>58.246560000000002</v>
      </c>
      <c r="AE1898" s="27">
        <v>1</v>
      </c>
      <c r="AG1898" s="27">
        <v>7.798222</v>
      </c>
      <c r="AI1898" s="27">
        <v>8.75</v>
      </c>
      <c r="AK1898" s="27">
        <v>24.13851</v>
      </c>
      <c r="AM1898" s="27">
        <v>34.9358</v>
      </c>
      <c r="AO1898" s="27">
        <v>6.7681639999999996</v>
      </c>
    </row>
    <row r="1899" spans="2:41" x14ac:dyDescent="0.25">
      <c r="B1899" s="21">
        <v>44201</v>
      </c>
      <c r="C1899" s="27">
        <v>19.845700000000001</v>
      </c>
      <c r="E1899" s="27">
        <v>0.81445199999999995</v>
      </c>
      <c r="G1899" s="27">
        <v>84.699796000000006</v>
      </c>
      <c r="I1899" s="27">
        <v>6.8943820000000002</v>
      </c>
      <c r="K1899" s="27">
        <v>5.29671</v>
      </c>
      <c r="M1899" s="27">
        <v>701.64801999999997</v>
      </c>
      <c r="O1899" s="27">
        <v>3447.6939619999998</v>
      </c>
      <c r="Q1899" s="27">
        <v>6927.9487559999998</v>
      </c>
      <c r="S1899" s="27">
        <v>1307.978908</v>
      </c>
      <c r="U1899" s="27">
        <v>3.6275219999999999</v>
      </c>
      <c r="W1899" s="27">
        <v>42.390408999999998</v>
      </c>
      <c r="Y1899" s="27">
        <v>8.0031839999999992</v>
      </c>
      <c r="AA1899" s="27">
        <v>611.75312399999996</v>
      </c>
      <c r="AC1899" s="27">
        <v>58.284072999999999</v>
      </c>
      <c r="AE1899" s="27">
        <v>1</v>
      </c>
      <c r="AG1899" s="27">
        <v>7.8058630000000004</v>
      </c>
      <c r="AI1899" s="27">
        <v>8.75</v>
      </c>
      <c r="AK1899" s="27">
        <v>24.171686999999999</v>
      </c>
      <c r="AM1899" s="27">
        <v>34.931812000000001</v>
      </c>
      <c r="AO1899" s="27">
        <v>6.7782910000000003</v>
      </c>
    </row>
    <row r="1900" spans="2:41" x14ac:dyDescent="0.25">
      <c r="B1900" s="21">
        <v>44202</v>
      </c>
      <c r="C1900" s="27">
        <v>19.9437</v>
      </c>
      <c r="E1900" s="27">
        <v>0.81208000000000002</v>
      </c>
      <c r="G1900" s="27">
        <v>84.847613999999993</v>
      </c>
      <c r="I1900" s="27">
        <v>6.8830840000000002</v>
      </c>
      <c r="K1900" s="27">
        <v>5.2951959999999998</v>
      </c>
      <c r="M1900" s="27">
        <v>695.95578399999999</v>
      </c>
      <c r="O1900" s="27">
        <v>3433.7095850000001</v>
      </c>
      <c r="Q1900" s="27">
        <v>6908.6936420000002</v>
      </c>
      <c r="S1900" s="27">
        <v>1304.7165769999999</v>
      </c>
      <c r="U1900" s="27">
        <v>3.625769</v>
      </c>
      <c r="W1900" s="27">
        <v>42.271096</v>
      </c>
      <c r="Y1900" s="27">
        <v>7.9829379999999999</v>
      </c>
      <c r="AA1900" s="27">
        <v>611.45851600000003</v>
      </c>
      <c r="AC1900" s="27">
        <v>58.168902000000003</v>
      </c>
      <c r="AE1900" s="27">
        <v>1</v>
      </c>
      <c r="AG1900" s="27">
        <v>7.795865</v>
      </c>
      <c r="AI1900" s="27">
        <v>8.75</v>
      </c>
      <c r="AK1900" s="27">
        <v>24.234539999999999</v>
      </c>
      <c r="AM1900" s="27">
        <v>34.874760000000002</v>
      </c>
      <c r="AO1900" s="27">
        <v>6.783366</v>
      </c>
    </row>
    <row r="1901" spans="2:41" x14ac:dyDescent="0.25">
      <c r="B1901" s="21">
        <v>44203</v>
      </c>
      <c r="C1901" s="27">
        <v>19.725000000000001</v>
      </c>
      <c r="E1901" s="27">
        <v>0.81378600000000001</v>
      </c>
      <c r="G1901" s="27">
        <v>84.930137999999999</v>
      </c>
      <c r="I1901" s="27">
        <v>6.8840640000000004</v>
      </c>
      <c r="K1901" s="27">
        <v>5.3472390000000001</v>
      </c>
      <c r="M1901" s="27">
        <v>704.36515999999995</v>
      </c>
      <c r="O1901" s="27">
        <v>3442.2042339999998</v>
      </c>
      <c r="Q1901" s="27">
        <v>6890.0724120000004</v>
      </c>
      <c r="S1901" s="27">
        <v>1288.537401</v>
      </c>
      <c r="U1901" s="27">
        <v>3.6282990000000002</v>
      </c>
      <c r="W1901" s="27">
        <v>42.272824</v>
      </c>
      <c r="Y1901" s="27">
        <v>7.9055739999999997</v>
      </c>
      <c r="AA1901" s="27">
        <v>611.59193800000003</v>
      </c>
      <c r="AC1901" s="27">
        <v>58.222616000000002</v>
      </c>
      <c r="AE1901" s="27">
        <v>1</v>
      </c>
      <c r="AG1901" s="27">
        <v>7.7972270000000004</v>
      </c>
      <c r="AI1901" s="27">
        <v>8.75</v>
      </c>
      <c r="AK1901" s="27">
        <v>24.237808000000001</v>
      </c>
      <c r="AM1901" s="27">
        <v>34.912444000000001</v>
      </c>
      <c r="AO1901" s="27">
        <v>6.7890709999999999</v>
      </c>
    </row>
    <row r="1902" spans="2:41" x14ac:dyDescent="0.25">
      <c r="B1902" s="21">
        <v>44204</v>
      </c>
      <c r="C1902" s="27">
        <v>19.91</v>
      </c>
      <c r="E1902" s="27">
        <v>0.81685399999999997</v>
      </c>
      <c r="G1902" s="27">
        <v>85.011562999999995</v>
      </c>
      <c r="I1902" s="27">
        <v>6.8866839999999998</v>
      </c>
      <c r="K1902" s="27">
        <v>5.4024099999999997</v>
      </c>
      <c r="M1902" s="27">
        <v>712.17341799999997</v>
      </c>
      <c r="O1902" s="27">
        <v>3482.2913619999999</v>
      </c>
      <c r="Q1902" s="27">
        <v>6887.6633039999997</v>
      </c>
      <c r="S1902" s="27">
        <v>1274.9309169999999</v>
      </c>
      <c r="U1902" s="27">
        <v>3.625292</v>
      </c>
      <c r="W1902" s="27">
        <v>42.371720000000003</v>
      </c>
      <c r="Y1902" s="27">
        <v>7.8431379999999997</v>
      </c>
      <c r="AA1902" s="27">
        <v>612.30305499999997</v>
      </c>
      <c r="AC1902" s="27">
        <v>58.234502999999997</v>
      </c>
      <c r="AE1902" s="27">
        <v>1</v>
      </c>
      <c r="AG1902" s="27">
        <v>7.7965159999999996</v>
      </c>
      <c r="AI1902" s="27">
        <v>8.75</v>
      </c>
      <c r="AK1902" s="27">
        <v>24.156829999999999</v>
      </c>
      <c r="AM1902" s="27">
        <v>34.932340000000003</v>
      </c>
      <c r="AO1902" s="27">
        <v>6.7932139999999999</v>
      </c>
    </row>
    <row r="1903" spans="2:41" x14ac:dyDescent="0.25">
      <c r="B1903" s="21">
        <v>44205</v>
      </c>
      <c r="C1903" s="27">
        <v>19.91</v>
      </c>
      <c r="E1903" s="27">
        <v>0.81827000000000005</v>
      </c>
      <c r="G1903" s="27">
        <v>85.110439999999997</v>
      </c>
      <c r="I1903" s="27">
        <v>6.8856469999999996</v>
      </c>
      <c r="K1903" s="27">
        <v>5.4168339999999997</v>
      </c>
      <c r="M1903" s="27">
        <v>711.54750000000001</v>
      </c>
      <c r="O1903" s="27">
        <v>3469.5925000000002</v>
      </c>
      <c r="Q1903" s="27">
        <v>6890.1975659999998</v>
      </c>
      <c r="S1903" s="27">
        <v>1272.00594</v>
      </c>
      <c r="U1903" s="27">
        <v>3.6224750000000001</v>
      </c>
      <c r="W1903" s="27">
        <v>42.389620000000001</v>
      </c>
      <c r="Y1903" s="27">
        <v>7.8255660000000002</v>
      </c>
      <c r="AA1903" s="27">
        <v>612.83874400000002</v>
      </c>
      <c r="AC1903" s="27">
        <v>58.274999999999999</v>
      </c>
      <c r="AE1903" s="27">
        <v>1</v>
      </c>
      <c r="AG1903" s="27">
        <v>7.7952170000000001</v>
      </c>
      <c r="AI1903" s="27">
        <v>8.75</v>
      </c>
      <c r="AK1903" s="27">
        <v>24.1905</v>
      </c>
      <c r="AM1903" s="27">
        <v>35.017249999999997</v>
      </c>
      <c r="AO1903" s="27">
        <v>6.7935980000000002</v>
      </c>
    </row>
    <row r="1904" spans="2:41" x14ac:dyDescent="0.25">
      <c r="B1904" s="21">
        <v>44206</v>
      </c>
      <c r="C1904" s="27">
        <v>19.91</v>
      </c>
      <c r="E1904" s="27">
        <v>0.81833599999999995</v>
      </c>
      <c r="G1904" s="27">
        <v>85.118752000000001</v>
      </c>
      <c r="I1904" s="27">
        <v>6.8856469999999996</v>
      </c>
      <c r="K1904" s="27">
        <v>5.4167529999999999</v>
      </c>
      <c r="M1904" s="27">
        <v>711.54750000000001</v>
      </c>
      <c r="O1904" s="27">
        <v>3469.5925000000002</v>
      </c>
      <c r="Q1904" s="27">
        <v>6890.1975659999998</v>
      </c>
      <c r="S1904" s="27">
        <v>1272.025136</v>
      </c>
      <c r="U1904" s="27">
        <v>3.6224750000000001</v>
      </c>
      <c r="W1904" s="27">
        <v>42.389620000000001</v>
      </c>
      <c r="Y1904" s="27">
        <v>7.8256829999999997</v>
      </c>
      <c r="AA1904" s="27">
        <v>612.83383200000003</v>
      </c>
      <c r="AC1904" s="27">
        <v>58.274999999999999</v>
      </c>
      <c r="AE1904" s="27">
        <v>1</v>
      </c>
      <c r="AG1904" s="27">
        <v>7.7953299999999999</v>
      </c>
      <c r="AI1904" s="27">
        <v>8.75</v>
      </c>
      <c r="AK1904" s="27">
        <v>24.1905</v>
      </c>
      <c r="AM1904" s="27">
        <v>35.017249999999997</v>
      </c>
      <c r="AO1904" s="27">
        <v>6.7935980000000002</v>
      </c>
    </row>
    <row r="1905" spans="2:41" x14ac:dyDescent="0.25">
      <c r="B1905" s="21">
        <v>44207</v>
      </c>
      <c r="C1905" s="27">
        <v>19.970500000000001</v>
      </c>
      <c r="E1905" s="27">
        <v>0.82184199999999996</v>
      </c>
      <c r="G1905" s="27">
        <v>85.323493999999997</v>
      </c>
      <c r="I1905" s="27">
        <v>6.8986539999999996</v>
      </c>
      <c r="K1905" s="27">
        <v>5.456175</v>
      </c>
      <c r="M1905" s="27">
        <v>716.17486199999996</v>
      </c>
      <c r="O1905" s="27">
        <v>3504.3471589999999</v>
      </c>
      <c r="Q1905" s="27">
        <v>6884.9568429999999</v>
      </c>
      <c r="S1905" s="27">
        <v>1261.8719900000001</v>
      </c>
      <c r="U1905" s="27">
        <v>3.6245949999999998</v>
      </c>
      <c r="W1905" s="27">
        <v>42.516123999999998</v>
      </c>
      <c r="Y1905" s="27">
        <v>7.7923229999999997</v>
      </c>
      <c r="AA1905" s="27">
        <v>614.28428399999996</v>
      </c>
      <c r="AC1905" s="27">
        <v>58.366225</v>
      </c>
      <c r="AE1905" s="27">
        <v>1</v>
      </c>
      <c r="AG1905" s="27">
        <v>7.8102720000000003</v>
      </c>
      <c r="AI1905" s="27">
        <v>8.75</v>
      </c>
      <c r="AK1905" s="27">
        <v>24.192841999999999</v>
      </c>
      <c r="AM1905" s="27">
        <v>35.005749000000002</v>
      </c>
      <c r="AO1905" s="27">
        <v>6.8077839999999998</v>
      </c>
    </row>
    <row r="1906" spans="2:41" x14ac:dyDescent="0.25">
      <c r="B1906" s="21">
        <v>44208</v>
      </c>
      <c r="C1906" s="27">
        <v>20.113</v>
      </c>
      <c r="E1906" s="27">
        <v>0.82199</v>
      </c>
      <c r="G1906" s="27">
        <v>85.381608</v>
      </c>
      <c r="I1906" s="27">
        <v>6.8894260000000003</v>
      </c>
      <c r="K1906" s="27">
        <v>5.4415100000000001</v>
      </c>
      <c r="M1906" s="27">
        <v>722.34899399999995</v>
      </c>
      <c r="O1906" s="27">
        <v>3492.4691760000001</v>
      </c>
      <c r="Q1906" s="27">
        <v>6891.5093459999998</v>
      </c>
      <c r="S1906" s="27">
        <v>1266.477071</v>
      </c>
      <c r="U1906" s="27">
        <v>3.6106699999999998</v>
      </c>
      <c r="W1906" s="27">
        <v>42.524258000000003</v>
      </c>
      <c r="Y1906" s="27">
        <v>7.8148179999999998</v>
      </c>
      <c r="AA1906" s="27">
        <v>614.52984600000002</v>
      </c>
      <c r="AC1906" s="27">
        <v>58.322935000000001</v>
      </c>
      <c r="AE1906" s="27">
        <v>1</v>
      </c>
      <c r="AG1906" s="27">
        <v>7.8022499999999999</v>
      </c>
      <c r="AI1906" s="27">
        <v>8.75</v>
      </c>
      <c r="AK1906" s="27">
        <v>24.164545</v>
      </c>
      <c r="AM1906" s="27">
        <v>34.950071999999999</v>
      </c>
      <c r="AO1906" s="27">
        <v>6.8016880000000004</v>
      </c>
    </row>
    <row r="1907" spans="2:41" x14ac:dyDescent="0.25">
      <c r="B1907" s="21">
        <v>44209</v>
      </c>
      <c r="C1907" s="27">
        <v>19.9373</v>
      </c>
      <c r="E1907" s="27">
        <v>0.82081800000000005</v>
      </c>
      <c r="G1907" s="27">
        <v>85.745043999999993</v>
      </c>
      <c r="I1907" s="27">
        <v>6.8693669999999996</v>
      </c>
      <c r="K1907" s="27">
        <v>5.3157100000000002</v>
      </c>
      <c r="M1907" s="27">
        <v>732.61111000000005</v>
      </c>
      <c r="O1907" s="27">
        <v>3477.1794089999999</v>
      </c>
      <c r="Q1907" s="27">
        <v>6890.9246880000001</v>
      </c>
      <c r="S1907" s="27">
        <v>1296.3403519999999</v>
      </c>
      <c r="U1907" s="27">
        <v>3.6113529999999998</v>
      </c>
      <c r="W1907" s="27">
        <v>42.422431000000003</v>
      </c>
      <c r="Y1907" s="27">
        <v>7.9806080000000001</v>
      </c>
      <c r="AA1907" s="27">
        <v>613.59985600000005</v>
      </c>
      <c r="AC1907" s="27">
        <v>58.116643000000003</v>
      </c>
      <c r="AE1907" s="27">
        <v>1</v>
      </c>
      <c r="AG1907" s="27">
        <v>7.7836949999999998</v>
      </c>
      <c r="AI1907" s="27">
        <v>8.75</v>
      </c>
      <c r="AK1907" s="27">
        <v>24.119167999999998</v>
      </c>
      <c r="AM1907" s="27">
        <v>34.800092999999997</v>
      </c>
      <c r="AO1907" s="27">
        <v>6.7833059999999996</v>
      </c>
    </row>
    <row r="1908" spans="2:41" x14ac:dyDescent="0.25">
      <c r="B1908" s="21">
        <v>44210</v>
      </c>
      <c r="C1908" s="27">
        <v>19.793500000000002</v>
      </c>
      <c r="E1908" s="27">
        <v>0.82301100000000005</v>
      </c>
      <c r="G1908" s="27">
        <v>85.590281000000004</v>
      </c>
      <c r="I1908" s="27">
        <v>6.8691690000000003</v>
      </c>
      <c r="K1908" s="27">
        <v>5.2632630000000002</v>
      </c>
      <c r="M1908" s="27">
        <v>734.08379200000002</v>
      </c>
      <c r="O1908" s="27">
        <v>3468.4903960000001</v>
      </c>
      <c r="Q1908" s="27">
        <v>6890.9728340000001</v>
      </c>
      <c r="S1908" s="27">
        <v>1309.2666939999999</v>
      </c>
      <c r="U1908" s="27">
        <v>3.6107990000000001</v>
      </c>
      <c r="W1908" s="27">
        <v>42.510080000000002</v>
      </c>
      <c r="Y1908" s="27">
        <v>8.0767880000000005</v>
      </c>
      <c r="AA1908" s="27">
        <v>613.52695400000005</v>
      </c>
      <c r="AC1908" s="27">
        <v>58.254773999999998</v>
      </c>
      <c r="AE1908" s="27">
        <v>1</v>
      </c>
      <c r="AG1908" s="27">
        <v>7.7914779999999997</v>
      </c>
      <c r="AI1908" s="27">
        <v>8.75</v>
      </c>
      <c r="AK1908" s="27">
        <v>24.137412000000001</v>
      </c>
      <c r="AM1908" s="27">
        <v>34.911110999999998</v>
      </c>
      <c r="AO1908" s="27">
        <v>6.7826000000000004</v>
      </c>
    </row>
    <row r="1909" spans="2:41" x14ac:dyDescent="0.25">
      <c r="B1909" s="21">
        <v>44211</v>
      </c>
      <c r="C1909" s="27">
        <v>19.779299999999999</v>
      </c>
      <c r="E1909" s="27">
        <v>0.82525199999999999</v>
      </c>
      <c r="G1909" s="27">
        <v>85.685806999999997</v>
      </c>
      <c r="I1909" s="27">
        <v>6.8696640000000002</v>
      </c>
      <c r="K1909" s="27">
        <v>5.2376360000000002</v>
      </c>
      <c r="M1909" s="27">
        <v>730.72993399999996</v>
      </c>
      <c r="O1909" s="27">
        <v>3454.876154</v>
      </c>
      <c r="Q1909" s="27">
        <v>6880.8800030000002</v>
      </c>
      <c r="S1909" s="27">
        <v>1313.7452049999999</v>
      </c>
      <c r="U1909" s="27">
        <v>3.6128529999999999</v>
      </c>
      <c r="W1909" s="27">
        <v>42.456422000000003</v>
      </c>
      <c r="Y1909" s="27">
        <v>8.1060549999999996</v>
      </c>
      <c r="AA1909" s="27">
        <v>612.77005999999994</v>
      </c>
      <c r="AC1909" s="27">
        <v>58.280956000000003</v>
      </c>
      <c r="AE1909" s="27">
        <v>1</v>
      </c>
      <c r="AG1909" s="27">
        <v>7.7923020000000003</v>
      </c>
      <c r="AI1909" s="27">
        <v>8.75</v>
      </c>
      <c r="AK1909" s="27">
        <v>24.145759000000002</v>
      </c>
      <c r="AM1909" s="27">
        <v>34.931607999999997</v>
      </c>
      <c r="AO1909" s="27">
        <v>6.780627</v>
      </c>
    </row>
    <row r="1910" spans="2:41" x14ac:dyDescent="0.25">
      <c r="B1910" s="21">
        <v>44212</v>
      </c>
      <c r="C1910" s="27">
        <v>19.779299999999999</v>
      </c>
      <c r="E1910" s="27">
        <v>0.82784199999999997</v>
      </c>
      <c r="G1910" s="27">
        <v>85.739350000000002</v>
      </c>
      <c r="I1910" s="27">
        <v>6.872681</v>
      </c>
      <c r="K1910" s="27">
        <v>5.2930000000000001</v>
      </c>
      <c r="M1910" s="27">
        <v>734.8</v>
      </c>
      <c r="O1910" s="27">
        <v>3464.0524999999998</v>
      </c>
      <c r="Q1910" s="27">
        <v>6876.6957540000003</v>
      </c>
      <c r="S1910" s="27">
        <v>1299.2115369999999</v>
      </c>
      <c r="U1910" s="27">
        <v>3.6109749999999998</v>
      </c>
      <c r="W1910" s="27">
        <v>42.423470999999999</v>
      </c>
      <c r="Y1910" s="27">
        <v>8.0150349999999992</v>
      </c>
      <c r="AA1910" s="27">
        <v>612.36140799999998</v>
      </c>
      <c r="AC1910" s="27">
        <v>58.34</v>
      </c>
      <c r="AE1910" s="27">
        <v>1</v>
      </c>
      <c r="AG1910" s="27">
        <v>7.7909459999999999</v>
      </c>
      <c r="AI1910" s="27">
        <v>8.75</v>
      </c>
      <c r="AK1910" s="27">
        <v>24.195550000000001</v>
      </c>
      <c r="AM1910" s="27">
        <v>35.019750000000002</v>
      </c>
      <c r="AO1910" s="27">
        <v>6.7807180000000002</v>
      </c>
    </row>
    <row r="1911" spans="2:41" x14ac:dyDescent="0.25">
      <c r="B1911" s="21">
        <v>44213</v>
      </c>
      <c r="C1911" s="27">
        <v>19.779299999999999</v>
      </c>
      <c r="E1911" s="27">
        <v>0.82784400000000002</v>
      </c>
      <c r="G1911" s="27">
        <v>85.757492999999997</v>
      </c>
      <c r="I1911" s="27">
        <v>6.872681</v>
      </c>
      <c r="K1911" s="27">
        <v>5.2930000000000001</v>
      </c>
      <c r="M1911" s="27">
        <v>734.8</v>
      </c>
      <c r="O1911" s="27">
        <v>3464.0524999999998</v>
      </c>
      <c r="Q1911" s="27">
        <v>6876.745355</v>
      </c>
      <c r="S1911" s="27">
        <v>1299.220908</v>
      </c>
      <c r="U1911" s="27">
        <v>3.6109749999999998</v>
      </c>
      <c r="W1911" s="27">
        <v>42.423470999999999</v>
      </c>
      <c r="Y1911" s="27">
        <v>8.0150349999999992</v>
      </c>
      <c r="AA1911" s="27">
        <v>612.36140799999998</v>
      </c>
      <c r="AC1911" s="27">
        <v>58.34</v>
      </c>
      <c r="AE1911" s="27">
        <v>1</v>
      </c>
      <c r="AG1911" s="27">
        <v>7.7918570000000003</v>
      </c>
      <c r="AI1911" s="27">
        <v>8.75</v>
      </c>
      <c r="AK1911" s="27">
        <v>24.195550000000001</v>
      </c>
      <c r="AM1911" s="27">
        <v>35.019750000000002</v>
      </c>
      <c r="AO1911" s="27">
        <v>6.7807180000000002</v>
      </c>
    </row>
    <row r="1912" spans="2:41" x14ac:dyDescent="0.25">
      <c r="B1912" s="21">
        <v>44214</v>
      </c>
      <c r="C1912" s="27">
        <v>19.787500000000001</v>
      </c>
      <c r="E1912" s="27">
        <v>0.82828599999999997</v>
      </c>
      <c r="G1912" s="27">
        <v>85.962332000000004</v>
      </c>
      <c r="I1912" s="27">
        <v>6.893313</v>
      </c>
      <c r="K1912" s="27">
        <v>5.2890819999999996</v>
      </c>
      <c r="M1912" s="27">
        <v>734.78059399999995</v>
      </c>
      <c r="O1912" s="27">
        <v>3467.0128020000002</v>
      </c>
      <c r="Q1912" s="27">
        <v>6880.7194559999998</v>
      </c>
      <c r="S1912" s="27">
        <v>1300.9358420000001</v>
      </c>
      <c r="U1912" s="27">
        <v>3.6184159999999999</v>
      </c>
      <c r="W1912" s="27">
        <v>42.457706000000002</v>
      </c>
      <c r="Y1912" s="27">
        <v>8.0274540000000005</v>
      </c>
      <c r="AA1912" s="27">
        <v>612.27060100000006</v>
      </c>
      <c r="AC1912" s="27">
        <v>58.377510999999998</v>
      </c>
      <c r="AE1912" s="27">
        <v>1</v>
      </c>
      <c r="AG1912" s="27">
        <v>7.8101779999999996</v>
      </c>
      <c r="AI1912" s="27">
        <v>8.75</v>
      </c>
      <c r="AK1912" s="27">
        <v>24.185234000000001</v>
      </c>
      <c r="AM1912" s="27">
        <v>34.949677000000001</v>
      </c>
      <c r="AO1912" s="27">
        <v>6.7942619999999998</v>
      </c>
    </row>
    <row r="1913" spans="2:41" x14ac:dyDescent="0.25">
      <c r="B1913" s="21">
        <v>44215</v>
      </c>
      <c r="C1913" s="27">
        <v>19.757000000000001</v>
      </c>
      <c r="E1913" s="27">
        <v>0.82541200000000003</v>
      </c>
      <c r="G1913" s="27">
        <v>86.122218000000004</v>
      </c>
      <c r="I1913" s="27">
        <v>6.8858280000000001</v>
      </c>
      <c r="K1913" s="27">
        <v>5.3117400000000004</v>
      </c>
      <c r="M1913" s="27">
        <v>734.90217399999995</v>
      </c>
      <c r="O1913" s="27">
        <v>3481.452393</v>
      </c>
      <c r="Q1913" s="27">
        <v>6869.2929819999999</v>
      </c>
      <c r="S1913" s="27">
        <v>1293.2357480000001</v>
      </c>
      <c r="U1913" s="27">
        <v>3.6149420000000001</v>
      </c>
      <c r="W1913" s="27">
        <v>42.348218000000003</v>
      </c>
      <c r="Y1913" s="27">
        <v>7.9725979999999996</v>
      </c>
      <c r="AA1913" s="27">
        <v>610.77499599999999</v>
      </c>
      <c r="AC1913" s="27">
        <v>58.249014000000003</v>
      </c>
      <c r="AE1913" s="27">
        <v>1</v>
      </c>
      <c r="AG1913" s="27">
        <v>7.7972039999999998</v>
      </c>
      <c r="AI1913" s="27">
        <v>8.75</v>
      </c>
      <c r="AK1913" s="27">
        <v>24.170282</v>
      </c>
      <c r="AM1913" s="27">
        <v>34.928888000000001</v>
      </c>
      <c r="AO1913" s="27">
        <v>6.7827279999999996</v>
      </c>
    </row>
    <row r="1914" spans="2:41" x14ac:dyDescent="0.25">
      <c r="B1914" s="21">
        <v>44216</v>
      </c>
      <c r="C1914" s="27">
        <v>19.678799999999999</v>
      </c>
      <c r="E1914" s="27">
        <v>0.824936</v>
      </c>
      <c r="G1914" s="27">
        <v>86.260285999999994</v>
      </c>
      <c r="I1914" s="27">
        <v>6.8850439999999997</v>
      </c>
      <c r="K1914" s="27">
        <v>5.3318339999999997</v>
      </c>
      <c r="M1914" s="27">
        <v>731.46615599999996</v>
      </c>
      <c r="O1914" s="27">
        <v>3481.7748029999998</v>
      </c>
      <c r="Q1914" s="27">
        <v>6879.457985</v>
      </c>
      <c r="S1914" s="27">
        <v>1290.2681259999999</v>
      </c>
      <c r="U1914" s="27">
        <v>3.613451</v>
      </c>
      <c r="W1914" s="27">
        <v>42.312871999999999</v>
      </c>
      <c r="Y1914" s="27">
        <v>7.9359200000000003</v>
      </c>
      <c r="AA1914" s="27">
        <v>611.21975699999996</v>
      </c>
      <c r="AC1914" s="27">
        <v>58.121239000000003</v>
      </c>
      <c r="AE1914" s="27">
        <v>1</v>
      </c>
      <c r="AG1914" s="27">
        <v>7.7923020000000003</v>
      </c>
      <c r="AI1914" s="27">
        <v>8.75</v>
      </c>
      <c r="AK1914" s="27">
        <v>24.159407999999999</v>
      </c>
      <c r="AM1914" s="27">
        <v>34.940382</v>
      </c>
      <c r="AO1914" s="27">
        <v>6.7821660000000001</v>
      </c>
    </row>
    <row r="1915" spans="2:41" x14ac:dyDescent="0.25">
      <c r="B1915" s="21">
        <v>44217</v>
      </c>
      <c r="C1915" s="27">
        <v>19.5793</v>
      </c>
      <c r="E1915" s="27">
        <v>0.82350400000000001</v>
      </c>
      <c r="G1915" s="27">
        <v>86.382638</v>
      </c>
      <c r="I1915" s="27">
        <v>6.8839449999999998</v>
      </c>
      <c r="K1915" s="27">
        <v>5.3168920000000002</v>
      </c>
      <c r="M1915" s="27">
        <v>719.297954</v>
      </c>
      <c r="O1915" s="27">
        <v>3472.2291959999998</v>
      </c>
      <c r="Q1915" s="27">
        <v>6886.0485660000004</v>
      </c>
      <c r="S1915" s="27">
        <v>1295.133098</v>
      </c>
      <c r="U1915" s="27">
        <v>3.6152600000000001</v>
      </c>
      <c r="W1915" s="27">
        <v>42.245074000000002</v>
      </c>
      <c r="Y1915" s="27">
        <v>7.945468</v>
      </c>
      <c r="AA1915" s="27">
        <v>610.41186800000003</v>
      </c>
      <c r="AC1915" s="27">
        <v>58.052022000000001</v>
      </c>
      <c r="AE1915" s="27">
        <v>1</v>
      </c>
      <c r="AG1915" s="27">
        <v>7.7892700000000001</v>
      </c>
      <c r="AI1915" s="27">
        <v>8.75</v>
      </c>
      <c r="AK1915" s="27">
        <v>24.152429999999999</v>
      </c>
      <c r="AM1915" s="27">
        <v>34.949772000000003</v>
      </c>
      <c r="AO1915" s="27">
        <v>6.7821709999999999</v>
      </c>
    </row>
    <row r="1916" spans="2:41" x14ac:dyDescent="0.25">
      <c r="B1916" s="21">
        <v>44218</v>
      </c>
      <c r="C1916" s="27">
        <v>19.7393</v>
      </c>
      <c r="E1916" s="27">
        <v>0.82167400000000002</v>
      </c>
      <c r="G1916" s="27">
        <v>86.469307999999998</v>
      </c>
      <c r="I1916" s="27">
        <v>6.8810799999999999</v>
      </c>
      <c r="K1916" s="27">
        <v>5.4017739999999996</v>
      </c>
      <c r="M1916" s="27">
        <v>721.961094</v>
      </c>
      <c r="O1916" s="27">
        <v>3501.3217180000001</v>
      </c>
      <c r="Q1916" s="27">
        <v>6888.9216580000002</v>
      </c>
      <c r="S1916" s="27">
        <v>1275.313496</v>
      </c>
      <c r="U1916" s="27">
        <v>3.6184460000000001</v>
      </c>
      <c r="W1916" s="27">
        <v>42.155726999999999</v>
      </c>
      <c r="Y1916" s="27">
        <v>7.804074</v>
      </c>
      <c r="AA1916" s="27">
        <v>609.99503200000004</v>
      </c>
      <c r="AC1916" s="27">
        <v>58.012129999999999</v>
      </c>
      <c r="AE1916" s="27">
        <v>1</v>
      </c>
      <c r="AG1916" s="27">
        <v>7.7845019999999998</v>
      </c>
      <c r="AI1916" s="27">
        <v>8.75</v>
      </c>
      <c r="AK1916" s="27">
        <v>24.126916000000001</v>
      </c>
      <c r="AM1916" s="27">
        <v>34.921726</v>
      </c>
      <c r="AO1916" s="27">
        <v>6.7831159999999997</v>
      </c>
    </row>
    <row r="1917" spans="2:41" x14ac:dyDescent="0.25">
      <c r="B1917" s="21">
        <v>44219</v>
      </c>
      <c r="C1917" s="27">
        <v>19.7393</v>
      </c>
      <c r="E1917" s="27">
        <v>0.82157100000000005</v>
      </c>
      <c r="G1917" s="27">
        <v>86.493049999999997</v>
      </c>
      <c r="I1917" s="27">
        <v>6.8850990000000003</v>
      </c>
      <c r="K1917" s="27">
        <v>5.4669999999999996</v>
      </c>
      <c r="M1917" s="27">
        <v>727.60500000000002</v>
      </c>
      <c r="O1917" s="27">
        <v>3527.6125000000002</v>
      </c>
      <c r="Q1917" s="27">
        <v>6902.4633119999999</v>
      </c>
      <c r="S1917" s="27">
        <v>1262.5742090000001</v>
      </c>
      <c r="U1917" s="27">
        <v>3.6332249999999999</v>
      </c>
      <c r="W1917" s="27">
        <v>42.159984999999999</v>
      </c>
      <c r="Y1917" s="27">
        <v>7.7117420000000001</v>
      </c>
      <c r="AA1917" s="27">
        <v>610.87684400000001</v>
      </c>
      <c r="AC1917" s="27">
        <v>58.097499999999997</v>
      </c>
      <c r="AE1917" s="27">
        <v>1</v>
      </c>
      <c r="AG1917" s="27">
        <v>7.7860959999999997</v>
      </c>
      <c r="AI1917" s="27">
        <v>8.75</v>
      </c>
      <c r="AK1917" s="27">
        <v>24.185424999999999</v>
      </c>
      <c r="AM1917" s="27">
        <v>35.049750000000003</v>
      </c>
      <c r="AO1917" s="27">
        <v>6.7912600000000003</v>
      </c>
    </row>
    <row r="1918" spans="2:41" x14ac:dyDescent="0.25">
      <c r="B1918" s="21">
        <v>44220</v>
      </c>
      <c r="C1918" s="27">
        <v>19.7393</v>
      </c>
      <c r="E1918" s="27">
        <v>0.82159400000000005</v>
      </c>
      <c r="G1918" s="27">
        <v>86.493452000000005</v>
      </c>
      <c r="I1918" s="27">
        <v>6.8850990000000003</v>
      </c>
      <c r="K1918" s="27">
        <v>5.4668739999999998</v>
      </c>
      <c r="M1918" s="27">
        <v>727.60500000000002</v>
      </c>
      <c r="O1918" s="27">
        <v>3527.6125000000002</v>
      </c>
      <c r="Q1918" s="27">
        <v>6902.370132</v>
      </c>
      <c r="S1918" s="27">
        <v>1262.586679</v>
      </c>
      <c r="U1918" s="27">
        <v>3.6332249999999999</v>
      </c>
      <c r="W1918" s="27">
        <v>42.159984999999999</v>
      </c>
      <c r="Y1918" s="27">
        <v>7.7119210000000002</v>
      </c>
      <c r="AA1918" s="27">
        <v>610.87684400000001</v>
      </c>
      <c r="AC1918" s="27">
        <v>58.097499999999997</v>
      </c>
      <c r="AE1918" s="27">
        <v>1</v>
      </c>
      <c r="AG1918" s="27">
        <v>7.7861250000000002</v>
      </c>
      <c r="AI1918" s="27">
        <v>8.75</v>
      </c>
      <c r="AK1918" s="27">
        <v>24.185424999999999</v>
      </c>
      <c r="AM1918" s="27">
        <v>35.049750000000003</v>
      </c>
      <c r="AO1918" s="27">
        <v>6.7912169999999996</v>
      </c>
    </row>
    <row r="1919" spans="2:41" x14ac:dyDescent="0.25">
      <c r="B1919" s="21">
        <v>44221</v>
      </c>
      <c r="C1919" s="27">
        <v>19.9833</v>
      </c>
      <c r="E1919" s="27">
        <v>0.82271000000000005</v>
      </c>
      <c r="G1919" s="27">
        <v>86.660461999999995</v>
      </c>
      <c r="I1919" s="27">
        <v>6.8849320000000001</v>
      </c>
      <c r="K1919" s="27">
        <v>5.4672280000000004</v>
      </c>
      <c r="M1919" s="27">
        <v>729.85571100000004</v>
      </c>
      <c r="O1919" s="27">
        <v>3552.8120100000001</v>
      </c>
      <c r="Q1919" s="27">
        <v>6906.4279200000001</v>
      </c>
      <c r="S1919" s="27">
        <v>1263.2476730000001</v>
      </c>
      <c r="U1919" s="27">
        <v>3.6337820000000001</v>
      </c>
      <c r="W1919" s="27">
        <v>42.169167999999999</v>
      </c>
      <c r="Y1919" s="27">
        <v>7.7131059999999998</v>
      </c>
      <c r="AA1919" s="27">
        <v>611.12416199999996</v>
      </c>
      <c r="AC1919" s="27">
        <v>58.109355000000001</v>
      </c>
      <c r="AE1919" s="27">
        <v>1</v>
      </c>
      <c r="AG1919" s="27">
        <v>7.7840059999999998</v>
      </c>
      <c r="AI1919" s="27">
        <v>8.75</v>
      </c>
      <c r="AK1919" s="27">
        <v>24.141501000000002</v>
      </c>
      <c r="AM1919" s="27">
        <v>34.987732999999999</v>
      </c>
      <c r="AO1919" s="27">
        <v>6.8004740000000004</v>
      </c>
    </row>
    <row r="1920" spans="2:41" x14ac:dyDescent="0.25">
      <c r="B1920" s="21">
        <v>44222</v>
      </c>
      <c r="C1920" s="27">
        <v>20.159800000000001</v>
      </c>
      <c r="E1920" s="27">
        <v>0.82329399999999997</v>
      </c>
      <c r="G1920" s="27">
        <v>86.901362000000006</v>
      </c>
      <c r="I1920" s="27">
        <v>6.8847699999999996</v>
      </c>
      <c r="K1920" s="27">
        <v>5.4190120000000004</v>
      </c>
      <c r="M1920" s="27">
        <v>732.54383399999995</v>
      </c>
      <c r="O1920" s="27">
        <v>3594.3206100000002</v>
      </c>
      <c r="Q1920" s="27">
        <v>6910.5769559999999</v>
      </c>
      <c r="S1920" s="27">
        <v>1275.2532229999999</v>
      </c>
      <c r="U1920" s="27">
        <v>3.6419039999999998</v>
      </c>
      <c r="W1920" s="27">
        <v>42.168086000000002</v>
      </c>
      <c r="Y1920" s="27">
        <v>7.7815339999999997</v>
      </c>
      <c r="AA1920" s="27">
        <v>611.26223400000003</v>
      </c>
      <c r="AC1920" s="27">
        <v>58.101748000000001</v>
      </c>
      <c r="AE1920" s="27">
        <v>1</v>
      </c>
      <c r="AG1920" s="27">
        <v>7.7820159999999996</v>
      </c>
      <c r="AI1920" s="27">
        <v>8.75</v>
      </c>
      <c r="AK1920" s="27">
        <v>24.142066</v>
      </c>
      <c r="AM1920" s="27">
        <v>34.974314</v>
      </c>
      <c r="AO1920" s="27">
        <v>6.8007819999999999</v>
      </c>
    </row>
    <row r="1921" spans="2:41" x14ac:dyDescent="0.25">
      <c r="B1921" s="21">
        <v>44223</v>
      </c>
      <c r="C1921" s="27">
        <v>20.0152</v>
      </c>
      <c r="E1921" s="27">
        <v>0.82458699999999996</v>
      </c>
      <c r="G1921" s="27">
        <v>87.020201999999998</v>
      </c>
      <c r="I1921" s="27">
        <v>6.8780279999999996</v>
      </c>
      <c r="K1921" s="27">
        <v>5.3743860000000003</v>
      </c>
      <c r="M1921" s="27">
        <v>735.45814299999995</v>
      </c>
      <c r="O1921" s="27">
        <v>3616.7056480000001</v>
      </c>
      <c r="Q1921" s="27">
        <v>6936.1935519999997</v>
      </c>
      <c r="S1921" s="27">
        <v>1290.6088199999999</v>
      </c>
      <c r="U1921" s="27">
        <v>3.644914</v>
      </c>
      <c r="W1921" s="27">
        <v>42.087555999999999</v>
      </c>
      <c r="Y1921" s="27">
        <v>7.831162</v>
      </c>
      <c r="AA1921" s="27">
        <v>611.52766399999996</v>
      </c>
      <c r="AC1921" s="27">
        <v>58.020192000000002</v>
      </c>
      <c r="AE1921" s="27">
        <v>1</v>
      </c>
      <c r="AG1921" s="27">
        <v>7.7722759999999997</v>
      </c>
      <c r="AI1921" s="27">
        <v>8.75</v>
      </c>
      <c r="AK1921" s="27">
        <v>24.115058000000001</v>
      </c>
      <c r="AM1921" s="27">
        <v>34.949838999999997</v>
      </c>
      <c r="AO1921" s="27">
        <v>6.7938840000000003</v>
      </c>
    </row>
    <row r="1922" spans="2:41" x14ac:dyDescent="0.25">
      <c r="B1922" s="21">
        <v>44224</v>
      </c>
      <c r="C1922" s="27">
        <v>20.216799999999999</v>
      </c>
      <c r="E1922" s="27">
        <v>0.82571799999999995</v>
      </c>
      <c r="G1922" s="27">
        <v>87.142544000000001</v>
      </c>
      <c r="I1922" s="27">
        <v>6.8965120000000004</v>
      </c>
      <c r="K1922" s="27">
        <v>5.4219010000000001</v>
      </c>
      <c r="M1922" s="27">
        <v>738.70921199999998</v>
      </c>
      <c r="O1922" s="27">
        <v>3590.3068509999998</v>
      </c>
      <c r="Q1922" s="27">
        <v>6954.714954</v>
      </c>
      <c r="S1922" s="27">
        <v>1282.714776</v>
      </c>
      <c r="U1922" s="27">
        <v>3.6477919999999999</v>
      </c>
      <c r="W1922" s="27">
        <v>42.088886000000002</v>
      </c>
      <c r="Y1922" s="27">
        <v>7.7627800000000002</v>
      </c>
      <c r="AA1922" s="27">
        <v>612.68673000000001</v>
      </c>
      <c r="AC1922" s="27">
        <v>58.055892</v>
      </c>
      <c r="AE1922" s="27">
        <v>1</v>
      </c>
      <c r="AG1922" s="27">
        <v>7.781326</v>
      </c>
      <c r="AI1922" s="27">
        <v>8.75</v>
      </c>
      <c r="AK1922" s="27">
        <v>24.115314000000001</v>
      </c>
      <c r="AM1922" s="27">
        <v>34.952432000000002</v>
      </c>
      <c r="AO1922" s="27">
        <v>6.8028459999999997</v>
      </c>
    </row>
    <row r="1923" spans="2:41" x14ac:dyDescent="0.25">
      <c r="B1923" s="21">
        <v>44225</v>
      </c>
      <c r="C1923" s="27">
        <v>20.2697</v>
      </c>
      <c r="E1923" s="27">
        <v>0.82484100000000005</v>
      </c>
      <c r="G1923" s="27">
        <v>87.215605999999994</v>
      </c>
      <c r="I1923" s="27">
        <v>6.9016640000000002</v>
      </c>
      <c r="K1923" s="27">
        <v>5.4553320000000003</v>
      </c>
      <c r="M1923" s="27">
        <v>735.19588799999997</v>
      </c>
      <c r="O1923" s="27">
        <v>3562.064738</v>
      </c>
      <c r="Q1923" s="27">
        <v>6959.6619190000001</v>
      </c>
      <c r="S1923" s="27">
        <v>1275.7611420000001</v>
      </c>
      <c r="U1923" s="27">
        <v>3.6414</v>
      </c>
      <c r="W1923" s="27">
        <v>42.092100000000002</v>
      </c>
      <c r="Y1923" s="27">
        <v>7.7157980000000004</v>
      </c>
      <c r="AA1923" s="27">
        <v>612.55034999999998</v>
      </c>
      <c r="AC1923" s="27">
        <v>57.976823000000003</v>
      </c>
      <c r="AE1923" s="27">
        <v>1</v>
      </c>
      <c r="AG1923" s="27">
        <v>7.7758279999999997</v>
      </c>
      <c r="AI1923" s="27">
        <v>8.75</v>
      </c>
      <c r="AK1923" s="27">
        <v>24.107212000000001</v>
      </c>
      <c r="AM1923" s="27">
        <v>34.916212000000002</v>
      </c>
      <c r="AO1923" s="27">
        <v>6.7994310000000002</v>
      </c>
    </row>
    <row r="1924" spans="2:41" x14ac:dyDescent="0.25">
      <c r="B1924" s="21">
        <v>44226</v>
      </c>
      <c r="C1924" s="27">
        <v>20.2697</v>
      </c>
      <c r="E1924" s="27">
        <v>0.82389000000000001</v>
      </c>
      <c r="G1924" s="27">
        <v>87.296390000000002</v>
      </c>
      <c r="I1924" s="27">
        <v>6.8978599999999997</v>
      </c>
      <c r="K1924" s="27">
        <v>5.4630000000000001</v>
      </c>
      <c r="M1924" s="27">
        <v>734.81</v>
      </c>
      <c r="O1924" s="27">
        <v>3569.2275</v>
      </c>
      <c r="Q1924" s="27">
        <v>6955.3349980000003</v>
      </c>
      <c r="S1924" s="27">
        <v>1273.1768159999999</v>
      </c>
      <c r="U1924" s="27">
        <v>3.6377250000000001</v>
      </c>
      <c r="W1924" s="27">
        <v>42.234270000000002</v>
      </c>
      <c r="Y1924" s="27">
        <v>7.7309859999999997</v>
      </c>
      <c r="AA1924" s="27">
        <v>612.59009800000001</v>
      </c>
      <c r="AC1924" s="27">
        <v>58.032499999999999</v>
      </c>
      <c r="AE1924" s="27">
        <v>1</v>
      </c>
      <c r="AG1924" s="27">
        <v>7.773854</v>
      </c>
      <c r="AI1924" s="27">
        <v>8.75</v>
      </c>
      <c r="AK1924" s="27">
        <v>24.182625000000002</v>
      </c>
      <c r="AM1924" s="27">
        <v>35.02975</v>
      </c>
      <c r="AO1924" s="27">
        <v>6.7977639999999999</v>
      </c>
    </row>
    <row r="1925" spans="2:41" x14ac:dyDescent="0.25">
      <c r="B1925" s="21">
        <v>44227</v>
      </c>
      <c r="C1925" s="27">
        <v>20.2697</v>
      </c>
      <c r="E1925" s="27">
        <v>0.82394599999999996</v>
      </c>
      <c r="G1925" s="27">
        <v>87.283798000000004</v>
      </c>
      <c r="I1925" s="27">
        <v>6.8978599999999997</v>
      </c>
      <c r="K1925" s="27">
        <v>5.4630000000000001</v>
      </c>
      <c r="M1925" s="27">
        <v>734.81</v>
      </c>
      <c r="O1925" s="27">
        <v>3569.2275</v>
      </c>
      <c r="Q1925" s="27">
        <v>6955.3349980000003</v>
      </c>
      <c r="S1925" s="27">
        <v>1273.1768159999999</v>
      </c>
      <c r="U1925" s="27">
        <v>3.6377250000000001</v>
      </c>
      <c r="W1925" s="27">
        <v>42.234270000000002</v>
      </c>
      <c r="Y1925" s="27">
        <v>7.7309859999999997</v>
      </c>
      <c r="AA1925" s="27">
        <v>612.59009800000001</v>
      </c>
      <c r="AC1925" s="27">
        <v>58.032499999999999</v>
      </c>
      <c r="AE1925" s="27">
        <v>1</v>
      </c>
      <c r="AG1925" s="27">
        <v>7.773892</v>
      </c>
      <c r="AI1925" s="27">
        <v>8.75</v>
      </c>
      <c r="AK1925" s="27">
        <v>24.182625000000002</v>
      </c>
      <c r="AM1925" s="27">
        <v>35.02975</v>
      </c>
      <c r="AO1925" s="27">
        <v>6.7977639999999999</v>
      </c>
    </row>
    <row r="1926" spans="2:41" ht="13" x14ac:dyDescent="0.3">
      <c r="B1926" s="25" t="s">
        <v>199</v>
      </c>
      <c r="C1926" s="19">
        <v>19.913399999999999</v>
      </c>
      <c r="E1926" s="19">
        <v>0.8216</v>
      </c>
      <c r="G1926" s="19">
        <v>85.831000000000003</v>
      </c>
      <c r="I1926" s="19">
        <v>6.8872</v>
      </c>
      <c r="K1926" s="19">
        <v>5.3522999999999996</v>
      </c>
      <c r="M1926" s="19">
        <v>723.23239999999998</v>
      </c>
      <c r="O1926" s="19">
        <v>3492.5223999999998</v>
      </c>
      <c r="Q1926" s="19">
        <v>6906.4314000000004</v>
      </c>
      <c r="S1926" s="19">
        <v>1290.7460000000001</v>
      </c>
      <c r="U1926" s="19">
        <v>3.6252</v>
      </c>
      <c r="W1926" s="19">
        <v>42.311</v>
      </c>
      <c r="Y1926" s="19">
        <v>7.9077000000000002</v>
      </c>
      <c r="AA1926" s="19">
        <v>611.94640000000004</v>
      </c>
      <c r="AC1926" s="19">
        <v>58.191899999999997</v>
      </c>
      <c r="AE1926" s="19">
        <v>1</v>
      </c>
      <c r="AG1926" s="19">
        <v>7.7923999999999998</v>
      </c>
      <c r="AI1926" s="19">
        <v>8.75</v>
      </c>
      <c r="AK1926" s="19">
        <v>24.164999999999999</v>
      </c>
      <c r="AM1926" s="19">
        <v>34.961300000000001</v>
      </c>
      <c r="AO1926" s="19">
        <v>6.7893999999999997</v>
      </c>
    </row>
    <row r="1927" spans="2:41" x14ac:dyDescent="0.25">
      <c r="B1927" s="21">
        <v>44228</v>
      </c>
      <c r="C1927" s="27">
        <v>20.2697</v>
      </c>
      <c r="E1927" s="27">
        <v>0.82676000000000005</v>
      </c>
      <c r="G1927" s="27">
        <v>87.389242999999993</v>
      </c>
      <c r="I1927" s="27">
        <v>6.8998239999999997</v>
      </c>
      <c r="K1927" s="27">
        <v>5.456658</v>
      </c>
      <c r="M1927" s="27">
        <v>734.01507900000001</v>
      </c>
      <c r="O1927" s="27">
        <v>3567.6880160000001</v>
      </c>
      <c r="Q1927" s="27">
        <v>6955.2389700000003</v>
      </c>
      <c r="S1927" s="27">
        <v>1274.640523</v>
      </c>
      <c r="U1927" s="27">
        <v>3.6406019999999999</v>
      </c>
      <c r="W1927" s="27">
        <v>42.268528000000003</v>
      </c>
      <c r="Y1927" s="27">
        <v>7.7462580000000001</v>
      </c>
      <c r="AA1927" s="27">
        <v>613.31178899999998</v>
      </c>
      <c r="AC1927" s="27">
        <v>58.023333999999998</v>
      </c>
      <c r="AE1927" s="27">
        <v>1</v>
      </c>
      <c r="AG1927" s="27">
        <v>7.778664</v>
      </c>
      <c r="AI1927" s="27">
        <v>8.75</v>
      </c>
      <c r="AK1927" s="27">
        <v>24.117708</v>
      </c>
      <c r="AM1927" s="27">
        <v>34.925789000000002</v>
      </c>
      <c r="AO1927" s="27">
        <v>6.7990820000000003</v>
      </c>
    </row>
    <row r="1928" spans="2:41" x14ac:dyDescent="0.25">
      <c r="B1928" s="21">
        <v>44229</v>
      </c>
      <c r="C1928" s="27">
        <v>20.224799999999998</v>
      </c>
      <c r="E1928" s="27">
        <v>0.82983700000000005</v>
      </c>
      <c r="G1928" s="27">
        <v>87.647126999999998</v>
      </c>
      <c r="I1928" s="27">
        <v>6.8990739999999997</v>
      </c>
      <c r="K1928" s="27">
        <v>5.4026820000000004</v>
      </c>
      <c r="M1928" s="27">
        <v>733.85284200000001</v>
      </c>
      <c r="O1928" s="27">
        <v>3554.9872369999998</v>
      </c>
      <c r="Q1928" s="27">
        <v>6932.9647000000004</v>
      </c>
      <c r="S1928" s="27">
        <v>1283.2516230000001</v>
      </c>
      <c r="U1928" s="27">
        <v>3.6378020000000002</v>
      </c>
      <c r="W1928" s="27">
        <v>42.299694000000002</v>
      </c>
      <c r="Y1928" s="27">
        <v>7.8294119999999996</v>
      </c>
      <c r="AA1928" s="27">
        <v>613.40204600000004</v>
      </c>
      <c r="AC1928" s="27">
        <v>58.029420999999999</v>
      </c>
      <c r="AE1928" s="27">
        <v>1</v>
      </c>
      <c r="AG1928" s="27">
        <v>7.7793200000000002</v>
      </c>
      <c r="AI1928" s="27">
        <v>8.75</v>
      </c>
      <c r="AK1928" s="27">
        <v>24.137816000000001</v>
      </c>
      <c r="AM1928" s="27">
        <v>34.959445000000002</v>
      </c>
      <c r="AO1928" s="27">
        <v>6.7860709999999997</v>
      </c>
    </row>
    <row r="1929" spans="2:41" x14ac:dyDescent="0.25">
      <c r="B1929" s="21">
        <v>44230</v>
      </c>
      <c r="C1929" s="27">
        <v>20.1722</v>
      </c>
      <c r="E1929" s="27">
        <v>0.83118199999999998</v>
      </c>
      <c r="G1929" s="27">
        <v>87.749253999999993</v>
      </c>
      <c r="I1929" s="27">
        <v>6.9037579999999998</v>
      </c>
      <c r="K1929" s="27">
        <v>5.3626519999999998</v>
      </c>
      <c r="M1929" s="27">
        <v>732.45015799999999</v>
      </c>
      <c r="O1929" s="27">
        <v>3531.2962849999999</v>
      </c>
      <c r="Q1929" s="27">
        <v>6907.6808600000004</v>
      </c>
      <c r="S1929" s="27">
        <v>1288.1160520000001</v>
      </c>
      <c r="U1929" s="27">
        <v>3.6360920000000001</v>
      </c>
      <c r="W1929" s="27">
        <v>42.278151999999999</v>
      </c>
      <c r="Y1929" s="27">
        <v>7.8838400000000002</v>
      </c>
      <c r="AA1929" s="27">
        <v>613.15220899999997</v>
      </c>
      <c r="AC1929" s="27">
        <v>58.010697</v>
      </c>
      <c r="AE1929" s="27">
        <v>1</v>
      </c>
      <c r="AG1929" s="27">
        <v>7.7776769999999997</v>
      </c>
      <c r="AI1929" s="27">
        <v>8.75</v>
      </c>
      <c r="AK1929" s="27">
        <v>24.130890000000001</v>
      </c>
      <c r="AM1929" s="27">
        <v>34.962325999999997</v>
      </c>
      <c r="AO1929" s="27">
        <v>6.782972</v>
      </c>
    </row>
    <row r="1930" spans="2:41" x14ac:dyDescent="0.25">
      <c r="B1930" s="21">
        <v>44231</v>
      </c>
      <c r="C1930" s="27">
        <v>20.1953</v>
      </c>
      <c r="E1930" s="27">
        <v>0.83383799999999997</v>
      </c>
      <c r="G1930" s="27">
        <v>87.850414999999998</v>
      </c>
      <c r="I1930" s="27">
        <v>6.9042269999999997</v>
      </c>
      <c r="K1930" s="27">
        <v>5.3853080000000002</v>
      </c>
      <c r="M1930" s="27">
        <v>734.77876800000001</v>
      </c>
      <c r="O1930" s="27">
        <v>3545.424794</v>
      </c>
      <c r="Q1930" s="27">
        <v>6890.8195260000002</v>
      </c>
      <c r="S1930" s="27">
        <v>1279.565914</v>
      </c>
      <c r="U1930" s="27">
        <v>3.6355569999999999</v>
      </c>
      <c r="W1930" s="27">
        <v>42.308188999999999</v>
      </c>
      <c r="Y1930" s="27">
        <v>7.8562500000000002</v>
      </c>
      <c r="AA1930" s="27">
        <v>612.92596800000001</v>
      </c>
      <c r="AC1930" s="27">
        <v>57.954394000000001</v>
      </c>
      <c r="AE1930" s="27">
        <v>1</v>
      </c>
      <c r="AG1930" s="27">
        <v>7.7755619999999999</v>
      </c>
      <c r="AI1930" s="27">
        <v>8.75</v>
      </c>
      <c r="AK1930" s="27">
        <v>24.125257999999999</v>
      </c>
      <c r="AM1930" s="27">
        <v>34.922624999999996</v>
      </c>
      <c r="AO1930" s="27">
        <v>6.7768160000000002</v>
      </c>
    </row>
    <row r="1931" spans="2:41" x14ac:dyDescent="0.25">
      <c r="B1931" s="21">
        <v>44232</v>
      </c>
      <c r="C1931" s="27">
        <v>20.4435</v>
      </c>
      <c r="E1931" s="27">
        <v>0.83343199999999995</v>
      </c>
      <c r="G1931" s="27">
        <v>87.933881</v>
      </c>
      <c r="I1931" s="27">
        <v>6.9096109999999999</v>
      </c>
      <c r="K1931" s="27">
        <v>5.4030889999999996</v>
      </c>
      <c r="M1931" s="27">
        <v>736.74833599999999</v>
      </c>
      <c r="O1931" s="27">
        <v>3553.645282</v>
      </c>
      <c r="Q1931" s="27">
        <v>6884.7297900000003</v>
      </c>
      <c r="S1931" s="27">
        <v>1274.2281579999999</v>
      </c>
      <c r="U1931" s="27">
        <v>3.64255</v>
      </c>
      <c r="W1931" s="27">
        <v>42.46208</v>
      </c>
      <c r="Y1931" s="27">
        <v>7.8588810000000002</v>
      </c>
      <c r="AA1931" s="27">
        <v>613.60754199999997</v>
      </c>
      <c r="AC1931" s="27">
        <v>58.031883000000001</v>
      </c>
      <c r="AE1931" s="27">
        <v>1</v>
      </c>
      <c r="AG1931" s="27">
        <v>7.7820099999999996</v>
      </c>
      <c r="AI1931" s="27">
        <v>8.75</v>
      </c>
      <c r="AK1931" s="27">
        <v>24.144131000000002</v>
      </c>
      <c r="AM1931" s="27">
        <v>34.986066000000001</v>
      </c>
      <c r="AO1931" s="27">
        <v>6.7817629999999998</v>
      </c>
    </row>
    <row r="1932" spans="2:41" x14ac:dyDescent="0.25">
      <c r="B1932" s="21">
        <v>44233</v>
      </c>
      <c r="C1932" s="27">
        <v>20.4435</v>
      </c>
      <c r="E1932" s="27">
        <v>0.82994800000000002</v>
      </c>
      <c r="G1932" s="27">
        <v>87.923175000000001</v>
      </c>
      <c r="I1932" s="27">
        <v>6.9052319999999998</v>
      </c>
      <c r="K1932" s="27">
        <v>5.3707000000000003</v>
      </c>
      <c r="M1932" s="27">
        <v>739.005</v>
      </c>
      <c r="O1932" s="27">
        <v>3554.6075000000001</v>
      </c>
      <c r="Q1932" s="27">
        <v>6882.0804399999997</v>
      </c>
      <c r="S1932" s="27">
        <v>1281.4179160000001</v>
      </c>
      <c r="U1932" s="27">
        <v>3.6392250000000002</v>
      </c>
      <c r="W1932" s="27">
        <v>42.537917999999998</v>
      </c>
      <c r="Y1932" s="27">
        <v>7.9203939999999999</v>
      </c>
      <c r="AA1932" s="27">
        <v>613.41229199999998</v>
      </c>
      <c r="AC1932" s="27">
        <v>58.037500000000001</v>
      </c>
      <c r="AE1932" s="27">
        <v>1</v>
      </c>
      <c r="AG1932" s="27">
        <v>7.7794790000000003</v>
      </c>
      <c r="AI1932" s="27">
        <v>8.75</v>
      </c>
      <c r="AK1932" s="27">
        <v>24.185275000000001</v>
      </c>
      <c r="AM1932" s="27">
        <v>35.02975</v>
      </c>
      <c r="AO1932" s="27">
        <v>6.7816850000000004</v>
      </c>
    </row>
    <row r="1933" spans="2:41" x14ac:dyDescent="0.25">
      <c r="B1933" s="21">
        <v>44234</v>
      </c>
      <c r="C1933" s="27">
        <v>20.4435</v>
      </c>
      <c r="E1933" s="27">
        <v>0.82997500000000002</v>
      </c>
      <c r="G1933" s="27">
        <v>87.923392000000007</v>
      </c>
      <c r="I1933" s="27">
        <v>6.9052319999999998</v>
      </c>
      <c r="K1933" s="27">
        <v>5.3707200000000004</v>
      </c>
      <c r="M1933" s="27">
        <v>739.00482599999998</v>
      </c>
      <c r="O1933" s="27">
        <v>3554.6386149999998</v>
      </c>
      <c r="Q1933" s="27">
        <v>6882.1687060000004</v>
      </c>
      <c r="S1933" s="27">
        <v>1281.429474</v>
      </c>
      <c r="U1933" s="27">
        <v>3.6391930000000001</v>
      </c>
      <c r="W1933" s="27">
        <v>42.539073000000002</v>
      </c>
      <c r="Y1933" s="27">
        <v>7.9205779999999999</v>
      </c>
      <c r="AA1933" s="27">
        <v>613.41226400000005</v>
      </c>
      <c r="AC1933" s="27">
        <v>58.037469999999999</v>
      </c>
      <c r="AE1933" s="27">
        <v>1</v>
      </c>
      <c r="AG1933" s="27">
        <v>7.7794699999999999</v>
      </c>
      <c r="AI1933" s="27">
        <v>8.75</v>
      </c>
      <c r="AK1933" s="27">
        <v>24.184148</v>
      </c>
      <c r="AM1933" s="27">
        <v>35.02975</v>
      </c>
      <c r="AO1933" s="27">
        <v>6.781676</v>
      </c>
    </row>
    <row r="1934" spans="2:41" x14ac:dyDescent="0.25">
      <c r="B1934" s="21">
        <v>44235</v>
      </c>
      <c r="C1934" s="27">
        <v>20.1388</v>
      </c>
      <c r="E1934" s="27">
        <v>0.83050000000000002</v>
      </c>
      <c r="G1934" s="27">
        <v>87.937938000000003</v>
      </c>
      <c r="I1934" s="27">
        <v>6.8844149999999997</v>
      </c>
      <c r="K1934" s="27">
        <v>5.3679880000000004</v>
      </c>
      <c r="M1934" s="27">
        <v>737.21756200000004</v>
      </c>
      <c r="O1934" s="27">
        <v>3557.5349879999999</v>
      </c>
      <c r="Q1934" s="27">
        <v>6851.9846530000004</v>
      </c>
      <c r="S1934" s="27">
        <v>1276.4593809999999</v>
      </c>
      <c r="U1934" s="27">
        <v>3.6369699999999998</v>
      </c>
      <c r="W1934" s="27">
        <v>42.458587999999999</v>
      </c>
      <c r="Y1934" s="27">
        <v>7.9096140000000004</v>
      </c>
      <c r="AA1934" s="27">
        <v>611.33892600000001</v>
      </c>
      <c r="AC1934" s="27">
        <v>57.897962</v>
      </c>
      <c r="AE1934" s="27">
        <v>1</v>
      </c>
      <c r="AG1934" s="27">
        <v>7.7518269999999996</v>
      </c>
      <c r="AI1934" s="27">
        <v>8.75</v>
      </c>
      <c r="AK1934" s="27">
        <v>24.05864</v>
      </c>
      <c r="AM1934" s="27">
        <v>34.847422000000002</v>
      </c>
      <c r="AO1934" s="27">
        <v>6.7606700000000002</v>
      </c>
    </row>
    <row r="1935" spans="2:41" x14ac:dyDescent="0.25">
      <c r="B1935" s="21">
        <v>44236</v>
      </c>
      <c r="C1935" s="27">
        <v>20.122699999999998</v>
      </c>
      <c r="E1935" s="27">
        <v>0.82682500000000003</v>
      </c>
      <c r="G1935" s="27">
        <v>88.209260999999998</v>
      </c>
      <c r="I1935" s="27">
        <v>6.8876780000000002</v>
      </c>
      <c r="K1935" s="27">
        <v>5.3802760000000003</v>
      </c>
      <c r="M1935" s="27">
        <v>734.48522800000001</v>
      </c>
      <c r="O1935" s="27">
        <v>3574.8123660000001</v>
      </c>
      <c r="Q1935" s="27">
        <v>6833.1163919999999</v>
      </c>
      <c r="S1935" s="27">
        <v>1270.038086</v>
      </c>
      <c r="U1935" s="27">
        <v>3.6360299999999999</v>
      </c>
      <c r="W1935" s="27">
        <v>42.558604000000003</v>
      </c>
      <c r="Y1935" s="27">
        <v>7.9101419999999996</v>
      </c>
      <c r="AA1935" s="27">
        <v>611.43160599999999</v>
      </c>
      <c r="AC1935" s="27">
        <v>57.887807000000002</v>
      </c>
      <c r="AE1935" s="27">
        <v>1</v>
      </c>
      <c r="AG1935" s="27">
        <v>7.7514380000000003</v>
      </c>
      <c r="AI1935" s="27">
        <v>8.75</v>
      </c>
      <c r="AK1935" s="27">
        <v>24.066552000000001</v>
      </c>
      <c r="AM1935" s="27">
        <v>34.651657999999998</v>
      </c>
      <c r="AO1935" s="27">
        <v>6.7632899999999996</v>
      </c>
    </row>
    <row r="1936" spans="2:41" x14ac:dyDescent="0.25">
      <c r="B1936" s="21">
        <v>44237</v>
      </c>
      <c r="C1936" s="27">
        <v>20.0913</v>
      </c>
      <c r="E1936" s="27">
        <v>0.82471700000000003</v>
      </c>
      <c r="G1936" s="27">
        <v>88.308661999999998</v>
      </c>
      <c r="I1936" s="27">
        <v>6.9014319999999998</v>
      </c>
      <c r="K1936" s="27">
        <v>5.3817539999999999</v>
      </c>
      <c r="M1936" s="27">
        <v>730.58049500000004</v>
      </c>
      <c r="O1936" s="27">
        <v>3568.486856</v>
      </c>
      <c r="Q1936" s="27">
        <v>6818.5286679999999</v>
      </c>
      <c r="S1936" s="27">
        <v>1266.9784119999999</v>
      </c>
      <c r="U1936" s="27">
        <v>3.6397339999999998</v>
      </c>
      <c r="W1936" s="27">
        <v>42.516254000000004</v>
      </c>
      <c r="Y1936" s="27">
        <v>7.9001029999999997</v>
      </c>
      <c r="AA1936" s="27">
        <v>611.93619200000001</v>
      </c>
      <c r="AC1936" s="27">
        <v>57.835492000000002</v>
      </c>
      <c r="AE1936" s="27">
        <v>1</v>
      </c>
      <c r="AG1936" s="27">
        <v>7.7604850000000001</v>
      </c>
      <c r="AI1936" s="27">
        <v>8.75</v>
      </c>
      <c r="AK1936" s="27">
        <v>24.100586</v>
      </c>
      <c r="AM1936" s="27">
        <v>34.826672000000002</v>
      </c>
      <c r="AO1936" s="27">
        <v>6.775944</v>
      </c>
    </row>
    <row r="1937" spans="2:41" x14ac:dyDescent="0.25">
      <c r="B1937" s="21">
        <v>44238</v>
      </c>
      <c r="C1937" s="27">
        <v>20.058800000000002</v>
      </c>
      <c r="E1937" s="27">
        <v>0.82453799999999999</v>
      </c>
      <c r="G1937" s="27">
        <v>88.402084000000002</v>
      </c>
      <c r="I1937" s="27">
        <v>6.9053240000000002</v>
      </c>
      <c r="K1937" s="27">
        <v>5.3800319999999999</v>
      </c>
      <c r="M1937" s="27">
        <v>724.82996200000002</v>
      </c>
      <c r="O1937" s="27">
        <v>3544.2153659999999</v>
      </c>
      <c r="Q1937" s="27">
        <v>6807.6523530000004</v>
      </c>
      <c r="S1937" s="27">
        <v>1265.362079</v>
      </c>
      <c r="U1937" s="27">
        <v>3.6390500000000001</v>
      </c>
      <c r="W1937" s="27">
        <v>42.603000999999999</v>
      </c>
      <c r="Y1937" s="27">
        <v>7.9187500000000002</v>
      </c>
      <c r="AA1937" s="27">
        <v>611.71570199999996</v>
      </c>
      <c r="AC1937" s="27">
        <v>57.964647999999997</v>
      </c>
      <c r="AE1937" s="27">
        <v>1</v>
      </c>
      <c r="AG1937" s="27">
        <v>7.7575500000000002</v>
      </c>
      <c r="AI1937" s="27">
        <v>8.75</v>
      </c>
      <c r="AK1937" s="27">
        <v>24.127362000000002</v>
      </c>
      <c r="AM1937" s="27">
        <v>34.872827999999998</v>
      </c>
      <c r="AO1937" s="27">
        <v>6.7823380000000002</v>
      </c>
    </row>
    <row r="1938" spans="2:41" x14ac:dyDescent="0.25">
      <c r="B1938" s="21">
        <v>44239</v>
      </c>
      <c r="C1938" s="27">
        <v>19.953499999999998</v>
      </c>
      <c r="E1938" s="27">
        <v>0.82532899999999998</v>
      </c>
      <c r="G1938" s="27">
        <v>88.465584000000007</v>
      </c>
      <c r="I1938" s="27">
        <v>6.9059900000000001</v>
      </c>
      <c r="K1938" s="27">
        <v>5.3724920000000003</v>
      </c>
      <c r="M1938" s="27">
        <v>724.49305700000002</v>
      </c>
      <c r="O1938" s="27">
        <v>3517.9135540000002</v>
      </c>
      <c r="Q1938" s="27">
        <v>6790.5942949999999</v>
      </c>
      <c r="S1938" s="27">
        <v>1263.9627660000001</v>
      </c>
      <c r="U1938" s="27">
        <v>3.6411820000000001</v>
      </c>
      <c r="W1938" s="27">
        <v>42.663589999999999</v>
      </c>
      <c r="Y1938" s="27">
        <v>7.941141</v>
      </c>
      <c r="AA1938" s="27">
        <v>611.38247999999999</v>
      </c>
      <c r="AC1938" s="27">
        <v>57.944043000000001</v>
      </c>
      <c r="AE1938" s="27">
        <v>1</v>
      </c>
      <c r="AG1938" s="27">
        <v>7.7521659999999999</v>
      </c>
      <c r="AI1938" s="27">
        <v>8.75</v>
      </c>
      <c r="AK1938" s="27">
        <v>24.128381999999998</v>
      </c>
      <c r="AM1938" s="27">
        <v>34.927717999999999</v>
      </c>
      <c r="AO1938" s="27">
        <v>6.7860329999999998</v>
      </c>
    </row>
    <row r="1939" spans="2:41" x14ac:dyDescent="0.25">
      <c r="B1939" s="21">
        <v>44240</v>
      </c>
      <c r="C1939" s="27">
        <v>19.953499999999998</v>
      </c>
      <c r="E1939" s="27">
        <v>0.82505600000000001</v>
      </c>
      <c r="G1939" s="27">
        <v>88.456917000000004</v>
      </c>
      <c r="I1939" s="27">
        <v>6.9065180000000002</v>
      </c>
      <c r="K1939" s="27">
        <v>5.3698750000000004</v>
      </c>
      <c r="M1939" s="27">
        <v>721.8</v>
      </c>
      <c r="O1939" s="27">
        <v>3496.2925</v>
      </c>
      <c r="Q1939" s="27">
        <v>6779.700194</v>
      </c>
      <c r="S1939" s="27">
        <v>1262.5505780000001</v>
      </c>
      <c r="U1939" s="27">
        <v>3.644225</v>
      </c>
      <c r="W1939" s="27">
        <v>42.698168000000003</v>
      </c>
      <c r="Y1939" s="27">
        <v>7.9514519999999997</v>
      </c>
      <c r="AA1939" s="27">
        <v>611.46774000000005</v>
      </c>
      <c r="AC1939" s="27">
        <v>58.0075</v>
      </c>
      <c r="AE1939" s="27">
        <v>1</v>
      </c>
      <c r="AG1939" s="27">
        <v>7.7523020000000002</v>
      </c>
      <c r="AI1939" s="27">
        <v>8.75</v>
      </c>
      <c r="AK1939" s="27">
        <v>24.198474999999998</v>
      </c>
      <c r="AM1939" s="27">
        <v>34.976579000000001</v>
      </c>
      <c r="AO1939" s="27">
        <v>6.7867959999999998</v>
      </c>
    </row>
    <row r="1940" spans="2:41" x14ac:dyDescent="0.25">
      <c r="B1940" s="21">
        <v>44241</v>
      </c>
      <c r="C1940" s="27">
        <v>19.953499999999998</v>
      </c>
      <c r="E1940" s="27">
        <v>0.82504200000000005</v>
      </c>
      <c r="G1940" s="27">
        <v>88.455206000000004</v>
      </c>
      <c r="I1940" s="27">
        <v>6.9064639999999997</v>
      </c>
      <c r="K1940" s="27">
        <v>5.3698790000000001</v>
      </c>
      <c r="M1940" s="27">
        <v>721.8</v>
      </c>
      <c r="O1940" s="27">
        <v>3496.2925</v>
      </c>
      <c r="Q1940" s="27">
        <v>6780.2046019999998</v>
      </c>
      <c r="S1940" s="27">
        <v>1262.643562</v>
      </c>
      <c r="U1940" s="27">
        <v>3.644234</v>
      </c>
      <c r="W1940" s="27">
        <v>42.697774000000003</v>
      </c>
      <c r="Y1940" s="27">
        <v>7.9513720000000001</v>
      </c>
      <c r="AA1940" s="27">
        <v>611.46793000000002</v>
      </c>
      <c r="AC1940" s="27">
        <v>58.007351</v>
      </c>
      <c r="AE1940" s="27">
        <v>1</v>
      </c>
      <c r="AG1940" s="27">
        <v>7.7523160000000004</v>
      </c>
      <c r="AI1940" s="27">
        <v>8.75</v>
      </c>
      <c r="AK1940" s="27">
        <v>24.196909999999999</v>
      </c>
      <c r="AM1940" s="27">
        <v>34.975316999999997</v>
      </c>
      <c r="AO1940" s="27">
        <v>6.7867139999999999</v>
      </c>
    </row>
    <row r="1941" spans="2:41" x14ac:dyDescent="0.25">
      <c r="B1941" s="21">
        <v>44242</v>
      </c>
      <c r="C1941" s="27">
        <v>19.962199999999999</v>
      </c>
      <c r="E1941" s="27">
        <v>0.82428500000000005</v>
      </c>
      <c r="G1941" s="27">
        <v>88.414534000000003</v>
      </c>
      <c r="I1941" s="27">
        <v>6.9064360000000002</v>
      </c>
      <c r="K1941" s="27">
        <v>5.3701100000000004</v>
      </c>
      <c r="M1941" s="27">
        <v>720.28683000000001</v>
      </c>
      <c r="O1941" s="27">
        <v>3494.1359480000001</v>
      </c>
      <c r="Q1941" s="27">
        <v>6771.1051880000005</v>
      </c>
      <c r="S1941" s="27">
        <v>1260.8938659999999</v>
      </c>
      <c r="U1941" s="27">
        <v>3.6427640000000001</v>
      </c>
      <c r="W1941" s="27">
        <v>42.662134999999999</v>
      </c>
      <c r="Y1941" s="27">
        <v>7.9443919999999997</v>
      </c>
      <c r="AA1941" s="27">
        <v>610.98746600000004</v>
      </c>
      <c r="AC1941" s="27">
        <v>57.849730999999998</v>
      </c>
      <c r="AE1941" s="27">
        <v>1</v>
      </c>
      <c r="AG1941" s="27">
        <v>7.7492919999999996</v>
      </c>
      <c r="AI1941" s="27">
        <v>8.75</v>
      </c>
      <c r="AK1941" s="27">
        <v>24.083064</v>
      </c>
      <c r="AM1941" s="27">
        <v>34.897902000000002</v>
      </c>
      <c r="AO1941" s="27">
        <v>6.7845339999999998</v>
      </c>
    </row>
    <row r="1942" spans="2:41" x14ac:dyDescent="0.25">
      <c r="B1942" s="21">
        <v>44243</v>
      </c>
      <c r="C1942" s="27">
        <v>19.951799999999999</v>
      </c>
      <c r="E1942" s="27">
        <v>0.82443200000000005</v>
      </c>
      <c r="G1942" s="27">
        <v>88.454685999999995</v>
      </c>
      <c r="I1942" s="27">
        <v>6.911168</v>
      </c>
      <c r="K1942" s="27">
        <v>5.3702940000000003</v>
      </c>
      <c r="M1942" s="27">
        <v>718.58718599999997</v>
      </c>
      <c r="O1942" s="27">
        <v>3507.5882000000001</v>
      </c>
      <c r="Q1942" s="27">
        <v>6753.3583200000003</v>
      </c>
      <c r="S1942" s="27">
        <v>1257.5461749999999</v>
      </c>
      <c r="U1942" s="27">
        <v>3.6463969999999999</v>
      </c>
      <c r="W1942" s="27">
        <v>42.629134000000001</v>
      </c>
      <c r="Y1942" s="27">
        <v>7.9379770000000001</v>
      </c>
      <c r="AA1942" s="27">
        <v>610.42554800000005</v>
      </c>
      <c r="AC1942" s="27">
        <v>57.874510999999998</v>
      </c>
      <c r="AE1942" s="27">
        <v>1</v>
      </c>
      <c r="AG1942" s="27">
        <v>7.748564</v>
      </c>
      <c r="AI1942" s="27">
        <v>8.75</v>
      </c>
      <c r="AK1942" s="27">
        <v>24.127338000000002</v>
      </c>
      <c r="AM1942" s="27">
        <v>34.941448000000001</v>
      </c>
      <c r="AO1942" s="27">
        <v>6.7861960000000003</v>
      </c>
    </row>
    <row r="1943" spans="2:41" x14ac:dyDescent="0.25">
      <c r="B1943" s="21">
        <v>44244</v>
      </c>
      <c r="C1943" s="27">
        <v>20.202300000000001</v>
      </c>
      <c r="E1943" s="27">
        <v>0.82903300000000002</v>
      </c>
      <c r="G1943" s="27">
        <v>88.676441999999994</v>
      </c>
      <c r="I1943" s="27">
        <v>6.92056</v>
      </c>
      <c r="K1943" s="27">
        <v>5.3845520000000002</v>
      </c>
      <c r="M1943" s="27">
        <v>717.32978000000003</v>
      </c>
      <c r="O1943" s="27">
        <v>3528.8738520000002</v>
      </c>
      <c r="Q1943" s="27">
        <v>6742.8406919999998</v>
      </c>
      <c r="S1943" s="27">
        <v>1252.2634410000001</v>
      </c>
      <c r="U1943" s="27">
        <v>3.6577169999999999</v>
      </c>
      <c r="W1943" s="27">
        <v>42.739960000000004</v>
      </c>
      <c r="Y1943" s="27">
        <v>7.9375400000000003</v>
      </c>
      <c r="AA1943" s="27">
        <v>611.20612000000006</v>
      </c>
      <c r="AC1943" s="27">
        <v>58.090553999999997</v>
      </c>
      <c r="AE1943" s="27">
        <v>1</v>
      </c>
      <c r="AG1943" s="27">
        <v>7.7559880000000003</v>
      </c>
      <c r="AI1943" s="27">
        <v>8.75</v>
      </c>
      <c r="AK1943" s="27">
        <v>24.171980000000001</v>
      </c>
      <c r="AM1943" s="27">
        <v>35.076058000000003</v>
      </c>
      <c r="AO1943" s="27">
        <v>6.7950220000000003</v>
      </c>
    </row>
    <row r="1944" spans="2:41" x14ac:dyDescent="0.25">
      <c r="B1944" s="21">
        <v>44245</v>
      </c>
      <c r="C1944" s="27">
        <v>20.2257</v>
      </c>
      <c r="E1944" s="27">
        <v>0.82872400000000002</v>
      </c>
      <c r="G1944" s="27">
        <v>88.993307999999999</v>
      </c>
      <c r="I1944" s="27">
        <v>6.9133599999999999</v>
      </c>
      <c r="K1944" s="27">
        <v>5.4201439999999996</v>
      </c>
      <c r="M1944" s="27">
        <v>712.196054</v>
      </c>
      <c r="O1944" s="27">
        <v>3534.7978699999999</v>
      </c>
      <c r="Q1944" s="27">
        <v>6723.4559120000004</v>
      </c>
      <c r="S1944" s="27">
        <v>1240.463806</v>
      </c>
      <c r="U1944" s="27">
        <v>3.6554199999999999</v>
      </c>
      <c r="W1944" s="27">
        <v>42.699055999999999</v>
      </c>
      <c r="Y1944" s="27">
        <v>7.8778699999999997</v>
      </c>
      <c r="AA1944" s="27">
        <v>610.93377999999996</v>
      </c>
      <c r="AC1944" s="27">
        <v>57.940897</v>
      </c>
      <c r="AE1944" s="27">
        <v>1</v>
      </c>
      <c r="AG1944" s="27">
        <v>7.7429059999999996</v>
      </c>
      <c r="AI1944" s="27">
        <v>8.75</v>
      </c>
      <c r="AK1944" s="27">
        <v>24.144953000000001</v>
      </c>
      <c r="AM1944" s="27">
        <v>34.983865000000002</v>
      </c>
      <c r="AO1944" s="27">
        <v>6.7882160000000002</v>
      </c>
    </row>
    <row r="1945" spans="2:41" x14ac:dyDescent="0.25">
      <c r="B1945" s="21">
        <v>44246</v>
      </c>
      <c r="C1945" s="27">
        <v>20.416499999999999</v>
      </c>
      <c r="E1945" s="27">
        <v>0.82547199999999998</v>
      </c>
      <c r="G1945" s="27">
        <v>89.082325999999995</v>
      </c>
      <c r="I1945" s="27">
        <v>6.9100149999999996</v>
      </c>
      <c r="K1945" s="27">
        <v>5.4111539999999998</v>
      </c>
      <c r="M1945" s="27">
        <v>709.30683599999998</v>
      </c>
      <c r="O1945" s="27">
        <v>3554.4241440000001</v>
      </c>
      <c r="Q1945" s="27">
        <v>6724.6269780000002</v>
      </c>
      <c r="S1945" s="27">
        <v>1242.741352</v>
      </c>
      <c r="U1945" s="27">
        <v>3.6499410000000001</v>
      </c>
      <c r="W1945" s="27">
        <v>42.699185999999997</v>
      </c>
      <c r="Y1945" s="27">
        <v>7.8909840000000004</v>
      </c>
      <c r="AA1945" s="27">
        <v>610.85705399999995</v>
      </c>
      <c r="AC1945" s="27">
        <v>57.923493999999998</v>
      </c>
      <c r="AE1945" s="27">
        <v>1</v>
      </c>
      <c r="AG1945" s="27">
        <v>7.7310280000000002</v>
      </c>
      <c r="AI1945" s="27">
        <v>8.75</v>
      </c>
      <c r="AK1945" s="27">
        <v>24.130534000000001</v>
      </c>
      <c r="AM1945" s="27">
        <v>34.935516</v>
      </c>
      <c r="AO1945" s="27">
        <v>6.7836559999999997</v>
      </c>
    </row>
    <row r="1946" spans="2:41" x14ac:dyDescent="0.25">
      <c r="B1946" s="21">
        <v>44247</v>
      </c>
      <c r="C1946" s="27">
        <v>20.416499999999999</v>
      </c>
      <c r="E1946" s="27">
        <v>0.82519200000000004</v>
      </c>
      <c r="G1946" s="27">
        <v>89.067573999999993</v>
      </c>
      <c r="I1946" s="27">
        <v>6.913246</v>
      </c>
      <c r="K1946" s="27">
        <v>5.3824750000000003</v>
      </c>
      <c r="M1946" s="27">
        <v>708.62249999999995</v>
      </c>
      <c r="O1946" s="27">
        <v>3571.4675000000002</v>
      </c>
      <c r="Q1946" s="27">
        <v>6735.9657559999996</v>
      </c>
      <c r="S1946" s="27">
        <v>1251.469472</v>
      </c>
      <c r="U1946" s="27">
        <v>3.652425</v>
      </c>
      <c r="W1946" s="27">
        <v>42.789180999999999</v>
      </c>
      <c r="Y1946" s="27">
        <v>7.9497540000000004</v>
      </c>
      <c r="AA1946" s="27">
        <v>611.27414599999997</v>
      </c>
      <c r="AC1946" s="27">
        <v>58.032499999999999</v>
      </c>
      <c r="AE1946" s="27">
        <v>1</v>
      </c>
      <c r="AG1946" s="27">
        <v>7.7297399999999996</v>
      </c>
      <c r="AI1946" s="27">
        <v>8.75</v>
      </c>
      <c r="AK1946" s="27">
        <v>24.195675000000001</v>
      </c>
      <c r="AM1946" s="27">
        <v>35.024749999999997</v>
      </c>
      <c r="AO1946" s="27">
        <v>6.7853009999999996</v>
      </c>
    </row>
    <row r="1947" spans="2:41" x14ac:dyDescent="0.25">
      <c r="B1947" s="21">
        <v>44248</v>
      </c>
      <c r="C1947" s="27">
        <v>20.416499999999999</v>
      </c>
      <c r="E1947" s="27">
        <v>0.82517200000000002</v>
      </c>
      <c r="G1947" s="27">
        <v>89.072587999999996</v>
      </c>
      <c r="I1947" s="27">
        <v>6.9132179999999996</v>
      </c>
      <c r="K1947" s="27">
        <v>5.3824759999999996</v>
      </c>
      <c r="M1947" s="27">
        <v>708.62354000000005</v>
      </c>
      <c r="O1947" s="27">
        <v>3571.4790939999998</v>
      </c>
      <c r="Q1947" s="27">
        <v>6736.9897380000002</v>
      </c>
      <c r="S1947" s="27">
        <v>1251.6594700000001</v>
      </c>
      <c r="U1947" s="27">
        <v>3.6524160000000001</v>
      </c>
      <c r="W1947" s="27">
        <v>42.788775000000001</v>
      </c>
      <c r="Y1947" s="27">
        <v>7.9496770000000003</v>
      </c>
      <c r="AA1947" s="27">
        <v>611.26613199999997</v>
      </c>
      <c r="AC1947" s="27">
        <v>58.032291999999998</v>
      </c>
      <c r="AE1947" s="27">
        <v>1</v>
      </c>
      <c r="AG1947" s="27">
        <v>7.7298499999999999</v>
      </c>
      <c r="AI1947" s="27">
        <v>8.75</v>
      </c>
      <c r="AK1947" s="27">
        <v>24.194316000000001</v>
      </c>
      <c r="AM1947" s="27">
        <v>35.027303000000003</v>
      </c>
      <c r="AO1947" s="27">
        <v>6.7853050000000001</v>
      </c>
    </row>
    <row r="1948" spans="2:41" x14ac:dyDescent="0.25">
      <c r="B1948" s="21">
        <v>44249</v>
      </c>
      <c r="C1948" s="27">
        <v>20.4222</v>
      </c>
      <c r="E1948" s="27">
        <v>0.82394800000000001</v>
      </c>
      <c r="G1948" s="27">
        <v>89.264178000000001</v>
      </c>
      <c r="I1948" s="27">
        <v>6.913462</v>
      </c>
      <c r="K1948" s="27">
        <v>5.4297339999999998</v>
      </c>
      <c r="M1948" s="27">
        <v>708.42112799999995</v>
      </c>
      <c r="O1948" s="27">
        <v>3582.7542039999998</v>
      </c>
      <c r="Q1948" s="27">
        <v>6725.0105460000004</v>
      </c>
      <c r="S1948" s="27">
        <v>1238.5596049999999</v>
      </c>
      <c r="U1948" s="27">
        <v>3.6546020000000001</v>
      </c>
      <c r="W1948" s="27">
        <v>42.829692999999999</v>
      </c>
      <c r="Y1948" s="27">
        <v>7.88802</v>
      </c>
      <c r="AA1948" s="27">
        <v>611.95871799999998</v>
      </c>
      <c r="AC1948" s="27">
        <v>58.000439999999998</v>
      </c>
      <c r="AE1948" s="27">
        <v>1</v>
      </c>
      <c r="AG1948" s="27">
        <v>7.7323060000000003</v>
      </c>
      <c r="AI1948" s="27">
        <v>8.75</v>
      </c>
      <c r="AK1948" s="27">
        <v>24.149623999999999</v>
      </c>
      <c r="AM1948" s="27">
        <v>34.979052000000003</v>
      </c>
      <c r="AO1948" s="27">
        <v>6.7868360000000001</v>
      </c>
    </row>
    <row r="1949" spans="2:41" x14ac:dyDescent="0.25">
      <c r="B1949" s="21">
        <v>44250</v>
      </c>
      <c r="C1949" s="27">
        <v>20.6783</v>
      </c>
      <c r="E1949" s="27">
        <v>0.82257800000000003</v>
      </c>
      <c r="G1949" s="27">
        <v>89.461106000000001</v>
      </c>
      <c r="I1949" s="27">
        <v>6.9035840000000004</v>
      </c>
      <c r="K1949" s="27">
        <v>5.4549539999999999</v>
      </c>
      <c r="M1949" s="27">
        <v>706.47092999999995</v>
      </c>
      <c r="O1949" s="27">
        <v>3586.182632</v>
      </c>
      <c r="Q1949" s="27">
        <v>6711.2712220000003</v>
      </c>
      <c r="S1949" s="27">
        <v>1230.314136</v>
      </c>
      <c r="U1949" s="27">
        <v>3.6501480000000002</v>
      </c>
      <c r="W1949" s="27">
        <v>42.768424000000003</v>
      </c>
      <c r="Y1949" s="27">
        <v>7.8403159999999996</v>
      </c>
      <c r="AA1949" s="27">
        <v>611.38302199999998</v>
      </c>
      <c r="AC1949" s="27">
        <v>57.942092000000002</v>
      </c>
      <c r="AE1949" s="27">
        <v>1</v>
      </c>
      <c r="AG1949" s="27">
        <v>7.7206140000000003</v>
      </c>
      <c r="AI1949" s="27">
        <v>8.75</v>
      </c>
      <c r="AK1949" s="27">
        <v>24.110151999999999</v>
      </c>
      <c r="AM1949" s="27">
        <v>34.939717999999999</v>
      </c>
      <c r="AO1949" s="27">
        <v>6.7819409999999998</v>
      </c>
    </row>
    <row r="1950" spans="2:41" x14ac:dyDescent="0.25">
      <c r="B1950" s="21">
        <v>44251</v>
      </c>
      <c r="C1950" s="27">
        <v>20.583300000000001</v>
      </c>
      <c r="E1950" s="27">
        <v>0.82284599999999997</v>
      </c>
      <c r="G1950" s="27">
        <v>89.546170000000004</v>
      </c>
      <c r="I1950" s="27">
        <v>6.9038719999999998</v>
      </c>
      <c r="K1950" s="27">
        <v>5.4300879999999996</v>
      </c>
      <c r="M1950" s="27">
        <v>703.38358000000005</v>
      </c>
      <c r="O1950" s="27">
        <v>3583.2905689999998</v>
      </c>
      <c r="Q1950" s="27">
        <v>6623.0209450000002</v>
      </c>
      <c r="S1950" s="27">
        <v>1219.696535</v>
      </c>
      <c r="U1950" s="27">
        <v>3.650684</v>
      </c>
      <c r="W1950" s="27">
        <v>42.933307999999997</v>
      </c>
      <c r="Y1950" s="27">
        <v>7.9065839999999996</v>
      </c>
      <c r="AA1950" s="27">
        <v>611.63269200000002</v>
      </c>
      <c r="AC1950" s="27">
        <v>57.963217999999998</v>
      </c>
      <c r="AE1950" s="27">
        <v>1</v>
      </c>
      <c r="AG1950" s="27">
        <v>7.7064019999999998</v>
      </c>
      <c r="AI1950" s="27">
        <v>8.75</v>
      </c>
      <c r="AK1950" s="27">
        <v>24.144621999999998</v>
      </c>
      <c r="AM1950" s="27">
        <v>34.962181999999999</v>
      </c>
      <c r="AO1950" s="27">
        <v>6.788462</v>
      </c>
    </row>
    <row r="1951" spans="2:41" x14ac:dyDescent="0.25">
      <c r="B1951" s="21">
        <v>44252</v>
      </c>
      <c r="C1951" s="27">
        <v>20.475200000000001</v>
      </c>
      <c r="E1951" s="27">
        <v>0.82008499999999995</v>
      </c>
      <c r="G1951" s="27">
        <v>89.708212000000003</v>
      </c>
      <c r="I1951" s="27">
        <v>6.9031469999999997</v>
      </c>
      <c r="K1951" s="27">
        <v>5.45031</v>
      </c>
      <c r="M1951" s="27">
        <v>706.84069</v>
      </c>
      <c r="O1951" s="27">
        <v>3580.7731020000001</v>
      </c>
      <c r="Q1951" s="27">
        <v>6611.1296979999997</v>
      </c>
      <c r="S1951" s="27">
        <v>1212.9897699999999</v>
      </c>
      <c r="U1951" s="27">
        <v>3.6485940000000001</v>
      </c>
      <c r="W1951" s="27">
        <v>42.978910999999997</v>
      </c>
      <c r="Y1951" s="27">
        <v>7.8856210000000004</v>
      </c>
      <c r="AA1951" s="27">
        <v>611.50825699999996</v>
      </c>
      <c r="AC1951" s="27">
        <v>57.961790000000001</v>
      </c>
      <c r="AE1951" s="27">
        <v>1</v>
      </c>
      <c r="AG1951" s="27">
        <v>7.7053520000000004</v>
      </c>
      <c r="AI1951" s="27">
        <v>8.75</v>
      </c>
      <c r="AK1951" s="27">
        <v>24.161453999999999</v>
      </c>
      <c r="AM1951" s="27">
        <v>34.969746999999998</v>
      </c>
      <c r="AO1951" s="27">
        <v>6.789542</v>
      </c>
    </row>
    <row r="1952" spans="2:41" x14ac:dyDescent="0.25">
      <c r="B1952" s="21">
        <v>44253</v>
      </c>
      <c r="C1952" s="27">
        <v>20.8523</v>
      </c>
      <c r="E1952" s="27">
        <v>0.825044</v>
      </c>
      <c r="G1952" s="27">
        <v>89.786384999999996</v>
      </c>
      <c r="I1952" s="27">
        <v>6.8998540000000004</v>
      </c>
      <c r="K1952" s="27">
        <v>5.5486760000000004</v>
      </c>
      <c r="M1952" s="27">
        <v>719.79556200000002</v>
      </c>
      <c r="O1952" s="27">
        <v>3621.2126459999999</v>
      </c>
      <c r="Q1952" s="27">
        <v>6614.8737799999999</v>
      </c>
      <c r="S1952" s="27">
        <v>1192.160175</v>
      </c>
      <c r="U1952" s="27">
        <v>3.6492119999999999</v>
      </c>
      <c r="W1952" s="27">
        <v>43.004516000000002</v>
      </c>
      <c r="Y1952" s="27">
        <v>7.7504379999999999</v>
      </c>
      <c r="AA1952" s="27">
        <v>611.48167799999999</v>
      </c>
      <c r="AC1952" s="27">
        <v>57.886059000000003</v>
      </c>
      <c r="AE1952" s="27">
        <v>1</v>
      </c>
      <c r="AG1952" s="27">
        <v>7.7044079999999999</v>
      </c>
      <c r="AI1952" s="27">
        <v>8.75</v>
      </c>
      <c r="AK1952" s="27">
        <v>24.086463999999999</v>
      </c>
      <c r="AM1952" s="27">
        <v>34.907826</v>
      </c>
      <c r="AO1952" s="27">
        <v>6.7885280000000003</v>
      </c>
    </row>
    <row r="1953" spans="2:41" x14ac:dyDescent="0.25">
      <c r="B1953" s="21">
        <v>44254</v>
      </c>
      <c r="C1953" s="27">
        <v>20.8523</v>
      </c>
      <c r="E1953" s="27">
        <v>0.82835999999999999</v>
      </c>
      <c r="G1953" s="27">
        <v>89.822749999999999</v>
      </c>
      <c r="I1953" s="27">
        <v>6.8966760000000003</v>
      </c>
      <c r="K1953" s="27">
        <v>5.5989000000000004</v>
      </c>
      <c r="M1953" s="27">
        <v>724.14750000000004</v>
      </c>
      <c r="O1953" s="27">
        <v>3646.4775</v>
      </c>
      <c r="Q1953" s="27">
        <v>6617.7127099999998</v>
      </c>
      <c r="S1953" s="27">
        <v>1181.971822</v>
      </c>
      <c r="U1953" s="27">
        <v>3.6484220000000001</v>
      </c>
      <c r="W1953" s="27">
        <v>43.113625999999996</v>
      </c>
      <c r="Y1953" s="27">
        <v>7.700399</v>
      </c>
      <c r="AA1953" s="27">
        <v>611.58282099999997</v>
      </c>
      <c r="AC1953" s="27">
        <v>57.844059999999999</v>
      </c>
      <c r="AE1953" s="27">
        <v>1</v>
      </c>
      <c r="AG1953" s="27">
        <v>7.70357</v>
      </c>
      <c r="AI1953" s="27">
        <v>8.75</v>
      </c>
      <c r="AK1953" s="27">
        <v>24.083102</v>
      </c>
      <c r="AM1953" s="27">
        <v>34.885173999999999</v>
      </c>
      <c r="AO1953" s="27">
        <v>6.7865279999999997</v>
      </c>
    </row>
    <row r="1954" spans="2:41" x14ac:dyDescent="0.25">
      <c r="B1954" s="21">
        <v>44255</v>
      </c>
      <c r="C1954" s="27">
        <v>20.8523</v>
      </c>
      <c r="E1954" s="27">
        <v>0.828318</v>
      </c>
      <c r="G1954" s="27">
        <v>89.821905999999998</v>
      </c>
      <c r="I1954" s="27">
        <v>6.8966760000000003</v>
      </c>
      <c r="K1954" s="27">
        <v>5.5989000000000004</v>
      </c>
      <c r="M1954" s="27">
        <v>724.14750000000004</v>
      </c>
      <c r="O1954" s="27">
        <v>3646.4775</v>
      </c>
      <c r="Q1954" s="27">
        <v>6617.7127099999998</v>
      </c>
      <c r="S1954" s="27">
        <v>1181.971822</v>
      </c>
      <c r="U1954" s="27">
        <v>3.6484220000000001</v>
      </c>
      <c r="W1954" s="27">
        <v>43.113625999999996</v>
      </c>
      <c r="Y1954" s="27">
        <v>7.700399</v>
      </c>
      <c r="AA1954" s="27">
        <v>611.58136000000002</v>
      </c>
      <c r="AC1954" s="27">
        <v>57.844428000000001</v>
      </c>
      <c r="AE1954" s="27">
        <v>1</v>
      </c>
      <c r="AG1954" s="27">
        <v>7.7036100000000003</v>
      </c>
      <c r="AI1954" s="27">
        <v>8.75</v>
      </c>
      <c r="AK1954" s="27">
        <v>24.083102</v>
      </c>
      <c r="AM1954" s="27">
        <v>34.885173999999999</v>
      </c>
      <c r="AO1954" s="27">
        <v>6.7865380000000002</v>
      </c>
    </row>
    <row r="1955" spans="2:41" ht="13" x14ac:dyDescent="0.3">
      <c r="B1955" s="25" t="s">
        <v>200</v>
      </c>
      <c r="C1955" s="19">
        <v>20.313300000000002</v>
      </c>
      <c r="E1955" s="19">
        <v>0.82679999999999998</v>
      </c>
      <c r="G1955" s="19">
        <v>88.636600000000001</v>
      </c>
      <c r="I1955" s="19">
        <v>6.9046000000000003</v>
      </c>
      <c r="K1955" s="19">
        <v>5.4145000000000003</v>
      </c>
      <c r="M1955" s="19">
        <v>722.61500000000001</v>
      </c>
      <c r="O1955" s="19">
        <v>3558.1347000000001</v>
      </c>
      <c r="Q1955" s="19">
        <v>6775.2335000000003</v>
      </c>
      <c r="S1955" s="19">
        <v>1251.6195</v>
      </c>
      <c r="U1955" s="19">
        <v>3.645</v>
      </c>
      <c r="W1955" s="19">
        <v>42.665700000000001</v>
      </c>
      <c r="Y1955" s="19">
        <v>7.8806000000000003</v>
      </c>
      <c r="AA1955" s="19">
        <v>611.8587</v>
      </c>
      <c r="AC1955" s="19">
        <v>57.959099999999999</v>
      </c>
      <c r="AE1955" s="19">
        <v>1</v>
      </c>
      <c r="AG1955" s="19">
        <v>7.7462</v>
      </c>
      <c r="AI1955" s="19">
        <v>8.75</v>
      </c>
      <c r="AK1955" s="19">
        <v>24.134599999999999</v>
      </c>
      <c r="AM1955" s="19">
        <v>34.939599999999999</v>
      </c>
      <c r="AO1955" s="19">
        <v>6.7839</v>
      </c>
    </row>
    <row r="1956" spans="2:41" x14ac:dyDescent="0.25">
      <c r="B1956" s="21">
        <v>44256</v>
      </c>
      <c r="C1956" s="27">
        <v>20.939</v>
      </c>
      <c r="E1956" s="27">
        <v>0.82918800000000004</v>
      </c>
      <c r="G1956" s="27">
        <v>89.926837000000006</v>
      </c>
      <c r="I1956" s="27">
        <v>6.8988290000000001</v>
      </c>
      <c r="K1956" s="27">
        <v>5.6012839999999997</v>
      </c>
      <c r="M1956" s="27">
        <v>723.082044</v>
      </c>
      <c r="O1956" s="27">
        <v>3630.7836499999999</v>
      </c>
      <c r="Q1956" s="27">
        <v>6623.1231399999997</v>
      </c>
      <c r="S1956" s="27">
        <v>1182.4359059999999</v>
      </c>
      <c r="U1956" s="27">
        <v>3.650039</v>
      </c>
      <c r="W1956" s="27">
        <v>43.146514000000003</v>
      </c>
      <c r="Y1956" s="27">
        <v>7.7029949999999996</v>
      </c>
      <c r="AA1956" s="27">
        <v>612.33784900000001</v>
      </c>
      <c r="AC1956" s="27">
        <v>57.927793999999999</v>
      </c>
      <c r="AE1956" s="27">
        <v>1</v>
      </c>
      <c r="AG1956" s="27">
        <v>7.7045690000000002</v>
      </c>
      <c r="AI1956" s="27">
        <v>8.75</v>
      </c>
      <c r="AK1956" s="27">
        <v>24.119112999999999</v>
      </c>
      <c r="AM1956" s="27">
        <v>34.930954</v>
      </c>
      <c r="AO1956" s="27">
        <v>6.7927600000000004</v>
      </c>
    </row>
    <row r="1957" spans="2:41" x14ac:dyDescent="0.25">
      <c r="B1957" s="21">
        <v>44257</v>
      </c>
      <c r="C1957" s="27">
        <v>20.612300000000001</v>
      </c>
      <c r="E1957" s="27">
        <v>0.83020799999999995</v>
      </c>
      <c r="G1957" s="27">
        <v>90.115604000000005</v>
      </c>
      <c r="I1957" s="27">
        <v>6.9027339999999997</v>
      </c>
      <c r="K1957" s="27">
        <v>5.6624169999999996</v>
      </c>
      <c r="M1957" s="27">
        <v>725.64485200000001</v>
      </c>
      <c r="O1957" s="27">
        <v>3634.030158</v>
      </c>
      <c r="Q1957" s="27">
        <v>6619.9196449999999</v>
      </c>
      <c r="S1957" s="27">
        <v>1169.104032</v>
      </c>
      <c r="U1957" s="27">
        <v>3.6576569999999999</v>
      </c>
      <c r="W1957" s="27">
        <v>43.198362000000003</v>
      </c>
      <c r="Y1957" s="27">
        <v>7.628984</v>
      </c>
      <c r="AA1957" s="27">
        <v>612.55877199999998</v>
      </c>
      <c r="AC1957" s="27">
        <v>57.935262000000002</v>
      </c>
      <c r="AE1957" s="27">
        <v>1</v>
      </c>
      <c r="AG1957" s="27">
        <v>7.7052750000000003</v>
      </c>
      <c r="AI1957" s="27">
        <v>8.75</v>
      </c>
      <c r="AK1957" s="27">
        <v>24.158612999999999</v>
      </c>
      <c r="AM1957" s="27">
        <v>34.955325999999999</v>
      </c>
      <c r="AO1957" s="27">
        <v>6.7919890000000001</v>
      </c>
    </row>
    <row r="1958" spans="2:41" x14ac:dyDescent="0.25">
      <c r="B1958" s="21">
        <v>44258</v>
      </c>
      <c r="C1958" s="27">
        <v>20.690300000000001</v>
      </c>
      <c r="E1958" s="27">
        <v>0.82814500000000002</v>
      </c>
      <c r="G1958" s="27">
        <v>90.184376</v>
      </c>
      <c r="I1958" s="27">
        <v>6.8962060000000003</v>
      </c>
      <c r="K1958" s="27">
        <v>5.6869120000000004</v>
      </c>
      <c r="M1958" s="27">
        <v>729.02092800000003</v>
      </c>
      <c r="O1958" s="27">
        <v>3666.3085019999999</v>
      </c>
      <c r="Q1958" s="27">
        <v>6616.7262490000003</v>
      </c>
      <c r="S1958" s="27">
        <v>1163.506852</v>
      </c>
      <c r="U1958" s="27">
        <v>3.653146</v>
      </c>
      <c r="W1958" s="27">
        <v>43.190778000000002</v>
      </c>
      <c r="Y1958" s="27">
        <v>7.5947899999999997</v>
      </c>
      <c r="AA1958" s="27">
        <v>611.96449800000005</v>
      </c>
      <c r="AC1958" s="27">
        <v>57.789811999999998</v>
      </c>
      <c r="AE1958" s="27">
        <v>1</v>
      </c>
      <c r="AG1958" s="27">
        <v>7.6951470000000004</v>
      </c>
      <c r="AI1958" s="27">
        <v>8.75</v>
      </c>
      <c r="AK1958" s="27">
        <v>24.130068000000001</v>
      </c>
      <c r="AM1958" s="27">
        <v>34.906193999999999</v>
      </c>
      <c r="AO1958" s="27">
        <v>6.7819320000000003</v>
      </c>
    </row>
    <row r="1959" spans="2:41" x14ac:dyDescent="0.25">
      <c r="B1959" s="21">
        <v>44259</v>
      </c>
      <c r="C1959" s="27">
        <v>20.895700000000001</v>
      </c>
      <c r="E1959" s="27">
        <v>0.83149099999999998</v>
      </c>
      <c r="G1959" s="27">
        <v>90.255376999999996</v>
      </c>
      <c r="I1959" s="27">
        <v>6.9031739999999999</v>
      </c>
      <c r="K1959" s="27">
        <v>5.6237640000000004</v>
      </c>
      <c r="M1959" s="27">
        <v>728.97339999999997</v>
      </c>
      <c r="O1959" s="27">
        <v>3669.5906409999998</v>
      </c>
      <c r="Q1959" s="27">
        <v>6648.7314759999999</v>
      </c>
      <c r="S1959" s="27">
        <v>1182.2632739999999</v>
      </c>
      <c r="U1959" s="27">
        <v>3.6712600000000002</v>
      </c>
      <c r="W1959" s="27">
        <v>43.389279000000002</v>
      </c>
      <c r="Y1959" s="27">
        <v>7.7153700000000001</v>
      </c>
      <c r="AA1959" s="27">
        <v>612.54536700000006</v>
      </c>
      <c r="AC1959" s="27">
        <v>57.846442000000003</v>
      </c>
      <c r="AE1959" s="27">
        <v>1</v>
      </c>
      <c r="AG1959" s="27">
        <v>7.6993080000000003</v>
      </c>
      <c r="AI1959" s="27">
        <v>8.75</v>
      </c>
      <c r="AK1959" s="27">
        <v>24.126314000000001</v>
      </c>
      <c r="AM1959" s="27">
        <v>34.920535000000001</v>
      </c>
      <c r="AO1959" s="27">
        <v>6.7873979999999996</v>
      </c>
    </row>
    <row r="1960" spans="2:41" x14ac:dyDescent="0.25">
      <c r="B1960" s="21">
        <v>44260</v>
      </c>
      <c r="C1960" s="27">
        <v>20.849799999999998</v>
      </c>
      <c r="E1960" s="27">
        <v>0.83794199999999996</v>
      </c>
      <c r="G1960" s="27">
        <v>90.318219999999997</v>
      </c>
      <c r="I1960" s="27">
        <v>6.9096380000000002</v>
      </c>
      <c r="K1960" s="27">
        <v>5.6787900000000002</v>
      </c>
      <c r="M1960" s="27">
        <v>732.74060199999997</v>
      </c>
      <c r="O1960" s="27">
        <v>3640.9861369999999</v>
      </c>
      <c r="Q1960" s="27">
        <v>6665.5813740000003</v>
      </c>
      <c r="S1960" s="27">
        <v>1173.7740510000001</v>
      </c>
      <c r="U1960" s="27">
        <v>3.6826780000000001</v>
      </c>
      <c r="W1960" s="27">
        <v>43.75947</v>
      </c>
      <c r="Y1960" s="27">
        <v>7.7057960000000003</v>
      </c>
      <c r="AA1960" s="27">
        <v>613.26135699999998</v>
      </c>
      <c r="AC1960" s="27">
        <v>58.034005999999998</v>
      </c>
      <c r="AE1960" s="27">
        <v>1</v>
      </c>
      <c r="AG1960" s="27">
        <v>7.7099799999999998</v>
      </c>
      <c r="AI1960" s="27">
        <v>8.75</v>
      </c>
      <c r="AK1960" s="27">
        <v>24.165983000000001</v>
      </c>
      <c r="AM1960" s="27">
        <v>34.974628000000003</v>
      </c>
      <c r="AO1960" s="27">
        <v>6.7965840000000002</v>
      </c>
    </row>
    <row r="1961" spans="2:41" x14ac:dyDescent="0.25">
      <c r="B1961" s="21">
        <v>44261</v>
      </c>
      <c r="C1961" s="27">
        <v>20.849799999999998</v>
      </c>
      <c r="E1961" s="27">
        <v>0.83941900000000003</v>
      </c>
      <c r="G1961" s="27">
        <v>90.281475</v>
      </c>
      <c r="I1961" s="27">
        <v>6.8964679999999996</v>
      </c>
      <c r="K1961" s="27">
        <v>5.6906999999999996</v>
      </c>
      <c r="M1961" s="27">
        <v>733.54750000000001</v>
      </c>
      <c r="O1961" s="27">
        <v>3635.4724999999999</v>
      </c>
      <c r="Q1961" s="27">
        <v>6653.0082810000004</v>
      </c>
      <c r="S1961" s="27">
        <v>1169.1070099999999</v>
      </c>
      <c r="U1961" s="27">
        <v>3.690925</v>
      </c>
      <c r="W1961" s="27">
        <v>43.927095000000001</v>
      </c>
      <c r="Y1961" s="27">
        <v>7.7191200000000002</v>
      </c>
      <c r="AA1961" s="27">
        <v>612.37410999999997</v>
      </c>
      <c r="AC1961" s="27">
        <v>57.902500000000003</v>
      </c>
      <c r="AE1961" s="27">
        <v>1</v>
      </c>
      <c r="AG1961" s="27">
        <v>7.7033699999999996</v>
      </c>
      <c r="AI1961" s="27">
        <v>8.75</v>
      </c>
      <c r="AK1961" s="27">
        <v>24.226675</v>
      </c>
      <c r="AM1961" s="27">
        <v>34.978749999999998</v>
      </c>
      <c r="AO1961" s="27">
        <v>6.7870879999999998</v>
      </c>
    </row>
    <row r="1962" spans="2:41" x14ac:dyDescent="0.25">
      <c r="B1962" s="21">
        <v>44262</v>
      </c>
      <c r="C1962" s="27">
        <v>20.849799999999998</v>
      </c>
      <c r="E1962" s="27">
        <v>0.83936200000000005</v>
      </c>
      <c r="G1962" s="27">
        <v>90.279493000000002</v>
      </c>
      <c r="I1962" s="27">
        <v>6.8964679999999996</v>
      </c>
      <c r="K1962" s="27">
        <v>5.6906999999999996</v>
      </c>
      <c r="M1962" s="27">
        <v>733.54750000000001</v>
      </c>
      <c r="O1962" s="27">
        <v>3635.4724999999999</v>
      </c>
      <c r="Q1962" s="27">
        <v>6653.0082810000004</v>
      </c>
      <c r="S1962" s="27">
        <v>1169.1070099999999</v>
      </c>
      <c r="U1962" s="27">
        <v>3.690925</v>
      </c>
      <c r="W1962" s="27">
        <v>43.927095000000001</v>
      </c>
      <c r="Y1962" s="27">
        <v>7.7191200000000002</v>
      </c>
      <c r="AA1962" s="27">
        <v>612.37410999999997</v>
      </c>
      <c r="AC1962" s="27">
        <v>57.902500000000003</v>
      </c>
      <c r="AE1962" s="27">
        <v>1</v>
      </c>
      <c r="AG1962" s="27">
        <v>7.7033659999999999</v>
      </c>
      <c r="AI1962" s="27">
        <v>8.75</v>
      </c>
      <c r="AK1962" s="27">
        <v>24.226675</v>
      </c>
      <c r="AM1962" s="27">
        <v>34.978749999999998</v>
      </c>
      <c r="AO1962" s="27">
        <v>6.7870879999999998</v>
      </c>
    </row>
    <row r="1963" spans="2:41" x14ac:dyDescent="0.25">
      <c r="B1963" s="21">
        <v>44263</v>
      </c>
      <c r="C1963" s="27">
        <v>21.263500000000001</v>
      </c>
      <c r="E1963" s="27">
        <v>0.84183799999999998</v>
      </c>
      <c r="G1963" s="27">
        <v>90.440776</v>
      </c>
      <c r="I1963" s="27">
        <v>6.9017099999999996</v>
      </c>
      <c r="K1963" s="27">
        <v>5.7342009999999997</v>
      </c>
      <c r="M1963" s="27">
        <v>735.39483600000005</v>
      </c>
      <c r="O1963" s="27">
        <v>3625.8414870000001</v>
      </c>
      <c r="Q1963" s="27">
        <v>6662.029372</v>
      </c>
      <c r="S1963" s="27">
        <v>1161.8124800000001</v>
      </c>
      <c r="U1963" s="27">
        <v>3.691319</v>
      </c>
      <c r="W1963" s="27">
        <v>44.020995999999997</v>
      </c>
      <c r="Y1963" s="27">
        <v>7.6769420000000004</v>
      </c>
      <c r="AA1963" s="27">
        <v>612.61479099999997</v>
      </c>
      <c r="AC1963" s="27">
        <v>57.834448000000002</v>
      </c>
      <c r="AE1963" s="27">
        <v>1</v>
      </c>
      <c r="AG1963" s="27">
        <v>7.7098399999999998</v>
      </c>
      <c r="AI1963" s="27">
        <v>8.75</v>
      </c>
      <c r="AK1963" s="27">
        <v>24.141622999999999</v>
      </c>
      <c r="AM1963" s="27">
        <v>34.943738000000003</v>
      </c>
      <c r="AO1963" s="27">
        <v>6.7897319999999999</v>
      </c>
    </row>
    <row r="1964" spans="2:41" x14ac:dyDescent="0.25">
      <c r="B1964" s="21">
        <v>44264</v>
      </c>
      <c r="C1964" s="27">
        <v>21.4177</v>
      </c>
      <c r="E1964" s="27">
        <v>0.84156399999999998</v>
      </c>
      <c r="G1964" s="27">
        <v>90.555886999999998</v>
      </c>
      <c r="I1964" s="27">
        <v>6.9055600000000004</v>
      </c>
      <c r="K1964" s="27">
        <v>5.8450639999999998</v>
      </c>
      <c r="M1964" s="27">
        <v>735.40092200000004</v>
      </c>
      <c r="O1964" s="27">
        <v>3601.0586400000002</v>
      </c>
      <c r="Q1964" s="27">
        <v>6657.4197279999998</v>
      </c>
      <c r="S1964" s="27">
        <v>1138.9876790000001</v>
      </c>
      <c r="U1964" s="27">
        <v>3.700974</v>
      </c>
      <c r="W1964" s="27">
        <v>44.243538000000001</v>
      </c>
      <c r="Y1964" s="27">
        <v>7.5694080000000001</v>
      </c>
      <c r="AA1964" s="27">
        <v>612.84063200000003</v>
      </c>
      <c r="AC1964" s="27">
        <v>57.829977999999997</v>
      </c>
      <c r="AE1964" s="27">
        <v>1</v>
      </c>
      <c r="AG1964" s="27">
        <v>7.7191020000000004</v>
      </c>
      <c r="AI1964" s="27">
        <v>8.75</v>
      </c>
      <c r="AK1964" s="27">
        <v>24.138390000000001</v>
      </c>
      <c r="AM1964" s="27">
        <v>34.969763999999998</v>
      </c>
      <c r="AO1964" s="27">
        <v>6.7944990000000001</v>
      </c>
    </row>
    <row r="1965" spans="2:41" x14ac:dyDescent="0.25">
      <c r="B1965" s="21">
        <v>44265</v>
      </c>
      <c r="C1965" s="27">
        <v>21.2575</v>
      </c>
      <c r="E1965" s="27">
        <v>0.84043699999999999</v>
      </c>
      <c r="G1965" s="27">
        <v>90.636778000000007</v>
      </c>
      <c r="I1965" s="27">
        <v>6.903861</v>
      </c>
      <c r="K1965" s="27">
        <v>5.7542080000000002</v>
      </c>
      <c r="M1965" s="27">
        <v>730.90718800000002</v>
      </c>
      <c r="O1965" s="27">
        <v>3576.6776810000001</v>
      </c>
      <c r="Q1965" s="27">
        <v>6647.2300180000002</v>
      </c>
      <c r="S1965" s="27">
        <v>1155.2010069999999</v>
      </c>
      <c r="U1965" s="27">
        <v>3.7015319999999998</v>
      </c>
      <c r="W1965" s="27">
        <v>44.503073999999998</v>
      </c>
      <c r="Y1965" s="27">
        <v>7.7340299999999997</v>
      </c>
      <c r="AA1965" s="27">
        <v>612.406296</v>
      </c>
      <c r="AC1965" s="27">
        <v>57.729861999999997</v>
      </c>
      <c r="AE1965" s="27">
        <v>1</v>
      </c>
      <c r="AG1965" s="27">
        <v>7.721152</v>
      </c>
      <c r="AI1965" s="27">
        <v>8.75</v>
      </c>
      <c r="AK1965" s="27">
        <v>24.120598000000001</v>
      </c>
      <c r="AM1965" s="27">
        <v>34.953614000000002</v>
      </c>
      <c r="AO1965" s="27">
        <v>6.7955059999999996</v>
      </c>
    </row>
    <row r="1966" spans="2:41" x14ac:dyDescent="0.25">
      <c r="B1966" s="21">
        <v>44266</v>
      </c>
      <c r="C1966" s="27">
        <v>20.985299999999999</v>
      </c>
      <c r="E1966" s="27">
        <v>0.83648199999999995</v>
      </c>
      <c r="G1966" s="27">
        <v>90.746666000000005</v>
      </c>
      <c r="I1966" s="27">
        <v>6.9002559999999997</v>
      </c>
      <c r="K1966" s="27">
        <v>5.6170179999999998</v>
      </c>
      <c r="M1966" s="27">
        <v>719.63547000000005</v>
      </c>
      <c r="O1966" s="27">
        <v>3549.716578</v>
      </c>
      <c r="Q1966" s="27">
        <v>6634.8833500000001</v>
      </c>
      <c r="S1966" s="27">
        <v>1181.217656</v>
      </c>
      <c r="U1966" s="27">
        <v>3.693187</v>
      </c>
      <c r="W1966" s="27">
        <v>44.576391999999998</v>
      </c>
      <c r="Y1966" s="27">
        <v>7.9359780000000004</v>
      </c>
      <c r="AA1966" s="27">
        <v>611.60978599999999</v>
      </c>
      <c r="AC1966" s="27">
        <v>57.564450999999998</v>
      </c>
      <c r="AE1966" s="27">
        <v>1</v>
      </c>
      <c r="AG1966" s="27">
        <v>7.7209329999999996</v>
      </c>
      <c r="AI1966" s="27">
        <v>8.75</v>
      </c>
      <c r="AK1966" s="27">
        <v>24.148091999999998</v>
      </c>
      <c r="AM1966" s="27">
        <v>35.003824000000002</v>
      </c>
      <c r="AO1966" s="27">
        <v>6.7928959999999998</v>
      </c>
    </row>
    <row r="1967" spans="2:41" x14ac:dyDescent="0.25">
      <c r="B1967" s="21">
        <v>44267</v>
      </c>
      <c r="C1967" s="27">
        <v>20.7133</v>
      </c>
      <c r="E1967" s="27">
        <v>0.83695600000000003</v>
      </c>
      <c r="G1967" s="27">
        <v>90.807478000000003</v>
      </c>
      <c r="I1967" s="27">
        <v>6.90015</v>
      </c>
      <c r="K1967" s="27">
        <v>5.5488809999999997</v>
      </c>
      <c r="M1967" s="27">
        <v>717.69274800000005</v>
      </c>
      <c r="O1967" s="27">
        <v>3564.219102</v>
      </c>
      <c r="Q1967" s="27">
        <v>6631.3039449999997</v>
      </c>
      <c r="S1967" s="27">
        <v>1195.0770480000001</v>
      </c>
      <c r="U1967" s="27">
        <v>3.6962419999999998</v>
      </c>
      <c r="W1967" s="27">
        <v>44.535629999999998</v>
      </c>
      <c r="Y1967" s="27">
        <v>8.0260789999999993</v>
      </c>
      <c r="AA1967" s="27">
        <v>611.366086</v>
      </c>
      <c r="AC1967" s="27">
        <v>57.418633999999997</v>
      </c>
      <c r="AE1967" s="27">
        <v>1</v>
      </c>
      <c r="AG1967" s="27">
        <v>7.7231560000000004</v>
      </c>
      <c r="AI1967" s="27">
        <v>8.75</v>
      </c>
      <c r="AK1967" s="27">
        <v>24.147438000000001</v>
      </c>
      <c r="AM1967" s="27">
        <v>35.033518000000001</v>
      </c>
      <c r="AO1967" s="27">
        <v>6.7951579999999998</v>
      </c>
    </row>
    <row r="1968" spans="2:41" x14ac:dyDescent="0.25">
      <c r="B1968" s="21">
        <v>44268</v>
      </c>
      <c r="C1968" s="27">
        <v>20.7133</v>
      </c>
      <c r="E1968" s="27">
        <v>0.83664499999999997</v>
      </c>
      <c r="G1968" s="27">
        <v>90.786349999999999</v>
      </c>
      <c r="I1968" s="27">
        <v>6.900423</v>
      </c>
      <c r="K1968" s="27">
        <v>5.5521750000000001</v>
      </c>
      <c r="M1968" s="27">
        <v>724.06500000000005</v>
      </c>
      <c r="O1968" s="27">
        <v>3575.2175000000002</v>
      </c>
      <c r="Q1968" s="27">
        <v>6631.751072</v>
      </c>
      <c r="S1968" s="27">
        <v>1194.4495179999999</v>
      </c>
      <c r="U1968" s="27">
        <v>3.7064750000000002</v>
      </c>
      <c r="W1968" s="27">
        <v>44.455530000000003</v>
      </c>
      <c r="Y1968" s="27">
        <v>8.0068940000000008</v>
      </c>
      <c r="AA1968" s="27">
        <v>611.16023800000005</v>
      </c>
      <c r="AC1968" s="27">
        <v>57.347499999999997</v>
      </c>
      <c r="AE1968" s="27">
        <v>1</v>
      </c>
      <c r="AG1968" s="27">
        <v>7.7203210000000002</v>
      </c>
      <c r="AI1968" s="27">
        <v>8.75</v>
      </c>
      <c r="AK1968" s="27">
        <v>24.169799999999999</v>
      </c>
      <c r="AM1968" s="27">
        <v>35.137250000000002</v>
      </c>
      <c r="AO1968" s="27">
        <v>6.7946260000000001</v>
      </c>
    </row>
    <row r="1969" spans="2:41" x14ac:dyDescent="0.25">
      <c r="B1969" s="21">
        <v>44269</v>
      </c>
      <c r="C1969" s="27">
        <v>20.7133</v>
      </c>
      <c r="E1969" s="27">
        <v>0.83667400000000003</v>
      </c>
      <c r="G1969" s="27">
        <v>90.760845000000003</v>
      </c>
      <c r="I1969" s="27">
        <v>6.9003920000000001</v>
      </c>
      <c r="K1969" s="27">
        <v>5.5521750000000001</v>
      </c>
      <c r="M1969" s="27">
        <v>724.06433100000004</v>
      </c>
      <c r="O1969" s="27">
        <v>3575.2401220000002</v>
      </c>
      <c r="Q1969" s="27">
        <v>6632.2936579999996</v>
      </c>
      <c r="S1969" s="27">
        <v>1194.547243</v>
      </c>
      <c r="U1969" s="27">
        <v>3.7065800000000002</v>
      </c>
      <c r="W1969" s="27">
        <v>44.396065999999998</v>
      </c>
      <c r="Y1969" s="27">
        <v>7.9961840000000004</v>
      </c>
      <c r="AA1969" s="27">
        <v>611.16951500000005</v>
      </c>
      <c r="AC1969" s="27">
        <v>57.348348000000001</v>
      </c>
      <c r="AE1969" s="27">
        <v>1</v>
      </c>
      <c r="AG1969" s="27">
        <v>7.7202999999999999</v>
      </c>
      <c r="AI1969" s="27">
        <v>8.75</v>
      </c>
      <c r="AK1969" s="27">
        <v>24.167833000000002</v>
      </c>
      <c r="AM1969" s="27">
        <v>35.13729</v>
      </c>
      <c r="AO1969" s="27">
        <v>6.7945719999999996</v>
      </c>
    </row>
    <row r="1970" spans="2:41" x14ac:dyDescent="0.25">
      <c r="B1970" s="21">
        <v>44270</v>
      </c>
      <c r="C1970" s="27">
        <v>20.7133</v>
      </c>
      <c r="E1970" s="27">
        <v>0.83799800000000002</v>
      </c>
      <c r="G1970" s="27">
        <v>90.844605000000001</v>
      </c>
      <c r="I1970" s="27">
        <v>6.8998299999999997</v>
      </c>
      <c r="K1970" s="27">
        <v>5.574808</v>
      </c>
      <c r="M1970" s="27">
        <v>723.12457199999994</v>
      </c>
      <c r="O1970" s="27">
        <v>3570.0128629999999</v>
      </c>
      <c r="Q1970" s="27">
        <v>6616.0951279999999</v>
      </c>
      <c r="S1970" s="27">
        <v>1186.8067599999999</v>
      </c>
      <c r="U1970" s="27">
        <v>3.7075209999999998</v>
      </c>
      <c r="W1970" s="27">
        <v>44.460453999999999</v>
      </c>
      <c r="Y1970" s="27">
        <v>7.9753280000000002</v>
      </c>
      <c r="AA1970" s="27">
        <v>610.59847200000002</v>
      </c>
      <c r="AC1970" s="27">
        <v>57.322381999999998</v>
      </c>
      <c r="AE1970" s="27">
        <v>1</v>
      </c>
      <c r="AG1970" s="27">
        <v>7.7207369999999997</v>
      </c>
      <c r="AI1970" s="27">
        <v>8.75</v>
      </c>
      <c r="AK1970" s="27">
        <v>24.109655</v>
      </c>
      <c r="AM1970" s="27">
        <v>34.998643999999999</v>
      </c>
      <c r="AO1970" s="27">
        <v>6.791366</v>
      </c>
    </row>
    <row r="1971" spans="2:41" x14ac:dyDescent="0.25">
      <c r="B1971" s="21">
        <v>44271</v>
      </c>
      <c r="C1971" s="27">
        <v>20.7637</v>
      </c>
      <c r="E1971" s="27">
        <v>0.83899599999999996</v>
      </c>
      <c r="G1971" s="27">
        <v>91.096577999999994</v>
      </c>
      <c r="I1971" s="27">
        <v>6.9011050000000003</v>
      </c>
      <c r="K1971" s="27">
        <v>5.6086879999999999</v>
      </c>
      <c r="M1971" s="27">
        <v>724.61351999999999</v>
      </c>
      <c r="O1971" s="27">
        <v>3557.9810339999999</v>
      </c>
      <c r="Q1971" s="27">
        <v>6612.1496120000002</v>
      </c>
      <c r="S1971" s="27">
        <v>1178.9182920000001</v>
      </c>
      <c r="U1971" s="27">
        <v>3.6983899999999998</v>
      </c>
      <c r="W1971" s="27">
        <v>44.454506000000002</v>
      </c>
      <c r="Y1971" s="27">
        <v>7.9260330000000003</v>
      </c>
      <c r="AA1971" s="27">
        <v>610.51281100000006</v>
      </c>
      <c r="AC1971" s="27">
        <v>57.261504000000002</v>
      </c>
      <c r="AE1971" s="27">
        <v>1</v>
      </c>
      <c r="AG1971" s="27">
        <v>7.72241</v>
      </c>
      <c r="AI1971" s="27">
        <v>8.75</v>
      </c>
      <c r="AK1971" s="27">
        <v>24.102519000000001</v>
      </c>
      <c r="AM1971" s="27">
        <v>34.929405000000003</v>
      </c>
      <c r="AO1971" s="27">
        <v>6.7902139999999997</v>
      </c>
    </row>
    <row r="1972" spans="2:41" x14ac:dyDescent="0.25">
      <c r="B1972" s="21">
        <v>44272</v>
      </c>
      <c r="C1972" s="27">
        <v>20.575299999999999</v>
      </c>
      <c r="E1972" s="27">
        <v>0.83883099999999999</v>
      </c>
      <c r="G1972" s="27">
        <v>91.169253999999995</v>
      </c>
      <c r="I1972" s="27">
        <v>6.9030290000000001</v>
      </c>
      <c r="K1972" s="27">
        <v>5.6227289999999996</v>
      </c>
      <c r="M1972" s="27">
        <v>727.41073400000005</v>
      </c>
      <c r="O1972" s="27">
        <v>3566.050831</v>
      </c>
      <c r="Q1972" s="27">
        <v>6605.9924899999996</v>
      </c>
      <c r="S1972" s="27">
        <v>1174.879666</v>
      </c>
      <c r="U1972" s="27">
        <v>3.7021440000000001</v>
      </c>
      <c r="W1972" s="27">
        <v>44.518818000000003</v>
      </c>
      <c r="Y1972" s="27">
        <v>7.9176760000000002</v>
      </c>
      <c r="AA1972" s="27">
        <v>610.65056000000004</v>
      </c>
      <c r="AC1972" s="27">
        <v>57.281706</v>
      </c>
      <c r="AE1972" s="27">
        <v>1</v>
      </c>
      <c r="AG1972" s="27">
        <v>7.7210520000000002</v>
      </c>
      <c r="AI1972" s="27">
        <v>8.75</v>
      </c>
      <c r="AK1972" s="27">
        <v>24.148408</v>
      </c>
      <c r="AM1972" s="27">
        <v>34.983676000000003</v>
      </c>
      <c r="AO1972" s="27">
        <v>6.7905569999999997</v>
      </c>
    </row>
    <row r="1973" spans="2:41" x14ac:dyDescent="0.25">
      <c r="B1973" s="21">
        <v>44273</v>
      </c>
      <c r="C1973" s="27">
        <v>20.6828</v>
      </c>
      <c r="E1973" s="27">
        <v>0.83747199999999999</v>
      </c>
      <c r="G1973" s="27">
        <v>91.237638000000004</v>
      </c>
      <c r="I1973" s="27">
        <v>6.9043989999999997</v>
      </c>
      <c r="K1973" s="27">
        <v>5.5680519999999998</v>
      </c>
      <c r="M1973" s="27">
        <v>722.17007699999999</v>
      </c>
      <c r="O1973" s="27">
        <v>3565.1718839999999</v>
      </c>
      <c r="Q1973" s="27">
        <v>6593.8813419999997</v>
      </c>
      <c r="S1973" s="27">
        <v>1184.241033</v>
      </c>
      <c r="U1973" s="27">
        <v>3.704717</v>
      </c>
      <c r="W1973" s="27">
        <v>44.503557999999998</v>
      </c>
      <c r="Y1973" s="27">
        <v>7.9926839999999997</v>
      </c>
      <c r="AA1973" s="27">
        <v>610.59230000000002</v>
      </c>
      <c r="AC1973" s="27">
        <v>57.232880000000002</v>
      </c>
      <c r="AE1973" s="27">
        <v>1</v>
      </c>
      <c r="AG1973" s="27">
        <v>7.7205969999999997</v>
      </c>
      <c r="AI1973" s="27">
        <v>8.75</v>
      </c>
      <c r="AK1973" s="27">
        <v>24.148530999999998</v>
      </c>
      <c r="AM1973" s="27">
        <v>34.997813000000001</v>
      </c>
      <c r="AO1973" s="27">
        <v>6.7882920000000002</v>
      </c>
    </row>
    <row r="1974" spans="2:41" x14ac:dyDescent="0.25">
      <c r="B1974" s="21">
        <v>44274</v>
      </c>
      <c r="C1974" s="27">
        <v>20.441500000000001</v>
      </c>
      <c r="E1974" s="27">
        <v>0.83985799999999999</v>
      </c>
      <c r="G1974" s="27">
        <v>91.300768000000005</v>
      </c>
      <c r="I1974" s="27">
        <v>6.909802</v>
      </c>
      <c r="K1974" s="27">
        <v>5.525792</v>
      </c>
      <c r="M1974" s="27">
        <v>717.91427799999997</v>
      </c>
      <c r="O1974" s="27">
        <v>3550.4248750000002</v>
      </c>
      <c r="Q1974" s="27">
        <v>6584.8696399999999</v>
      </c>
      <c r="S1974" s="27">
        <v>1191.667342</v>
      </c>
      <c r="U1974" s="27">
        <v>3.711589</v>
      </c>
      <c r="W1974" s="27">
        <v>44.547150000000002</v>
      </c>
      <c r="Y1974" s="27">
        <v>8.0617020000000004</v>
      </c>
      <c r="AA1974" s="27">
        <v>611.08942000000002</v>
      </c>
      <c r="AC1974" s="27">
        <v>57.213748000000002</v>
      </c>
      <c r="AE1974" s="27">
        <v>1</v>
      </c>
      <c r="AG1974" s="27">
        <v>7.7252479999999997</v>
      </c>
      <c r="AI1974" s="27">
        <v>8.75</v>
      </c>
      <c r="AK1974" s="27">
        <v>24.114729000000001</v>
      </c>
      <c r="AM1974" s="27">
        <v>34.943573999999998</v>
      </c>
      <c r="AO1974" s="27">
        <v>6.7926000000000002</v>
      </c>
    </row>
    <row r="1975" spans="2:41" x14ac:dyDescent="0.25">
      <c r="B1975" s="21">
        <v>44275</v>
      </c>
      <c r="C1975" s="27">
        <v>20.441500000000001</v>
      </c>
      <c r="E1975" s="27">
        <v>0.84004000000000001</v>
      </c>
      <c r="G1975" s="27">
        <v>91.279174999999995</v>
      </c>
      <c r="I1975" s="27">
        <v>6.9053420000000001</v>
      </c>
      <c r="K1975" s="27">
        <v>5.4898999999999996</v>
      </c>
      <c r="M1975" s="27">
        <v>713.30499999999995</v>
      </c>
      <c r="O1975" s="27">
        <v>3556.3074999999999</v>
      </c>
      <c r="Q1975" s="27">
        <v>6570.1929700000001</v>
      </c>
      <c r="S1975" s="27">
        <v>1196.78378</v>
      </c>
      <c r="U1975" s="27">
        <v>3.71455</v>
      </c>
      <c r="W1975" s="27">
        <v>44.473640000000003</v>
      </c>
      <c r="Y1975" s="27">
        <v>8.1010120000000008</v>
      </c>
      <c r="AA1975" s="27">
        <v>610.74008200000003</v>
      </c>
      <c r="AC1975" s="27">
        <v>57.182499999999997</v>
      </c>
      <c r="AE1975" s="27">
        <v>1</v>
      </c>
      <c r="AG1975" s="27">
        <v>7.7192860000000003</v>
      </c>
      <c r="AI1975" s="27">
        <v>8.75</v>
      </c>
      <c r="AK1975" s="27">
        <v>24.129799999999999</v>
      </c>
      <c r="AM1975" s="27">
        <v>35.006999999999998</v>
      </c>
      <c r="AO1975" s="27">
        <v>6.7878879999999997</v>
      </c>
    </row>
    <row r="1976" spans="2:41" x14ac:dyDescent="0.25">
      <c r="B1976" s="21">
        <v>44276</v>
      </c>
      <c r="C1976" s="27">
        <v>20.441500000000001</v>
      </c>
      <c r="E1976" s="27">
        <v>0.84021599999999996</v>
      </c>
      <c r="G1976" s="27">
        <v>91.289413999999994</v>
      </c>
      <c r="I1976" s="27">
        <v>6.9054520000000004</v>
      </c>
      <c r="K1976" s="27">
        <v>5.49003</v>
      </c>
      <c r="M1976" s="27">
        <v>713.30499999999995</v>
      </c>
      <c r="O1976" s="27">
        <v>3556.2469719999999</v>
      </c>
      <c r="Q1976" s="27">
        <v>6570.4141060000002</v>
      </c>
      <c r="S1976" s="27">
        <v>1196.795746</v>
      </c>
      <c r="U1976" s="27">
        <v>3.7144940000000002</v>
      </c>
      <c r="W1976" s="27">
        <v>44.474659000000003</v>
      </c>
      <c r="Y1976" s="27">
        <v>8.1010059999999999</v>
      </c>
      <c r="AA1976" s="27">
        <v>610.74961599999995</v>
      </c>
      <c r="AC1976" s="27">
        <v>57.181781000000001</v>
      </c>
      <c r="AE1976" s="27">
        <v>1</v>
      </c>
      <c r="AG1976" s="27">
        <v>7.71943</v>
      </c>
      <c r="AI1976" s="27">
        <v>8.75</v>
      </c>
      <c r="AK1976" s="27">
        <v>24.129382</v>
      </c>
      <c r="AM1976" s="27">
        <v>35.005228000000002</v>
      </c>
      <c r="AO1976" s="27">
        <v>6.7879839999999998</v>
      </c>
    </row>
    <row r="1977" spans="2:41" x14ac:dyDescent="0.25">
      <c r="B1977" s="21">
        <v>44277</v>
      </c>
      <c r="C1977" s="27">
        <v>20.482299999999999</v>
      </c>
      <c r="E1977" s="27">
        <v>0.83937799999999996</v>
      </c>
      <c r="G1977" s="27">
        <v>91.411261999999994</v>
      </c>
      <c r="I1977" s="27">
        <v>6.9095139999999997</v>
      </c>
      <c r="K1977" s="27">
        <v>5.5036189999999996</v>
      </c>
      <c r="M1977" s="27">
        <v>715.15104899999994</v>
      </c>
      <c r="O1977" s="27">
        <v>3558.5306780000001</v>
      </c>
      <c r="Q1977" s="27">
        <v>6570.6188979999997</v>
      </c>
      <c r="S1977" s="27">
        <v>1193.8792719999999</v>
      </c>
      <c r="U1977" s="27">
        <v>3.7119239999999998</v>
      </c>
      <c r="W1977" s="27">
        <v>44.450819000000003</v>
      </c>
      <c r="Y1977" s="27">
        <v>8.0766779999999994</v>
      </c>
      <c r="AA1977" s="27">
        <v>611.19300399999997</v>
      </c>
      <c r="AC1977" s="27">
        <v>57.129876000000003</v>
      </c>
      <c r="AE1977" s="27">
        <v>1</v>
      </c>
      <c r="AG1977" s="27">
        <v>7.7241850000000003</v>
      </c>
      <c r="AI1977" s="27">
        <v>8.75</v>
      </c>
      <c r="AK1977" s="27">
        <v>24.117068</v>
      </c>
      <c r="AM1977" s="27">
        <v>35.017099999999999</v>
      </c>
      <c r="AO1977" s="27">
        <v>6.7919890000000001</v>
      </c>
    </row>
    <row r="1978" spans="2:41" x14ac:dyDescent="0.25">
      <c r="B1978" s="21">
        <v>44278</v>
      </c>
      <c r="C1978" s="27">
        <v>20.578800000000001</v>
      </c>
      <c r="E1978" s="27">
        <v>0.84117200000000003</v>
      </c>
      <c r="G1978" s="27">
        <v>91.580246000000002</v>
      </c>
      <c r="I1978" s="27">
        <v>6.9069839999999996</v>
      </c>
      <c r="K1978" s="27">
        <v>5.5071950000000003</v>
      </c>
      <c r="M1978" s="27">
        <v>719.69302600000003</v>
      </c>
      <c r="O1978" s="27">
        <v>3580.7265969999999</v>
      </c>
      <c r="Q1978" s="27">
        <v>6568.2502219999997</v>
      </c>
      <c r="S1978" s="27">
        <v>1192.6738379999999</v>
      </c>
      <c r="U1978" s="27">
        <v>3.7160790000000001</v>
      </c>
      <c r="W1978" s="27">
        <v>44.296028</v>
      </c>
      <c r="Y1978" s="27">
        <v>8.0433249999999994</v>
      </c>
      <c r="AA1978" s="27">
        <v>610.97047699999996</v>
      </c>
      <c r="AC1978" s="27">
        <v>57.003853999999997</v>
      </c>
      <c r="AE1978" s="27">
        <v>1</v>
      </c>
      <c r="AG1978" s="27">
        <v>7.7206340000000004</v>
      </c>
      <c r="AI1978" s="27">
        <v>8.75</v>
      </c>
      <c r="AK1978" s="27">
        <v>24.089721999999998</v>
      </c>
      <c r="AM1978" s="27">
        <v>34.997903000000001</v>
      </c>
      <c r="AO1978" s="27">
        <v>6.7905949999999997</v>
      </c>
    </row>
    <row r="1979" spans="2:41" x14ac:dyDescent="0.25">
      <c r="B1979" s="21">
        <v>44279</v>
      </c>
      <c r="C1979" s="27">
        <v>20.640799999999999</v>
      </c>
      <c r="E1979" s="27">
        <v>0.84531599999999996</v>
      </c>
      <c r="G1979" s="27">
        <v>91.516007000000002</v>
      </c>
      <c r="I1979" s="27">
        <v>6.9164469999999998</v>
      </c>
      <c r="K1979" s="27">
        <v>5.5498859999999999</v>
      </c>
      <c r="M1979" s="27">
        <v>724.30506400000002</v>
      </c>
      <c r="O1979" s="27">
        <v>3629.8278220000002</v>
      </c>
      <c r="Q1979" s="27">
        <v>6560.1106040000004</v>
      </c>
      <c r="S1979" s="27">
        <v>1182.0328549999999</v>
      </c>
      <c r="U1979" s="27">
        <v>3.7227160000000001</v>
      </c>
      <c r="W1979" s="27">
        <v>44.270701000000003</v>
      </c>
      <c r="Y1979" s="27">
        <v>7.97689</v>
      </c>
      <c r="AA1979" s="27">
        <v>611.46882400000004</v>
      </c>
      <c r="AC1979" s="27">
        <v>57.088648999999997</v>
      </c>
      <c r="AE1979" s="27">
        <v>1</v>
      </c>
      <c r="AG1979" s="27">
        <v>7.7257619999999996</v>
      </c>
      <c r="AI1979" s="27">
        <v>8.75</v>
      </c>
      <c r="AK1979" s="27">
        <v>24.104846999999999</v>
      </c>
      <c r="AM1979" s="27">
        <v>35.038792000000001</v>
      </c>
      <c r="AO1979" s="27">
        <v>6.797536</v>
      </c>
    </row>
    <row r="1980" spans="2:41" x14ac:dyDescent="0.25">
      <c r="B1980" s="21">
        <v>44280</v>
      </c>
      <c r="C1980" s="27">
        <v>20.7882</v>
      </c>
      <c r="E1980" s="27">
        <v>0.84758599999999995</v>
      </c>
      <c r="G1980" s="27">
        <v>91.579992000000004</v>
      </c>
      <c r="I1980" s="27">
        <v>6.9227639999999999</v>
      </c>
      <c r="K1980" s="27">
        <v>5.6359779999999997</v>
      </c>
      <c r="M1980" s="27">
        <v>727.70977200000004</v>
      </c>
      <c r="O1980" s="27">
        <v>3654.9776019999999</v>
      </c>
      <c r="Q1980" s="27">
        <v>6538.3255600000002</v>
      </c>
      <c r="S1980" s="27">
        <v>1160.1111920000001</v>
      </c>
      <c r="U1980" s="27">
        <v>3.7271700000000001</v>
      </c>
      <c r="W1980" s="27">
        <v>44.252226</v>
      </c>
      <c r="Y1980" s="27">
        <v>7.851763</v>
      </c>
      <c r="AA1980" s="27">
        <v>611.80420100000003</v>
      </c>
      <c r="AC1980" s="27">
        <v>56.985683000000002</v>
      </c>
      <c r="AE1980" s="27">
        <v>1</v>
      </c>
      <c r="AG1980" s="27">
        <v>7.7263359999999999</v>
      </c>
      <c r="AI1980" s="27">
        <v>8.75</v>
      </c>
      <c r="AK1980" s="27">
        <v>24.122769999999999</v>
      </c>
      <c r="AM1980" s="27">
        <v>35.042521999999998</v>
      </c>
      <c r="AO1980" s="27">
        <v>6.7967139999999997</v>
      </c>
    </row>
    <row r="1981" spans="2:41" x14ac:dyDescent="0.25">
      <c r="B1981" s="21">
        <v>44281</v>
      </c>
      <c r="C1981" s="27">
        <v>20.766200000000001</v>
      </c>
      <c r="E1981" s="27">
        <v>0.84844200000000003</v>
      </c>
      <c r="G1981" s="27">
        <v>91.770015999999998</v>
      </c>
      <c r="I1981" s="27">
        <v>6.9281980000000001</v>
      </c>
      <c r="K1981" s="27">
        <v>5.6890179999999999</v>
      </c>
      <c r="M1981" s="27">
        <v>728.25208399999997</v>
      </c>
      <c r="O1981" s="27">
        <v>3672.7733410000001</v>
      </c>
      <c r="Q1981" s="27">
        <v>6523.5484759999999</v>
      </c>
      <c r="S1981" s="27">
        <v>1146.6973860000001</v>
      </c>
      <c r="U1981" s="27">
        <v>3.7328700000000001</v>
      </c>
      <c r="W1981" s="27">
        <v>44.275534</v>
      </c>
      <c r="Y1981" s="27">
        <v>7.7826550000000001</v>
      </c>
      <c r="AA1981" s="27">
        <v>612.21563600000002</v>
      </c>
      <c r="AC1981" s="27">
        <v>56.981236000000003</v>
      </c>
      <c r="AE1981" s="27">
        <v>1</v>
      </c>
      <c r="AG1981" s="27">
        <v>7.7301659999999996</v>
      </c>
      <c r="AI1981" s="27">
        <v>8.75</v>
      </c>
      <c r="AK1981" s="27">
        <v>24.086179999999999</v>
      </c>
      <c r="AM1981" s="27">
        <v>35.135786000000003</v>
      </c>
      <c r="AO1981" s="27">
        <v>6.7980619999999998</v>
      </c>
    </row>
    <row r="1982" spans="2:41" x14ac:dyDescent="0.25">
      <c r="B1982" s="21">
        <v>44282</v>
      </c>
      <c r="C1982" s="27">
        <v>20.766200000000001</v>
      </c>
      <c r="E1982" s="27">
        <v>0.84785999999999995</v>
      </c>
      <c r="G1982" s="27">
        <v>91.860600000000005</v>
      </c>
      <c r="I1982" s="27">
        <v>6.9253359999999997</v>
      </c>
      <c r="K1982" s="27">
        <v>5.7560000000000002</v>
      </c>
      <c r="M1982" s="27">
        <v>732.88</v>
      </c>
      <c r="O1982" s="27">
        <v>3689.5675000000001</v>
      </c>
      <c r="Q1982" s="27">
        <v>6512.9483039999996</v>
      </c>
      <c r="S1982" s="27">
        <v>1131.512209</v>
      </c>
      <c r="U1982" s="27">
        <v>3.7342249999999999</v>
      </c>
      <c r="W1982" s="27">
        <v>44.327063000000003</v>
      </c>
      <c r="Y1982" s="27">
        <v>7.7010480000000001</v>
      </c>
      <c r="AA1982" s="27">
        <v>611.93750499999999</v>
      </c>
      <c r="AC1982" s="27">
        <v>56.972499999999997</v>
      </c>
      <c r="AE1982" s="27">
        <v>1</v>
      </c>
      <c r="AG1982" s="27">
        <v>7.7278739999999999</v>
      </c>
      <c r="AI1982" s="27">
        <v>8.75</v>
      </c>
      <c r="AK1982" s="27">
        <v>24.104199999999999</v>
      </c>
      <c r="AM1982" s="27">
        <v>35.074750000000002</v>
      </c>
      <c r="AO1982" s="27">
        <v>6.7961210000000003</v>
      </c>
    </row>
    <row r="1983" spans="2:41" x14ac:dyDescent="0.25">
      <c r="B1983" s="21">
        <v>44283</v>
      </c>
      <c r="C1983" s="27">
        <v>20.766200000000001</v>
      </c>
      <c r="E1983" s="27">
        <v>0.84789300000000001</v>
      </c>
      <c r="G1983" s="27">
        <v>91.865570000000005</v>
      </c>
      <c r="I1983" s="27">
        <v>6.9253359999999997</v>
      </c>
      <c r="K1983" s="27">
        <v>5.7560669999999998</v>
      </c>
      <c r="M1983" s="27">
        <v>732.88031899999999</v>
      </c>
      <c r="O1983" s="27">
        <v>3689.573222</v>
      </c>
      <c r="Q1983" s="27">
        <v>6512.9483039999996</v>
      </c>
      <c r="S1983" s="27">
        <v>1131.498836</v>
      </c>
      <c r="U1983" s="27">
        <v>3.7342249999999999</v>
      </c>
      <c r="W1983" s="27">
        <v>44.327063000000003</v>
      </c>
      <c r="Y1983" s="27">
        <v>7.7009569999999998</v>
      </c>
      <c r="AA1983" s="27">
        <v>611.93750499999999</v>
      </c>
      <c r="AC1983" s="27">
        <v>56.972499999999997</v>
      </c>
      <c r="AE1983" s="27">
        <v>1</v>
      </c>
      <c r="AG1983" s="27">
        <v>7.7278549999999999</v>
      </c>
      <c r="AI1983" s="27">
        <v>8.75</v>
      </c>
      <c r="AK1983" s="27">
        <v>24.104199999999999</v>
      </c>
      <c r="AM1983" s="27">
        <v>35.074750000000002</v>
      </c>
      <c r="AO1983" s="27">
        <v>6.7961210000000003</v>
      </c>
    </row>
    <row r="1984" spans="2:41" x14ac:dyDescent="0.25">
      <c r="B1984" s="21">
        <v>44284</v>
      </c>
      <c r="C1984" s="27">
        <v>20.567699999999999</v>
      </c>
      <c r="E1984" s="27">
        <v>0.84916199999999997</v>
      </c>
      <c r="G1984" s="27">
        <v>91.868504000000001</v>
      </c>
      <c r="I1984" s="27">
        <v>6.9208819999999998</v>
      </c>
      <c r="K1984" s="27">
        <v>5.7651700000000003</v>
      </c>
      <c r="M1984" s="27">
        <v>733.81863799999996</v>
      </c>
      <c r="O1984" s="27">
        <v>3700.5351540000001</v>
      </c>
      <c r="Q1984" s="27">
        <v>6484.7167740000004</v>
      </c>
      <c r="S1984" s="27">
        <v>1124.8150800000001</v>
      </c>
      <c r="U1984" s="27">
        <v>3.7378239999999998</v>
      </c>
      <c r="W1984" s="27">
        <v>44.381950000000003</v>
      </c>
      <c r="Y1984" s="27">
        <v>7.6983139999999999</v>
      </c>
      <c r="AA1984" s="27">
        <v>612.34572800000001</v>
      </c>
      <c r="AC1984" s="27">
        <v>56.878728000000002</v>
      </c>
      <c r="AE1984" s="27">
        <v>1</v>
      </c>
      <c r="AG1984" s="27">
        <v>7.7249610000000004</v>
      </c>
      <c r="AI1984" s="27">
        <v>8.75</v>
      </c>
      <c r="AK1984" s="27">
        <v>24.062802999999999</v>
      </c>
      <c r="AM1984" s="27">
        <v>35.037812000000002</v>
      </c>
      <c r="AO1984" s="27">
        <v>6.7955230000000002</v>
      </c>
    </row>
    <row r="1985" spans="2:41" x14ac:dyDescent="0.25">
      <c r="B1985" s="21">
        <v>44285</v>
      </c>
      <c r="C1985" s="27">
        <v>20.604700000000001</v>
      </c>
      <c r="E1985" s="27">
        <v>0.851908</v>
      </c>
      <c r="G1985" s="27">
        <v>91.933423000000005</v>
      </c>
      <c r="I1985" s="27">
        <v>6.91275</v>
      </c>
      <c r="K1985" s="27">
        <v>5.7716859999999999</v>
      </c>
      <c r="M1985" s="27">
        <v>732.28981999999996</v>
      </c>
      <c r="O1985" s="27">
        <v>3724.8035519999999</v>
      </c>
      <c r="Q1985" s="27">
        <v>6448.8963629999998</v>
      </c>
      <c r="S1985" s="27">
        <v>1117.339297</v>
      </c>
      <c r="U1985" s="27">
        <v>3.7404600000000001</v>
      </c>
      <c r="W1985" s="27">
        <v>44.444940000000003</v>
      </c>
      <c r="Y1985" s="27">
        <v>7.7005400000000002</v>
      </c>
      <c r="AA1985" s="27">
        <v>612.41146200000003</v>
      </c>
      <c r="AC1985" s="27">
        <v>56.885210999999998</v>
      </c>
      <c r="AE1985" s="27">
        <v>1</v>
      </c>
      <c r="AG1985" s="27">
        <v>7.7213760000000002</v>
      </c>
      <c r="AI1985" s="27">
        <v>8.75</v>
      </c>
      <c r="AK1985" s="27">
        <v>24.063023999999999</v>
      </c>
      <c r="AM1985" s="27">
        <v>34.987180000000002</v>
      </c>
      <c r="AO1985" s="27">
        <v>6.7967279999999999</v>
      </c>
    </row>
    <row r="1986" spans="2:41" x14ac:dyDescent="0.25">
      <c r="B1986" s="21">
        <v>44286</v>
      </c>
      <c r="C1986" s="27">
        <v>20.602499999999999</v>
      </c>
      <c r="E1986" s="27">
        <v>0.85267999999999999</v>
      </c>
      <c r="G1986" s="27">
        <v>91.965456000000003</v>
      </c>
      <c r="I1986" s="27">
        <v>6.9118219999999999</v>
      </c>
      <c r="K1986" s="27">
        <v>5.7202289999999998</v>
      </c>
      <c r="M1986" s="27">
        <v>724.86350200000004</v>
      </c>
      <c r="O1986" s="27">
        <v>3701.5818060000001</v>
      </c>
      <c r="Q1986" s="27">
        <v>6450.2068950000003</v>
      </c>
      <c r="S1986" s="27">
        <v>1127.619614</v>
      </c>
      <c r="U1986" s="27">
        <v>3.7644160000000002</v>
      </c>
      <c r="W1986" s="27">
        <v>44.511882</v>
      </c>
      <c r="Y1986" s="27">
        <v>7.7815110000000001</v>
      </c>
      <c r="AA1986" s="27">
        <v>613.31487800000002</v>
      </c>
      <c r="AC1986" s="27">
        <v>56.934232000000002</v>
      </c>
      <c r="AE1986" s="27">
        <v>1</v>
      </c>
      <c r="AG1986" s="27">
        <v>7.7193839999999998</v>
      </c>
      <c r="AI1986" s="27">
        <v>8.75</v>
      </c>
      <c r="AK1986" s="27">
        <v>24.064589999999999</v>
      </c>
      <c r="AM1986" s="27">
        <v>35.010314000000001</v>
      </c>
      <c r="AO1986" s="27">
        <v>6.7950879999999998</v>
      </c>
    </row>
    <row r="1987" spans="2:41" ht="13" x14ac:dyDescent="0.3">
      <c r="B1987" s="25" t="s">
        <v>119</v>
      </c>
      <c r="C1987" s="19">
        <v>20.754000000000001</v>
      </c>
      <c r="E1987" s="19">
        <v>0.84040000000000004</v>
      </c>
      <c r="G1987" s="19">
        <v>91.0214</v>
      </c>
      <c r="I1987" s="19">
        <v>6.9073000000000002</v>
      </c>
      <c r="K1987" s="19">
        <v>5.6378000000000004</v>
      </c>
      <c r="M1987" s="19">
        <v>726.0453</v>
      </c>
      <c r="O1987" s="19">
        <v>3616.3132000000001</v>
      </c>
      <c r="Q1987" s="19">
        <v>6590.3604999999998</v>
      </c>
      <c r="S1987" s="19">
        <v>1169.3181999999999</v>
      </c>
      <c r="U1987" s="19">
        <v>3.7054</v>
      </c>
      <c r="W1987" s="19">
        <v>44.201300000000003</v>
      </c>
      <c r="Y1987" s="19">
        <v>7.8426</v>
      </c>
      <c r="AA1987" s="19">
        <v>611.77790000000005</v>
      </c>
      <c r="AC1987" s="19">
        <v>57.384500000000003</v>
      </c>
      <c r="AE1987" s="19">
        <v>1</v>
      </c>
      <c r="AG1987" s="19">
        <v>7.7178000000000004</v>
      </c>
      <c r="AI1987" s="19">
        <v>8.75</v>
      </c>
      <c r="AK1987" s="19">
        <v>24.128699999999998</v>
      </c>
      <c r="AM1987" s="19">
        <v>35.003399999999999</v>
      </c>
      <c r="AO1987" s="19">
        <v>6.7923999999999998</v>
      </c>
    </row>
    <row r="1988" spans="2:41" x14ac:dyDescent="0.25">
      <c r="B1988" s="21">
        <v>44287</v>
      </c>
      <c r="C1988" s="27">
        <v>20.602499999999999</v>
      </c>
      <c r="E1988" s="27">
        <v>0.85113399999999995</v>
      </c>
      <c r="G1988" s="27">
        <v>91.870806999999999</v>
      </c>
      <c r="I1988" s="27">
        <v>6.9142669999999997</v>
      </c>
      <c r="K1988" s="27">
        <v>5.6644959999999998</v>
      </c>
      <c r="M1988" s="27">
        <v>718.73029399999996</v>
      </c>
      <c r="O1988" s="27">
        <v>3661.5996599999999</v>
      </c>
      <c r="Q1988" s="27">
        <v>6442.5745440000001</v>
      </c>
      <c r="S1988" s="27">
        <v>1137.3668849999999</v>
      </c>
      <c r="U1988" s="27">
        <v>3.7631109999999999</v>
      </c>
      <c r="W1988" s="27">
        <v>44.435046</v>
      </c>
      <c r="Y1988" s="27">
        <v>7.8445090000000004</v>
      </c>
      <c r="AA1988" s="27">
        <v>613.74436000000003</v>
      </c>
      <c r="AC1988" s="27">
        <v>56.916505000000001</v>
      </c>
      <c r="AE1988" s="27">
        <v>1</v>
      </c>
      <c r="AG1988" s="27">
        <v>7.7168659999999996</v>
      </c>
      <c r="AI1988" s="27">
        <v>8.75</v>
      </c>
      <c r="AK1988" s="27">
        <v>24.062802000000001</v>
      </c>
      <c r="AM1988" s="27">
        <v>35.033456000000001</v>
      </c>
      <c r="AO1988" s="27">
        <v>6.7913459999999999</v>
      </c>
    </row>
    <row r="1989" spans="2:41" x14ac:dyDescent="0.25">
      <c r="B1989" s="21">
        <v>44288</v>
      </c>
      <c r="C1989" s="27">
        <v>20.602499999999999</v>
      </c>
      <c r="E1989" s="27">
        <v>0.84965199999999996</v>
      </c>
      <c r="G1989" s="27">
        <v>91.712118000000004</v>
      </c>
      <c r="I1989" s="27">
        <v>6.9020359999999998</v>
      </c>
      <c r="K1989" s="27">
        <v>5.7083820000000003</v>
      </c>
      <c r="M1989" s="27">
        <v>717.11772099999996</v>
      </c>
      <c r="O1989" s="27">
        <v>3660.5104059999999</v>
      </c>
      <c r="Q1989" s="27">
        <v>6428.4153399999996</v>
      </c>
      <c r="S1989" s="27">
        <v>1126.1418940000001</v>
      </c>
      <c r="U1989" s="27">
        <v>3.7358579999999999</v>
      </c>
      <c r="W1989" s="27">
        <v>44.243299999999998</v>
      </c>
      <c r="Y1989" s="27">
        <v>7.7506050000000002</v>
      </c>
      <c r="AA1989" s="27">
        <v>612.75601800000004</v>
      </c>
      <c r="AC1989" s="27">
        <v>56.788952000000002</v>
      </c>
      <c r="AE1989" s="27">
        <v>1</v>
      </c>
      <c r="AG1989" s="27">
        <v>7.706512</v>
      </c>
      <c r="AI1989" s="27">
        <v>8.75</v>
      </c>
      <c r="AK1989" s="27">
        <v>24.037527999999998</v>
      </c>
      <c r="AM1989" s="27">
        <v>34.918387000000003</v>
      </c>
      <c r="AO1989" s="27">
        <v>6.780964</v>
      </c>
    </row>
    <row r="1990" spans="2:41" x14ac:dyDescent="0.25">
      <c r="B1990" s="21">
        <v>44289</v>
      </c>
      <c r="C1990" s="27">
        <v>20.602499999999999</v>
      </c>
      <c r="E1990" s="27">
        <v>0.85032600000000003</v>
      </c>
      <c r="G1990" s="27">
        <v>91.792567000000005</v>
      </c>
      <c r="I1990" s="27">
        <v>6.9013660000000003</v>
      </c>
      <c r="K1990" s="27">
        <v>5.7079750000000002</v>
      </c>
      <c r="M1990" s="27">
        <v>717.1</v>
      </c>
      <c r="O1990" s="27">
        <v>3660.5025000000001</v>
      </c>
      <c r="Q1990" s="27">
        <v>6428.0578779999996</v>
      </c>
      <c r="S1990" s="27">
        <v>1126.160668</v>
      </c>
      <c r="U1990" s="27">
        <v>3.7419750000000001</v>
      </c>
      <c r="W1990" s="27">
        <v>44.236666</v>
      </c>
      <c r="Y1990" s="27">
        <v>7.75</v>
      </c>
      <c r="AA1990" s="27">
        <v>612.72501199999999</v>
      </c>
      <c r="AC1990" s="27">
        <v>56.957500000000003</v>
      </c>
      <c r="AE1990" s="27">
        <v>1</v>
      </c>
      <c r="AG1990" s="27">
        <v>7.7064649999999997</v>
      </c>
      <c r="AI1990" s="27">
        <v>8.75</v>
      </c>
      <c r="AK1990" s="27">
        <v>24.085284000000001</v>
      </c>
      <c r="AM1990" s="27">
        <v>35.020499999999998</v>
      </c>
      <c r="AO1990" s="27">
        <v>6.7805679999999997</v>
      </c>
    </row>
    <row r="1991" spans="2:41" x14ac:dyDescent="0.25">
      <c r="B1991" s="21">
        <v>44290</v>
      </c>
      <c r="C1991" s="27">
        <v>20.602499999999999</v>
      </c>
      <c r="E1991" s="27">
        <v>0.85031599999999996</v>
      </c>
      <c r="G1991" s="27">
        <v>91.786445999999998</v>
      </c>
      <c r="I1991" s="27">
        <v>6.9013660000000003</v>
      </c>
      <c r="K1991" s="27">
        <v>5.7079760000000004</v>
      </c>
      <c r="M1991" s="27">
        <v>717.100866</v>
      </c>
      <c r="O1991" s="27">
        <v>3660.5055590000002</v>
      </c>
      <c r="Q1991" s="27">
        <v>6428.0578779999996</v>
      </c>
      <c r="S1991" s="27">
        <v>1126.1603540000001</v>
      </c>
      <c r="U1991" s="27">
        <v>3.7419750000000001</v>
      </c>
      <c r="W1991" s="27">
        <v>44.236666</v>
      </c>
      <c r="Y1991" s="27">
        <v>7.7499969999999996</v>
      </c>
      <c r="AA1991" s="27">
        <v>612.72501199999999</v>
      </c>
      <c r="AC1991" s="27">
        <v>56.957500000000003</v>
      </c>
      <c r="AE1991" s="27">
        <v>1</v>
      </c>
      <c r="AG1991" s="27">
        <v>7.7066569999999999</v>
      </c>
      <c r="AI1991" s="27">
        <v>8.75</v>
      </c>
      <c r="AK1991" s="27">
        <v>24.084973999999999</v>
      </c>
      <c r="AM1991" s="27">
        <v>35.016869999999997</v>
      </c>
      <c r="AO1991" s="27">
        <v>6.7805679999999997</v>
      </c>
    </row>
    <row r="1992" spans="2:41" x14ac:dyDescent="0.25">
      <c r="B1992" s="21">
        <v>44291</v>
      </c>
      <c r="C1992" s="27">
        <v>20.440000000000001</v>
      </c>
      <c r="E1992" s="27">
        <v>0.84879700000000002</v>
      </c>
      <c r="G1992" s="27">
        <v>91.615998000000005</v>
      </c>
      <c r="I1992" s="27">
        <v>6.9032679999999997</v>
      </c>
      <c r="K1992" s="27">
        <v>5.6868299999999996</v>
      </c>
      <c r="M1992" s="27">
        <v>718.07948999999996</v>
      </c>
      <c r="O1992" s="27">
        <v>3660.6231280000002</v>
      </c>
      <c r="Q1992" s="27">
        <v>6425.8973020000003</v>
      </c>
      <c r="S1992" s="27">
        <v>1129.9671020000001</v>
      </c>
      <c r="U1992" s="27">
        <v>3.7380260000000001</v>
      </c>
      <c r="W1992" s="27">
        <v>44.272818000000001</v>
      </c>
      <c r="Y1992" s="27">
        <v>7.7851699999999999</v>
      </c>
      <c r="AA1992" s="27">
        <v>613.07154600000001</v>
      </c>
      <c r="AC1992" s="27">
        <v>56.722493999999998</v>
      </c>
      <c r="AE1992" s="27">
        <v>1</v>
      </c>
      <c r="AG1992" s="27">
        <v>7.7081619999999997</v>
      </c>
      <c r="AI1992" s="27">
        <v>8.75</v>
      </c>
      <c r="AK1992" s="27">
        <v>24.010793</v>
      </c>
      <c r="AM1992" s="27">
        <v>34.868699999999997</v>
      </c>
      <c r="AO1992" s="27">
        <v>6.7825179999999996</v>
      </c>
    </row>
    <row r="1993" spans="2:41" x14ac:dyDescent="0.25">
      <c r="B1993" s="21">
        <v>44292</v>
      </c>
      <c r="C1993" s="27">
        <v>20.2483</v>
      </c>
      <c r="E1993" s="27">
        <v>0.84509800000000002</v>
      </c>
      <c r="G1993" s="27">
        <v>92.041405999999995</v>
      </c>
      <c r="I1993" s="27">
        <v>6.8962950000000003</v>
      </c>
      <c r="K1993" s="27">
        <v>5.6374269999999997</v>
      </c>
      <c r="M1993" s="27">
        <v>719.77541299999996</v>
      </c>
      <c r="O1993" s="27">
        <v>3658.6999930000002</v>
      </c>
      <c r="Q1993" s="27">
        <v>6408.2356739999996</v>
      </c>
      <c r="S1993" s="27">
        <v>1136.7370080000001</v>
      </c>
      <c r="U1993" s="27">
        <v>3.7019199999999999</v>
      </c>
      <c r="W1993" s="27">
        <v>44.160082000000003</v>
      </c>
      <c r="Y1993" s="27">
        <v>7.8334000000000001</v>
      </c>
      <c r="AA1993" s="27">
        <v>612.61083399999995</v>
      </c>
      <c r="AC1993" s="27">
        <v>56.706471000000001</v>
      </c>
      <c r="AE1993" s="27">
        <v>1</v>
      </c>
      <c r="AG1993" s="27">
        <v>7.700685</v>
      </c>
      <c r="AI1993" s="27">
        <v>8.75</v>
      </c>
      <c r="AK1993" s="27">
        <v>23.993362999999999</v>
      </c>
      <c r="AM1993" s="27">
        <v>34.835695999999999</v>
      </c>
      <c r="AO1993" s="27">
        <v>6.7780969999999998</v>
      </c>
    </row>
    <row r="1994" spans="2:41" x14ac:dyDescent="0.25">
      <c r="B1994" s="21">
        <v>44293</v>
      </c>
      <c r="C1994" s="27">
        <v>20.161200000000001</v>
      </c>
      <c r="E1994" s="27">
        <v>0.84189000000000003</v>
      </c>
      <c r="G1994" s="27">
        <v>92.160291999999998</v>
      </c>
      <c r="I1994" s="27">
        <v>6.8948539999999996</v>
      </c>
      <c r="K1994" s="27">
        <v>5.6000699999999997</v>
      </c>
      <c r="M1994" s="27">
        <v>716.01590599999997</v>
      </c>
      <c r="O1994" s="27">
        <v>3642.5208640000001</v>
      </c>
      <c r="Q1994" s="27">
        <v>6399.2131159999999</v>
      </c>
      <c r="S1994" s="27">
        <v>1142.7097160000001</v>
      </c>
      <c r="U1994" s="27">
        <v>3.6386919999999998</v>
      </c>
      <c r="W1994" s="27">
        <v>44.132224000000001</v>
      </c>
      <c r="Y1994" s="27">
        <v>7.8806859999999999</v>
      </c>
      <c r="AA1994" s="27">
        <v>612.59028999999998</v>
      </c>
      <c r="AC1994" s="27">
        <v>56.729570000000002</v>
      </c>
      <c r="AE1994" s="27">
        <v>1</v>
      </c>
      <c r="AG1994" s="27">
        <v>7.7045979999999998</v>
      </c>
      <c r="AI1994" s="27">
        <v>8.75</v>
      </c>
      <c r="AK1994" s="27">
        <v>23.999534000000001</v>
      </c>
      <c r="AM1994" s="27">
        <v>34.849145999999998</v>
      </c>
      <c r="AO1994" s="27">
        <v>6.7820369999999999</v>
      </c>
    </row>
    <row r="1995" spans="2:41" x14ac:dyDescent="0.25">
      <c r="B1995" s="21">
        <v>44294</v>
      </c>
      <c r="C1995" s="27">
        <v>20.176500000000001</v>
      </c>
      <c r="E1995" s="27">
        <v>0.84099999999999997</v>
      </c>
      <c r="G1995" s="27">
        <v>92.304406999999998</v>
      </c>
      <c r="I1995" s="27">
        <v>6.9059350000000004</v>
      </c>
      <c r="K1995" s="27">
        <v>5.5938639999999999</v>
      </c>
      <c r="M1995" s="27">
        <v>710.95004600000004</v>
      </c>
      <c r="O1995" s="27">
        <v>3644.7989280000002</v>
      </c>
      <c r="Q1995" s="27">
        <v>6376.3733860000002</v>
      </c>
      <c r="S1995" s="27">
        <v>1139.893294</v>
      </c>
      <c r="U1995" s="27">
        <v>3.6133579999999998</v>
      </c>
      <c r="W1995" s="27">
        <v>44.222518000000001</v>
      </c>
      <c r="Y1995" s="27">
        <v>7.9055660000000003</v>
      </c>
      <c r="AA1995" s="27">
        <v>613.11531300000001</v>
      </c>
      <c r="AC1995" s="27">
        <v>56.845675999999997</v>
      </c>
      <c r="AE1995" s="27">
        <v>1</v>
      </c>
      <c r="AG1995" s="27">
        <v>7.71767</v>
      </c>
      <c r="AI1995" s="27">
        <v>8.75</v>
      </c>
      <c r="AK1995" s="27">
        <v>24.038772999999999</v>
      </c>
      <c r="AM1995" s="27">
        <v>34.906177999999997</v>
      </c>
      <c r="AO1995" s="27">
        <v>6.7879139999999998</v>
      </c>
    </row>
    <row r="1996" spans="2:41" x14ac:dyDescent="0.25">
      <c r="B1996" s="21">
        <v>44295</v>
      </c>
      <c r="C1996" s="27">
        <v>20.088999999999999</v>
      </c>
      <c r="E1996" s="27">
        <v>0.84049399999999996</v>
      </c>
      <c r="G1996" s="27">
        <v>92.346019999999996</v>
      </c>
      <c r="I1996" s="27">
        <v>6.893421</v>
      </c>
      <c r="K1996" s="27">
        <v>5.6147320000000001</v>
      </c>
      <c r="M1996" s="27">
        <v>709.56990599999995</v>
      </c>
      <c r="O1996" s="27">
        <v>3641.0695949999999</v>
      </c>
      <c r="Q1996" s="27">
        <v>6336.0299000000005</v>
      </c>
      <c r="S1996" s="27">
        <v>1128.4714670000001</v>
      </c>
      <c r="U1996" s="27">
        <v>3.5939830000000001</v>
      </c>
      <c r="W1996" s="27">
        <v>44.023949999999999</v>
      </c>
      <c r="Y1996" s="27">
        <v>7.8408179999999996</v>
      </c>
      <c r="AA1996" s="27">
        <v>611.84284100000002</v>
      </c>
      <c r="AC1996" s="27">
        <v>56.739272999999997</v>
      </c>
      <c r="AE1996" s="27">
        <v>1</v>
      </c>
      <c r="AG1996" s="27">
        <v>7.7051660000000002</v>
      </c>
      <c r="AI1996" s="27">
        <v>8.75</v>
      </c>
      <c r="AK1996" s="27">
        <v>23.996704000000001</v>
      </c>
      <c r="AM1996" s="27">
        <v>34.847104000000002</v>
      </c>
      <c r="AO1996" s="27">
        <v>6.7711639999999997</v>
      </c>
    </row>
    <row r="1997" spans="2:41" x14ac:dyDescent="0.25">
      <c r="B1997" s="21">
        <v>44296</v>
      </c>
      <c r="C1997" s="27">
        <v>20.088999999999999</v>
      </c>
      <c r="E1997" s="27">
        <v>0.84035000000000004</v>
      </c>
      <c r="G1997" s="27">
        <v>92.349311999999998</v>
      </c>
      <c r="I1997" s="27">
        <v>6.8984880000000004</v>
      </c>
      <c r="K1997" s="27">
        <v>5.6813000000000002</v>
      </c>
      <c r="M1997" s="27">
        <v>710.6</v>
      </c>
      <c r="O1997" s="27">
        <v>3658.3425000000002</v>
      </c>
      <c r="Q1997" s="27">
        <v>6336.4524160000001</v>
      </c>
      <c r="S1997" s="27">
        <v>1115.322512</v>
      </c>
      <c r="U1997" s="27">
        <v>3.5924719999999999</v>
      </c>
      <c r="W1997" s="27">
        <v>43.987416000000003</v>
      </c>
      <c r="Y1997" s="27">
        <v>7.7425160000000002</v>
      </c>
      <c r="AA1997" s="27">
        <v>612.420928</v>
      </c>
      <c r="AC1997" s="27">
        <v>56.774262</v>
      </c>
      <c r="AE1997" s="27">
        <v>1</v>
      </c>
      <c r="AG1997" s="27">
        <v>7.7113620000000003</v>
      </c>
      <c r="AI1997" s="27">
        <v>8.75</v>
      </c>
      <c r="AK1997" s="27">
        <v>24.015008000000002</v>
      </c>
      <c r="AM1997" s="27">
        <v>34.877670000000002</v>
      </c>
      <c r="AO1997" s="27">
        <v>6.7766510000000002</v>
      </c>
    </row>
    <row r="1998" spans="2:41" x14ac:dyDescent="0.25">
      <c r="B1998" s="21">
        <v>44297</v>
      </c>
      <c r="C1998" s="27">
        <v>20.088999999999999</v>
      </c>
      <c r="E1998" s="27">
        <v>0.84035599999999999</v>
      </c>
      <c r="G1998" s="27">
        <v>92.328593999999995</v>
      </c>
      <c r="I1998" s="27">
        <v>6.8984880000000004</v>
      </c>
      <c r="K1998" s="27">
        <v>5.6813500000000001</v>
      </c>
      <c r="M1998" s="27">
        <v>710.60996899999998</v>
      </c>
      <c r="O1998" s="27">
        <v>3658.3632419999999</v>
      </c>
      <c r="Q1998" s="27">
        <v>6336.4524160000001</v>
      </c>
      <c r="S1998" s="27">
        <v>1115.312835</v>
      </c>
      <c r="U1998" s="27">
        <v>3.5924719999999999</v>
      </c>
      <c r="W1998" s="27">
        <v>43.987416000000003</v>
      </c>
      <c r="Y1998" s="27">
        <v>7.7424480000000004</v>
      </c>
      <c r="AA1998" s="27">
        <v>612.420928</v>
      </c>
      <c r="AC1998" s="27">
        <v>56.774141999999998</v>
      </c>
      <c r="AE1998" s="27">
        <v>1</v>
      </c>
      <c r="AG1998" s="27">
        <v>7.7111580000000002</v>
      </c>
      <c r="AI1998" s="27">
        <v>8.75</v>
      </c>
      <c r="AK1998" s="27">
        <v>24.015008000000002</v>
      </c>
      <c r="AM1998" s="27">
        <v>34.877670000000002</v>
      </c>
      <c r="AO1998" s="27">
        <v>6.7766510000000002</v>
      </c>
    </row>
    <row r="1999" spans="2:41" x14ac:dyDescent="0.25">
      <c r="B1999" s="21">
        <v>44298</v>
      </c>
      <c r="C1999" s="27">
        <v>20.163</v>
      </c>
      <c r="E1999" s="27">
        <v>0.84019600000000005</v>
      </c>
      <c r="G1999" s="27">
        <v>92.425922</v>
      </c>
      <c r="I1999" s="27">
        <v>6.8962310000000002</v>
      </c>
      <c r="K1999" s="27">
        <v>5.6894819999999999</v>
      </c>
      <c r="M1999" s="27">
        <v>711.00161900000001</v>
      </c>
      <c r="O1999" s="27">
        <v>3659.079385</v>
      </c>
      <c r="Q1999" s="27">
        <v>6247.3627040000001</v>
      </c>
      <c r="S1999" s="27">
        <v>1098.0607440000001</v>
      </c>
      <c r="U1999" s="27">
        <v>3.6127060000000002</v>
      </c>
      <c r="W1999" s="27">
        <v>44.012751999999999</v>
      </c>
      <c r="Y1999" s="27">
        <v>7.7358339999999997</v>
      </c>
      <c r="AA1999" s="27">
        <v>612.08341399999995</v>
      </c>
      <c r="AC1999" s="27">
        <v>56.844810000000003</v>
      </c>
      <c r="AE1999" s="27">
        <v>1</v>
      </c>
      <c r="AG1999" s="27">
        <v>7.7110300000000001</v>
      </c>
      <c r="AI1999" s="27">
        <v>8.75</v>
      </c>
      <c r="AK1999" s="27">
        <v>24.037853999999999</v>
      </c>
      <c r="AM1999" s="27">
        <v>34.959691999999997</v>
      </c>
      <c r="AO1999" s="27">
        <v>6.7726290000000002</v>
      </c>
    </row>
    <row r="2000" spans="2:41" x14ac:dyDescent="0.25">
      <c r="B2000" s="21">
        <v>44299</v>
      </c>
      <c r="C2000" s="27">
        <v>20.094999999999999</v>
      </c>
      <c r="E2000" s="27">
        <v>0.83906400000000003</v>
      </c>
      <c r="G2000" s="27">
        <v>92.596018000000001</v>
      </c>
      <c r="I2000" s="27">
        <v>6.8954680000000002</v>
      </c>
      <c r="K2000" s="27">
        <v>5.7210599999999996</v>
      </c>
      <c r="M2000" s="27">
        <v>710.930342</v>
      </c>
      <c r="O2000" s="27">
        <v>3665.62417</v>
      </c>
      <c r="Q2000" s="27">
        <v>6243.9900239999997</v>
      </c>
      <c r="S2000" s="27">
        <v>1091.4105910000001</v>
      </c>
      <c r="U2000" s="27">
        <v>3.6206649999999998</v>
      </c>
      <c r="W2000" s="27">
        <v>44.106051000000001</v>
      </c>
      <c r="Y2000" s="27">
        <v>7.7094459999999998</v>
      </c>
      <c r="AA2000" s="27">
        <v>612.45451100000002</v>
      </c>
      <c r="AC2000" s="27">
        <v>56.949331999999998</v>
      </c>
      <c r="AE2000" s="27">
        <v>1</v>
      </c>
      <c r="AG2000" s="27">
        <v>7.7135720000000001</v>
      </c>
      <c r="AI2000" s="27">
        <v>8.75</v>
      </c>
      <c r="AK2000" s="27">
        <v>24.068767999999999</v>
      </c>
      <c r="AM2000" s="27">
        <v>35.065890000000003</v>
      </c>
      <c r="AO2000" s="27">
        <v>6.7785580000000003</v>
      </c>
    </row>
    <row r="2001" spans="2:41" x14ac:dyDescent="0.25">
      <c r="B2001" s="21">
        <v>44300</v>
      </c>
      <c r="C2001" s="27">
        <v>20.073499999999999</v>
      </c>
      <c r="E2001" s="27">
        <v>0.83559399999999995</v>
      </c>
      <c r="G2001" s="27">
        <v>92.647283000000002</v>
      </c>
      <c r="I2001" s="27">
        <v>6.89527</v>
      </c>
      <c r="K2001" s="27">
        <v>5.6974939999999998</v>
      </c>
      <c r="M2001" s="27">
        <v>708.17721400000005</v>
      </c>
      <c r="O2001" s="27">
        <v>3665.0201699999998</v>
      </c>
      <c r="Q2001" s="27">
        <v>6257.7643420000004</v>
      </c>
      <c r="S2001" s="27">
        <v>1098.342142</v>
      </c>
      <c r="U2001" s="27">
        <v>3.624981</v>
      </c>
      <c r="W2001" s="27">
        <v>44.197194000000003</v>
      </c>
      <c r="Y2001" s="27">
        <v>7.7573299999999996</v>
      </c>
      <c r="AA2001" s="27">
        <v>612.57193900000004</v>
      </c>
      <c r="AC2001" s="27">
        <v>56.949266999999999</v>
      </c>
      <c r="AE2001" s="27">
        <v>1</v>
      </c>
      <c r="AG2001" s="27">
        <v>7.7140279999999999</v>
      </c>
      <c r="AI2001" s="27">
        <v>8.75</v>
      </c>
      <c r="AK2001" s="27">
        <v>24.064419000000001</v>
      </c>
      <c r="AM2001" s="27">
        <v>35.045346000000002</v>
      </c>
      <c r="AO2001" s="27">
        <v>6.7834019999999997</v>
      </c>
    </row>
    <row r="2002" spans="2:41" x14ac:dyDescent="0.25">
      <c r="B2002" s="21">
        <v>44301</v>
      </c>
      <c r="C2002" s="27">
        <v>20.058299999999999</v>
      </c>
      <c r="E2002" s="27">
        <v>0.835202</v>
      </c>
      <c r="G2002" s="27">
        <v>92.690724000000003</v>
      </c>
      <c r="I2002" s="27">
        <v>6.8975</v>
      </c>
      <c r="K2002" s="27">
        <v>5.6370769999999997</v>
      </c>
      <c r="M2002" s="27">
        <v>704.96447599999999</v>
      </c>
      <c r="O2002" s="27">
        <v>3638.4959140000001</v>
      </c>
      <c r="Q2002" s="27">
        <v>6269.0970960000004</v>
      </c>
      <c r="S2002" s="27">
        <v>1112.124658</v>
      </c>
      <c r="U2002" s="27">
        <v>3.628342</v>
      </c>
      <c r="W2002" s="27">
        <v>44.231347</v>
      </c>
      <c r="Y2002" s="27">
        <v>7.8465280000000002</v>
      </c>
      <c r="AA2002" s="27">
        <v>612.57035900000005</v>
      </c>
      <c r="AC2002" s="27">
        <v>56.958267999999997</v>
      </c>
      <c r="AE2002" s="27">
        <v>1</v>
      </c>
      <c r="AG2002" s="27">
        <v>7.7137029999999998</v>
      </c>
      <c r="AI2002" s="27">
        <v>8.75</v>
      </c>
      <c r="AK2002" s="27">
        <v>24.063958</v>
      </c>
      <c r="AM2002" s="27">
        <v>35.061459999999997</v>
      </c>
      <c r="AO2002" s="27">
        <v>6.7855080000000001</v>
      </c>
    </row>
    <row r="2003" spans="2:41" x14ac:dyDescent="0.25">
      <c r="B2003" s="21">
        <v>44302</v>
      </c>
      <c r="C2003" s="27">
        <v>19.927</v>
      </c>
      <c r="E2003" s="27">
        <v>0.83509599999999995</v>
      </c>
      <c r="G2003" s="27">
        <v>92.748043999999993</v>
      </c>
      <c r="I2003" s="27">
        <v>6.9017379999999999</v>
      </c>
      <c r="K2003" s="27">
        <v>5.6106170000000004</v>
      </c>
      <c r="M2003" s="27">
        <v>700.415482</v>
      </c>
      <c r="O2003" s="27">
        <v>3607.5952179999999</v>
      </c>
      <c r="Q2003" s="27">
        <v>6306.0910290000002</v>
      </c>
      <c r="S2003" s="27">
        <v>1123.965132</v>
      </c>
      <c r="U2003" s="27">
        <v>3.6285120000000002</v>
      </c>
      <c r="W2003" s="27">
        <v>44.176237999999998</v>
      </c>
      <c r="Y2003" s="27">
        <v>7.8737240000000002</v>
      </c>
      <c r="AA2003" s="27">
        <v>612.69324099999994</v>
      </c>
      <c r="AC2003" s="27">
        <v>56.948448999999997</v>
      </c>
      <c r="AE2003" s="27">
        <v>1</v>
      </c>
      <c r="AG2003" s="27">
        <v>7.7140040000000001</v>
      </c>
      <c r="AI2003" s="27">
        <v>8.75</v>
      </c>
      <c r="AK2003" s="27">
        <v>24.06831</v>
      </c>
      <c r="AM2003" s="27">
        <v>35.071156000000002</v>
      </c>
      <c r="AO2003" s="27">
        <v>6.7843309999999999</v>
      </c>
    </row>
    <row r="2004" spans="2:41" x14ac:dyDescent="0.25">
      <c r="B2004" s="21">
        <v>44303</v>
      </c>
      <c r="C2004" s="27">
        <v>19.927</v>
      </c>
      <c r="E2004" s="27">
        <v>0.83457199999999998</v>
      </c>
      <c r="G2004" s="27">
        <v>92.793424999999999</v>
      </c>
      <c r="I2004" s="27">
        <v>6.9037459999999999</v>
      </c>
      <c r="K2004" s="27">
        <v>5.5880999999999998</v>
      </c>
      <c r="M2004" s="27">
        <v>702.77499999999998</v>
      </c>
      <c r="O2004" s="27">
        <v>3602.8525</v>
      </c>
      <c r="Q2004" s="27">
        <v>6338.8598080000002</v>
      </c>
      <c r="S2004" s="27">
        <v>1134.3550560000001</v>
      </c>
      <c r="U2004" s="27">
        <v>3.6312250000000001</v>
      </c>
      <c r="W2004" s="27">
        <v>44.204577999999998</v>
      </c>
      <c r="Y2004" s="27">
        <v>7.9105090000000002</v>
      </c>
      <c r="AA2004" s="27">
        <v>612.80280600000003</v>
      </c>
      <c r="AC2004" s="27">
        <v>56.9375</v>
      </c>
      <c r="AE2004" s="27">
        <v>1</v>
      </c>
      <c r="AG2004" s="27">
        <v>7.7147699999999997</v>
      </c>
      <c r="AI2004" s="27">
        <v>8.75</v>
      </c>
      <c r="AK2004" s="27">
        <v>24.075749999999999</v>
      </c>
      <c r="AM2004" s="27">
        <v>35.08475</v>
      </c>
      <c r="AO2004" s="27">
        <v>6.7833889999999997</v>
      </c>
    </row>
    <row r="2005" spans="2:41" x14ac:dyDescent="0.25">
      <c r="B2005" s="21">
        <v>44304</v>
      </c>
      <c r="C2005" s="27">
        <v>19.927</v>
      </c>
      <c r="E2005" s="27">
        <v>0.83465199999999995</v>
      </c>
      <c r="G2005" s="27">
        <v>92.801056000000003</v>
      </c>
      <c r="I2005" s="27">
        <v>6.9049269999999998</v>
      </c>
      <c r="K2005" s="27">
        <v>5.5881150000000002</v>
      </c>
      <c r="M2005" s="27">
        <v>702.77724000000001</v>
      </c>
      <c r="O2005" s="27">
        <v>3604.0510199999999</v>
      </c>
      <c r="Q2005" s="27">
        <v>6340.5892560000002</v>
      </c>
      <c r="S2005" s="27">
        <v>1134.6616019999999</v>
      </c>
      <c r="U2005" s="27">
        <v>3.6310560000000001</v>
      </c>
      <c r="W2005" s="27">
        <v>44.201256000000001</v>
      </c>
      <c r="Y2005" s="27">
        <v>7.9098940000000004</v>
      </c>
      <c r="AA2005" s="27">
        <v>612.89812600000005</v>
      </c>
      <c r="AC2005" s="27">
        <v>56.936985</v>
      </c>
      <c r="AE2005" s="27">
        <v>1</v>
      </c>
      <c r="AG2005" s="27">
        <v>7.7158040000000003</v>
      </c>
      <c r="AI2005" s="27">
        <v>8.75</v>
      </c>
      <c r="AK2005" s="27">
        <v>24.074425999999999</v>
      </c>
      <c r="AM2005" s="27">
        <v>35.08475</v>
      </c>
      <c r="AO2005" s="27">
        <v>6.7843600000000004</v>
      </c>
    </row>
    <row r="2006" spans="2:41" x14ac:dyDescent="0.25">
      <c r="B2006" s="21">
        <v>44305</v>
      </c>
      <c r="C2006" s="27">
        <v>19.915800000000001</v>
      </c>
      <c r="E2006" s="27">
        <v>0.83264199999999999</v>
      </c>
      <c r="G2006" s="27">
        <v>92.856470000000002</v>
      </c>
      <c r="I2006" s="27">
        <v>6.9192119999999999</v>
      </c>
      <c r="K2006" s="27">
        <v>5.5763800000000003</v>
      </c>
      <c r="M2006" s="27">
        <v>701.79702799999995</v>
      </c>
      <c r="O2006" s="27">
        <v>3617.2601079999999</v>
      </c>
      <c r="Q2006" s="27">
        <v>6431.2239849999996</v>
      </c>
      <c r="S2006" s="27">
        <v>1153.3089190000001</v>
      </c>
      <c r="U2006" s="27">
        <v>3.637292</v>
      </c>
      <c r="W2006" s="27">
        <v>44.198472000000002</v>
      </c>
      <c r="Y2006" s="27">
        <v>7.9260659999999996</v>
      </c>
      <c r="AA2006" s="27">
        <v>614.33762200000001</v>
      </c>
      <c r="AC2006" s="27">
        <v>56.957650000000001</v>
      </c>
      <c r="AE2006" s="27">
        <v>1</v>
      </c>
      <c r="AG2006" s="27">
        <v>7.7295309999999997</v>
      </c>
      <c r="AI2006" s="27">
        <v>8.75</v>
      </c>
      <c r="AK2006" s="27">
        <v>24.085543000000001</v>
      </c>
      <c r="AM2006" s="27">
        <v>35.002755999999998</v>
      </c>
      <c r="AO2006" s="27">
        <v>6.8001360000000002</v>
      </c>
    </row>
    <row r="2007" spans="2:41" x14ac:dyDescent="0.25">
      <c r="B2007" s="21">
        <v>44306</v>
      </c>
      <c r="C2007" s="27">
        <v>19.814499999999999</v>
      </c>
      <c r="E2007" s="27">
        <v>0.83010200000000001</v>
      </c>
      <c r="G2007" s="27">
        <v>92.944578000000007</v>
      </c>
      <c r="I2007" s="27">
        <v>6.9077390000000003</v>
      </c>
      <c r="K2007" s="27">
        <v>5.5460240000000001</v>
      </c>
      <c r="M2007" s="27">
        <v>698.93048199999998</v>
      </c>
      <c r="O2007" s="27">
        <v>3632.2032789999998</v>
      </c>
      <c r="Q2007" s="27">
        <v>6423.6076880000001</v>
      </c>
      <c r="S2007" s="27">
        <v>1158.243023</v>
      </c>
      <c r="U2007" s="27">
        <v>3.6701600000000001</v>
      </c>
      <c r="W2007" s="27">
        <v>44.239710000000002</v>
      </c>
      <c r="Y2007" s="27">
        <v>7.9768610000000004</v>
      </c>
      <c r="AA2007" s="27">
        <v>613.87789099999998</v>
      </c>
      <c r="AC2007" s="27">
        <v>56.955475999999997</v>
      </c>
      <c r="AE2007" s="27">
        <v>1</v>
      </c>
      <c r="AG2007" s="27">
        <v>7.7193319999999996</v>
      </c>
      <c r="AI2007" s="27">
        <v>8.75</v>
      </c>
      <c r="AK2007" s="27">
        <v>24.074306</v>
      </c>
      <c r="AM2007" s="27">
        <v>35.064239000000001</v>
      </c>
      <c r="AO2007" s="27">
        <v>6.797002</v>
      </c>
    </row>
    <row r="2008" spans="2:41" x14ac:dyDescent="0.25">
      <c r="B2008" s="21">
        <v>44307</v>
      </c>
      <c r="C2008" s="27">
        <v>19.887699999999999</v>
      </c>
      <c r="E2008" s="27">
        <v>0.83159700000000003</v>
      </c>
      <c r="G2008" s="27">
        <v>92.983952000000002</v>
      </c>
      <c r="I2008" s="27">
        <v>6.9040280000000003</v>
      </c>
      <c r="K2008" s="27">
        <v>5.5693549999999998</v>
      </c>
      <c r="M2008" s="27">
        <v>697.20475799999997</v>
      </c>
      <c r="O2008" s="27">
        <v>3636.7443480000002</v>
      </c>
      <c r="Q2008" s="27">
        <v>6441.2788229999996</v>
      </c>
      <c r="S2008" s="27">
        <v>1156.56358</v>
      </c>
      <c r="U2008" s="27">
        <v>3.6973799999999999</v>
      </c>
      <c r="W2008" s="27">
        <v>44.263337</v>
      </c>
      <c r="Y2008" s="27">
        <v>7.9476839999999997</v>
      </c>
      <c r="AA2008" s="27">
        <v>613.98271499999998</v>
      </c>
      <c r="AC2008" s="27">
        <v>56.958378000000003</v>
      </c>
      <c r="AE2008" s="27">
        <v>1</v>
      </c>
      <c r="AG2008" s="27">
        <v>7.715522</v>
      </c>
      <c r="AI2008" s="27">
        <v>8.75</v>
      </c>
      <c r="AK2008" s="27">
        <v>24.062004999999999</v>
      </c>
      <c r="AM2008" s="27">
        <v>35.100700000000003</v>
      </c>
      <c r="AO2008" s="27">
        <v>6.7949349999999997</v>
      </c>
    </row>
    <row r="2009" spans="2:41" x14ac:dyDescent="0.25">
      <c r="B2009" s="21">
        <v>44308</v>
      </c>
      <c r="C2009" s="27">
        <v>19.873999999999999</v>
      </c>
      <c r="E2009" s="27">
        <v>0.83131299999999997</v>
      </c>
      <c r="G2009" s="27">
        <v>93.006928000000002</v>
      </c>
      <c r="I2009" s="27">
        <v>6.9039919999999997</v>
      </c>
      <c r="K2009" s="27">
        <v>5.5216380000000003</v>
      </c>
      <c r="M2009" s="27">
        <v>702.13611500000002</v>
      </c>
      <c r="O2009" s="27">
        <v>3623.67292</v>
      </c>
      <c r="Q2009" s="27">
        <v>6448.3756729999996</v>
      </c>
      <c r="S2009" s="27">
        <v>1167.8440439999999</v>
      </c>
      <c r="U2009" s="27">
        <v>3.7275619999999998</v>
      </c>
      <c r="W2009" s="27">
        <v>44.210096</v>
      </c>
      <c r="Y2009" s="27">
        <v>8.0067260000000005</v>
      </c>
      <c r="AA2009" s="27">
        <v>614.27008499999999</v>
      </c>
      <c r="AC2009" s="27">
        <v>56.929380000000002</v>
      </c>
      <c r="AE2009" s="27">
        <v>1</v>
      </c>
      <c r="AG2009" s="27">
        <v>7.7150790000000002</v>
      </c>
      <c r="AI2009" s="27">
        <v>8.75</v>
      </c>
      <c r="AK2009" s="27">
        <v>24.077121000000002</v>
      </c>
      <c r="AM2009" s="27">
        <v>35.109496999999998</v>
      </c>
      <c r="AO2009" s="27">
        <v>6.7918580000000004</v>
      </c>
    </row>
    <row r="2010" spans="2:41" x14ac:dyDescent="0.25">
      <c r="B2010" s="21">
        <v>44309</v>
      </c>
      <c r="C2010" s="27">
        <v>19.886500000000002</v>
      </c>
      <c r="E2010" s="27">
        <v>0.82925899999999997</v>
      </c>
      <c r="G2010" s="27">
        <v>93.098133000000004</v>
      </c>
      <c r="I2010" s="27">
        <v>6.9045329999999998</v>
      </c>
      <c r="K2010" s="27">
        <v>5.4631639999999999</v>
      </c>
      <c r="M2010" s="27">
        <v>709.61503700000003</v>
      </c>
      <c r="O2010" s="27">
        <v>3634.6593539999999</v>
      </c>
      <c r="Q2010" s="27">
        <v>6452.8063199999997</v>
      </c>
      <c r="S2010" s="27">
        <v>1181.15497</v>
      </c>
      <c r="U2010" s="27">
        <v>3.7654730000000001</v>
      </c>
      <c r="W2010" s="27">
        <v>44.172843</v>
      </c>
      <c r="Y2010" s="27">
        <v>8.0856060000000003</v>
      </c>
      <c r="AA2010" s="27">
        <v>614.39018799999997</v>
      </c>
      <c r="AC2010" s="27">
        <v>56.906626000000003</v>
      </c>
      <c r="AE2010" s="27">
        <v>1</v>
      </c>
      <c r="AG2010" s="27">
        <v>7.7157200000000001</v>
      </c>
      <c r="AI2010" s="27">
        <v>8.75</v>
      </c>
      <c r="AK2010" s="27">
        <v>24.073988</v>
      </c>
      <c r="AM2010" s="27">
        <v>35.088160999999999</v>
      </c>
      <c r="AO2010" s="27">
        <v>6.7932240000000004</v>
      </c>
    </row>
    <row r="2011" spans="2:41" x14ac:dyDescent="0.25">
      <c r="B2011" s="21">
        <v>44310</v>
      </c>
      <c r="C2011" s="27">
        <v>19.886500000000002</v>
      </c>
      <c r="E2011" s="27">
        <v>0.82664400000000005</v>
      </c>
      <c r="G2011" s="27">
        <v>93.144300000000001</v>
      </c>
      <c r="I2011" s="27">
        <v>6.9054659999999997</v>
      </c>
      <c r="K2011" s="27">
        <v>5.4757499999999997</v>
      </c>
      <c r="M2011" s="27">
        <v>713.4</v>
      </c>
      <c r="O2011" s="27">
        <v>3629.2624999999998</v>
      </c>
      <c r="Q2011" s="27">
        <v>6457.0272720000003</v>
      </c>
      <c r="S2011" s="27">
        <v>1179.2096799999999</v>
      </c>
      <c r="U2011" s="27">
        <v>3.7839999999999998</v>
      </c>
      <c r="W2011" s="27">
        <v>44.150033999999998</v>
      </c>
      <c r="Y2011" s="27">
        <v>8.0628480000000007</v>
      </c>
      <c r="AA2011" s="27">
        <v>614.50676999999996</v>
      </c>
      <c r="AC2011" s="27">
        <v>56.897500000000001</v>
      </c>
      <c r="AE2011" s="27">
        <v>1</v>
      </c>
      <c r="AG2011" s="27">
        <v>7.7170319999999997</v>
      </c>
      <c r="AI2011" s="27">
        <v>8.75</v>
      </c>
      <c r="AK2011" s="27">
        <v>24.084900000000001</v>
      </c>
      <c r="AM2011" s="27">
        <v>35.142249999999997</v>
      </c>
      <c r="AO2011" s="27">
        <v>6.795032</v>
      </c>
    </row>
    <row r="2012" spans="2:41" x14ac:dyDescent="0.25">
      <c r="B2012" s="21">
        <v>44311</v>
      </c>
      <c r="C2012" s="27">
        <v>19.886500000000002</v>
      </c>
      <c r="E2012" s="27">
        <v>0.826677</v>
      </c>
      <c r="G2012" s="27">
        <v>93.146876000000006</v>
      </c>
      <c r="I2012" s="27">
        <v>6.9054659999999997</v>
      </c>
      <c r="K2012" s="27">
        <v>5.4757809999999996</v>
      </c>
      <c r="M2012" s="27">
        <v>713.4</v>
      </c>
      <c r="O2012" s="27">
        <v>3629.260546</v>
      </c>
      <c r="Q2012" s="27">
        <v>6457.0272720000003</v>
      </c>
      <c r="S2012" s="27">
        <v>1179.2034719999999</v>
      </c>
      <c r="U2012" s="27">
        <v>3.7839999999999998</v>
      </c>
      <c r="W2012" s="27">
        <v>44.150033999999998</v>
      </c>
      <c r="Y2012" s="27">
        <v>8.0628039999999999</v>
      </c>
      <c r="AA2012" s="27">
        <v>614.50676999999996</v>
      </c>
      <c r="AC2012" s="27">
        <v>56.897500000000001</v>
      </c>
      <c r="AE2012" s="27">
        <v>1</v>
      </c>
      <c r="AG2012" s="27">
        <v>7.7157049999999998</v>
      </c>
      <c r="AI2012" s="27">
        <v>8.75</v>
      </c>
      <c r="AK2012" s="27">
        <v>24.084900000000001</v>
      </c>
      <c r="AM2012" s="27">
        <v>35.142249999999997</v>
      </c>
      <c r="AO2012" s="27">
        <v>6.795032</v>
      </c>
    </row>
    <row r="2013" spans="2:41" x14ac:dyDescent="0.25">
      <c r="B2013" s="21">
        <v>44312</v>
      </c>
      <c r="C2013" s="27">
        <v>19.869499999999999</v>
      </c>
      <c r="E2013" s="27">
        <v>0.82691599999999998</v>
      </c>
      <c r="G2013" s="27">
        <v>93.115048999999999</v>
      </c>
      <c r="I2013" s="27">
        <v>6.8960330000000001</v>
      </c>
      <c r="K2013" s="27">
        <v>5.4628889999999997</v>
      </c>
      <c r="M2013" s="27">
        <v>709.73841100000004</v>
      </c>
      <c r="O2013" s="27">
        <v>3650.4603339999999</v>
      </c>
      <c r="Q2013" s="27">
        <v>6460.1468629999999</v>
      </c>
      <c r="S2013" s="27">
        <v>1182.5590119999999</v>
      </c>
      <c r="U2013" s="27">
        <v>3.8018619999999999</v>
      </c>
      <c r="W2013" s="27">
        <v>44.113813999999998</v>
      </c>
      <c r="Y2013" s="27">
        <v>8.0752100000000002</v>
      </c>
      <c r="AA2013" s="27">
        <v>613.02984400000003</v>
      </c>
      <c r="AC2013" s="27">
        <v>56.767651999999998</v>
      </c>
      <c r="AE2013" s="27">
        <v>1</v>
      </c>
      <c r="AG2013" s="27">
        <v>7.7075940000000003</v>
      </c>
      <c r="AI2013" s="27">
        <v>8.75</v>
      </c>
      <c r="AK2013" s="27">
        <v>23.999419</v>
      </c>
      <c r="AM2013" s="27">
        <v>35.046582999999998</v>
      </c>
      <c r="AO2013" s="27">
        <v>6.7909560000000004</v>
      </c>
    </row>
    <row r="2014" spans="2:41" x14ac:dyDescent="0.25">
      <c r="B2014" s="21">
        <v>44313</v>
      </c>
      <c r="C2014" s="27">
        <v>19.836200000000002</v>
      </c>
      <c r="E2014" s="27">
        <v>0.82794800000000002</v>
      </c>
      <c r="G2014" s="27">
        <v>93.296610000000001</v>
      </c>
      <c r="I2014" s="27">
        <v>6.8939769999999996</v>
      </c>
      <c r="K2014" s="27">
        <v>5.4407860000000001</v>
      </c>
      <c r="M2014" s="27">
        <v>703.40875200000005</v>
      </c>
      <c r="O2014" s="27">
        <v>3702.6634680000002</v>
      </c>
      <c r="Q2014" s="27">
        <v>6466.9179860000004</v>
      </c>
      <c r="S2014" s="27">
        <v>1188.6062999999999</v>
      </c>
      <c r="U2014" s="27">
        <v>3.807083</v>
      </c>
      <c r="W2014" s="27">
        <v>44.107197999999997</v>
      </c>
      <c r="Y2014" s="27">
        <v>8.1067940000000007</v>
      </c>
      <c r="AA2014" s="27">
        <v>613.92933000000005</v>
      </c>
      <c r="AC2014" s="27">
        <v>56.857805999999997</v>
      </c>
      <c r="AE2014" s="27">
        <v>1</v>
      </c>
      <c r="AG2014" s="27">
        <v>7.7127030000000003</v>
      </c>
      <c r="AI2014" s="27">
        <v>8.75</v>
      </c>
      <c r="AK2014" s="27">
        <v>24.029374000000001</v>
      </c>
      <c r="AM2014" s="27">
        <v>35.064219000000001</v>
      </c>
      <c r="AO2014" s="27">
        <v>6.7916639999999999</v>
      </c>
    </row>
    <row r="2015" spans="2:41" x14ac:dyDescent="0.25">
      <c r="B2015" s="21">
        <v>44314</v>
      </c>
      <c r="C2015" s="27">
        <v>19.9785</v>
      </c>
      <c r="E2015" s="27">
        <v>0.82723199999999997</v>
      </c>
      <c r="G2015" s="27">
        <v>93.371335000000002</v>
      </c>
      <c r="I2015" s="27">
        <v>6.8968540000000003</v>
      </c>
      <c r="K2015" s="27">
        <v>5.416995</v>
      </c>
      <c r="M2015" s="27">
        <v>700.01549399999999</v>
      </c>
      <c r="O2015" s="27">
        <v>3710.4798340000002</v>
      </c>
      <c r="Q2015" s="27">
        <v>6478.2493400000003</v>
      </c>
      <c r="S2015" s="27">
        <v>1195.918244</v>
      </c>
      <c r="U2015" s="27">
        <v>3.8134920000000001</v>
      </c>
      <c r="W2015" s="27">
        <v>44.078006000000002</v>
      </c>
      <c r="Y2015" s="27">
        <v>8.1370090000000008</v>
      </c>
      <c r="AA2015" s="27">
        <v>614.82160299999998</v>
      </c>
      <c r="AC2015" s="27">
        <v>56.904035</v>
      </c>
      <c r="AE2015" s="27">
        <v>1</v>
      </c>
      <c r="AG2015" s="27">
        <v>7.7127840000000001</v>
      </c>
      <c r="AI2015" s="27">
        <v>8.75</v>
      </c>
      <c r="AK2015" s="27">
        <v>24.046454000000001</v>
      </c>
      <c r="AM2015" s="27">
        <v>35.11148</v>
      </c>
      <c r="AO2015" s="27">
        <v>6.7932969999999999</v>
      </c>
    </row>
    <row r="2016" spans="2:41" x14ac:dyDescent="0.25">
      <c r="B2016" s="21">
        <v>44315</v>
      </c>
      <c r="C2016" s="27">
        <v>19.9712</v>
      </c>
      <c r="E2016" s="27">
        <v>0.82477599999999995</v>
      </c>
      <c r="G2016" s="27">
        <v>93.457628</v>
      </c>
      <c r="I2016" s="27">
        <v>6.8925159999999996</v>
      </c>
      <c r="K2016" s="27">
        <v>5.3485100000000001</v>
      </c>
      <c r="M2016" s="27">
        <v>701.31856000000005</v>
      </c>
      <c r="O2016" s="27">
        <v>3704.0590000000002</v>
      </c>
      <c r="Q2016" s="27">
        <v>6481.6001260000003</v>
      </c>
      <c r="S2016" s="27">
        <v>1211.858158</v>
      </c>
      <c r="U2016" s="27">
        <v>3.7812169999999998</v>
      </c>
      <c r="W2016" s="27">
        <v>43.930097000000004</v>
      </c>
      <c r="Y2016" s="27">
        <v>8.2135459999999991</v>
      </c>
      <c r="AA2016" s="27">
        <v>614.99203799999998</v>
      </c>
      <c r="AC2016" s="27">
        <v>56.805593999999999</v>
      </c>
      <c r="AE2016" s="27">
        <v>1</v>
      </c>
      <c r="AG2016" s="27">
        <v>7.7029519999999998</v>
      </c>
      <c r="AI2016" s="27">
        <v>8.75</v>
      </c>
      <c r="AK2016" s="27">
        <v>24.015823999999999</v>
      </c>
      <c r="AM2016" s="27">
        <v>35.070886999999999</v>
      </c>
      <c r="AO2016" s="27">
        <v>6.7815770000000004</v>
      </c>
    </row>
    <row r="2017" spans="2:41" x14ac:dyDescent="0.25">
      <c r="B2017" s="21">
        <v>44316</v>
      </c>
      <c r="C2017" s="27">
        <v>20.097799999999999</v>
      </c>
      <c r="E2017" s="27">
        <v>0.82827799999999996</v>
      </c>
      <c r="G2017" s="27">
        <v>93.509084999999999</v>
      </c>
      <c r="I2017" s="27">
        <v>6.903651</v>
      </c>
      <c r="K2017" s="27">
        <v>5.3777910000000002</v>
      </c>
      <c r="M2017" s="27">
        <v>710.01548400000001</v>
      </c>
      <c r="O2017" s="27">
        <v>3726.665094</v>
      </c>
      <c r="Q2017" s="27">
        <v>6496.6202839999996</v>
      </c>
      <c r="S2017" s="27">
        <v>1208.0531129999999</v>
      </c>
      <c r="U2017" s="27">
        <v>3.7851699999999999</v>
      </c>
      <c r="W2017" s="27">
        <v>43.984721999999998</v>
      </c>
      <c r="Y2017" s="27">
        <v>8.1789839999999998</v>
      </c>
      <c r="AA2017" s="27">
        <v>615.98309800000004</v>
      </c>
      <c r="AC2017" s="27">
        <v>56.843165999999997</v>
      </c>
      <c r="AE2017" s="27">
        <v>1</v>
      </c>
      <c r="AG2017" s="27">
        <v>7.7152779999999996</v>
      </c>
      <c r="AI2017" s="27">
        <v>8.75</v>
      </c>
      <c r="AK2017" s="27">
        <v>24.051596</v>
      </c>
      <c r="AM2017" s="27">
        <v>35.072723000000003</v>
      </c>
      <c r="AO2017" s="27">
        <v>6.7908039999999996</v>
      </c>
    </row>
    <row r="2018" spans="2:41" ht="13" x14ac:dyDescent="0.3">
      <c r="B2018" s="25" t="s">
        <v>120</v>
      </c>
      <c r="C2018" s="19">
        <v>20.092600000000001</v>
      </c>
      <c r="E2018" s="19">
        <v>0.83660000000000001</v>
      </c>
      <c r="G2018" s="19">
        <v>92.631399999999999</v>
      </c>
      <c r="I2018" s="19">
        <v>6.9013</v>
      </c>
      <c r="K2018" s="19">
        <v>5.5830000000000002</v>
      </c>
      <c r="M2018" s="19">
        <v>708.92240000000004</v>
      </c>
      <c r="O2018" s="19">
        <v>3651.5882000000001</v>
      </c>
      <c r="Q2018" s="19">
        <v>6394.8131999999996</v>
      </c>
      <c r="S2018" s="19">
        <v>1145.9894999999999</v>
      </c>
      <c r="U2018" s="19">
        <v>3.6962000000000002</v>
      </c>
      <c r="W2018" s="19">
        <v>44.155500000000004</v>
      </c>
      <c r="Y2018" s="19">
        <v>7.9116</v>
      </c>
      <c r="AA2018" s="19">
        <v>613.35749999999996</v>
      </c>
      <c r="AC2018" s="19">
        <v>56.870600000000003</v>
      </c>
      <c r="AE2018" s="19">
        <v>1</v>
      </c>
      <c r="AG2018" s="19">
        <v>7.7123999999999997</v>
      </c>
      <c r="AI2018" s="19">
        <v>8.75</v>
      </c>
      <c r="AK2018" s="19">
        <v>24.049299999999999</v>
      </c>
      <c r="AM2018" s="19">
        <v>35.014699999999998</v>
      </c>
      <c r="AO2018" s="19">
        <v>6.7858999999999998</v>
      </c>
    </row>
    <row r="2019" spans="2:41" x14ac:dyDescent="0.25">
      <c r="B2019" s="21">
        <v>44317</v>
      </c>
      <c r="C2019" s="27">
        <v>20.097799999999999</v>
      </c>
      <c r="E2019" s="27">
        <v>0.83194999999999997</v>
      </c>
      <c r="G2019" s="27">
        <v>93.486185000000006</v>
      </c>
      <c r="I2019" s="27">
        <v>6.9014009999999999</v>
      </c>
      <c r="K2019" s="27">
        <v>5.4383020000000002</v>
      </c>
      <c r="M2019" s="27">
        <v>710.72500000000002</v>
      </c>
      <c r="O2019" s="27">
        <v>3753.1275000000001</v>
      </c>
      <c r="Q2019" s="27">
        <v>6495.6225670000003</v>
      </c>
      <c r="S2019" s="27">
        <v>1194.4301840000001</v>
      </c>
      <c r="U2019" s="27">
        <v>3.783725</v>
      </c>
      <c r="W2019" s="27">
        <v>43.910832999999997</v>
      </c>
      <c r="Y2019" s="27">
        <v>8.074408</v>
      </c>
      <c r="AA2019" s="27">
        <v>615.86718199999996</v>
      </c>
      <c r="AC2019" s="27">
        <v>56.887500000000003</v>
      </c>
      <c r="AE2019" s="27">
        <v>1</v>
      </c>
      <c r="AG2019" s="27">
        <v>7.7153270000000003</v>
      </c>
      <c r="AI2019" s="27">
        <v>8.75</v>
      </c>
      <c r="AK2019" s="27">
        <v>24.088175</v>
      </c>
      <c r="AM2019" s="27">
        <v>35.164749999999998</v>
      </c>
      <c r="AO2019" s="27">
        <v>6.792084</v>
      </c>
    </row>
    <row r="2020" spans="2:41" x14ac:dyDescent="0.25">
      <c r="B2020" s="21">
        <v>44318</v>
      </c>
      <c r="C2020" s="27">
        <v>20.097799999999999</v>
      </c>
      <c r="E2020" s="27">
        <v>0.83187900000000004</v>
      </c>
      <c r="G2020" s="27">
        <v>93.537345999999999</v>
      </c>
      <c r="I2020" s="27">
        <v>6.9014009999999999</v>
      </c>
      <c r="K2020" s="27">
        <v>5.4384009999999998</v>
      </c>
      <c r="M2020" s="27">
        <v>710.72449600000004</v>
      </c>
      <c r="O2020" s="27">
        <v>3753.1412380000002</v>
      </c>
      <c r="Q2020" s="27">
        <v>6495.6225670000003</v>
      </c>
      <c r="S2020" s="27">
        <v>1194.407962</v>
      </c>
      <c r="U2020" s="27">
        <v>3.783725</v>
      </c>
      <c r="W2020" s="27">
        <v>43.910832999999997</v>
      </c>
      <c r="Y2020" s="27">
        <v>8.0742580000000004</v>
      </c>
      <c r="AA2020" s="27">
        <v>615.86718199999996</v>
      </c>
      <c r="AC2020" s="27">
        <v>56.887500000000003</v>
      </c>
      <c r="AE2020" s="27">
        <v>1</v>
      </c>
      <c r="AG2020" s="27">
        <v>7.7153299999999998</v>
      </c>
      <c r="AI2020" s="27">
        <v>8.75</v>
      </c>
      <c r="AK2020" s="27">
        <v>24.088175</v>
      </c>
      <c r="AM2020" s="27">
        <v>35.164749999999998</v>
      </c>
      <c r="AO2020" s="27">
        <v>6.792084</v>
      </c>
    </row>
    <row r="2021" spans="2:41" x14ac:dyDescent="0.25">
      <c r="B2021" s="21">
        <v>44319</v>
      </c>
      <c r="C2021" s="27">
        <v>20.182200000000002</v>
      </c>
      <c r="E2021" s="27">
        <v>0.83010399999999995</v>
      </c>
      <c r="G2021" s="27">
        <v>93.715754000000004</v>
      </c>
      <c r="I2021" s="27">
        <v>6.919448</v>
      </c>
      <c r="K2021" s="27">
        <v>5.4303400000000002</v>
      </c>
      <c r="M2021" s="27">
        <v>707.98242200000004</v>
      </c>
      <c r="O2021" s="27">
        <v>3768.8658909999999</v>
      </c>
      <c r="Q2021" s="27">
        <v>6551.2504419999996</v>
      </c>
      <c r="S2021" s="27">
        <v>1206.4226980000001</v>
      </c>
      <c r="U2021" s="27">
        <v>3.7994629999999998</v>
      </c>
      <c r="W2021" s="27">
        <v>43.942892000000001</v>
      </c>
      <c r="Y2021" s="27">
        <v>8.0921339999999997</v>
      </c>
      <c r="AA2021" s="27">
        <v>618.22925799999996</v>
      </c>
      <c r="AC2021" s="27">
        <v>56.979576000000002</v>
      </c>
      <c r="AE2021" s="27">
        <v>1</v>
      </c>
      <c r="AG2021" s="27">
        <v>7.7348039999999996</v>
      </c>
      <c r="AI2021" s="27">
        <v>8.75</v>
      </c>
      <c r="AK2021" s="27">
        <v>24.101534000000001</v>
      </c>
      <c r="AM2021" s="27">
        <v>35.060656000000002</v>
      </c>
      <c r="AO2021" s="27">
        <v>6.8034999999999997</v>
      </c>
    </row>
    <row r="2022" spans="2:41" x14ac:dyDescent="0.25">
      <c r="B2022" s="21">
        <v>44320</v>
      </c>
      <c r="C2022" s="27">
        <v>20.190200000000001</v>
      </c>
      <c r="E2022" s="27">
        <v>0.83164700000000003</v>
      </c>
      <c r="G2022" s="27">
        <v>93.689261999999999</v>
      </c>
      <c r="I2022" s="27">
        <v>6.905246</v>
      </c>
      <c r="K2022" s="27">
        <v>5.4408200000000004</v>
      </c>
      <c r="M2022" s="27">
        <v>704.22134200000005</v>
      </c>
      <c r="O2022" s="27">
        <v>3815.7352409999999</v>
      </c>
      <c r="Q2022" s="27">
        <v>6580.9517589999996</v>
      </c>
      <c r="S2022" s="27">
        <v>1209.5576719999999</v>
      </c>
      <c r="U2022" s="27">
        <v>3.8159580000000002</v>
      </c>
      <c r="W2022" s="27">
        <v>43.855950999999997</v>
      </c>
      <c r="Y2022" s="27">
        <v>8.0605630000000001</v>
      </c>
      <c r="AA2022" s="27">
        <v>616.819028</v>
      </c>
      <c r="AC2022" s="27">
        <v>56.927531999999999</v>
      </c>
      <c r="AE2022" s="27">
        <v>1</v>
      </c>
      <c r="AG2022" s="27">
        <v>7.7235100000000001</v>
      </c>
      <c r="AI2022" s="27">
        <v>8.75</v>
      </c>
      <c r="AK2022" s="27">
        <v>24.061392000000001</v>
      </c>
      <c r="AM2022" s="27">
        <v>35.007904000000003</v>
      </c>
      <c r="AO2022" s="27">
        <v>6.7885780000000002</v>
      </c>
    </row>
    <row r="2023" spans="2:41" x14ac:dyDescent="0.25">
      <c r="B2023" s="21">
        <v>44321</v>
      </c>
      <c r="C2023" s="27">
        <v>20.223500000000001</v>
      </c>
      <c r="E2023" s="27">
        <v>0.832874</v>
      </c>
      <c r="G2023" s="27">
        <v>93.717200000000005</v>
      </c>
      <c r="I2023" s="27">
        <v>6.89663</v>
      </c>
      <c r="K2023" s="27">
        <v>5.4098319999999998</v>
      </c>
      <c r="M2023" s="27">
        <v>703.77227000000005</v>
      </c>
      <c r="O2023" s="27">
        <v>3838.2125540000002</v>
      </c>
      <c r="Q2023" s="27">
        <v>6619.8344420000003</v>
      </c>
      <c r="S2023" s="27">
        <v>1223.6744409999999</v>
      </c>
      <c r="U2023" s="27">
        <v>3.8268360000000001</v>
      </c>
      <c r="W2023" s="27">
        <v>43.885525999999999</v>
      </c>
      <c r="Y2023" s="27">
        <v>8.1122060000000005</v>
      </c>
      <c r="AA2023" s="27">
        <v>615.59672399999999</v>
      </c>
      <c r="AC2023" s="27">
        <v>56.882260000000002</v>
      </c>
      <c r="AE2023" s="27"/>
      <c r="AG2023" s="27">
        <v>7.7159219999999999</v>
      </c>
      <c r="AI2023" s="27">
        <v>8.75</v>
      </c>
      <c r="AK2023" s="27">
        <v>24.033092</v>
      </c>
      <c r="AM2023" s="27">
        <v>34.968179999999997</v>
      </c>
      <c r="AO2023" s="27">
        <v>6.7828710000000001</v>
      </c>
    </row>
    <row r="2024" spans="2:41" x14ac:dyDescent="0.25">
      <c r="B2024" s="21">
        <v>44322</v>
      </c>
      <c r="C2024" s="27">
        <v>20.207699999999999</v>
      </c>
      <c r="E2024" s="27">
        <v>0.83066600000000002</v>
      </c>
      <c r="G2024" s="27">
        <v>93.716874000000004</v>
      </c>
      <c r="I2024" s="27">
        <v>6.9023539999999999</v>
      </c>
      <c r="K2024" s="27">
        <v>5.3213480000000004</v>
      </c>
      <c r="M2024" s="27">
        <v>702.94611399999997</v>
      </c>
      <c r="O2024" s="27">
        <v>3828.6217879999999</v>
      </c>
      <c r="Q2024" s="27">
        <v>6654.7527799999998</v>
      </c>
      <c r="S2024" s="27">
        <v>1250.5840800000001</v>
      </c>
      <c r="U2024" s="27">
        <v>3.8232599999999999</v>
      </c>
      <c r="W2024" s="27">
        <v>44.021250000000002</v>
      </c>
      <c r="Y2024" s="27">
        <v>8.2726019999999991</v>
      </c>
      <c r="AA2024" s="27">
        <v>615.50175200000001</v>
      </c>
      <c r="AC2024" s="27">
        <v>56.952921000000003</v>
      </c>
      <c r="AE2024" s="27">
        <v>1</v>
      </c>
      <c r="AG2024" s="27">
        <v>7.7161299999999997</v>
      </c>
      <c r="AI2024" s="27">
        <v>8.75</v>
      </c>
      <c r="AK2024" s="27">
        <v>24.046247999999999</v>
      </c>
      <c r="AM2024" s="27">
        <v>35.026817000000001</v>
      </c>
      <c r="AO2024" s="27">
        <v>6.7866119999999999</v>
      </c>
    </row>
    <row r="2025" spans="2:41" x14ac:dyDescent="0.25">
      <c r="B2025" s="21">
        <v>44323</v>
      </c>
      <c r="C2025" s="27">
        <v>20.183800000000002</v>
      </c>
      <c r="E2025" s="27">
        <v>0.82579899999999995</v>
      </c>
      <c r="G2025" s="27">
        <v>93.812668000000002</v>
      </c>
      <c r="I2025" s="27">
        <v>6.8993580000000003</v>
      </c>
      <c r="K2025" s="27">
        <v>5.2542679999999997</v>
      </c>
      <c r="M2025" s="27">
        <v>697.60829000000001</v>
      </c>
      <c r="O2025" s="27">
        <v>3790.4164940000001</v>
      </c>
      <c r="Q2025" s="27">
        <v>6680.2535159999998</v>
      </c>
      <c r="S2025" s="27">
        <v>1271.402936</v>
      </c>
      <c r="U2025" s="27">
        <v>3.814902</v>
      </c>
      <c r="W2025" s="27">
        <v>44.038305999999999</v>
      </c>
      <c r="Y2025" s="27">
        <v>8.3814620000000009</v>
      </c>
      <c r="AA2025" s="27">
        <v>615.879862</v>
      </c>
      <c r="AC2025" s="27">
        <v>56.960740999999999</v>
      </c>
      <c r="AE2025" s="27">
        <v>1</v>
      </c>
      <c r="AG2025" s="27">
        <v>7.715096</v>
      </c>
      <c r="AI2025" s="27">
        <v>8.75</v>
      </c>
      <c r="AK2025" s="27">
        <v>24.042701999999998</v>
      </c>
      <c r="AM2025" s="27">
        <v>35.028846000000001</v>
      </c>
      <c r="AO2025" s="27">
        <v>6.788964</v>
      </c>
    </row>
    <row r="2026" spans="2:41" x14ac:dyDescent="0.25">
      <c r="B2026" s="21">
        <v>44324</v>
      </c>
      <c r="C2026" s="27">
        <v>20.183800000000002</v>
      </c>
      <c r="E2026" s="27">
        <v>0.822156</v>
      </c>
      <c r="G2026" s="27">
        <v>93.832274999999996</v>
      </c>
      <c r="I2026" s="27">
        <v>6.8963419999999998</v>
      </c>
      <c r="K2026" s="27">
        <v>5.2356999999999996</v>
      </c>
      <c r="M2026" s="27">
        <v>695.40499999999997</v>
      </c>
      <c r="O2026" s="27">
        <v>3770.2775000000001</v>
      </c>
      <c r="Q2026" s="27">
        <v>6695.4421890000003</v>
      </c>
      <c r="S2026" s="27">
        <v>1278.8144319999999</v>
      </c>
      <c r="U2026" s="27">
        <v>3.8054749999999999</v>
      </c>
      <c r="W2026" s="27">
        <v>44.041403000000003</v>
      </c>
      <c r="Y2026" s="27">
        <v>8.4117820000000005</v>
      </c>
      <c r="AA2026" s="27">
        <v>616.11457199999995</v>
      </c>
      <c r="AC2026" s="27">
        <v>56.967500000000001</v>
      </c>
      <c r="AE2026" s="27">
        <v>1</v>
      </c>
      <c r="AG2026" s="27">
        <v>7.7145440000000001</v>
      </c>
      <c r="AI2026" s="27">
        <v>8.75</v>
      </c>
      <c r="AK2026" s="27">
        <v>24.064299999999999</v>
      </c>
      <c r="AM2026" s="27">
        <v>35.039000000000001</v>
      </c>
      <c r="AO2026" s="27">
        <v>6.7904249999999999</v>
      </c>
    </row>
    <row r="2027" spans="2:41" x14ac:dyDescent="0.25">
      <c r="B2027" s="21">
        <v>44325</v>
      </c>
      <c r="C2027" s="27">
        <v>20.183800000000002</v>
      </c>
      <c r="E2027" s="27">
        <v>0.82210499999999997</v>
      </c>
      <c r="G2027" s="27">
        <v>93.776210000000006</v>
      </c>
      <c r="I2027" s="27">
        <v>6.8963419999999998</v>
      </c>
      <c r="K2027" s="27">
        <v>5.2358520000000004</v>
      </c>
      <c r="M2027" s="27">
        <v>695.40577699999994</v>
      </c>
      <c r="O2027" s="27">
        <v>3770.1923619999998</v>
      </c>
      <c r="Q2027" s="27">
        <v>6694.8181759999998</v>
      </c>
      <c r="S2027" s="27">
        <v>1278.657997</v>
      </c>
      <c r="U2027" s="27">
        <v>3.8054749999999999</v>
      </c>
      <c r="W2027" s="27">
        <v>44.041403000000003</v>
      </c>
      <c r="Y2027" s="27">
        <v>8.4115380000000002</v>
      </c>
      <c r="AA2027" s="27">
        <v>616.11457199999995</v>
      </c>
      <c r="AC2027" s="27">
        <v>56.942208999999998</v>
      </c>
      <c r="AE2027" s="27">
        <v>1</v>
      </c>
      <c r="AG2027" s="27">
        <v>7.7145599999999996</v>
      </c>
      <c r="AI2027" s="27">
        <v>8.75</v>
      </c>
      <c r="AK2027" s="27">
        <v>24.064299999999999</v>
      </c>
      <c r="AM2027" s="27">
        <v>35.039000000000001</v>
      </c>
      <c r="AO2027" s="27">
        <v>6.7904249999999999</v>
      </c>
    </row>
    <row r="2028" spans="2:41" x14ac:dyDescent="0.25">
      <c r="B2028" s="21">
        <v>44326</v>
      </c>
      <c r="C2028" s="27">
        <v>19.9223</v>
      </c>
      <c r="E2028" s="27">
        <v>0.82272000000000001</v>
      </c>
      <c r="G2028" s="27">
        <v>93.711045999999996</v>
      </c>
      <c r="I2028" s="27">
        <v>6.8904360000000002</v>
      </c>
      <c r="K2028" s="27">
        <v>5.2313539999999996</v>
      </c>
      <c r="M2028" s="27">
        <v>695.26104099999998</v>
      </c>
      <c r="O2028" s="27">
        <v>3743.1200800000001</v>
      </c>
      <c r="Q2028" s="27">
        <v>6680.055687</v>
      </c>
      <c r="S2028" s="27">
        <v>1276.9362679999999</v>
      </c>
      <c r="U2028" s="27">
        <v>3.78104</v>
      </c>
      <c r="W2028" s="27">
        <v>43.989268000000003</v>
      </c>
      <c r="Y2028" s="27">
        <v>8.4088069999999995</v>
      </c>
      <c r="AA2028" s="27">
        <v>615.50773400000003</v>
      </c>
      <c r="AC2028" s="27">
        <v>56.695509999999999</v>
      </c>
      <c r="AE2028" s="27">
        <v>1</v>
      </c>
      <c r="AG2028" s="27">
        <v>7.7133929999999999</v>
      </c>
      <c r="AI2028" s="27">
        <v>8.75</v>
      </c>
      <c r="AK2028" s="27">
        <v>23.995290000000001</v>
      </c>
      <c r="AM2028" s="27">
        <v>34.808985999999997</v>
      </c>
      <c r="AO2028" s="27">
        <v>6.7813040000000004</v>
      </c>
    </row>
    <row r="2029" spans="2:41" x14ac:dyDescent="0.25">
      <c r="B2029" s="21">
        <v>44327</v>
      </c>
      <c r="C2029" s="27">
        <v>19.885999999999999</v>
      </c>
      <c r="E2029" s="27">
        <v>0.82294199999999995</v>
      </c>
      <c r="G2029" s="27">
        <v>93.878842000000006</v>
      </c>
      <c r="I2029" s="27">
        <v>6.9067179999999997</v>
      </c>
      <c r="K2029" s="27">
        <v>5.2274010000000004</v>
      </c>
      <c r="M2029" s="27">
        <v>698.95805199999995</v>
      </c>
      <c r="O2029" s="27">
        <v>3706.4602639999998</v>
      </c>
      <c r="Q2029" s="27">
        <v>6730.9657740000002</v>
      </c>
      <c r="S2029" s="27">
        <v>1287.6385720000001</v>
      </c>
      <c r="U2029" s="27">
        <v>3.7353700000000001</v>
      </c>
      <c r="W2029" s="27">
        <v>44.001401000000001</v>
      </c>
      <c r="Y2029" s="27">
        <v>8.4174779999999991</v>
      </c>
      <c r="AA2029" s="27">
        <v>616.53641100000004</v>
      </c>
      <c r="AC2029" s="27">
        <v>56.851502000000004</v>
      </c>
      <c r="AE2029" s="27">
        <v>1</v>
      </c>
      <c r="AG2029" s="27">
        <v>7.7164720000000004</v>
      </c>
      <c r="AI2029" s="27">
        <v>8.75</v>
      </c>
      <c r="AK2029" s="27">
        <v>24.047087000000001</v>
      </c>
      <c r="AM2029" s="27">
        <v>35.074281999999997</v>
      </c>
      <c r="AO2029" s="27">
        <v>6.8005079999999998</v>
      </c>
    </row>
    <row r="2030" spans="2:41" x14ac:dyDescent="0.25">
      <c r="B2030" s="21">
        <v>44328</v>
      </c>
      <c r="C2030" s="27">
        <v>19.884799999999998</v>
      </c>
      <c r="E2030" s="27">
        <v>0.826017</v>
      </c>
      <c r="G2030" s="27">
        <v>93.928206000000003</v>
      </c>
      <c r="I2030" s="27">
        <v>6.9066580000000002</v>
      </c>
      <c r="K2030" s="27">
        <v>5.247204</v>
      </c>
      <c r="M2030" s="27">
        <v>704.79686600000002</v>
      </c>
      <c r="O2030" s="27">
        <v>3726.7725700000001</v>
      </c>
      <c r="Q2030" s="27">
        <v>6749.616368</v>
      </c>
      <c r="S2030" s="27">
        <v>1286.3332499999999</v>
      </c>
      <c r="U2030" s="27">
        <v>3.7166939999999999</v>
      </c>
      <c r="W2030" s="27">
        <v>43.982432000000003</v>
      </c>
      <c r="Y2030" s="27">
        <v>8.3820940000000004</v>
      </c>
      <c r="AA2030" s="27">
        <v>615.75381800000002</v>
      </c>
      <c r="AC2030" s="27">
        <v>56.906663999999999</v>
      </c>
      <c r="AE2030" s="27">
        <v>1</v>
      </c>
      <c r="AG2030" s="27">
        <v>7.7217250000000002</v>
      </c>
      <c r="AI2030" s="27">
        <v>8.75</v>
      </c>
      <c r="AK2030" s="27">
        <v>24.053785999999999</v>
      </c>
      <c r="AM2030" s="27">
        <v>35.055883999999999</v>
      </c>
      <c r="AO2030" s="27">
        <v>6.8063440000000002</v>
      </c>
    </row>
    <row r="2031" spans="2:41" x14ac:dyDescent="0.25">
      <c r="B2031" s="21">
        <v>44329</v>
      </c>
      <c r="C2031" s="27">
        <v>20.094000000000001</v>
      </c>
      <c r="E2031" s="27">
        <v>0.82786800000000005</v>
      </c>
      <c r="G2031" s="27">
        <v>93.995003999999994</v>
      </c>
      <c r="I2031" s="27">
        <v>6.9109179999999997</v>
      </c>
      <c r="K2031" s="27">
        <v>5.300414</v>
      </c>
      <c r="M2031" s="27">
        <v>707.67827</v>
      </c>
      <c r="O2031" s="27">
        <v>3738.0000700000001</v>
      </c>
      <c r="Q2031" s="27">
        <v>6732.937242</v>
      </c>
      <c r="S2031" s="27">
        <v>1270.2730309999999</v>
      </c>
      <c r="U2031" s="27">
        <v>3.6994440000000002</v>
      </c>
      <c r="W2031" s="27">
        <v>44.062362</v>
      </c>
      <c r="Y2031" s="27">
        <v>8.3130279999999992</v>
      </c>
      <c r="AA2031" s="27">
        <v>616.309032</v>
      </c>
      <c r="AC2031" s="27">
        <v>56.924497000000002</v>
      </c>
      <c r="AE2031" s="27">
        <v>1</v>
      </c>
      <c r="AG2031" s="27">
        <v>7.725543</v>
      </c>
      <c r="AI2031" s="27">
        <v>8.75</v>
      </c>
      <c r="AK2031" s="27">
        <v>24.065448</v>
      </c>
      <c r="AM2031" s="27">
        <v>35.086993999999997</v>
      </c>
      <c r="AO2031" s="27">
        <v>6.8052780000000004</v>
      </c>
    </row>
    <row r="2032" spans="2:41" x14ac:dyDescent="0.25">
      <c r="B2032" s="21">
        <v>44330</v>
      </c>
      <c r="C2032" s="27">
        <v>20.049499999999998</v>
      </c>
      <c r="E2032" s="27">
        <v>0.825183</v>
      </c>
      <c r="G2032" s="27">
        <v>94.011287999999993</v>
      </c>
      <c r="I2032" s="27">
        <v>6.9025379999999998</v>
      </c>
      <c r="K2032" s="27">
        <v>5.2892760000000001</v>
      </c>
      <c r="M2032" s="27">
        <v>704.68656099999998</v>
      </c>
      <c r="O2032" s="27">
        <v>3704.8143449999998</v>
      </c>
      <c r="Q2032" s="27">
        <v>6722.724706</v>
      </c>
      <c r="S2032" s="27">
        <v>1271.017337</v>
      </c>
      <c r="U2032" s="27">
        <v>3.6905459999999999</v>
      </c>
      <c r="W2032" s="27">
        <v>44.052501999999997</v>
      </c>
      <c r="Y2032" s="27">
        <v>8.3286730000000002</v>
      </c>
      <c r="AA2032" s="27">
        <v>616.136932</v>
      </c>
      <c r="AC2032" s="27">
        <v>56.858604</v>
      </c>
      <c r="AE2032" s="27">
        <v>1</v>
      </c>
      <c r="AG2032" s="27">
        <v>7.7172900000000002</v>
      </c>
      <c r="AI2032" s="27">
        <v>8.75</v>
      </c>
      <c r="AK2032" s="27">
        <v>24.047792999999999</v>
      </c>
      <c r="AM2032" s="27">
        <v>35.055024000000003</v>
      </c>
      <c r="AO2032" s="27">
        <v>6.786054</v>
      </c>
    </row>
    <row r="2033" spans="2:41" x14ac:dyDescent="0.25">
      <c r="B2033" s="21">
        <v>44331</v>
      </c>
      <c r="C2033" s="27">
        <v>20.049499999999998</v>
      </c>
      <c r="E2033" s="27">
        <v>0.82333699999999999</v>
      </c>
      <c r="G2033" s="27">
        <v>93.956699999999998</v>
      </c>
      <c r="I2033" s="27">
        <v>6.90083</v>
      </c>
      <c r="K2033" s="27">
        <v>5.2725749999999998</v>
      </c>
      <c r="M2033" s="27">
        <v>699.8</v>
      </c>
      <c r="O2033" s="27">
        <v>3685.4025000000001</v>
      </c>
      <c r="Q2033" s="27">
        <v>6719.5060899999999</v>
      </c>
      <c r="S2033" s="27">
        <v>1274.4342999999999</v>
      </c>
      <c r="U2033" s="27">
        <v>3.6742249999999999</v>
      </c>
      <c r="W2033" s="27">
        <v>44.127538000000001</v>
      </c>
      <c r="Y2033" s="27">
        <v>8.3692969999999995</v>
      </c>
      <c r="AA2033" s="27">
        <v>616.18642</v>
      </c>
      <c r="AC2033" s="27">
        <v>56.898158000000002</v>
      </c>
      <c r="AE2033" s="27">
        <v>1</v>
      </c>
      <c r="AG2033" s="27">
        <v>7.7178560000000003</v>
      </c>
      <c r="AI2033" s="27">
        <v>8.75</v>
      </c>
      <c r="AK2033" s="27">
        <v>24.0913</v>
      </c>
      <c r="AM2033" s="27">
        <v>35.133749999999999</v>
      </c>
      <c r="AO2033" s="27">
        <v>6.7864240000000002</v>
      </c>
    </row>
    <row r="2034" spans="2:41" x14ac:dyDescent="0.25">
      <c r="B2034" s="21">
        <v>44332</v>
      </c>
      <c r="C2034" s="27">
        <v>20.049499999999998</v>
      </c>
      <c r="E2034" s="27">
        <v>0.82333000000000001</v>
      </c>
      <c r="G2034" s="27">
        <v>93.952876000000003</v>
      </c>
      <c r="I2034" s="27">
        <v>6.9006160000000003</v>
      </c>
      <c r="K2034" s="27">
        <v>5.2725619999999997</v>
      </c>
      <c r="M2034" s="27">
        <v>699.80425400000001</v>
      </c>
      <c r="O2034" s="27">
        <v>3685.4037859999999</v>
      </c>
      <c r="Q2034" s="27">
        <v>6718.7681419999999</v>
      </c>
      <c r="S2034" s="27">
        <v>1274.2973300000001</v>
      </c>
      <c r="U2034" s="27">
        <v>3.6741899999999998</v>
      </c>
      <c r="W2034" s="27">
        <v>44.121098000000003</v>
      </c>
      <c r="Y2034" s="27">
        <v>8.3680959999999995</v>
      </c>
      <c r="AA2034" s="27">
        <v>616.18250799999998</v>
      </c>
      <c r="AC2034" s="27">
        <v>56.897649999999999</v>
      </c>
      <c r="AE2034" s="27">
        <v>1</v>
      </c>
      <c r="AG2034" s="27">
        <v>7.7179580000000003</v>
      </c>
      <c r="AI2034" s="27">
        <v>8.75</v>
      </c>
      <c r="AK2034" s="27">
        <v>24.090868</v>
      </c>
      <c r="AM2034" s="27">
        <v>35.128660000000004</v>
      </c>
      <c r="AO2034" s="27">
        <v>6.7870359999999996</v>
      </c>
    </row>
    <row r="2035" spans="2:41" x14ac:dyDescent="0.25">
      <c r="B2035" s="21">
        <v>44333</v>
      </c>
      <c r="C2035" s="27">
        <v>19.848700000000001</v>
      </c>
      <c r="E2035" s="27">
        <v>0.82326999999999995</v>
      </c>
      <c r="G2035" s="27">
        <v>94.020032</v>
      </c>
      <c r="I2035" s="27">
        <v>6.8936840000000004</v>
      </c>
      <c r="K2035" s="27">
        <v>5.2726740000000003</v>
      </c>
      <c r="M2035" s="27">
        <v>706.50854600000002</v>
      </c>
      <c r="O2035" s="27">
        <v>3685.4987679999999</v>
      </c>
      <c r="Q2035" s="27">
        <v>6704.467799</v>
      </c>
      <c r="S2035" s="27">
        <v>1271.557464</v>
      </c>
      <c r="U2035" s="27">
        <v>3.6733199999999999</v>
      </c>
      <c r="W2035" s="27">
        <v>44.126317999999998</v>
      </c>
      <c r="Y2035" s="27">
        <v>8.3689020000000003</v>
      </c>
      <c r="AA2035" s="27">
        <v>614.892876</v>
      </c>
      <c r="AC2035" s="27">
        <v>56.841008000000002</v>
      </c>
      <c r="AE2035" s="27">
        <v>1</v>
      </c>
      <c r="AG2035" s="27">
        <v>7.7071699999999996</v>
      </c>
      <c r="AI2035" s="27">
        <v>8.75</v>
      </c>
      <c r="AK2035" s="27">
        <v>23.992808</v>
      </c>
      <c r="AM2035" s="27">
        <v>34.969427000000003</v>
      </c>
      <c r="AO2035" s="27">
        <v>6.7849120000000003</v>
      </c>
    </row>
    <row r="2036" spans="2:41" x14ac:dyDescent="0.25">
      <c r="B2036" s="21">
        <v>44334</v>
      </c>
      <c r="C2036" s="27">
        <v>19.802800000000001</v>
      </c>
      <c r="E2036" s="27">
        <v>0.81952800000000003</v>
      </c>
      <c r="G2036" s="27">
        <v>94.094921999999997</v>
      </c>
      <c r="I2036" s="27">
        <v>6.8974859999999998</v>
      </c>
      <c r="K2036" s="27">
        <v>5.265288</v>
      </c>
      <c r="M2036" s="27">
        <v>714.33824000000004</v>
      </c>
      <c r="O2036" s="27">
        <v>3672.6713500000001</v>
      </c>
      <c r="Q2036" s="27">
        <v>6694.352022</v>
      </c>
      <c r="S2036" s="27">
        <v>1271.418866</v>
      </c>
      <c r="U2036" s="27">
        <v>3.7202259999999998</v>
      </c>
      <c r="W2036" s="27">
        <v>44.191560000000003</v>
      </c>
      <c r="Y2036" s="27">
        <v>8.3930229999999995</v>
      </c>
      <c r="AA2036" s="27">
        <v>614.44755399999997</v>
      </c>
      <c r="AC2036" s="27">
        <v>56.907815999999997</v>
      </c>
      <c r="AE2036" s="27">
        <v>1</v>
      </c>
      <c r="AG2036" s="27">
        <v>7.7098940000000002</v>
      </c>
      <c r="AI2036" s="27">
        <v>8.75</v>
      </c>
      <c r="AK2036" s="27">
        <v>24.032620000000001</v>
      </c>
      <c r="AM2036" s="27">
        <v>35.133744</v>
      </c>
      <c r="AO2036" s="27">
        <v>6.7877890000000001</v>
      </c>
    </row>
    <row r="2037" spans="2:41" x14ac:dyDescent="0.25">
      <c r="B2037" s="21">
        <v>44335</v>
      </c>
      <c r="C2037" s="27">
        <v>19.831299999999999</v>
      </c>
      <c r="E2037" s="27">
        <v>0.81903400000000004</v>
      </c>
      <c r="G2037" s="27">
        <v>94.137555000000006</v>
      </c>
      <c r="I2037" s="27">
        <v>6.8988500000000004</v>
      </c>
      <c r="K2037" s="27">
        <v>5.2783709999999999</v>
      </c>
      <c r="M2037" s="27">
        <v>713.85717999999997</v>
      </c>
      <c r="O2037" s="27">
        <v>3670.3087099999998</v>
      </c>
      <c r="Q2037" s="27">
        <v>6700.6720379999997</v>
      </c>
      <c r="S2037" s="27">
        <v>1269.4648420000001</v>
      </c>
      <c r="U2037" s="27">
        <v>3.7437279999999999</v>
      </c>
      <c r="W2037" s="27">
        <v>44.177577999999997</v>
      </c>
      <c r="Y2037" s="27">
        <v>8.3695699999999995</v>
      </c>
      <c r="AA2037" s="27">
        <v>615.214968</v>
      </c>
      <c r="AC2037" s="27">
        <v>56.901197000000003</v>
      </c>
      <c r="AE2037" s="27">
        <v>1</v>
      </c>
      <c r="AG2037" s="27">
        <v>7.7099260000000003</v>
      </c>
      <c r="AI2037" s="27">
        <v>8.75</v>
      </c>
      <c r="AK2037" s="27">
        <v>24.046855000000001</v>
      </c>
      <c r="AM2037" s="27">
        <v>35.183723999999998</v>
      </c>
      <c r="AO2037" s="27">
        <v>6.7866200000000001</v>
      </c>
    </row>
    <row r="2038" spans="2:41" x14ac:dyDescent="0.25">
      <c r="B2038" s="21">
        <v>44336</v>
      </c>
      <c r="C2038" s="27">
        <v>19.814299999999999</v>
      </c>
      <c r="E2038" s="27">
        <v>0.81950000000000001</v>
      </c>
      <c r="G2038" s="27">
        <v>94.21951</v>
      </c>
      <c r="I2038" s="27">
        <v>6.8979280000000003</v>
      </c>
      <c r="K2038" s="27">
        <v>5.2977470000000002</v>
      </c>
      <c r="M2038" s="27">
        <v>716.55791199999999</v>
      </c>
      <c r="O2038" s="27">
        <v>3700.720648</v>
      </c>
      <c r="Q2038" s="27">
        <v>6698.823531</v>
      </c>
      <c r="S2038" s="27">
        <v>1264.473144</v>
      </c>
      <c r="U2038" s="27">
        <v>3.744818</v>
      </c>
      <c r="W2038" s="27">
        <v>44.108595999999999</v>
      </c>
      <c r="Y2038" s="27">
        <v>8.325939</v>
      </c>
      <c r="AA2038" s="27">
        <v>615.805386</v>
      </c>
      <c r="AC2038" s="27">
        <v>56.911188000000003</v>
      </c>
      <c r="AE2038" s="27">
        <v>1</v>
      </c>
      <c r="AG2038" s="27">
        <v>7.7101860000000002</v>
      </c>
      <c r="AI2038" s="27">
        <v>8.75</v>
      </c>
      <c r="AK2038" s="27">
        <v>24.046465999999999</v>
      </c>
      <c r="AM2038" s="27">
        <v>35.156033000000001</v>
      </c>
      <c r="AO2038" s="27">
        <v>6.785717</v>
      </c>
    </row>
    <row r="2039" spans="2:41" x14ac:dyDescent="0.25">
      <c r="B2039" s="21">
        <v>44337</v>
      </c>
      <c r="C2039" s="27">
        <v>19.881</v>
      </c>
      <c r="E2039" s="27">
        <v>0.81930199999999997</v>
      </c>
      <c r="G2039" s="27">
        <v>94.244095000000002</v>
      </c>
      <c r="I2039" s="27">
        <v>6.898549</v>
      </c>
      <c r="K2039" s="27">
        <v>5.3087679999999997</v>
      </c>
      <c r="M2039" s="27">
        <v>720.28819099999998</v>
      </c>
      <c r="O2039" s="27">
        <v>3728.4613880000002</v>
      </c>
      <c r="Q2039" s="27">
        <v>6701.1080419999998</v>
      </c>
      <c r="S2039" s="27">
        <v>1262.2782279999999</v>
      </c>
      <c r="U2039" s="27">
        <v>3.7430219999999998</v>
      </c>
      <c r="W2039" s="27">
        <v>44.123505999999999</v>
      </c>
      <c r="Y2039" s="27">
        <v>8.3114620000000006</v>
      </c>
      <c r="AA2039" s="27">
        <v>616.28341399999999</v>
      </c>
      <c r="AC2039" s="27">
        <v>56.955618000000001</v>
      </c>
      <c r="AE2039" s="27">
        <v>1</v>
      </c>
      <c r="AG2039" s="27">
        <v>7.7127569999999999</v>
      </c>
      <c r="AI2039" s="27">
        <v>8.75</v>
      </c>
      <c r="AK2039" s="27">
        <v>24.046485000000001</v>
      </c>
      <c r="AM2039" s="27">
        <v>35.193696000000003</v>
      </c>
      <c r="AO2039" s="27">
        <v>6.785685</v>
      </c>
    </row>
    <row r="2040" spans="2:41" x14ac:dyDescent="0.25">
      <c r="B2040" s="21">
        <v>44338</v>
      </c>
      <c r="C2040" s="27">
        <v>19.881</v>
      </c>
      <c r="E2040" s="27">
        <v>0.82090399999999997</v>
      </c>
      <c r="G2040" s="27">
        <v>94.199425000000005</v>
      </c>
      <c r="I2040" s="27">
        <v>6.902164</v>
      </c>
      <c r="K2040" s="27">
        <v>5.3652249999999997</v>
      </c>
      <c r="M2040" s="27">
        <v>721</v>
      </c>
      <c r="O2040" s="27">
        <v>3745.4175</v>
      </c>
      <c r="Q2040" s="27">
        <v>6706.1518530000003</v>
      </c>
      <c r="S2040" s="27">
        <v>1249.9365740000001</v>
      </c>
      <c r="U2040" s="27">
        <v>3.7465000000000002</v>
      </c>
      <c r="W2040" s="27">
        <v>44.144840000000002</v>
      </c>
      <c r="Y2040" s="27">
        <v>8.227983</v>
      </c>
      <c r="AA2040" s="27">
        <v>616.70638599999995</v>
      </c>
      <c r="AC2040" s="27">
        <v>56.987499999999997</v>
      </c>
      <c r="AE2040" s="27">
        <v>1</v>
      </c>
      <c r="AG2040" s="27">
        <v>7.7153499999999999</v>
      </c>
      <c r="AI2040" s="27">
        <v>8.75</v>
      </c>
      <c r="AK2040" s="27">
        <v>24.050249999999998</v>
      </c>
      <c r="AM2040" s="27">
        <v>35.27225</v>
      </c>
      <c r="AO2040" s="27">
        <v>6.7867189999999997</v>
      </c>
    </row>
    <row r="2041" spans="2:41" x14ac:dyDescent="0.25">
      <c r="B2041" s="21">
        <v>44339</v>
      </c>
      <c r="C2041" s="27">
        <v>19.881</v>
      </c>
      <c r="E2041" s="27">
        <v>0.82091999999999998</v>
      </c>
      <c r="G2041" s="27">
        <v>94.200207000000006</v>
      </c>
      <c r="I2041" s="27">
        <v>6.902164</v>
      </c>
      <c r="K2041" s="27">
        <v>5.365272</v>
      </c>
      <c r="M2041" s="27">
        <v>720.99635999999998</v>
      </c>
      <c r="O2041" s="27">
        <v>3745.4209219999998</v>
      </c>
      <c r="Q2041" s="27">
        <v>6706.1518530000003</v>
      </c>
      <c r="S2041" s="27">
        <v>1249.925506</v>
      </c>
      <c r="U2041" s="27">
        <v>3.7465000000000002</v>
      </c>
      <c r="W2041" s="27">
        <v>44.144840000000002</v>
      </c>
      <c r="Y2041" s="27">
        <v>8.2279099999999996</v>
      </c>
      <c r="AA2041" s="27">
        <v>616.70638599999995</v>
      </c>
      <c r="AC2041" s="27">
        <v>56.987499999999997</v>
      </c>
      <c r="AE2041" s="27">
        <v>1</v>
      </c>
      <c r="AG2041" s="27">
        <v>7.7152779999999996</v>
      </c>
      <c r="AI2041" s="27">
        <v>8.75</v>
      </c>
      <c r="AK2041" s="27">
        <v>24.050249999999998</v>
      </c>
      <c r="AM2041" s="27">
        <v>35.27225</v>
      </c>
      <c r="AO2041" s="27">
        <v>6.7867189999999997</v>
      </c>
    </row>
    <row r="2042" spans="2:41" x14ac:dyDescent="0.25">
      <c r="B2042" s="21">
        <v>44340</v>
      </c>
      <c r="C2042" s="27">
        <v>19.951000000000001</v>
      </c>
      <c r="E2042" s="27">
        <v>0.81945000000000001</v>
      </c>
      <c r="G2042" s="27">
        <v>94.260408999999996</v>
      </c>
      <c r="I2042" s="27">
        <v>6.9044100000000004</v>
      </c>
      <c r="K2042" s="27">
        <v>5.3428599999999999</v>
      </c>
      <c r="M2042" s="27">
        <v>724.70210499999996</v>
      </c>
      <c r="O2042" s="27">
        <v>3744.8752089999998</v>
      </c>
      <c r="Q2042" s="27">
        <v>6719.2583649999997</v>
      </c>
      <c r="S2042" s="27">
        <v>1257.6209859999999</v>
      </c>
      <c r="U2042" s="27">
        <v>3.7622300000000002</v>
      </c>
      <c r="W2042" s="27">
        <v>44.159264</v>
      </c>
      <c r="Y2042" s="27">
        <v>8.2651260000000004</v>
      </c>
      <c r="AA2042" s="27">
        <v>617.35619899999995</v>
      </c>
      <c r="AC2042" s="27">
        <v>57.010711999999998</v>
      </c>
      <c r="AE2042" s="27">
        <v>1</v>
      </c>
      <c r="AG2042" s="27">
        <v>7.7216959999999997</v>
      </c>
      <c r="AI2042" s="27">
        <v>8.75</v>
      </c>
      <c r="AK2042" s="27">
        <v>24.036359999999998</v>
      </c>
      <c r="AM2042" s="27">
        <v>35.076990000000002</v>
      </c>
      <c r="AO2042" s="27">
        <v>6.7952139999999996</v>
      </c>
    </row>
    <row r="2043" spans="2:41" x14ac:dyDescent="0.25">
      <c r="B2043" s="21">
        <v>44341</v>
      </c>
      <c r="C2043" s="27">
        <v>19.872</v>
      </c>
      <c r="E2043" s="27">
        <v>0.816778</v>
      </c>
      <c r="G2043" s="27">
        <v>94.211051999999995</v>
      </c>
      <c r="I2043" s="27">
        <v>6.898822</v>
      </c>
      <c r="K2043" s="27">
        <v>5.3209239999999998</v>
      </c>
      <c r="M2043" s="27">
        <v>732.21827399999995</v>
      </c>
      <c r="O2043" s="27">
        <v>3736.9209660000001</v>
      </c>
      <c r="Q2043" s="27">
        <v>6719.9820449999997</v>
      </c>
      <c r="S2043" s="27">
        <v>1262.9416839999999</v>
      </c>
      <c r="U2043" s="27">
        <v>3.8020290000000001</v>
      </c>
      <c r="W2043" s="27">
        <v>44.045489000000003</v>
      </c>
      <c r="Y2043" s="27">
        <v>8.2778139999999993</v>
      </c>
      <c r="AA2043" s="27">
        <v>617.16438000000005</v>
      </c>
      <c r="AC2043" s="27">
        <v>56.922656000000003</v>
      </c>
      <c r="AE2043" s="27">
        <v>1</v>
      </c>
      <c r="AG2043" s="27">
        <v>7.7163079999999997</v>
      </c>
      <c r="AI2043" s="27">
        <v>8.75</v>
      </c>
      <c r="AK2043" s="27">
        <v>24.024930000000001</v>
      </c>
      <c r="AM2043" s="27">
        <v>35.155341999999997</v>
      </c>
      <c r="AO2043" s="27">
        <v>6.7930650000000004</v>
      </c>
    </row>
    <row r="2044" spans="2:41" x14ac:dyDescent="0.25">
      <c r="B2044" s="21">
        <v>44342</v>
      </c>
      <c r="C2044" s="27">
        <v>19.8903</v>
      </c>
      <c r="E2044" s="27">
        <v>0.81796800000000003</v>
      </c>
      <c r="G2044" s="27">
        <v>94.336082000000005</v>
      </c>
      <c r="I2044" s="27">
        <v>6.9020440000000001</v>
      </c>
      <c r="K2044" s="27">
        <v>5.3223820000000002</v>
      </c>
      <c r="M2044" s="27">
        <v>732.58004000000005</v>
      </c>
      <c r="O2044" s="27">
        <v>3741.6094119999998</v>
      </c>
      <c r="Q2044" s="27">
        <v>6721.86283</v>
      </c>
      <c r="S2044" s="27">
        <v>1262.9494749999999</v>
      </c>
      <c r="U2044" s="27">
        <v>3.8246540000000002</v>
      </c>
      <c r="W2044" s="27">
        <v>44.052266000000003</v>
      </c>
      <c r="Y2044" s="27">
        <v>8.2768219999999992</v>
      </c>
      <c r="AA2044" s="27">
        <v>617.85581200000001</v>
      </c>
      <c r="AC2044" s="27">
        <v>56.95814</v>
      </c>
      <c r="AE2044" s="27">
        <v>1</v>
      </c>
      <c r="AG2044" s="27">
        <v>7.7208040000000002</v>
      </c>
      <c r="AI2044" s="27">
        <v>8.75</v>
      </c>
      <c r="AK2044" s="27">
        <v>24.046029999999998</v>
      </c>
      <c r="AM2044" s="27">
        <v>35.072763999999999</v>
      </c>
      <c r="AO2044" s="27">
        <v>6.7977819999999998</v>
      </c>
    </row>
    <row r="2045" spans="2:41" x14ac:dyDescent="0.25">
      <c r="B2045" s="21">
        <v>44343</v>
      </c>
      <c r="C2045" s="27">
        <v>19.878299999999999</v>
      </c>
      <c r="E2045" s="27">
        <v>0.82003499999999996</v>
      </c>
      <c r="G2045" s="27">
        <v>94.492784999999998</v>
      </c>
      <c r="I2045" s="27">
        <v>6.9081479999999997</v>
      </c>
      <c r="K2045" s="27">
        <v>5.28688</v>
      </c>
      <c r="M2045" s="27">
        <v>728.74387200000001</v>
      </c>
      <c r="O2045" s="27">
        <v>3737.1757779999998</v>
      </c>
      <c r="Q2045" s="27">
        <v>6735.5357690000001</v>
      </c>
      <c r="S2045" s="27">
        <v>1274.0162909999999</v>
      </c>
      <c r="U2045" s="27">
        <v>3.8487779999999998</v>
      </c>
      <c r="W2045" s="27">
        <v>44.018129999999999</v>
      </c>
      <c r="Y2045" s="27">
        <v>8.3259419999999995</v>
      </c>
      <c r="AA2045" s="27">
        <v>618.53971200000001</v>
      </c>
      <c r="AC2045" s="27">
        <v>57.044319000000002</v>
      </c>
      <c r="AE2045" s="27">
        <v>1</v>
      </c>
      <c r="AG2045" s="27">
        <v>7.7273319999999996</v>
      </c>
      <c r="AI2045" s="27">
        <v>8.75</v>
      </c>
      <c r="AK2045" s="27">
        <v>24.065100000000001</v>
      </c>
      <c r="AM2045" s="27">
        <v>35.125915999999997</v>
      </c>
      <c r="AO2045" s="27">
        <v>6.8001810000000003</v>
      </c>
    </row>
    <row r="2046" spans="2:41" x14ac:dyDescent="0.25">
      <c r="B2046" s="21">
        <v>44344</v>
      </c>
      <c r="C2046" s="27">
        <v>19.948699999999999</v>
      </c>
      <c r="E2046" s="27">
        <v>0.82070600000000005</v>
      </c>
      <c r="G2046" s="27">
        <v>94.501897</v>
      </c>
      <c r="I2046" s="27">
        <v>6.9080719999999998</v>
      </c>
      <c r="K2046" s="27">
        <v>5.2325169999999996</v>
      </c>
      <c r="M2046" s="27">
        <v>724.77763800000002</v>
      </c>
      <c r="O2046" s="27">
        <v>3718.3742769999999</v>
      </c>
      <c r="Q2046" s="27">
        <v>6748.7490740000003</v>
      </c>
      <c r="S2046" s="27">
        <v>1289.7779499999999</v>
      </c>
      <c r="U2046" s="27">
        <v>3.8313700000000002</v>
      </c>
      <c r="W2046" s="27">
        <v>43.931085000000003</v>
      </c>
      <c r="Y2046" s="27">
        <v>8.3958089999999999</v>
      </c>
      <c r="AA2046" s="27">
        <v>618.44539399999996</v>
      </c>
      <c r="AC2046" s="27">
        <v>56.996383999999999</v>
      </c>
      <c r="AE2046" s="27">
        <v>1</v>
      </c>
      <c r="AG2046" s="27">
        <v>7.7259099999999998</v>
      </c>
      <c r="AI2046" s="27">
        <v>8.75</v>
      </c>
      <c r="AK2046" s="27">
        <v>24.049441999999999</v>
      </c>
      <c r="AM2046" s="27">
        <v>35.183008999999998</v>
      </c>
      <c r="AO2046" s="27">
        <v>6.7952820000000003</v>
      </c>
    </row>
    <row r="2047" spans="2:41" x14ac:dyDescent="0.25">
      <c r="B2047" s="21">
        <v>44345</v>
      </c>
      <c r="C2047" s="27">
        <v>19.948699999999999</v>
      </c>
      <c r="E2047" s="27">
        <v>0.82020300000000002</v>
      </c>
      <c r="G2047" s="27">
        <v>94.555250000000001</v>
      </c>
      <c r="I2047" s="27">
        <v>6.9051619999999998</v>
      </c>
      <c r="K2047" s="27">
        <v>5.2256</v>
      </c>
      <c r="M2047" s="27">
        <v>724.5</v>
      </c>
      <c r="O2047" s="27">
        <v>3708.9175</v>
      </c>
      <c r="Q2047" s="27">
        <v>6752.7364900000002</v>
      </c>
      <c r="S2047" s="27">
        <v>1292.2473339999999</v>
      </c>
      <c r="U2047" s="27">
        <v>3.8135249999999998</v>
      </c>
      <c r="W2047" s="27">
        <v>43.854281</v>
      </c>
      <c r="Y2047" s="27">
        <v>8.3922209999999993</v>
      </c>
      <c r="AA2047" s="27">
        <v>618.20347100000004</v>
      </c>
      <c r="AC2047" s="27">
        <v>57.057499999999997</v>
      </c>
      <c r="AE2047" s="27">
        <v>1</v>
      </c>
      <c r="AG2047" s="27">
        <v>7.7241179999999998</v>
      </c>
      <c r="AI2047" s="27">
        <v>8.75</v>
      </c>
      <c r="AK2047" s="27">
        <v>24.061274999999998</v>
      </c>
      <c r="AM2047" s="27">
        <v>35.374749999999999</v>
      </c>
      <c r="AO2047" s="27">
        <v>6.7937700000000003</v>
      </c>
    </row>
    <row r="2048" spans="2:41" x14ac:dyDescent="0.25">
      <c r="B2048" s="21">
        <v>44346</v>
      </c>
      <c r="C2048" s="27">
        <v>19.948699999999999</v>
      </c>
      <c r="E2048" s="27">
        <v>0.82018199999999997</v>
      </c>
      <c r="G2048" s="27">
        <v>94.553420000000003</v>
      </c>
      <c r="I2048" s="27">
        <v>6.9051939999999998</v>
      </c>
      <c r="K2048" s="27">
        <v>5.2256099999999996</v>
      </c>
      <c r="M2048" s="27">
        <v>724.5</v>
      </c>
      <c r="O2048" s="27">
        <v>3708.847276</v>
      </c>
      <c r="Q2048" s="27">
        <v>6752.1809970000004</v>
      </c>
      <c r="S2048" s="27">
        <v>1292.138694</v>
      </c>
      <c r="U2048" s="27">
        <v>3.8144939999999998</v>
      </c>
      <c r="W2048" s="27">
        <v>43.854281999999998</v>
      </c>
      <c r="Y2048" s="27">
        <v>8.3922059999999998</v>
      </c>
      <c r="AA2048" s="27">
        <v>618.20867199999998</v>
      </c>
      <c r="AC2048" s="27">
        <v>57.057456000000002</v>
      </c>
      <c r="AE2048" s="27">
        <v>1</v>
      </c>
      <c r="AG2048" s="27">
        <v>7.7241169999999997</v>
      </c>
      <c r="AI2048" s="27">
        <v>8.75</v>
      </c>
      <c r="AK2048" s="27">
        <v>24.060673000000001</v>
      </c>
      <c r="AM2048" s="27">
        <v>35.371324000000001</v>
      </c>
      <c r="AO2048" s="27">
        <v>6.7938190000000001</v>
      </c>
    </row>
    <row r="2049" spans="2:41" x14ac:dyDescent="0.25">
      <c r="B2049" s="21">
        <v>44347</v>
      </c>
      <c r="C2049" s="27">
        <v>19.944199999999999</v>
      </c>
      <c r="E2049" s="27">
        <v>0.81914399999999998</v>
      </c>
      <c r="G2049" s="27">
        <v>94.556764000000001</v>
      </c>
      <c r="I2049" s="27">
        <v>6.903346</v>
      </c>
      <c r="K2049" s="27">
        <v>5.2299360000000004</v>
      </c>
      <c r="M2049" s="27">
        <v>723.53151100000002</v>
      </c>
      <c r="O2049" s="27">
        <v>3708.1741740000002</v>
      </c>
      <c r="Q2049" s="27">
        <v>6748.09141</v>
      </c>
      <c r="S2049" s="27">
        <v>1290.2902859999999</v>
      </c>
      <c r="U2049" s="27">
        <v>3.822981</v>
      </c>
      <c r="W2049" s="27">
        <v>43.842914999999998</v>
      </c>
      <c r="Y2049" s="27">
        <v>8.3831000000000007</v>
      </c>
      <c r="AA2049" s="27">
        <v>617.644048</v>
      </c>
      <c r="AC2049" s="27">
        <v>56.867617000000003</v>
      </c>
      <c r="AE2049" s="27">
        <v>1</v>
      </c>
      <c r="AG2049" s="27">
        <v>7.7230290000000004</v>
      </c>
      <c r="AI2049" s="27">
        <v>8.75</v>
      </c>
      <c r="AK2049" s="27">
        <v>24.023226000000001</v>
      </c>
      <c r="AM2049" s="27">
        <v>35.009686000000002</v>
      </c>
      <c r="AO2049" s="27">
        <v>6.7939860000000003</v>
      </c>
    </row>
    <row r="2050" spans="2:41" ht="13" x14ac:dyDescent="0.3">
      <c r="B2050" s="25" t="s">
        <v>121</v>
      </c>
      <c r="C2050" s="19">
        <v>19.9938</v>
      </c>
      <c r="E2050" s="19">
        <v>0.82350000000000001</v>
      </c>
      <c r="G2050" s="19">
        <v>94.042000000000002</v>
      </c>
      <c r="I2050" s="19">
        <v>6.9020000000000001</v>
      </c>
      <c r="K2050" s="19">
        <v>5.3028000000000004</v>
      </c>
      <c r="M2050" s="19">
        <v>711.89919999999995</v>
      </c>
      <c r="O2050" s="19">
        <v>3736.5147999999999</v>
      </c>
      <c r="Q2050" s="19">
        <v>6688.1692000000003</v>
      </c>
      <c r="S2050" s="19">
        <v>1261.6103000000001</v>
      </c>
      <c r="U2050" s="19">
        <v>3.77</v>
      </c>
      <c r="W2050" s="19">
        <v>44.024500000000003</v>
      </c>
      <c r="Y2050" s="19">
        <v>8.3035999999999994</v>
      </c>
      <c r="AA2050" s="19">
        <v>616.51859999999999</v>
      </c>
      <c r="AC2050" s="19">
        <v>56.929900000000004</v>
      </c>
      <c r="AE2050" s="19">
        <v>1</v>
      </c>
      <c r="AG2050" s="19">
        <v>7.718</v>
      </c>
      <c r="AI2050" s="19">
        <v>8.75</v>
      </c>
      <c r="AK2050" s="19">
        <v>24.052099999999999</v>
      </c>
      <c r="AM2050" s="19">
        <v>35.109499999999997</v>
      </c>
      <c r="AO2050" s="19">
        <v>6.7915000000000001</v>
      </c>
    </row>
    <row r="2051" spans="2:41" x14ac:dyDescent="0.25">
      <c r="B2051" s="21">
        <v>44348</v>
      </c>
      <c r="C2051" s="27">
        <v>19.921299999999999</v>
      </c>
      <c r="E2051" s="27">
        <v>0.81781599999999999</v>
      </c>
      <c r="G2051" s="27">
        <v>94.653248000000005</v>
      </c>
      <c r="I2051" s="27">
        <v>6.8974349999999998</v>
      </c>
      <c r="K2051" s="27">
        <v>5.1888680000000003</v>
      </c>
      <c r="M2051" s="27">
        <v>723.83393799999999</v>
      </c>
      <c r="O2051" s="27">
        <v>3690.4341220000001</v>
      </c>
      <c r="Q2051" s="27">
        <v>6756.689507</v>
      </c>
      <c r="S2051" s="27">
        <v>1302.15806</v>
      </c>
      <c r="U2051" s="27">
        <v>3.8333979999999999</v>
      </c>
      <c r="W2051" s="27">
        <v>43.791153999999999</v>
      </c>
      <c r="Y2051" s="27">
        <v>8.4394679999999997</v>
      </c>
      <c r="AA2051" s="27">
        <v>617.38063999999997</v>
      </c>
      <c r="AC2051" s="27">
        <v>56.870716000000002</v>
      </c>
      <c r="AE2051" s="27">
        <v>1</v>
      </c>
      <c r="AG2051" s="27">
        <v>7.7190830000000004</v>
      </c>
      <c r="AI2051" s="27">
        <v>8.75</v>
      </c>
      <c r="AK2051" s="27">
        <v>24.026132</v>
      </c>
      <c r="AM2051" s="27">
        <v>35.041049999999998</v>
      </c>
      <c r="AO2051" s="27">
        <v>6.7634790000000002</v>
      </c>
    </row>
    <row r="2052" spans="2:41" x14ac:dyDescent="0.25">
      <c r="B2052" s="21">
        <v>44349</v>
      </c>
      <c r="C2052" s="27">
        <v>19.892700000000001</v>
      </c>
      <c r="E2052" s="27">
        <v>0.81925000000000003</v>
      </c>
      <c r="G2052" s="27">
        <v>94.707284000000001</v>
      </c>
      <c r="I2052" s="27">
        <v>6.9021759999999999</v>
      </c>
      <c r="K2052" s="27">
        <v>5.1239410000000003</v>
      </c>
      <c r="M2052" s="27">
        <v>724.33040800000003</v>
      </c>
      <c r="O2052" s="27">
        <v>3659.0142839999999</v>
      </c>
      <c r="Q2052" s="27">
        <v>6763.9606020000001</v>
      </c>
      <c r="S2052" s="27">
        <v>1320.07701</v>
      </c>
      <c r="U2052" s="27">
        <v>3.848897</v>
      </c>
      <c r="W2052" s="27">
        <v>43.806004000000001</v>
      </c>
      <c r="Y2052" s="27">
        <v>8.5493039999999993</v>
      </c>
      <c r="AA2052" s="27">
        <v>618.11010999999996</v>
      </c>
      <c r="AC2052" s="27">
        <v>56.931241999999997</v>
      </c>
      <c r="AE2052" s="27">
        <v>1</v>
      </c>
      <c r="AG2052" s="27">
        <v>7.726769</v>
      </c>
      <c r="AI2052" s="27">
        <v>8.75</v>
      </c>
      <c r="AK2052" s="27">
        <v>24.050522000000001</v>
      </c>
      <c r="AM2052" s="27">
        <v>35.013917999999997</v>
      </c>
      <c r="AO2052" s="27">
        <v>6.7682270000000004</v>
      </c>
    </row>
    <row r="2053" spans="2:41" x14ac:dyDescent="0.25">
      <c r="B2053" s="21">
        <v>44350</v>
      </c>
      <c r="C2053" s="27">
        <v>19.927700000000002</v>
      </c>
      <c r="E2053" s="27">
        <v>0.82197900000000002</v>
      </c>
      <c r="G2053" s="27">
        <v>94.782584</v>
      </c>
      <c r="I2053" s="27">
        <v>6.896782</v>
      </c>
      <c r="K2053" s="27">
        <v>5.0773380000000001</v>
      </c>
      <c r="M2053" s="27">
        <v>719.07786799999997</v>
      </c>
      <c r="O2053" s="27">
        <v>3655.6397980000002</v>
      </c>
      <c r="Q2053" s="27">
        <v>6758.1364000000003</v>
      </c>
      <c r="S2053" s="27">
        <v>1331.046364</v>
      </c>
      <c r="U2053" s="27">
        <v>3.8393380000000001</v>
      </c>
      <c r="W2053" s="27">
        <v>43.667220999999998</v>
      </c>
      <c r="Y2053" s="27">
        <v>8.6004419999999993</v>
      </c>
      <c r="AA2053" s="27">
        <v>617.77855199999999</v>
      </c>
      <c r="AC2053" s="27">
        <v>56.803324000000003</v>
      </c>
      <c r="AE2053" s="27">
        <v>1</v>
      </c>
      <c r="AG2053" s="27">
        <v>7.718744</v>
      </c>
      <c r="AI2053" s="27">
        <v>8.75</v>
      </c>
      <c r="AK2053" s="27">
        <v>24.025846000000001</v>
      </c>
      <c r="AM2053" s="27">
        <v>34.966628</v>
      </c>
      <c r="AO2053" s="27">
        <v>6.7785659999999996</v>
      </c>
    </row>
    <row r="2054" spans="2:41" x14ac:dyDescent="0.25">
      <c r="B2054" s="21">
        <v>44351</v>
      </c>
      <c r="C2054" s="27">
        <v>20.060500000000001</v>
      </c>
      <c r="E2054" s="27">
        <v>0.823712</v>
      </c>
      <c r="G2054" s="27">
        <v>94.774135999999999</v>
      </c>
      <c r="I2054" s="27">
        <v>6.9262180000000004</v>
      </c>
      <c r="K2054" s="27">
        <v>5.0681120000000002</v>
      </c>
      <c r="M2054" s="27">
        <v>718.29719</v>
      </c>
      <c r="O2054" s="27">
        <v>3638.0303680000002</v>
      </c>
      <c r="Q2054" s="27">
        <v>6770.4644319999998</v>
      </c>
      <c r="S2054" s="27">
        <v>1335.901828</v>
      </c>
      <c r="U2054" s="27">
        <v>3.8555519999999999</v>
      </c>
      <c r="W2054" s="27">
        <v>43.739052000000001</v>
      </c>
      <c r="Y2054" s="27">
        <v>8.6302699999999994</v>
      </c>
      <c r="AA2054" s="27">
        <v>619.34443399999998</v>
      </c>
      <c r="AC2054" s="27">
        <v>57.096026000000002</v>
      </c>
      <c r="AE2054" s="27"/>
      <c r="AG2054" s="27">
        <v>7.7307569999999997</v>
      </c>
      <c r="AI2054" s="27">
        <v>8.75</v>
      </c>
      <c r="AK2054" s="27">
        <v>24.067285999999999</v>
      </c>
      <c r="AM2054" s="27">
        <v>35.025041999999999</v>
      </c>
      <c r="AO2054" s="27">
        <v>6.7875880000000004</v>
      </c>
    </row>
    <row r="2055" spans="2:41" x14ac:dyDescent="0.25">
      <c r="B2055" s="21">
        <v>44352</v>
      </c>
      <c r="C2055" s="27">
        <v>20.060500000000001</v>
      </c>
      <c r="E2055" s="27">
        <v>0.82192600000000005</v>
      </c>
      <c r="G2055" s="27">
        <v>94.795873</v>
      </c>
      <c r="I2055" s="27">
        <v>6.9337669999999996</v>
      </c>
      <c r="K2055" s="27">
        <v>5.0488</v>
      </c>
      <c r="M2055" s="27">
        <v>718.3</v>
      </c>
      <c r="O2055" s="27">
        <v>3609.12</v>
      </c>
      <c r="Q2055" s="27">
        <v>6763.2561299999998</v>
      </c>
      <c r="S2055" s="27">
        <v>1339.583365</v>
      </c>
      <c r="U2055" s="27">
        <v>3.8451</v>
      </c>
      <c r="W2055" s="27">
        <v>43.615606</v>
      </c>
      <c r="Y2055" s="27">
        <v>8.6388289999999994</v>
      </c>
      <c r="AA2055" s="27">
        <v>618.80303700000002</v>
      </c>
      <c r="AC2055" s="27">
        <v>57.037500000000001</v>
      </c>
      <c r="AE2055" s="27">
        <v>1</v>
      </c>
      <c r="AG2055" s="27">
        <v>7.7221929999999999</v>
      </c>
      <c r="AI2055" s="27">
        <v>8.75</v>
      </c>
      <c r="AK2055" s="27">
        <v>24.06615</v>
      </c>
      <c r="AM2055" s="27">
        <v>35.133749999999999</v>
      </c>
      <c r="AO2055" s="27">
        <v>6.7805580000000001</v>
      </c>
    </row>
    <row r="2056" spans="2:41" x14ac:dyDescent="0.25">
      <c r="B2056" s="21">
        <v>44353</v>
      </c>
      <c r="C2056" s="27">
        <v>20.060500000000001</v>
      </c>
      <c r="E2056" s="27">
        <v>0.82194400000000001</v>
      </c>
      <c r="G2056" s="27">
        <v>94.796925999999999</v>
      </c>
      <c r="I2056" s="27">
        <v>6.9334499999999997</v>
      </c>
      <c r="K2056" s="27">
        <v>5.0489800000000002</v>
      </c>
      <c r="M2056" s="27">
        <v>718.3</v>
      </c>
      <c r="O2056" s="27">
        <v>3609.0169689999998</v>
      </c>
      <c r="Q2056" s="27">
        <v>6763.2765179999997</v>
      </c>
      <c r="S2056" s="27">
        <v>1339.5400259999999</v>
      </c>
      <c r="U2056" s="27">
        <v>3.8454440000000001</v>
      </c>
      <c r="W2056" s="27">
        <v>43.61542</v>
      </c>
      <c r="Y2056" s="27">
        <v>8.6384860000000003</v>
      </c>
      <c r="AA2056" s="27">
        <v>618.79728499999999</v>
      </c>
      <c r="AC2056" s="27">
        <v>57.037477000000003</v>
      </c>
      <c r="AE2056" s="27">
        <v>1</v>
      </c>
      <c r="AG2056" s="27">
        <v>7.7221700000000002</v>
      </c>
      <c r="AI2056" s="27">
        <v>8.75</v>
      </c>
      <c r="AK2056" s="27">
        <v>24.065842</v>
      </c>
      <c r="AM2056" s="27">
        <v>35.131875999999998</v>
      </c>
      <c r="AO2056" s="27">
        <v>6.7805439999999999</v>
      </c>
    </row>
    <row r="2057" spans="2:41" x14ac:dyDescent="0.25">
      <c r="B2057" s="21">
        <v>44354</v>
      </c>
      <c r="C2057" s="27">
        <v>19.9328</v>
      </c>
      <c r="E2057" s="27">
        <v>0.82134399999999996</v>
      </c>
      <c r="G2057" s="27">
        <v>94.779904999999999</v>
      </c>
      <c r="I2057" s="27">
        <v>6.9270889999999996</v>
      </c>
      <c r="K2057" s="27">
        <v>5.0453530000000004</v>
      </c>
      <c r="M2057" s="27">
        <v>717.19212000000005</v>
      </c>
      <c r="O2057" s="27">
        <v>3608.2798339999999</v>
      </c>
      <c r="Q2057" s="27">
        <v>6754.82474</v>
      </c>
      <c r="S2057" s="27">
        <v>1338.8280520000001</v>
      </c>
      <c r="U2057" s="27">
        <v>3.8562539999999998</v>
      </c>
      <c r="W2057" s="27">
        <v>43.529600000000002</v>
      </c>
      <c r="Y2057" s="27">
        <v>8.6276879999999991</v>
      </c>
      <c r="AA2057" s="27">
        <v>618.250181</v>
      </c>
      <c r="AC2057" s="27">
        <v>56.879890000000003</v>
      </c>
      <c r="AE2057" s="27">
        <v>1</v>
      </c>
      <c r="AG2057" s="27">
        <v>7.7141489999999999</v>
      </c>
      <c r="AI2057" s="27">
        <v>8.75</v>
      </c>
      <c r="AK2057" s="27">
        <v>24.022625000000001</v>
      </c>
      <c r="AM2057" s="27">
        <v>34.985562000000002</v>
      </c>
      <c r="AO2057" s="27">
        <v>6.7730459999999999</v>
      </c>
    </row>
    <row r="2058" spans="2:41" x14ac:dyDescent="0.25">
      <c r="B2058" s="21">
        <v>44355</v>
      </c>
      <c r="C2058" s="27">
        <v>19.797000000000001</v>
      </c>
      <c r="E2058" s="27">
        <v>0.82111800000000001</v>
      </c>
      <c r="G2058" s="27">
        <v>94.938665999999998</v>
      </c>
      <c r="I2058" s="27">
        <v>6.9152019999999998</v>
      </c>
      <c r="K2058" s="27">
        <v>5.0433120000000002</v>
      </c>
      <c r="M2058" s="27">
        <v>716.95178599999997</v>
      </c>
      <c r="O2058" s="27">
        <v>3602.5770309999998</v>
      </c>
      <c r="Q2058" s="27">
        <v>6745.1254259999996</v>
      </c>
      <c r="S2058" s="27">
        <v>1337.4470630000001</v>
      </c>
      <c r="U2058" s="27">
        <v>3.9051100000000001</v>
      </c>
      <c r="W2058" s="27">
        <v>43.592795000000002</v>
      </c>
      <c r="Y2058" s="27">
        <v>8.6437120000000007</v>
      </c>
      <c r="AA2058" s="27">
        <v>618.83894299999997</v>
      </c>
      <c r="AC2058" s="27">
        <v>57.034683999999999</v>
      </c>
      <c r="AE2058" s="27">
        <v>1</v>
      </c>
      <c r="AG2058" s="27">
        <v>7.7202830000000002</v>
      </c>
      <c r="AI2058" s="27">
        <v>8.75</v>
      </c>
      <c r="AK2058" s="27">
        <v>24.043396999999999</v>
      </c>
      <c r="AM2058" s="27">
        <v>35.003450000000001</v>
      </c>
      <c r="AO2058" s="27">
        <v>6.7776519999999998</v>
      </c>
    </row>
    <row r="2059" spans="2:41" x14ac:dyDescent="0.25">
      <c r="B2059" s="21">
        <v>44356</v>
      </c>
      <c r="C2059" s="27">
        <v>19.7728</v>
      </c>
      <c r="E2059" s="27">
        <v>0.82077599999999995</v>
      </c>
      <c r="G2059" s="27">
        <v>94.986453999999995</v>
      </c>
      <c r="I2059" s="27">
        <v>6.9022139999999998</v>
      </c>
      <c r="K2059" s="27">
        <v>5.0483770000000003</v>
      </c>
      <c r="M2059" s="27">
        <v>718.60849199999996</v>
      </c>
      <c r="O2059" s="27">
        <v>3591.4641820000002</v>
      </c>
      <c r="Q2059" s="27">
        <v>6725.5626709999997</v>
      </c>
      <c r="S2059" s="27">
        <v>1332.229711</v>
      </c>
      <c r="U2059" s="27">
        <v>3.910005</v>
      </c>
      <c r="W2059" s="27">
        <v>43.582554000000002</v>
      </c>
      <c r="Y2059" s="27">
        <v>8.633013</v>
      </c>
      <c r="AA2059" s="27">
        <v>618.87642300000005</v>
      </c>
      <c r="AC2059" s="27">
        <v>57.033501999999999</v>
      </c>
      <c r="AE2059" s="27">
        <v>1</v>
      </c>
      <c r="AG2059" s="27">
        <v>7.7210340000000004</v>
      </c>
      <c r="AI2059" s="27">
        <v>8.75</v>
      </c>
      <c r="AK2059" s="27">
        <v>24.040982</v>
      </c>
      <c r="AM2059" s="27">
        <v>34.987028000000002</v>
      </c>
      <c r="AO2059" s="27">
        <v>6.7780279999999999</v>
      </c>
    </row>
    <row r="2060" spans="2:41" x14ac:dyDescent="0.25">
      <c r="B2060" s="21">
        <v>44357</v>
      </c>
      <c r="C2060" s="27">
        <v>19.689699999999998</v>
      </c>
      <c r="E2060" s="27">
        <v>0.82160599999999995</v>
      </c>
      <c r="G2060" s="27">
        <v>95.073885000000004</v>
      </c>
      <c r="I2060" s="27">
        <v>6.9002100000000004</v>
      </c>
      <c r="K2060" s="27">
        <v>5.0629520000000001</v>
      </c>
      <c r="M2060" s="27">
        <v>720.220956</v>
      </c>
      <c r="O2060" s="27">
        <v>3593.3565600000002</v>
      </c>
      <c r="Q2060" s="27">
        <v>6727.5093459999998</v>
      </c>
      <c r="S2060" s="27">
        <v>1328.7793859999999</v>
      </c>
      <c r="U2060" s="27">
        <v>3.879264</v>
      </c>
      <c r="W2060" s="27">
        <v>43.560952</v>
      </c>
      <c r="Y2060" s="27">
        <v>8.6038929999999993</v>
      </c>
      <c r="AA2060" s="27">
        <v>619.24891400000001</v>
      </c>
      <c r="AC2060" s="27">
        <v>57.038040000000002</v>
      </c>
      <c r="AE2060" s="27">
        <v>1</v>
      </c>
      <c r="AG2060" s="27">
        <v>7.7218580000000001</v>
      </c>
      <c r="AI2060" s="27">
        <v>8.75</v>
      </c>
      <c r="AK2060" s="27">
        <v>24.04279</v>
      </c>
      <c r="AM2060" s="27">
        <v>34.935335000000002</v>
      </c>
      <c r="AO2060" s="27">
        <v>6.7811859999999999</v>
      </c>
    </row>
    <row r="2061" spans="2:41" x14ac:dyDescent="0.25">
      <c r="B2061" s="21">
        <v>44358</v>
      </c>
      <c r="C2061" s="27">
        <v>19.700199999999999</v>
      </c>
      <c r="E2061" s="27">
        <v>0.82357800000000003</v>
      </c>
      <c r="G2061" s="27">
        <v>95.108123000000006</v>
      </c>
      <c r="I2061" s="27">
        <v>6.9170109999999996</v>
      </c>
      <c r="K2061" s="27">
        <v>5.085604</v>
      </c>
      <c r="M2061" s="27">
        <v>720.64231800000005</v>
      </c>
      <c r="O2061" s="27">
        <v>3618.676273</v>
      </c>
      <c r="Q2061" s="27">
        <v>6724.0096640000002</v>
      </c>
      <c r="S2061" s="27">
        <v>1322.172556</v>
      </c>
      <c r="U2061" s="27">
        <v>3.8709190000000002</v>
      </c>
      <c r="W2061" s="27">
        <v>43.565362</v>
      </c>
      <c r="Y2061" s="27">
        <v>8.5664379999999998</v>
      </c>
      <c r="AA2061" s="27">
        <v>619.22666900000002</v>
      </c>
      <c r="AC2061" s="27">
        <v>56.992337999999997</v>
      </c>
      <c r="AE2061" s="27">
        <v>1</v>
      </c>
      <c r="AG2061" s="27">
        <v>7.723427</v>
      </c>
      <c r="AI2061" s="27">
        <v>8.75</v>
      </c>
      <c r="AK2061" s="27">
        <v>24.045750000000002</v>
      </c>
      <c r="AM2061" s="27">
        <v>35.082163999999999</v>
      </c>
      <c r="AO2061" s="27">
        <v>6.7841040000000001</v>
      </c>
    </row>
    <row r="2062" spans="2:41" x14ac:dyDescent="0.25">
      <c r="B2062" s="21">
        <v>44359</v>
      </c>
      <c r="C2062" s="27">
        <v>19.700199999999999</v>
      </c>
      <c r="E2062" s="27">
        <v>0.82583200000000001</v>
      </c>
      <c r="G2062" s="27">
        <v>95.137263000000004</v>
      </c>
      <c r="I2062" s="27">
        <v>6.9386140000000003</v>
      </c>
      <c r="K2062" s="27">
        <v>5.1182999999999996</v>
      </c>
      <c r="M2062" s="27">
        <v>722.01499999999999</v>
      </c>
      <c r="O2062" s="27">
        <v>3651.5625</v>
      </c>
      <c r="Q2062" s="27">
        <v>6720.8098659999996</v>
      </c>
      <c r="S2062" s="27">
        <v>1313.1003969999999</v>
      </c>
      <c r="U2062" s="27">
        <v>3.8544749999999999</v>
      </c>
      <c r="W2062" s="27">
        <v>43.610506000000001</v>
      </c>
      <c r="Y2062" s="27">
        <v>8.5205350000000006</v>
      </c>
      <c r="AA2062" s="27">
        <v>619.46831099999997</v>
      </c>
      <c r="AC2062" s="27">
        <v>57.064999999999998</v>
      </c>
      <c r="AE2062" s="27">
        <v>1</v>
      </c>
      <c r="AG2062" s="27">
        <v>7.7276179999999997</v>
      </c>
      <c r="AI2062" s="27">
        <v>8.75</v>
      </c>
      <c r="AK2062" s="27">
        <v>24.067049999999998</v>
      </c>
      <c r="AM2062" s="27">
        <v>35.084249999999997</v>
      </c>
      <c r="AO2062" s="27">
        <v>6.7875249999999996</v>
      </c>
    </row>
    <row r="2063" spans="2:41" x14ac:dyDescent="0.25">
      <c r="B2063" s="21">
        <v>44360</v>
      </c>
      <c r="C2063" s="27">
        <v>19.700199999999999</v>
      </c>
      <c r="E2063" s="27">
        <v>0.82583200000000001</v>
      </c>
      <c r="G2063" s="27">
        <v>95.136960000000002</v>
      </c>
      <c r="I2063" s="27">
        <v>6.9376569999999997</v>
      </c>
      <c r="K2063" s="27">
        <v>5.1182639999999999</v>
      </c>
      <c r="M2063" s="27">
        <v>722.00817199999995</v>
      </c>
      <c r="O2063" s="27">
        <v>3651.7873290000002</v>
      </c>
      <c r="Q2063" s="27">
        <v>6720.8623200000002</v>
      </c>
      <c r="S2063" s="27">
        <v>1313.1197239999999</v>
      </c>
      <c r="U2063" s="27">
        <v>3.8561960000000002</v>
      </c>
      <c r="W2063" s="27">
        <v>43.610424000000002</v>
      </c>
      <c r="Y2063" s="27">
        <v>8.5205769999999994</v>
      </c>
      <c r="AA2063" s="27">
        <v>619.465102</v>
      </c>
      <c r="AC2063" s="27">
        <v>57.064999999999998</v>
      </c>
      <c r="AE2063" s="27">
        <v>1</v>
      </c>
      <c r="AG2063" s="27">
        <v>7.7274609999999999</v>
      </c>
      <c r="AI2063" s="27">
        <v>8.75</v>
      </c>
      <c r="AK2063" s="27">
        <v>24.066462000000001</v>
      </c>
      <c r="AM2063" s="27">
        <v>35.081293000000002</v>
      </c>
      <c r="AO2063" s="27">
        <v>6.7874499999999998</v>
      </c>
    </row>
    <row r="2064" spans="2:41" x14ac:dyDescent="0.25">
      <c r="B2064" s="21">
        <v>44361</v>
      </c>
      <c r="C2064" s="27">
        <v>19.882300000000001</v>
      </c>
      <c r="E2064" s="27">
        <v>0.825488</v>
      </c>
      <c r="G2064" s="27">
        <v>95.245875999999996</v>
      </c>
      <c r="I2064" s="27">
        <v>6.9308889999999996</v>
      </c>
      <c r="K2064" s="27">
        <v>5.0936000000000003</v>
      </c>
      <c r="M2064" s="27">
        <v>720.80147099999999</v>
      </c>
      <c r="O2064" s="27">
        <v>3651.9283770000002</v>
      </c>
      <c r="Q2064" s="27">
        <v>6726.1675880000003</v>
      </c>
      <c r="S2064" s="27">
        <v>1320.5204120000001</v>
      </c>
      <c r="U2064" s="27">
        <v>3.899896</v>
      </c>
      <c r="W2064" s="27">
        <v>43.632491999999999</v>
      </c>
      <c r="Y2064" s="27">
        <v>8.5661649999999998</v>
      </c>
      <c r="AA2064" s="27">
        <v>619.562994</v>
      </c>
      <c r="AC2064" s="27">
        <v>57.117621999999997</v>
      </c>
      <c r="AE2064" s="27">
        <v>1</v>
      </c>
      <c r="AG2064" s="27">
        <v>7.7265280000000001</v>
      </c>
      <c r="AI2064" s="27">
        <v>8.75</v>
      </c>
      <c r="AK2064" s="27">
        <v>24.067743</v>
      </c>
      <c r="AM2064" s="27">
        <v>35.035791000000003</v>
      </c>
      <c r="AO2064" s="27">
        <v>6.7914960000000004</v>
      </c>
    </row>
    <row r="2065" spans="2:41" x14ac:dyDescent="0.25">
      <c r="B2065" s="21">
        <v>44362</v>
      </c>
      <c r="C2065" s="27">
        <v>19.906500000000001</v>
      </c>
      <c r="E2065" s="27">
        <v>0.82478600000000002</v>
      </c>
      <c r="G2065" s="27">
        <v>95.256867999999997</v>
      </c>
      <c r="I2065" s="27">
        <v>6.9131179999999999</v>
      </c>
      <c r="K2065" s="27">
        <v>5.0619259999999997</v>
      </c>
      <c r="M2065" s="27">
        <v>722.57101399999999</v>
      </c>
      <c r="O2065" s="27">
        <v>3669.5354240000001</v>
      </c>
      <c r="Q2065" s="27">
        <v>6722.2321760000004</v>
      </c>
      <c r="S2065" s="27">
        <v>1328.006298</v>
      </c>
      <c r="U2065" s="27">
        <v>3.8960780000000002</v>
      </c>
      <c r="W2065" s="27">
        <v>43.650069999999999</v>
      </c>
      <c r="Y2065" s="27">
        <v>8.6232399999999991</v>
      </c>
      <c r="AA2065" s="27">
        <v>618.94520599999998</v>
      </c>
      <c r="AC2065" s="27">
        <v>57.072617999999999</v>
      </c>
      <c r="AE2065" s="27">
        <v>1</v>
      </c>
      <c r="AG2065" s="27">
        <v>7.7263950000000001</v>
      </c>
      <c r="AI2065" s="27">
        <v>8.75</v>
      </c>
      <c r="AK2065" s="27">
        <v>24.045089999999998</v>
      </c>
      <c r="AM2065" s="27">
        <v>35.007499000000003</v>
      </c>
      <c r="AO2065" s="27">
        <v>6.7850029999999997</v>
      </c>
    </row>
    <row r="2066" spans="2:41" x14ac:dyDescent="0.25">
      <c r="B2066" s="21">
        <v>44363</v>
      </c>
      <c r="C2066" s="27">
        <v>20.1235</v>
      </c>
      <c r="E2066" s="27">
        <v>0.82690699999999995</v>
      </c>
      <c r="G2066" s="27">
        <v>95.251546000000005</v>
      </c>
      <c r="I2066" s="27">
        <v>6.905894</v>
      </c>
      <c r="K2066" s="27">
        <v>5.041728</v>
      </c>
      <c r="M2066" s="27">
        <v>727.62056800000005</v>
      </c>
      <c r="O2066" s="27">
        <v>3691.63402</v>
      </c>
      <c r="Q2066" s="27">
        <v>6723.9833740000004</v>
      </c>
      <c r="S2066" s="27">
        <v>1333.674045</v>
      </c>
      <c r="U2066" s="27">
        <v>3.8954270000000002</v>
      </c>
      <c r="W2066" s="27">
        <v>43.668950000000002</v>
      </c>
      <c r="Y2066" s="27">
        <v>8.6615359999999999</v>
      </c>
      <c r="AA2066" s="27">
        <v>618.87263600000006</v>
      </c>
      <c r="AC2066" s="27">
        <v>57.037820000000004</v>
      </c>
      <c r="AE2066" s="27">
        <v>1</v>
      </c>
      <c r="AG2066" s="27">
        <v>7.7293240000000001</v>
      </c>
      <c r="AI2066" s="27">
        <v>8.75</v>
      </c>
      <c r="AK2066" s="27">
        <v>24.041803999999999</v>
      </c>
      <c r="AM2066" s="27">
        <v>34.996400000000001</v>
      </c>
      <c r="AO2066" s="27">
        <v>6.7839280000000004</v>
      </c>
    </row>
    <row r="2067" spans="2:41" x14ac:dyDescent="0.25">
      <c r="B2067" s="21">
        <v>44364</v>
      </c>
      <c r="C2067" s="27">
        <v>20.058800000000002</v>
      </c>
      <c r="E2067" s="27">
        <v>0.83711800000000003</v>
      </c>
      <c r="G2067" s="27">
        <v>95.330566000000005</v>
      </c>
      <c r="I2067" s="27">
        <v>6.9224379999999996</v>
      </c>
      <c r="K2067" s="27">
        <v>5.0402740000000001</v>
      </c>
      <c r="M2067" s="27">
        <v>733.62581299999999</v>
      </c>
      <c r="O2067" s="27">
        <v>3698.7798539999999</v>
      </c>
      <c r="Q2067" s="27">
        <v>6743.2092579999999</v>
      </c>
      <c r="S2067" s="27">
        <v>1337.8733669999999</v>
      </c>
      <c r="U2067" s="27">
        <v>3.9162710000000001</v>
      </c>
      <c r="W2067" s="27">
        <v>43.856582000000003</v>
      </c>
      <c r="Y2067" s="27">
        <v>8.7012619999999998</v>
      </c>
      <c r="AA2067" s="27">
        <v>619.97528399999999</v>
      </c>
      <c r="AC2067" s="27">
        <v>57.182465999999998</v>
      </c>
      <c r="AE2067" s="27">
        <v>1</v>
      </c>
      <c r="AG2067" s="27">
        <v>7.7491300000000001</v>
      </c>
      <c r="AI2067" s="27">
        <v>8.75</v>
      </c>
      <c r="AK2067" s="27">
        <v>24.100391999999999</v>
      </c>
      <c r="AM2067" s="27">
        <v>35.063130999999998</v>
      </c>
      <c r="AO2067" s="27">
        <v>6.8003309999999999</v>
      </c>
    </row>
    <row r="2068" spans="2:41" x14ac:dyDescent="0.25">
      <c r="B2068" s="21">
        <v>44365</v>
      </c>
      <c r="C2068" s="27">
        <v>20.429200000000002</v>
      </c>
      <c r="E2068" s="27">
        <v>0.84096199999999999</v>
      </c>
      <c r="G2068" s="27">
        <v>95.367152000000004</v>
      </c>
      <c r="I2068" s="27">
        <v>6.9090680000000004</v>
      </c>
      <c r="K2068" s="27">
        <v>5.0339799999999997</v>
      </c>
      <c r="M2068" s="27">
        <v>742.58772699999997</v>
      </c>
      <c r="O2068" s="27">
        <v>3741.9629799999998</v>
      </c>
      <c r="Q2068" s="27">
        <v>6730.5930799999996</v>
      </c>
      <c r="S2068" s="27">
        <v>1337.040056</v>
      </c>
      <c r="U2068" s="27">
        <v>3.9215559999999998</v>
      </c>
      <c r="W2068" s="27">
        <v>43.700707999999999</v>
      </c>
      <c r="Y2068" s="27">
        <v>8.6811749999999996</v>
      </c>
      <c r="AA2068" s="27">
        <v>618.30991700000004</v>
      </c>
      <c r="AC2068" s="27">
        <v>57.065632000000001</v>
      </c>
      <c r="AE2068" s="27">
        <v>1</v>
      </c>
      <c r="AG2068" s="27">
        <v>7.7325819999999998</v>
      </c>
      <c r="AI2068" s="27">
        <v>8.75</v>
      </c>
      <c r="AK2068" s="27">
        <v>24.066109999999998</v>
      </c>
      <c r="AM2068" s="27">
        <v>35.039895999999999</v>
      </c>
      <c r="AO2068" s="27">
        <v>6.7862309999999999</v>
      </c>
    </row>
    <row r="2069" spans="2:41" x14ac:dyDescent="0.25">
      <c r="B2069" s="21">
        <v>44366</v>
      </c>
      <c r="C2069" s="27">
        <v>20.429200000000002</v>
      </c>
      <c r="E2069" s="27">
        <v>0.84287199999999995</v>
      </c>
      <c r="G2069" s="27">
        <v>95.385774999999995</v>
      </c>
      <c r="I2069" s="27">
        <v>6.9095110000000002</v>
      </c>
      <c r="K2069" s="27">
        <v>5.0903999999999998</v>
      </c>
      <c r="M2069" s="27">
        <v>748.6</v>
      </c>
      <c r="O2069" s="27">
        <v>3764.6574999999998</v>
      </c>
      <c r="Q2069" s="27">
        <v>6736.059655</v>
      </c>
      <c r="S2069" s="27">
        <v>1323.295687</v>
      </c>
      <c r="U2069" s="27">
        <v>3.9209749999999999</v>
      </c>
      <c r="W2069" s="27">
        <v>43.738466000000003</v>
      </c>
      <c r="Y2069" s="27">
        <v>8.5923839999999991</v>
      </c>
      <c r="AA2069" s="27">
        <v>618.26705100000004</v>
      </c>
      <c r="AC2069" s="27">
        <v>57.087499999999999</v>
      </c>
      <c r="AE2069" s="27">
        <v>1</v>
      </c>
      <c r="AG2069" s="27">
        <v>7.733352</v>
      </c>
      <c r="AI2069" s="27">
        <v>8.75</v>
      </c>
      <c r="AK2069" s="27">
        <v>24.072524999999999</v>
      </c>
      <c r="AM2069" s="27">
        <v>35.055</v>
      </c>
      <c r="AO2069" s="27">
        <v>6.7880900000000004</v>
      </c>
    </row>
    <row r="2070" spans="2:41" x14ac:dyDescent="0.25">
      <c r="B2070" s="21">
        <v>44367</v>
      </c>
      <c r="C2070" s="27">
        <v>20.429200000000002</v>
      </c>
      <c r="E2070" s="27">
        <v>0.84284899999999996</v>
      </c>
      <c r="G2070" s="27">
        <v>95.382018000000002</v>
      </c>
      <c r="I2070" s="27">
        <v>6.9095700000000004</v>
      </c>
      <c r="K2070" s="27">
        <v>5.0904590000000001</v>
      </c>
      <c r="M2070" s="27">
        <v>748.59991000000002</v>
      </c>
      <c r="O2070" s="27">
        <v>3765.1965460000001</v>
      </c>
      <c r="Q2070" s="27">
        <v>6735.9105140000001</v>
      </c>
      <c r="S2070" s="27">
        <v>1323.251182</v>
      </c>
      <c r="U2070" s="27">
        <v>3.9224389999999998</v>
      </c>
      <c r="W2070" s="27">
        <v>43.735438000000002</v>
      </c>
      <c r="Y2070" s="27">
        <v>8.5916899999999998</v>
      </c>
      <c r="AA2070" s="27">
        <v>618.27869999999996</v>
      </c>
      <c r="AC2070" s="27">
        <v>57.087634000000001</v>
      </c>
      <c r="AE2070" s="27">
        <v>1</v>
      </c>
      <c r="AG2070" s="27">
        <v>7.7332989999999997</v>
      </c>
      <c r="AI2070" s="27">
        <v>8.75</v>
      </c>
      <c r="AK2070" s="27">
        <v>24.071677999999999</v>
      </c>
      <c r="AM2070" s="27">
        <v>35.052948000000001</v>
      </c>
      <c r="AO2070" s="27">
        <v>6.7880750000000001</v>
      </c>
    </row>
    <row r="2071" spans="2:41" x14ac:dyDescent="0.25">
      <c r="B2071" s="21">
        <v>44368</v>
      </c>
      <c r="C2071" s="27">
        <v>20.700199999999999</v>
      </c>
      <c r="E2071" s="27">
        <v>0.84079000000000004</v>
      </c>
      <c r="G2071" s="27">
        <v>95.375935999999996</v>
      </c>
      <c r="I2071" s="27">
        <v>6.9065919999999998</v>
      </c>
      <c r="K2071" s="27">
        <v>5.0620560000000001</v>
      </c>
      <c r="M2071" s="27">
        <v>748.18008699999996</v>
      </c>
      <c r="O2071" s="27">
        <v>3764.9990520000001</v>
      </c>
      <c r="Q2071" s="27">
        <v>6744.7728319999997</v>
      </c>
      <c r="S2071" s="27">
        <v>1332.424708</v>
      </c>
      <c r="U2071" s="27">
        <v>3.9475519999999999</v>
      </c>
      <c r="W2071" s="27">
        <v>43.75515</v>
      </c>
      <c r="Y2071" s="27">
        <v>8.643777</v>
      </c>
      <c r="AA2071" s="27">
        <v>619.19681000000003</v>
      </c>
      <c r="AC2071" s="27">
        <v>57.083758000000003</v>
      </c>
      <c r="AE2071" s="27">
        <v>1</v>
      </c>
      <c r="AG2071" s="27">
        <v>7.732996</v>
      </c>
      <c r="AI2071" s="27">
        <v>8.75</v>
      </c>
      <c r="AK2071" s="27">
        <v>24.036581999999999</v>
      </c>
      <c r="AM2071" s="27">
        <v>35.024700000000003</v>
      </c>
      <c r="AO2071" s="27">
        <v>6.7957359999999998</v>
      </c>
    </row>
    <row r="2072" spans="2:41" x14ac:dyDescent="0.25">
      <c r="B2072" s="21">
        <v>44369</v>
      </c>
      <c r="C2072" s="27">
        <v>20.6</v>
      </c>
      <c r="E2072" s="27">
        <v>0.83936999999999995</v>
      </c>
      <c r="G2072" s="27">
        <v>95.372928000000002</v>
      </c>
      <c r="I2072" s="27">
        <v>6.9021039999999996</v>
      </c>
      <c r="K2072" s="27">
        <v>5.002694</v>
      </c>
      <c r="M2072" s="27">
        <v>746.695786</v>
      </c>
      <c r="O2072" s="27">
        <v>3767.3140400000002</v>
      </c>
      <c r="Q2072" s="27">
        <v>6750.5108419999997</v>
      </c>
      <c r="S2072" s="27">
        <v>1349.3830820000001</v>
      </c>
      <c r="U2072" s="27">
        <v>3.956242</v>
      </c>
      <c r="W2072" s="27">
        <v>43.755298000000003</v>
      </c>
      <c r="Y2072" s="27">
        <v>8.7463800000000003</v>
      </c>
      <c r="AA2072" s="27">
        <v>618.87097800000004</v>
      </c>
      <c r="AC2072" s="27">
        <v>56.988326000000001</v>
      </c>
      <c r="AE2072" s="27">
        <v>1</v>
      </c>
      <c r="AG2072" s="27">
        <v>7.7315360000000002</v>
      </c>
      <c r="AI2072" s="27">
        <v>8.75</v>
      </c>
      <c r="AK2072" s="27">
        <v>24.000969999999999</v>
      </c>
      <c r="AM2072" s="27">
        <v>34.991658000000001</v>
      </c>
      <c r="AO2072" s="27">
        <v>6.7909280000000001</v>
      </c>
    </row>
    <row r="2073" spans="2:41" x14ac:dyDescent="0.25">
      <c r="B2073" s="21">
        <v>44370</v>
      </c>
      <c r="C2073" s="27">
        <v>20.571200000000001</v>
      </c>
      <c r="E2073" s="27">
        <v>0.83788200000000002</v>
      </c>
      <c r="G2073" s="27">
        <v>95.457913000000005</v>
      </c>
      <c r="I2073" s="27">
        <v>6.8970969999999996</v>
      </c>
      <c r="K2073" s="27">
        <v>4.960782</v>
      </c>
      <c r="M2073" s="27">
        <v>738.45265400000005</v>
      </c>
      <c r="O2073" s="27">
        <v>3781.462892</v>
      </c>
      <c r="Q2073" s="27">
        <v>6756.8439870000002</v>
      </c>
      <c r="S2073" s="27">
        <v>1362.060178</v>
      </c>
      <c r="U2073" s="27">
        <v>3.952445</v>
      </c>
      <c r="W2073" s="27">
        <v>43.660193</v>
      </c>
      <c r="Y2073" s="27">
        <v>8.8011040000000005</v>
      </c>
      <c r="AA2073" s="27">
        <v>618.59941100000003</v>
      </c>
      <c r="AC2073" s="27">
        <v>56.911873999999997</v>
      </c>
      <c r="AE2073" s="27">
        <v>1</v>
      </c>
      <c r="AG2073" s="27">
        <v>7.7269360000000002</v>
      </c>
      <c r="AI2073" s="27">
        <v>8.75</v>
      </c>
      <c r="AK2073" s="27">
        <v>23.982592</v>
      </c>
      <c r="AM2073" s="27">
        <v>34.956085000000002</v>
      </c>
      <c r="AO2073" s="27">
        <v>6.7879589999999999</v>
      </c>
    </row>
    <row r="2074" spans="2:41" x14ac:dyDescent="0.25">
      <c r="B2074" s="21">
        <v>44371</v>
      </c>
      <c r="C2074" s="27">
        <v>20.250499999999999</v>
      </c>
      <c r="E2074" s="27">
        <v>0.83805099999999999</v>
      </c>
      <c r="G2074" s="27">
        <v>95.491231999999997</v>
      </c>
      <c r="I2074" s="27">
        <v>6.9023659999999998</v>
      </c>
      <c r="K2074" s="27">
        <v>4.9430889999999996</v>
      </c>
      <c r="M2074" s="27">
        <v>734.41649399999994</v>
      </c>
      <c r="O2074" s="27">
        <v>3777.125626</v>
      </c>
      <c r="Q2074" s="27">
        <v>6774.1857600000003</v>
      </c>
      <c r="S2074" s="27">
        <v>1370.4438740000001</v>
      </c>
      <c r="U2074" s="27">
        <v>3.9809589999999999</v>
      </c>
      <c r="W2074" s="27">
        <v>43.641216</v>
      </c>
      <c r="Y2074" s="27">
        <v>8.8287659999999999</v>
      </c>
      <c r="AA2074" s="27">
        <v>619.53482199999996</v>
      </c>
      <c r="AC2074" s="27">
        <v>57.015520000000002</v>
      </c>
      <c r="AE2074" s="27">
        <v>1</v>
      </c>
      <c r="AG2074" s="27">
        <v>7.7396520000000004</v>
      </c>
      <c r="AI2074" s="27">
        <v>8.75</v>
      </c>
      <c r="AK2074" s="27">
        <v>23.994112000000001</v>
      </c>
      <c r="AM2074" s="27">
        <v>35.005290000000002</v>
      </c>
      <c r="AO2074" s="27">
        <v>6.7996999999999996</v>
      </c>
    </row>
    <row r="2075" spans="2:41" x14ac:dyDescent="0.25">
      <c r="B2075" s="21">
        <v>44372</v>
      </c>
      <c r="C2075" s="27">
        <v>20.048300000000001</v>
      </c>
      <c r="E2075" s="27">
        <v>0.837426</v>
      </c>
      <c r="G2075" s="27">
        <v>95.518621999999993</v>
      </c>
      <c r="I2075" s="27">
        <v>6.9023139999999996</v>
      </c>
      <c r="K2075" s="27">
        <v>4.9238980000000003</v>
      </c>
      <c r="M2075" s="27">
        <v>733.26397599999996</v>
      </c>
      <c r="O2075" s="27">
        <v>3756.7799399999999</v>
      </c>
      <c r="Q2075" s="27">
        <v>6778.0927940000001</v>
      </c>
      <c r="S2075" s="27">
        <v>1376.5782939999999</v>
      </c>
      <c r="U2075" s="27">
        <v>3.9841060000000001</v>
      </c>
      <c r="W2075" s="27">
        <v>43.545583999999998</v>
      </c>
      <c r="Y2075" s="27">
        <v>8.8437540000000006</v>
      </c>
      <c r="AA2075" s="27">
        <v>619.69785999999999</v>
      </c>
      <c r="AC2075" s="27">
        <v>57.047069</v>
      </c>
      <c r="AE2075" s="27">
        <v>1</v>
      </c>
      <c r="AG2075" s="27">
        <v>7.7430919999999999</v>
      </c>
      <c r="AI2075" s="27">
        <v>8.75</v>
      </c>
      <c r="AK2075" s="27">
        <v>23.960742</v>
      </c>
      <c r="AM2075" s="27">
        <v>35.014636000000003</v>
      </c>
      <c r="AO2075" s="27">
        <v>6.7976919999999996</v>
      </c>
    </row>
    <row r="2076" spans="2:41" x14ac:dyDescent="0.25">
      <c r="B2076" s="21">
        <v>44373</v>
      </c>
      <c r="C2076" s="27">
        <v>20.048300000000001</v>
      </c>
      <c r="E2076" s="27">
        <v>0.83779400000000004</v>
      </c>
      <c r="G2076" s="27">
        <v>95.523700000000005</v>
      </c>
      <c r="I2076" s="27">
        <v>6.9031120000000001</v>
      </c>
      <c r="K2076" s="27">
        <v>4.9341999999999997</v>
      </c>
      <c r="M2076" s="27">
        <v>733.2</v>
      </c>
      <c r="O2076" s="27">
        <v>3746.0725000000002</v>
      </c>
      <c r="Q2076" s="27">
        <v>6775.8550480000004</v>
      </c>
      <c r="S2076" s="27">
        <v>1373.2497100000001</v>
      </c>
      <c r="U2076" s="27">
        <v>3.9807250000000001</v>
      </c>
      <c r="W2076" s="27">
        <v>43.437538000000004</v>
      </c>
      <c r="Y2076" s="27">
        <v>8.8033839999999994</v>
      </c>
      <c r="AA2076" s="27">
        <v>619.57120599999996</v>
      </c>
      <c r="AC2076" s="27">
        <v>57.122500000000002</v>
      </c>
      <c r="AE2076" s="27">
        <v>1</v>
      </c>
      <c r="AG2076" s="27">
        <v>7.7416939999999999</v>
      </c>
      <c r="AI2076" s="27">
        <v>8.75</v>
      </c>
      <c r="AK2076" s="27">
        <v>23.964324999999999</v>
      </c>
      <c r="AM2076" s="27">
        <v>35.087000000000003</v>
      </c>
      <c r="AO2076" s="27">
        <v>6.7924439999999997</v>
      </c>
    </row>
    <row r="2077" spans="2:41" x14ac:dyDescent="0.25">
      <c r="B2077" s="21">
        <v>44374</v>
      </c>
      <c r="C2077" s="27">
        <v>20.048300000000001</v>
      </c>
      <c r="E2077" s="27">
        <v>0.83778200000000003</v>
      </c>
      <c r="G2077" s="27">
        <v>95.524777999999998</v>
      </c>
      <c r="I2077" s="27">
        <v>6.9038539999999999</v>
      </c>
      <c r="K2077" s="27">
        <v>4.9335069999999996</v>
      </c>
      <c r="M2077" s="27">
        <v>733.2</v>
      </c>
      <c r="O2077" s="27">
        <v>3748.6223420000001</v>
      </c>
      <c r="Q2077" s="27">
        <v>6776.4476009999998</v>
      </c>
      <c r="S2077" s="27">
        <v>1373.5663280000001</v>
      </c>
      <c r="U2077" s="27">
        <v>3.981519</v>
      </c>
      <c r="W2077" s="27">
        <v>43.440629999999999</v>
      </c>
      <c r="Y2077" s="27">
        <v>8.8052609999999998</v>
      </c>
      <c r="AA2077" s="27">
        <v>619.61566800000003</v>
      </c>
      <c r="AC2077" s="27">
        <v>57.106757999999999</v>
      </c>
      <c r="AE2077" s="27">
        <v>1</v>
      </c>
      <c r="AG2077" s="27">
        <v>7.7427539999999997</v>
      </c>
      <c r="AI2077" s="27">
        <v>8.75</v>
      </c>
      <c r="AK2077" s="27">
        <v>23.959748000000001</v>
      </c>
      <c r="AM2077" s="27">
        <v>35.072226000000001</v>
      </c>
      <c r="AO2077" s="27">
        <v>6.7924300000000004</v>
      </c>
    </row>
    <row r="2078" spans="2:41" x14ac:dyDescent="0.25">
      <c r="B2078" s="21">
        <v>44375</v>
      </c>
      <c r="C2078" s="27">
        <v>19.792999999999999</v>
      </c>
      <c r="E2078" s="27">
        <v>0.83839399999999997</v>
      </c>
      <c r="G2078" s="27">
        <v>95.602056000000005</v>
      </c>
      <c r="I2078" s="27">
        <v>6.913011</v>
      </c>
      <c r="K2078" s="27">
        <v>4.936382</v>
      </c>
      <c r="M2078" s="27">
        <v>733.67641100000003</v>
      </c>
      <c r="O2078" s="27">
        <v>3749.399265</v>
      </c>
      <c r="Q2078" s="27">
        <v>6778.1333260000001</v>
      </c>
      <c r="S2078" s="27">
        <v>1373.1071219999999</v>
      </c>
      <c r="U2078" s="27">
        <v>3.9702139999999999</v>
      </c>
      <c r="W2078" s="27">
        <v>43.481248999999998</v>
      </c>
      <c r="Y2078" s="27">
        <v>8.8083580000000001</v>
      </c>
      <c r="AA2078" s="27">
        <v>620.23792000000003</v>
      </c>
      <c r="AC2078" s="27">
        <v>57.018692000000001</v>
      </c>
      <c r="AE2078" s="27">
        <v>1</v>
      </c>
      <c r="AG2078" s="27">
        <v>7.7537979999999997</v>
      </c>
      <c r="AI2078" s="27">
        <v>8.75</v>
      </c>
      <c r="AK2078" s="27">
        <v>23.933955999999998</v>
      </c>
      <c r="AM2078" s="27">
        <v>34.985577999999997</v>
      </c>
      <c r="AO2078" s="27">
        <v>6.7940579999999997</v>
      </c>
    </row>
    <row r="2079" spans="2:41" x14ac:dyDescent="0.25">
      <c r="B2079" s="21">
        <v>44376</v>
      </c>
      <c r="C2079" s="27">
        <v>19.802700000000002</v>
      </c>
      <c r="E2079" s="27">
        <v>0.83998700000000004</v>
      </c>
      <c r="G2079" s="27">
        <v>95.597530000000006</v>
      </c>
      <c r="I2079" s="27">
        <v>6.9138840000000004</v>
      </c>
      <c r="K2079" s="27">
        <v>4.9357379999999997</v>
      </c>
      <c r="M2079" s="27">
        <v>733.683086</v>
      </c>
      <c r="O2079" s="27">
        <v>3738.1813179999999</v>
      </c>
      <c r="Q2079" s="27">
        <v>6767.3350989999999</v>
      </c>
      <c r="S2079" s="27">
        <v>1371.0963939999999</v>
      </c>
      <c r="U2079" s="27">
        <v>3.9071799999999999</v>
      </c>
      <c r="W2079" s="27">
        <v>43.488734000000001</v>
      </c>
      <c r="Y2079" s="27">
        <v>8.8110180000000007</v>
      </c>
      <c r="AA2079" s="27">
        <v>619.98622999999998</v>
      </c>
      <c r="AC2079" s="27">
        <v>57.061458000000002</v>
      </c>
      <c r="AE2079" s="27">
        <v>1</v>
      </c>
      <c r="AG2079" s="27">
        <v>7.7529779999999997</v>
      </c>
      <c r="AI2079" s="27">
        <v>8.75</v>
      </c>
      <c r="AK2079" s="27">
        <v>23.958214000000002</v>
      </c>
      <c r="AM2079" s="27">
        <v>35.143203999999997</v>
      </c>
      <c r="AO2079" s="27">
        <v>6.7940829999999997</v>
      </c>
    </row>
    <row r="2080" spans="2:41" x14ac:dyDescent="0.25">
      <c r="B2080" s="21">
        <v>44377</v>
      </c>
      <c r="C2080" s="27">
        <v>19.8157</v>
      </c>
      <c r="E2080" s="27">
        <v>0.84185200000000004</v>
      </c>
      <c r="G2080" s="27">
        <v>95.661922000000004</v>
      </c>
      <c r="I2080" s="27">
        <v>6.9166720000000002</v>
      </c>
      <c r="K2080" s="27">
        <v>4.9716060000000004</v>
      </c>
      <c r="M2080" s="27">
        <v>728.94368999999995</v>
      </c>
      <c r="O2080" s="27">
        <v>3760.5339899999999</v>
      </c>
      <c r="Q2080" s="27">
        <v>6766.6422979999998</v>
      </c>
      <c r="S2080" s="27">
        <v>1361.0651800000001</v>
      </c>
      <c r="U2080" s="27">
        <v>3.8801399999999999</v>
      </c>
      <c r="W2080" s="27">
        <v>43.511713</v>
      </c>
      <c r="Y2080" s="27">
        <v>8.7520760000000006</v>
      </c>
      <c r="AA2080" s="27">
        <v>620.03519400000005</v>
      </c>
      <c r="AC2080" s="27">
        <v>57.096808000000003</v>
      </c>
      <c r="AE2080" s="27">
        <v>1</v>
      </c>
      <c r="AG2080" s="27">
        <v>7.7529060000000003</v>
      </c>
      <c r="AI2080" s="27">
        <v>8.75</v>
      </c>
      <c r="AK2080" s="27">
        <v>23.959053000000001</v>
      </c>
      <c r="AM2080" s="27">
        <v>35.232419999999998</v>
      </c>
      <c r="AO2080" s="27">
        <v>6.7957150000000004</v>
      </c>
    </row>
    <row r="2081" spans="2:41" ht="13" x14ac:dyDescent="0.3">
      <c r="B2081" s="25" t="s">
        <v>122</v>
      </c>
      <c r="C2081" s="19">
        <v>20.038399999999999</v>
      </c>
      <c r="E2081" s="19">
        <v>0.8306</v>
      </c>
      <c r="G2081" s="19">
        <v>95.200599999999994</v>
      </c>
      <c r="I2081" s="19">
        <v>6.9130000000000003</v>
      </c>
      <c r="K2081" s="19">
        <v>5.0377999999999998</v>
      </c>
      <c r="M2081" s="19">
        <v>728.92989999999998</v>
      </c>
      <c r="O2081" s="19">
        <v>3691.7714999999998</v>
      </c>
      <c r="Q2081" s="19">
        <v>6749.3820999999998</v>
      </c>
      <c r="S2081" s="19">
        <v>1340.0206000000001</v>
      </c>
      <c r="U2081" s="19">
        <v>3.9037999999999999</v>
      </c>
      <c r="W2081" s="19">
        <v>43.632899999999999</v>
      </c>
      <c r="Y2081" s="19">
        <v>8.6624999999999996</v>
      </c>
      <c r="AA2081" s="19">
        <v>619.03819999999996</v>
      </c>
      <c r="AC2081" s="19">
        <v>57.033000000000001</v>
      </c>
      <c r="AE2081" s="19">
        <v>1</v>
      </c>
      <c r="AG2081" s="19">
        <v>7.7314999999999996</v>
      </c>
      <c r="AI2081" s="19">
        <v>8.75</v>
      </c>
      <c r="AK2081" s="19">
        <v>24.028199999999998</v>
      </c>
      <c r="AM2081" s="19">
        <v>35.041200000000003</v>
      </c>
      <c r="AO2081" s="19">
        <v>6.7864000000000004</v>
      </c>
    </row>
    <row r="2082" spans="2:41" x14ac:dyDescent="0.25">
      <c r="B2082" s="21">
        <v>44378</v>
      </c>
      <c r="C2082" s="27">
        <v>19.906199999999998</v>
      </c>
      <c r="E2082" s="27">
        <v>0.84368600000000005</v>
      </c>
      <c r="G2082" s="27">
        <v>95.733487999999994</v>
      </c>
      <c r="I2082" s="27">
        <v>6.9149479999999999</v>
      </c>
      <c r="K2082" s="27">
        <v>4.998373</v>
      </c>
      <c r="M2082" s="27">
        <v>735.57719099999997</v>
      </c>
      <c r="O2082" s="27">
        <v>3760.9719620000001</v>
      </c>
      <c r="Q2082" s="27">
        <v>6766.5773040000004</v>
      </c>
      <c r="S2082" s="27">
        <v>1353.763796</v>
      </c>
      <c r="U2082" s="27">
        <v>3.8596020000000002</v>
      </c>
      <c r="W2082" s="27">
        <v>43.524115999999999</v>
      </c>
      <c r="Y2082" s="27">
        <v>8.7076910000000005</v>
      </c>
      <c r="AA2082" s="27">
        <v>620.11784799999998</v>
      </c>
      <c r="AC2082" s="27">
        <v>57.107697999999999</v>
      </c>
      <c r="AE2082" s="27">
        <v>1</v>
      </c>
      <c r="AG2082" s="27">
        <v>7.752364</v>
      </c>
      <c r="AI2082" s="27">
        <v>8.75</v>
      </c>
      <c r="AK2082" s="27">
        <v>23.957384000000001</v>
      </c>
      <c r="AM2082" s="27">
        <v>35.184747999999999</v>
      </c>
      <c r="AO2082" s="27">
        <v>6.7954040000000004</v>
      </c>
    </row>
    <row r="2083" spans="2:41" x14ac:dyDescent="0.25">
      <c r="B2083" s="21">
        <v>44379</v>
      </c>
      <c r="C2083" s="27">
        <v>20.036799999999999</v>
      </c>
      <c r="E2083" s="27">
        <v>0.84417500000000001</v>
      </c>
      <c r="G2083" s="27">
        <v>95.775184999999993</v>
      </c>
      <c r="I2083" s="27">
        <v>6.9128699999999998</v>
      </c>
      <c r="K2083" s="27">
        <v>5.0463290000000001</v>
      </c>
      <c r="M2083" s="27">
        <v>737.86088600000005</v>
      </c>
      <c r="O2083" s="27">
        <v>3773.19274</v>
      </c>
      <c r="Q2083" s="27">
        <v>6766.0968329999996</v>
      </c>
      <c r="S2083" s="27">
        <v>1340.8032820000001</v>
      </c>
      <c r="U2083" s="27">
        <v>3.8710460000000002</v>
      </c>
      <c r="W2083" s="27">
        <v>43.590352000000003</v>
      </c>
      <c r="Y2083" s="27">
        <v>8.6380599999999994</v>
      </c>
      <c r="AA2083" s="27">
        <v>620.05289200000004</v>
      </c>
      <c r="AC2083" s="27">
        <v>57.108004000000001</v>
      </c>
      <c r="AE2083" s="27">
        <v>1</v>
      </c>
      <c r="AG2083" s="27">
        <v>7.7509079999999999</v>
      </c>
      <c r="AI2083" s="27">
        <v>8.75</v>
      </c>
      <c r="AK2083" s="27">
        <v>23.95176</v>
      </c>
      <c r="AM2083" s="27">
        <v>35.165004000000003</v>
      </c>
      <c r="AO2083" s="27">
        <v>6.7919900000000002</v>
      </c>
    </row>
    <row r="2084" spans="2:41" x14ac:dyDescent="0.25">
      <c r="B2084" s="21">
        <v>44380</v>
      </c>
      <c r="C2084" s="27">
        <v>20.036799999999999</v>
      </c>
      <c r="E2084" s="27">
        <v>0.84279800000000005</v>
      </c>
      <c r="G2084" s="27">
        <v>95.791799999999995</v>
      </c>
      <c r="I2084" s="27">
        <v>6.9135900000000001</v>
      </c>
      <c r="K2084" s="27">
        <v>5.0601000000000003</v>
      </c>
      <c r="M2084" s="27">
        <v>735.05</v>
      </c>
      <c r="O2084" s="27">
        <v>3757.5974999999999</v>
      </c>
      <c r="Q2084" s="27">
        <v>6766.408754</v>
      </c>
      <c r="S2084" s="27">
        <v>1337.2150340000001</v>
      </c>
      <c r="U2084" s="27">
        <v>3.8874749999999998</v>
      </c>
      <c r="W2084" s="27">
        <v>43.634424000000003</v>
      </c>
      <c r="Y2084" s="27">
        <v>8.6232559999999996</v>
      </c>
      <c r="AA2084" s="27">
        <v>620.04541200000006</v>
      </c>
      <c r="AC2084" s="27">
        <v>57.142499999999998</v>
      </c>
      <c r="AE2084" s="27">
        <v>1</v>
      </c>
      <c r="AG2084" s="27">
        <v>7.7501930000000003</v>
      </c>
      <c r="AI2084" s="27">
        <v>8.75</v>
      </c>
      <c r="AK2084" s="27">
        <v>23.957425000000001</v>
      </c>
      <c r="AM2084" s="27">
        <v>35.21725</v>
      </c>
      <c r="AO2084" s="27">
        <v>6.7894759999999996</v>
      </c>
    </row>
    <row r="2085" spans="2:41" x14ac:dyDescent="0.25">
      <c r="B2085" s="21">
        <v>44381</v>
      </c>
      <c r="C2085" s="27">
        <v>20.036799999999999</v>
      </c>
      <c r="E2085" s="27">
        <v>0.84282500000000005</v>
      </c>
      <c r="G2085" s="27">
        <v>95.753507999999997</v>
      </c>
      <c r="I2085" s="27">
        <v>6.9135900000000001</v>
      </c>
      <c r="K2085" s="27">
        <v>5.0599540000000003</v>
      </c>
      <c r="M2085" s="27">
        <v>735.06136400000003</v>
      </c>
      <c r="O2085" s="27">
        <v>3757.3159260000002</v>
      </c>
      <c r="Q2085" s="27">
        <v>6766.408754</v>
      </c>
      <c r="S2085" s="27">
        <v>1337.2537600000001</v>
      </c>
      <c r="U2085" s="27">
        <v>3.8874749999999998</v>
      </c>
      <c r="W2085" s="27">
        <v>43.634424000000003</v>
      </c>
      <c r="Y2085" s="27">
        <v>8.6235060000000008</v>
      </c>
      <c r="AA2085" s="27">
        <v>620.04541200000006</v>
      </c>
      <c r="AC2085" s="27">
        <v>57.142499999999998</v>
      </c>
      <c r="AE2085" s="27">
        <v>1</v>
      </c>
      <c r="AG2085" s="27">
        <v>7.75</v>
      </c>
      <c r="AI2085" s="27">
        <v>8.75</v>
      </c>
      <c r="AK2085" s="27">
        <v>23.957425000000001</v>
      </c>
      <c r="AM2085" s="27">
        <v>35.198377999999998</v>
      </c>
      <c r="AO2085" s="27">
        <v>6.7894759999999996</v>
      </c>
    </row>
    <row r="2086" spans="2:41" x14ac:dyDescent="0.25">
      <c r="B2086" s="21">
        <v>44382</v>
      </c>
      <c r="C2086" s="27">
        <v>19.881699999999999</v>
      </c>
      <c r="E2086" s="27">
        <v>0.84289000000000003</v>
      </c>
      <c r="G2086" s="27">
        <v>95.763733000000002</v>
      </c>
      <c r="I2086" s="27">
        <v>6.8992620000000002</v>
      </c>
      <c r="K2086" s="27">
        <v>5.0705159999999996</v>
      </c>
      <c r="M2086" s="27">
        <v>735.20204699999999</v>
      </c>
      <c r="O2086" s="27">
        <v>3741.9759039999999</v>
      </c>
      <c r="Q2086" s="27">
        <v>6757.1383459999997</v>
      </c>
      <c r="S2086" s="27">
        <v>1332.643153</v>
      </c>
      <c r="U2086" s="27">
        <v>3.8728669999999998</v>
      </c>
      <c r="W2086" s="27">
        <v>43.622667999999997</v>
      </c>
      <c r="Y2086" s="27">
        <v>8.6032399999999996</v>
      </c>
      <c r="AA2086" s="27">
        <v>618.95937600000002</v>
      </c>
      <c r="AC2086" s="27">
        <v>56.833866</v>
      </c>
      <c r="AE2086" s="27">
        <v>1</v>
      </c>
      <c r="AG2086" s="27">
        <v>7.7367679999999996</v>
      </c>
      <c r="AI2086" s="27">
        <v>8.75</v>
      </c>
      <c r="AK2086" s="27">
        <v>23.85981</v>
      </c>
      <c r="AM2086" s="27">
        <v>34.865535000000001</v>
      </c>
      <c r="AO2086" s="27">
        <v>6.781155</v>
      </c>
    </row>
    <row r="2087" spans="2:41" x14ac:dyDescent="0.25">
      <c r="B2087" s="21">
        <v>44383</v>
      </c>
      <c r="C2087" s="27">
        <v>19.853200000000001</v>
      </c>
      <c r="E2087" s="27">
        <v>0.84429399999999999</v>
      </c>
      <c r="G2087" s="27">
        <v>95.896640000000005</v>
      </c>
      <c r="I2087" s="27">
        <v>6.9046919999999998</v>
      </c>
      <c r="K2087" s="27">
        <v>5.135732</v>
      </c>
      <c r="M2087" s="27">
        <v>740.61421800000005</v>
      </c>
      <c r="O2087" s="27">
        <v>3760.5811440000002</v>
      </c>
      <c r="Q2087" s="27">
        <v>6790.4906419999998</v>
      </c>
      <c r="S2087" s="27">
        <v>1322.215608</v>
      </c>
      <c r="U2087" s="27">
        <v>3.9075799999999998</v>
      </c>
      <c r="W2087" s="27">
        <v>43.734836000000001</v>
      </c>
      <c r="Y2087" s="27">
        <v>8.5158369999999994</v>
      </c>
      <c r="AA2087" s="27">
        <v>619.74107600000002</v>
      </c>
      <c r="AC2087" s="27">
        <v>57.010350000000003</v>
      </c>
      <c r="AE2087" s="27">
        <v>1</v>
      </c>
      <c r="AG2087" s="27">
        <v>7.7481679999999997</v>
      </c>
      <c r="AI2087" s="27">
        <v>8.75</v>
      </c>
      <c r="AK2087" s="27">
        <v>23.897815000000001</v>
      </c>
      <c r="AM2087" s="27">
        <v>34.963783999999997</v>
      </c>
      <c r="AO2087" s="27">
        <v>6.7827999999999999</v>
      </c>
    </row>
    <row r="2088" spans="2:41" x14ac:dyDescent="0.25">
      <c r="B2088" s="21">
        <v>44384</v>
      </c>
      <c r="C2088" s="27">
        <v>19.965800000000002</v>
      </c>
      <c r="E2088" s="27">
        <v>0.84657899999999997</v>
      </c>
      <c r="G2088" s="27">
        <v>95.927004999999994</v>
      </c>
      <c r="I2088" s="27">
        <v>6.906174</v>
      </c>
      <c r="K2088" s="27">
        <v>5.2158620000000004</v>
      </c>
      <c r="M2088" s="27">
        <v>748.82527400000004</v>
      </c>
      <c r="O2088" s="27">
        <v>3799.4248779999998</v>
      </c>
      <c r="Q2088" s="27">
        <v>6790.0859460000001</v>
      </c>
      <c r="S2088" s="27">
        <v>1301.8217689999999</v>
      </c>
      <c r="U2088" s="27">
        <v>3.951581</v>
      </c>
      <c r="W2088" s="27">
        <v>43.787019000000001</v>
      </c>
      <c r="Y2088" s="27">
        <v>8.3949990000000003</v>
      </c>
      <c r="AA2088" s="27">
        <v>619.96848699999998</v>
      </c>
      <c r="AC2088" s="27">
        <v>57.104238000000002</v>
      </c>
      <c r="AE2088" s="27">
        <v>1</v>
      </c>
      <c r="AG2088" s="27">
        <v>7.7502440000000004</v>
      </c>
      <c r="AI2088" s="27">
        <v>8.75</v>
      </c>
      <c r="AK2088" s="27">
        <v>23.894348000000001</v>
      </c>
      <c r="AM2088" s="27">
        <v>35.054577000000002</v>
      </c>
      <c r="AO2088" s="27">
        <v>6.7831080000000004</v>
      </c>
    </row>
    <row r="2089" spans="2:41" x14ac:dyDescent="0.25">
      <c r="B2089" s="21">
        <v>44385</v>
      </c>
      <c r="C2089" s="27">
        <v>19.991499999999998</v>
      </c>
      <c r="E2089" s="27">
        <v>0.84561299999999995</v>
      </c>
      <c r="G2089" s="27">
        <v>95.957571000000002</v>
      </c>
      <c r="I2089" s="27">
        <v>6.9063100000000004</v>
      </c>
      <c r="K2089" s="27">
        <v>5.2456100000000001</v>
      </c>
      <c r="M2089" s="27">
        <v>750.51766199999997</v>
      </c>
      <c r="O2089" s="27">
        <v>3829.0249079999999</v>
      </c>
      <c r="Q2089" s="27">
        <v>6788.573574</v>
      </c>
      <c r="S2089" s="27">
        <v>1294.150719</v>
      </c>
      <c r="U2089" s="27">
        <v>3.962853</v>
      </c>
      <c r="W2089" s="27">
        <v>43.912841</v>
      </c>
      <c r="Y2089" s="27">
        <v>8.3713770000000007</v>
      </c>
      <c r="AA2089" s="27">
        <v>620.43743300000006</v>
      </c>
      <c r="AC2089" s="27">
        <v>57.102676000000002</v>
      </c>
      <c r="AE2089" s="27">
        <v>1</v>
      </c>
      <c r="AG2089" s="27">
        <v>7.7539360000000004</v>
      </c>
      <c r="AI2089" s="27">
        <v>8.75</v>
      </c>
      <c r="AK2089" s="27">
        <v>23.878557000000001</v>
      </c>
      <c r="AM2089" s="27">
        <v>35.049370000000003</v>
      </c>
      <c r="AO2089" s="27">
        <v>6.7877400000000003</v>
      </c>
    </row>
    <row r="2090" spans="2:41" x14ac:dyDescent="0.25">
      <c r="B2090" s="21">
        <v>44386</v>
      </c>
      <c r="C2090" s="27">
        <v>20.007000000000001</v>
      </c>
      <c r="E2090" s="27">
        <v>0.84345999999999999</v>
      </c>
      <c r="G2090" s="27">
        <v>95.951682000000005</v>
      </c>
      <c r="I2090" s="27">
        <v>6.9034300000000002</v>
      </c>
      <c r="K2090" s="27">
        <v>5.2596829999999999</v>
      </c>
      <c r="M2090" s="27">
        <v>751.39747599999998</v>
      </c>
      <c r="O2090" s="27">
        <v>3839.3496960000002</v>
      </c>
      <c r="Q2090" s="27">
        <v>6787.8736779999999</v>
      </c>
      <c r="S2090" s="27">
        <v>1290.55459</v>
      </c>
      <c r="U2090" s="27">
        <v>3.9582739999999998</v>
      </c>
      <c r="W2090" s="27">
        <v>43.973426000000003</v>
      </c>
      <c r="Y2090" s="27">
        <v>8.3604970000000005</v>
      </c>
      <c r="AA2090" s="27">
        <v>620.60889799999995</v>
      </c>
      <c r="AC2090" s="27">
        <v>57.049081999999999</v>
      </c>
      <c r="AE2090" s="27">
        <v>1</v>
      </c>
      <c r="AG2090" s="27">
        <v>7.7516619999999996</v>
      </c>
      <c r="AI2090" s="27">
        <v>8.75</v>
      </c>
      <c r="AK2090" s="27">
        <v>23.859088</v>
      </c>
      <c r="AM2090" s="27">
        <v>35.037210999999999</v>
      </c>
      <c r="AO2090" s="27">
        <v>6.7896190000000001</v>
      </c>
    </row>
    <row r="2091" spans="2:41" x14ac:dyDescent="0.25">
      <c r="B2091" s="21">
        <v>44387</v>
      </c>
      <c r="C2091" s="27">
        <v>20.007000000000001</v>
      </c>
      <c r="E2091" s="27">
        <v>0.84199500000000005</v>
      </c>
      <c r="G2091" s="27">
        <v>95.982699999999994</v>
      </c>
      <c r="I2091" s="27">
        <v>6.9056519999999999</v>
      </c>
      <c r="K2091" s="27">
        <v>5.2598000000000003</v>
      </c>
      <c r="M2091" s="27">
        <v>748.755</v>
      </c>
      <c r="O2091" s="27">
        <v>3830.8474999999999</v>
      </c>
      <c r="Q2091" s="27">
        <v>6790.0313800000004</v>
      </c>
      <c r="S2091" s="27">
        <v>1290.9356319999999</v>
      </c>
      <c r="U2091" s="27">
        <v>3.9582250000000001</v>
      </c>
      <c r="W2091" s="27">
        <v>44.032918000000002</v>
      </c>
      <c r="Y2091" s="27">
        <v>8.3716240000000006</v>
      </c>
      <c r="AA2091" s="27">
        <v>620.72513000000004</v>
      </c>
      <c r="AC2091" s="27">
        <v>57.102499999999999</v>
      </c>
      <c r="AE2091" s="27">
        <v>1</v>
      </c>
      <c r="AG2091" s="27">
        <v>7.7519590000000003</v>
      </c>
      <c r="AI2091" s="27">
        <v>8.75</v>
      </c>
      <c r="AK2091" s="27">
        <v>23.907</v>
      </c>
      <c r="AM2091" s="27">
        <v>35.172249999999998</v>
      </c>
      <c r="AO2091" s="27">
        <v>6.7906570000000004</v>
      </c>
    </row>
    <row r="2092" spans="2:41" x14ac:dyDescent="0.25">
      <c r="B2092" s="21">
        <v>44388</v>
      </c>
      <c r="C2092" s="27">
        <v>20.007000000000001</v>
      </c>
      <c r="E2092" s="27">
        <v>0.84201999999999999</v>
      </c>
      <c r="G2092" s="27">
        <v>95.966025999999999</v>
      </c>
      <c r="I2092" s="27">
        <v>6.9056519999999999</v>
      </c>
      <c r="K2092" s="27">
        <v>5.259792</v>
      </c>
      <c r="M2092" s="27">
        <v>748.75458600000002</v>
      </c>
      <c r="O2092" s="27">
        <v>3830.8502979999998</v>
      </c>
      <c r="Q2092" s="27">
        <v>6790.0313800000004</v>
      </c>
      <c r="S2092" s="27">
        <v>1290.9376099999999</v>
      </c>
      <c r="U2092" s="27">
        <v>3.9582250000000001</v>
      </c>
      <c r="W2092" s="27">
        <v>44.033043999999997</v>
      </c>
      <c r="Y2092" s="27">
        <v>8.3716600000000003</v>
      </c>
      <c r="AA2092" s="27">
        <v>620.72513000000004</v>
      </c>
      <c r="AC2092" s="27">
        <v>57.102499999999999</v>
      </c>
      <c r="AE2092" s="27">
        <v>1</v>
      </c>
      <c r="AG2092" s="27">
        <v>7.7514919999999998</v>
      </c>
      <c r="AI2092" s="27">
        <v>8.75</v>
      </c>
      <c r="AK2092" s="27">
        <v>23.907</v>
      </c>
      <c r="AM2092" s="27">
        <v>35.165075999999999</v>
      </c>
      <c r="AO2092" s="27">
        <v>6.7906570000000004</v>
      </c>
    </row>
    <row r="2093" spans="2:41" x14ac:dyDescent="0.25">
      <c r="B2093" s="21">
        <v>44389</v>
      </c>
      <c r="C2093" s="27">
        <v>19.88</v>
      </c>
      <c r="E2093" s="27">
        <v>0.84294400000000003</v>
      </c>
      <c r="G2093" s="27">
        <v>95.999263999999997</v>
      </c>
      <c r="I2093" s="27">
        <v>6.899343</v>
      </c>
      <c r="K2093" s="27">
        <v>5.213794</v>
      </c>
      <c r="M2093" s="27">
        <v>746.58190000000002</v>
      </c>
      <c r="O2093" s="27">
        <v>3827.625035</v>
      </c>
      <c r="Q2093" s="27">
        <v>6787.5852080000004</v>
      </c>
      <c r="S2093" s="27">
        <v>1301.876884</v>
      </c>
      <c r="U2093" s="27">
        <v>3.953478</v>
      </c>
      <c r="W2093" s="27">
        <v>43.996327999999998</v>
      </c>
      <c r="Y2093" s="27">
        <v>8.4385480000000008</v>
      </c>
      <c r="AA2093" s="27">
        <v>620.39975100000004</v>
      </c>
      <c r="AC2093" s="27">
        <v>57.043605999999997</v>
      </c>
      <c r="AE2093" s="27">
        <v>1</v>
      </c>
      <c r="AG2093" s="27">
        <v>7.7446279999999996</v>
      </c>
      <c r="AI2093" s="27">
        <v>8.75</v>
      </c>
      <c r="AK2093" s="27">
        <v>23.810689</v>
      </c>
      <c r="AM2093" s="27">
        <v>34.974936</v>
      </c>
      <c r="AO2093" s="27">
        <v>6.7895700000000003</v>
      </c>
    </row>
    <row r="2094" spans="2:41" x14ac:dyDescent="0.25">
      <c r="B2094" s="21">
        <v>44390</v>
      </c>
      <c r="C2094" s="27">
        <v>19.857700000000001</v>
      </c>
      <c r="E2094" s="27">
        <v>0.845522</v>
      </c>
      <c r="G2094" s="27">
        <v>96.108689999999996</v>
      </c>
      <c r="I2094" s="27">
        <v>6.8989180000000001</v>
      </c>
      <c r="K2094" s="27">
        <v>5.1727800000000004</v>
      </c>
      <c r="M2094" s="27">
        <v>745.96794399999999</v>
      </c>
      <c r="O2094" s="27">
        <v>3822.5448419999998</v>
      </c>
      <c r="Q2094" s="27">
        <v>6798.543514</v>
      </c>
      <c r="S2094" s="27">
        <v>1314.29919</v>
      </c>
      <c r="U2094" s="27">
        <v>3.9554659999999999</v>
      </c>
      <c r="W2094" s="27">
        <v>44.019751999999997</v>
      </c>
      <c r="Y2094" s="27">
        <v>8.5099140000000002</v>
      </c>
      <c r="AA2094" s="27">
        <v>619.96601999999996</v>
      </c>
      <c r="AC2094" s="27">
        <v>57.102944000000001</v>
      </c>
      <c r="AE2094" s="27">
        <v>1</v>
      </c>
      <c r="AG2094" s="27">
        <v>7.7485710000000001</v>
      </c>
      <c r="AI2094" s="27">
        <v>8.75</v>
      </c>
      <c r="AK2094" s="27">
        <v>23.925699999999999</v>
      </c>
      <c r="AM2094" s="27">
        <v>35.113061999999999</v>
      </c>
      <c r="AO2094" s="27">
        <v>6.7922779999999996</v>
      </c>
    </row>
    <row r="2095" spans="2:41" x14ac:dyDescent="0.25">
      <c r="B2095" s="21">
        <v>44391</v>
      </c>
      <c r="C2095" s="27">
        <v>19.998799999999999</v>
      </c>
      <c r="E2095" s="27">
        <v>0.84688399999999997</v>
      </c>
      <c r="G2095" s="27">
        <v>96.137936999999994</v>
      </c>
      <c r="I2095" s="27">
        <v>6.8990780000000003</v>
      </c>
      <c r="K2095" s="27">
        <v>5.124282</v>
      </c>
      <c r="M2095" s="27">
        <v>748.18154000000004</v>
      </c>
      <c r="O2095" s="27">
        <v>3810.7193189999998</v>
      </c>
      <c r="Q2095" s="27">
        <v>6810.6140329999998</v>
      </c>
      <c r="S2095" s="27">
        <v>1329.094067</v>
      </c>
      <c r="U2095" s="27">
        <v>3.9715539999999998</v>
      </c>
      <c r="W2095" s="27">
        <v>43.965983999999999</v>
      </c>
      <c r="Y2095" s="27">
        <v>8.5799640000000004</v>
      </c>
      <c r="AA2095" s="27">
        <v>619.68172400000003</v>
      </c>
      <c r="AC2095" s="27">
        <v>57.078459000000002</v>
      </c>
      <c r="AE2095" s="27">
        <v>1</v>
      </c>
      <c r="AG2095" s="27">
        <v>7.7468940000000002</v>
      </c>
      <c r="AI2095" s="27">
        <v>8.75</v>
      </c>
      <c r="AK2095" s="27">
        <v>23.940988000000001</v>
      </c>
      <c r="AM2095" s="27">
        <v>35.195546</v>
      </c>
      <c r="AO2095" s="27">
        <v>6.7902519999999997</v>
      </c>
    </row>
    <row r="2096" spans="2:41" x14ac:dyDescent="0.25">
      <c r="B2096" s="21">
        <v>44392</v>
      </c>
      <c r="C2096" s="27">
        <v>19.8992</v>
      </c>
      <c r="E2096" s="27">
        <v>0.845912</v>
      </c>
      <c r="G2096" s="27">
        <v>96.168119000000004</v>
      </c>
      <c r="I2096" s="27">
        <v>6.8957480000000002</v>
      </c>
      <c r="K2096" s="27">
        <v>5.0905139999999998</v>
      </c>
      <c r="M2096" s="27">
        <v>750.08003799999994</v>
      </c>
      <c r="O2096" s="27">
        <v>3801.5707670000002</v>
      </c>
      <c r="Q2096" s="27">
        <v>6822.4039890000004</v>
      </c>
      <c r="S2096" s="27">
        <v>1340.226633</v>
      </c>
      <c r="U2096" s="27">
        <v>3.9594550000000002</v>
      </c>
      <c r="W2096" s="27">
        <v>43.876100000000001</v>
      </c>
      <c r="Y2096" s="27">
        <v>8.619218</v>
      </c>
      <c r="AA2096" s="27">
        <v>619.21553400000005</v>
      </c>
      <c r="AC2096" s="27">
        <v>56.957168000000003</v>
      </c>
      <c r="AE2096" s="27">
        <v>1</v>
      </c>
      <c r="AG2096" s="27">
        <v>7.737832</v>
      </c>
      <c r="AI2096" s="27">
        <v>8.75</v>
      </c>
      <c r="AK2096" s="27">
        <v>23.874098</v>
      </c>
      <c r="AM2096" s="27">
        <v>35.107432000000003</v>
      </c>
      <c r="AO2096" s="27">
        <v>6.7827200000000003</v>
      </c>
    </row>
    <row r="2097" spans="2:41" x14ac:dyDescent="0.25">
      <c r="B2097" s="21">
        <v>44393</v>
      </c>
      <c r="C2097" s="27">
        <v>19.941199999999998</v>
      </c>
      <c r="E2097" s="27">
        <v>0.84690200000000004</v>
      </c>
      <c r="G2097" s="27">
        <v>96.198194999999998</v>
      </c>
      <c r="I2097" s="27">
        <v>6.9044049999999997</v>
      </c>
      <c r="K2097" s="27">
        <v>5.1088909999999998</v>
      </c>
      <c r="M2097" s="27">
        <v>757.09300399999995</v>
      </c>
      <c r="O2097" s="27">
        <v>3814.88294</v>
      </c>
      <c r="Q2097" s="27">
        <v>6827.9412149999998</v>
      </c>
      <c r="S2097" s="27">
        <v>1336.48919</v>
      </c>
      <c r="U2097" s="27">
        <v>3.957471</v>
      </c>
      <c r="W2097" s="27">
        <v>43.927225999999997</v>
      </c>
      <c r="Y2097" s="27">
        <v>8.5982210000000006</v>
      </c>
      <c r="AA2097" s="27">
        <v>619.79209000000003</v>
      </c>
      <c r="AC2097" s="27">
        <v>57.048788000000002</v>
      </c>
      <c r="AE2097" s="27">
        <v>1</v>
      </c>
      <c r="AG2097" s="27">
        <v>7.7508160000000004</v>
      </c>
      <c r="AI2097" s="27">
        <v>8.75</v>
      </c>
      <c r="AK2097" s="27">
        <v>23.805213999999999</v>
      </c>
      <c r="AM2097" s="27">
        <v>35.001648000000003</v>
      </c>
      <c r="AO2097" s="27">
        <v>6.7904179999999998</v>
      </c>
    </row>
    <row r="2098" spans="2:41" x14ac:dyDescent="0.25">
      <c r="B2098" s="21">
        <v>44394</v>
      </c>
      <c r="C2098" s="27">
        <v>19.941199999999998</v>
      </c>
      <c r="E2098" s="27">
        <v>0.84708399999999995</v>
      </c>
      <c r="G2098" s="27">
        <v>96.210899999999995</v>
      </c>
      <c r="I2098" s="27">
        <v>6.9038890000000004</v>
      </c>
      <c r="K2098" s="27">
        <v>5.1147999999999998</v>
      </c>
      <c r="M2098" s="27">
        <v>757.8</v>
      </c>
      <c r="O2098" s="27">
        <v>3817.6875</v>
      </c>
      <c r="Q2098" s="27">
        <v>6830.3082240000003</v>
      </c>
      <c r="S2098" s="27">
        <v>1335.4072639999999</v>
      </c>
      <c r="U2098" s="27">
        <v>3.9507330000000001</v>
      </c>
      <c r="W2098" s="27">
        <v>43.871492000000003</v>
      </c>
      <c r="Y2098" s="27">
        <v>8.5773919999999997</v>
      </c>
      <c r="AA2098" s="27">
        <v>619.73315300000002</v>
      </c>
      <c r="AC2098" s="27">
        <v>57.032054000000002</v>
      </c>
      <c r="AE2098" s="27">
        <v>1</v>
      </c>
      <c r="AG2098" s="27">
        <v>7.7488950000000001</v>
      </c>
      <c r="AI2098" s="27">
        <v>8.75</v>
      </c>
      <c r="AK2098" s="27">
        <v>23.790552000000002</v>
      </c>
      <c r="AM2098" s="27">
        <v>34.929881999999999</v>
      </c>
      <c r="AO2098" s="27">
        <v>6.7897699999999999</v>
      </c>
    </row>
    <row r="2099" spans="2:41" x14ac:dyDescent="0.25">
      <c r="B2099" s="21">
        <v>44395</v>
      </c>
      <c r="C2099" s="27">
        <v>19.941199999999998</v>
      </c>
      <c r="E2099" s="27">
        <v>0.84704599999999997</v>
      </c>
      <c r="G2099" s="27">
        <v>96.200418999999997</v>
      </c>
      <c r="I2099" s="27">
        <v>6.9038890000000004</v>
      </c>
      <c r="K2099" s="27">
        <v>5.114922</v>
      </c>
      <c r="M2099" s="27">
        <v>757.79995399999996</v>
      </c>
      <c r="O2099" s="27">
        <v>3817.685966</v>
      </c>
      <c r="Q2099" s="27">
        <v>6830.3082240000003</v>
      </c>
      <c r="S2099" s="27">
        <v>1335.375624</v>
      </c>
      <c r="U2099" s="27">
        <v>3.9507330000000001</v>
      </c>
      <c r="W2099" s="27">
        <v>43.871492000000003</v>
      </c>
      <c r="Y2099" s="27">
        <v>8.5771879999999996</v>
      </c>
      <c r="AA2099" s="27">
        <v>619.73315300000002</v>
      </c>
      <c r="AC2099" s="27">
        <v>57.032054000000002</v>
      </c>
      <c r="AE2099" s="27">
        <v>1</v>
      </c>
      <c r="AG2099" s="27">
        <v>7.7489720000000002</v>
      </c>
      <c r="AI2099" s="27">
        <v>8.75</v>
      </c>
      <c r="AK2099" s="27">
        <v>23.790552000000002</v>
      </c>
      <c r="AM2099" s="27">
        <v>34.929881999999999</v>
      </c>
      <c r="AO2099" s="27">
        <v>6.7897699999999999</v>
      </c>
    </row>
    <row r="2100" spans="2:41" x14ac:dyDescent="0.25">
      <c r="B2100" s="21">
        <v>44396</v>
      </c>
      <c r="C2100" s="27">
        <v>19.8537</v>
      </c>
      <c r="E2100" s="27">
        <v>0.84777199999999997</v>
      </c>
      <c r="G2100" s="27">
        <v>96.243099000000001</v>
      </c>
      <c r="I2100" s="27">
        <v>6.9031609999999999</v>
      </c>
      <c r="K2100" s="27">
        <v>5.1712740000000004</v>
      </c>
      <c r="M2100" s="27">
        <v>758.32747500000005</v>
      </c>
      <c r="O2100" s="27">
        <v>3825.4140659999998</v>
      </c>
      <c r="Q2100" s="27">
        <v>6831.9708220000002</v>
      </c>
      <c r="S2100" s="27">
        <v>1321.1462220000001</v>
      </c>
      <c r="U2100" s="27">
        <v>3.9366650000000001</v>
      </c>
      <c r="W2100" s="27">
        <v>43.879421000000001</v>
      </c>
      <c r="Y2100" s="27">
        <v>8.4852539999999994</v>
      </c>
      <c r="AA2100" s="27">
        <v>619.739598</v>
      </c>
      <c r="AC2100" s="27">
        <v>57.033112000000003</v>
      </c>
      <c r="AE2100" s="27">
        <v>1</v>
      </c>
      <c r="AG2100" s="27">
        <v>7.7480900000000004</v>
      </c>
      <c r="AI2100" s="27">
        <v>8.75</v>
      </c>
      <c r="AK2100" s="27">
        <v>23.807410999999998</v>
      </c>
      <c r="AM2100" s="27">
        <v>34.967140000000001</v>
      </c>
      <c r="AO2100" s="27">
        <v>6.788062</v>
      </c>
    </row>
    <row r="2101" spans="2:41" x14ac:dyDescent="0.25">
      <c r="B2101" s="21">
        <v>44397</v>
      </c>
      <c r="C2101" s="27">
        <v>20</v>
      </c>
      <c r="E2101" s="27">
        <v>0.84867599999999999</v>
      </c>
      <c r="G2101" s="27">
        <v>96.318061999999998</v>
      </c>
      <c r="I2101" s="27">
        <v>6.8998819999999998</v>
      </c>
      <c r="K2101" s="27">
        <v>5.2420540000000004</v>
      </c>
      <c r="M2101" s="27">
        <v>759.36584100000005</v>
      </c>
      <c r="O2101" s="27">
        <v>3836.7864840000002</v>
      </c>
      <c r="Q2101" s="27">
        <v>6833.9093579999999</v>
      </c>
      <c r="S2101" s="27">
        <v>1303.6770100000001</v>
      </c>
      <c r="U2101" s="27">
        <v>3.9370599999999998</v>
      </c>
      <c r="W2101" s="27">
        <v>43.887863000000003</v>
      </c>
      <c r="Y2101" s="27">
        <v>8.3722899999999996</v>
      </c>
      <c r="AA2101" s="27">
        <v>619.59705099999996</v>
      </c>
      <c r="AC2101" s="27">
        <v>57.014546000000003</v>
      </c>
      <c r="AE2101" s="27">
        <v>1</v>
      </c>
      <c r="AG2101" s="27">
        <v>7.7454640000000001</v>
      </c>
      <c r="AI2101" s="27">
        <v>8.75</v>
      </c>
      <c r="AK2101" s="27">
        <v>23.834278000000001</v>
      </c>
      <c r="AM2101" s="27">
        <v>35.032760000000003</v>
      </c>
      <c r="AO2101" s="27">
        <v>6.7847280000000003</v>
      </c>
    </row>
    <row r="2102" spans="2:41" x14ac:dyDescent="0.25">
      <c r="B2102" s="21">
        <v>44398</v>
      </c>
      <c r="C2102" s="27">
        <v>20.134799999999998</v>
      </c>
      <c r="E2102" s="27">
        <v>0.84880299999999997</v>
      </c>
      <c r="G2102" s="27">
        <v>96.349070999999995</v>
      </c>
      <c r="I2102" s="27">
        <v>6.8996190000000004</v>
      </c>
      <c r="K2102" s="27">
        <v>5.2185940000000004</v>
      </c>
      <c r="M2102" s="27">
        <v>756.04206599999998</v>
      </c>
      <c r="O2102" s="27">
        <v>3845.2150350000002</v>
      </c>
      <c r="Q2102" s="27">
        <v>6854.5172990000001</v>
      </c>
      <c r="S2102" s="27">
        <v>1313.486639</v>
      </c>
      <c r="U2102" s="27">
        <v>3.9503699999999999</v>
      </c>
      <c r="W2102" s="27">
        <v>43.945931999999999</v>
      </c>
      <c r="Y2102" s="27">
        <v>8.4210539999999998</v>
      </c>
      <c r="AA2102" s="27">
        <v>619.89203599999996</v>
      </c>
      <c r="AC2102" s="27">
        <v>57.043472000000001</v>
      </c>
      <c r="AE2102" s="27">
        <v>1</v>
      </c>
      <c r="AG2102" s="27">
        <v>7.7467540000000001</v>
      </c>
      <c r="AI2102" s="27">
        <v>8.75</v>
      </c>
      <c r="AK2102" s="27">
        <v>23.844123</v>
      </c>
      <c r="AM2102" s="27">
        <v>35.018104000000001</v>
      </c>
      <c r="AO2102" s="27">
        <v>6.7861440000000002</v>
      </c>
    </row>
    <row r="2103" spans="2:41" x14ac:dyDescent="0.25">
      <c r="B2103" s="21">
        <v>44399</v>
      </c>
      <c r="C2103" s="27">
        <v>20.1907</v>
      </c>
      <c r="E2103" s="27">
        <v>0.848468</v>
      </c>
      <c r="G2103" s="27">
        <v>96.379780999999994</v>
      </c>
      <c r="I2103" s="27">
        <v>6.89764</v>
      </c>
      <c r="K2103" s="27">
        <v>5.1952319999999999</v>
      </c>
      <c r="M2103" s="27">
        <v>752.504592</v>
      </c>
      <c r="O2103" s="27">
        <v>3861.6034140000002</v>
      </c>
      <c r="Q2103" s="27">
        <v>6864.8879399999996</v>
      </c>
      <c r="S2103" s="27">
        <v>1321.3896810000001</v>
      </c>
      <c r="U2103" s="27">
        <v>3.94516</v>
      </c>
      <c r="W2103" s="27">
        <v>43.908749999999998</v>
      </c>
      <c r="Y2103" s="27">
        <v>8.4517679999999995</v>
      </c>
      <c r="AA2103" s="27">
        <v>619.693489</v>
      </c>
      <c r="AC2103" s="27">
        <v>57.039802000000002</v>
      </c>
      <c r="AE2103" s="27">
        <v>1</v>
      </c>
      <c r="AG2103" s="27">
        <v>7.7451920000000003</v>
      </c>
      <c r="AI2103" s="27">
        <v>8.75</v>
      </c>
      <c r="AK2103" s="27">
        <v>23.832727999999999</v>
      </c>
      <c r="AM2103" s="27">
        <v>35.089033999999998</v>
      </c>
      <c r="AO2103" s="27">
        <v>6.7824980000000004</v>
      </c>
    </row>
    <row r="2104" spans="2:41" x14ac:dyDescent="0.25">
      <c r="B2104" s="21">
        <v>44400</v>
      </c>
      <c r="C2104" s="27">
        <v>20.1812</v>
      </c>
      <c r="E2104" s="27">
        <v>0.84957300000000002</v>
      </c>
      <c r="G2104" s="27">
        <v>96.399462</v>
      </c>
      <c r="I2104" s="27">
        <v>6.9015870000000001</v>
      </c>
      <c r="K2104" s="27">
        <v>5.1961320000000004</v>
      </c>
      <c r="M2104" s="27">
        <v>756.91540699999996</v>
      </c>
      <c r="O2104" s="27">
        <v>3874.8778240000001</v>
      </c>
      <c r="Q2104" s="27">
        <v>6878.9195280000004</v>
      </c>
      <c r="S2104" s="27">
        <v>1323.860842</v>
      </c>
      <c r="U2104" s="27">
        <v>3.9395950000000002</v>
      </c>
      <c r="W2104" s="27">
        <v>43.868107999999999</v>
      </c>
      <c r="Y2104" s="27">
        <v>8.4424790000000005</v>
      </c>
      <c r="AA2104" s="27">
        <v>620.10925999999995</v>
      </c>
      <c r="AC2104" s="27">
        <v>57.128194000000001</v>
      </c>
      <c r="AE2104" s="27">
        <v>1</v>
      </c>
      <c r="AG2104" s="27">
        <v>7.7511279999999996</v>
      </c>
      <c r="AI2104" s="27">
        <v>8.75</v>
      </c>
      <c r="AK2104" s="27">
        <v>23.807822000000002</v>
      </c>
      <c r="AM2104" s="27">
        <v>35.170003999999999</v>
      </c>
      <c r="AO2104" s="27">
        <v>6.7899399999999996</v>
      </c>
    </row>
    <row r="2105" spans="2:41" x14ac:dyDescent="0.25">
      <c r="B2105" s="21">
        <v>44401</v>
      </c>
      <c r="C2105" s="27">
        <v>20.1812</v>
      </c>
      <c r="E2105" s="27">
        <v>0.849495</v>
      </c>
      <c r="G2105" s="27">
        <v>96.346900000000005</v>
      </c>
      <c r="I2105" s="27">
        <v>6.8950969999999998</v>
      </c>
      <c r="K2105" s="27">
        <v>5.2</v>
      </c>
      <c r="M2105" s="27">
        <v>762.21</v>
      </c>
      <c r="O2105" s="27">
        <v>3887.0875000000001</v>
      </c>
      <c r="Q2105" s="27">
        <v>6880.0561719999996</v>
      </c>
      <c r="S2105" s="27">
        <v>1323.0939599999999</v>
      </c>
      <c r="U2105" s="27">
        <v>3.9277250000000001</v>
      </c>
      <c r="W2105" s="27">
        <v>43.786656999999998</v>
      </c>
      <c r="Y2105" s="27">
        <v>8.4205330000000007</v>
      </c>
      <c r="AA2105" s="27">
        <v>619.83171400000003</v>
      </c>
      <c r="AC2105" s="27">
        <v>57.172499999999999</v>
      </c>
      <c r="AE2105" s="27">
        <v>1</v>
      </c>
      <c r="AG2105" s="27">
        <v>7.7479110000000002</v>
      </c>
      <c r="AI2105" s="27">
        <v>8.75</v>
      </c>
      <c r="AK2105" s="27">
        <v>23.939975</v>
      </c>
      <c r="AM2105" s="27">
        <v>35.249749999999999</v>
      </c>
      <c r="AO2105" s="27">
        <v>6.7892469999999996</v>
      </c>
    </row>
    <row r="2106" spans="2:41" x14ac:dyDescent="0.25">
      <c r="B2106" s="21">
        <v>44402</v>
      </c>
      <c r="C2106" s="27">
        <v>20.1812</v>
      </c>
      <c r="E2106" s="27">
        <v>0.84948199999999996</v>
      </c>
      <c r="G2106" s="27">
        <v>96.344361000000006</v>
      </c>
      <c r="I2106" s="27">
        <v>6.8950969999999998</v>
      </c>
      <c r="K2106" s="27">
        <v>5.2000140000000004</v>
      </c>
      <c r="M2106" s="27">
        <v>762.21004600000003</v>
      </c>
      <c r="O2106" s="27">
        <v>3887.0924329999998</v>
      </c>
      <c r="Q2106" s="27">
        <v>6880.0561719999996</v>
      </c>
      <c r="S2106" s="27">
        <v>1323.0901799999999</v>
      </c>
      <c r="U2106" s="27">
        <v>3.9277250000000001</v>
      </c>
      <c r="W2106" s="27">
        <v>43.786656999999998</v>
      </c>
      <c r="Y2106" s="27">
        <v>8.4205079999999999</v>
      </c>
      <c r="AA2106" s="27">
        <v>619.83171400000003</v>
      </c>
      <c r="AC2106" s="27">
        <v>57.172499999999999</v>
      </c>
      <c r="AE2106" s="27">
        <v>1</v>
      </c>
      <c r="AG2106" s="27">
        <v>7.7478199999999999</v>
      </c>
      <c r="AI2106" s="27">
        <v>8.75</v>
      </c>
      <c r="AK2106" s="27">
        <v>23.930264000000001</v>
      </c>
      <c r="AM2106" s="27">
        <v>35.249749999999999</v>
      </c>
      <c r="AO2106" s="27">
        <v>6.7892469999999996</v>
      </c>
    </row>
    <row r="2107" spans="2:41" x14ac:dyDescent="0.25">
      <c r="B2107" s="21">
        <v>44403</v>
      </c>
      <c r="C2107" s="27">
        <v>20.023800000000001</v>
      </c>
      <c r="E2107" s="27">
        <v>0.84799899999999995</v>
      </c>
      <c r="G2107" s="27">
        <v>96.424000000000007</v>
      </c>
      <c r="I2107" s="27">
        <v>6.8991290000000003</v>
      </c>
      <c r="K2107" s="27">
        <v>5.190582</v>
      </c>
      <c r="M2107" s="27">
        <v>762.07448599999998</v>
      </c>
      <c r="O2107" s="27">
        <v>3896.4761640000002</v>
      </c>
      <c r="Q2107" s="27">
        <v>6907.0923039999998</v>
      </c>
      <c r="S2107" s="27">
        <v>1330.70452</v>
      </c>
      <c r="U2107" s="27">
        <v>3.9226179999999999</v>
      </c>
      <c r="W2107" s="27">
        <v>43.777983999999996</v>
      </c>
      <c r="Y2107" s="27">
        <v>8.4341500000000007</v>
      </c>
      <c r="AA2107" s="27">
        <v>619.95870600000001</v>
      </c>
      <c r="AC2107" s="27">
        <v>57.070974</v>
      </c>
      <c r="AE2107" s="27">
        <v>1</v>
      </c>
      <c r="AG2107" s="27">
        <v>7.7492960000000002</v>
      </c>
      <c r="AI2107" s="27">
        <v>8.75</v>
      </c>
      <c r="AK2107" s="27">
        <v>23.782754000000001</v>
      </c>
      <c r="AM2107" s="27">
        <v>35.177615000000003</v>
      </c>
      <c r="AO2107" s="27">
        <v>6.7912280000000003</v>
      </c>
    </row>
    <row r="2108" spans="2:41" x14ac:dyDescent="0.25">
      <c r="B2108" s="21">
        <v>44404</v>
      </c>
      <c r="C2108" s="27">
        <v>20.0245</v>
      </c>
      <c r="E2108" s="27">
        <v>0.84686099999999997</v>
      </c>
      <c r="G2108" s="27">
        <v>96.489583999999994</v>
      </c>
      <c r="I2108" s="27">
        <v>6.9013739999999997</v>
      </c>
      <c r="K2108" s="27">
        <v>5.1747050000000003</v>
      </c>
      <c r="M2108" s="27">
        <v>762.20011699999998</v>
      </c>
      <c r="O2108" s="27">
        <v>3919.1168400000001</v>
      </c>
      <c r="Q2108" s="27">
        <v>6907.9042040000004</v>
      </c>
      <c r="S2108" s="27">
        <v>1334.9448239999999</v>
      </c>
      <c r="U2108" s="27">
        <v>3.9111199999999999</v>
      </c>
      <c r="W2108" s="27">
        <v>43.750838000000002</v>
      </c>
      <c r="Y2108" s="27">
        <v>8.4547840000000001</v>
      </c>
      <c r="AA2108" s="27">
        <v>619.79783499999996</v>
      </c>
      <c r="AC2108" s="27">
        <v>57.021388000000002</v>
      </c>
      <c r="AE2108" s="27">
        <v>1</v>
      </c>
      <c r="AG2108" s="27">
        <v>7.7457250000000002</v>
      </c>
      <c r="AI2108" s="27">
        <v>8.75</v>
      </c>
      <c r="AK2108" s="27">
        <v>23.816464</v>
      </c>
      <c r="AM2108" s="27">
        <v>35.164929000000001</v>
      </c>
      <c r="AO2108" s="27">
        <v>6.7915380000000001</v>
      </c>
    </row>
    <row r="2109" spans="2:41" x14ac:dyDescent="0.25">
      <c r="B2109" s="21">
        <v>44405</v>
      </c>
      <c r="C2109" s="27">
        <v>19.977</v>
      </c>
      <c r="E2109" s="27">
        <v>0.84611999999999998</v>
      </c>
      <c r="G2109" s="27">
        <v>96.593137999999996</v>
      </c>
      <c r="I2109" s="27">
        <v>6.8994479999999996</v>
      </c>
      <c r="K2109" s="27">
        <v>5.1554489999999999</v>
      </c>
      <c r="M2109" s="27">
        <v>766.52146900000002</v>
      </c>
      <c r="O2109" s="27">
        <v>3912.2568219999998</v>
      </c>
      <c r="Q2109" s="27">
        <v>6912.5340919999999</v>
      </c>
      <c r="S2109" s="27">
        <v>1340.8283389999999</v>
      </c>
      <c r="U2109" s="27">
        <v>3.9144839999999999</v>
      </c>
      <c r="W2109" s="27">
        <v>43.748835</v>
      </c>
      <c r="Y2109" s="27">
        <v>8.4859679999999997</v>
      </c>
      <c r="AA2109" s="27">
        <v>619.49614799999995</v>
      </c>
      <c r="AC2109" s="27">
        <v>57.048215999999996</v>
      </c>
      <c r="AE2109" s="27">
        <v>1</v>
      </c>
      <c r="AG2109" s="27">
        <v>7.7429399999999999</v>
      </c>
      <c r="AI2109" s="27">
        <v>8.75</v>
      </c>
      <c r="AK2109" s="27">
        <v>23.80067</v>
      </c>
      <c r="AM2109" s="27">
        <v>35.222168000000003</v>
      </c>
      <c r="AO2109" s="27">
        <v>6.7884799999999998</v>
      </c>
    </row>
    <row r="2110" spans="2:41" x14ac:dyDescent="0.25">
      <c r="B2110" s="21">
        <v>44406</v>
      </c>
      <c r="C2110" s="27">
        <v>19.953499999999998</v>
      </c>
      <c r="E2110" s="27">
        <v>0.84222399999999997</v>
      </c>
      <c r="G2110" s="27">
        <v>96.613219999999998</v>
      </c>
      <c r="I2110" s="27">
        <v>6.9019079999999997</v>
      </c>
      <c r="K2110" s="27">
        <v>5.0941840000000003</v>
      </c>
      <c r="M2110" s="27">
        <v>760.59756500000003</v>
      </c>
      <c r="O2110" s="27">
        <v>3861.6136379999998</v>
      </c>
      <c r="Q2110" s="27">
        <v>6911.3707899999999</v>
      </c>
      <c r="S2110" s="27">
        <v>1356.7254600000001</v>
      </c>
      <c r="U2110" s="27">
        <v>3.9205749999999999</v>
      </c>
      <c r="W2110" s="27">
        <v>43.744765999999998</v>
      </c>
      <c r="Y2110" s="27">
        <v>8.5872270000000004</v>
      </c>
      <c r="AA2110" s="27">
        <v>619.12534000000005</v>
      </c>
      <c r="AC2110" s="27">
        <v>56.934829999999998</v>
      </c>
      <c r="AE2110" s="27">
        <v>1</v>
      </c>
      <c r="AG2110" s="27">
        <v>7.7405220000000003</v>
      </c>
      <c r="AI2110" s="27">
        <v>8.75</v>
      </c>
      <c r="AK2110" s="27">
        <v>23.711787999999999</v>
      </c>
      <c r="AM2110" s="27">
        <v>35.127898000000002</v>
      </c>
      <c r="AO2110" s="27">
        <v>6.7827650000000004</v>
      </c>
    </row>
    <row r="2111" spans="2:41" x14ac:dyDescent="0.25">
      <c r="B2111" s="21">
        <v>44407</v>
      </c>
      <c r="C2111" s="27">
        <v>19.844799999999999</v>
      </c>
      <c r="E2111" s="27">
        <v>0.84195200000000003</v>
      </c>
      <c r="G2111" s="27">
        <v>96.628021000000004</v>
      </c>
      <c r="I2111" s="27">
        <v>6.9079459999999999</v>
      </c>
      <c r="K2111" s="27">
        <v>5.1253869999999999</v>
      </c>
      <c r="M2111" s="27">
        <v>759.81931799999995</v>
      </c>
      <c r="O2111" s="27">
        <v>3859.4999659999999</v>
      </c>
      <c r="Q2111" s="27">
        <v>6909.6229279999998</v>
      </c>
      <c r="S2111" s="27">
        <v>1348.1245779999999</v>
      </c>
      <c r="U2111" s="27">
        <v>3.9239120000000001</v>
      </c>
      <c r="W2111" s="27">
        <v>43.779238999999997</v>
      </c>
      <c r="Y2111" s="27">
        <v>8.5416729999999994</v>
      </c>
      <c r="AA2111" s="27">
        <v>619.54470200000003</v>
      </c>
      <c r="AC2111" s="27">
        <v>56.995857999999998</v>
      </c>
      <c r="AE2111" s="27">
        <v>1</v>
      </c>
      <c r="AG2111" s="27">
        <v>7.7461960000000003</v>
      </c>
      <c r="AI2111" s="27">
        <v>8.75</v>
      </c>
      <c r="AK2111" s="27">
        <v>23.723255999999999</v>
      </c>
      <c r="AM2111" s="27">
        <v>35.099333000000001</v>
      </c>
      <c r="AO2111" s="27">
        <v>6.7883589999999998</v>
      </c>
    </row>
    <row r="2112" spans="2:41" x14ac:dyDescent="0.25">
      <c r="B2112" s="21">
        <v>44408</v>
      </c>
      <c r="C2112" s="27">
        <v>19.844799999999999</v>
      </c>
      <c r="E2112" s="27">
        <v>0.84265199999999996</v>
      </c>
      <c r="G2112" s="27">
        <v>96.714500000000001</v>
      </c>
      <c r="I2112" s="27">
        <v>6.9041480000000002</v>
      </c>
      <c r="K2112" s="27">
        <v>5.2122000000000002</v>
      </c>
      <c r="M2112" s="27">
        <v>756.71249999999998</v>
      </c>
      <c r="O2112" s="27">
        <v>3877.7474999999999</v>
      </c>
      <c r="Q2112" s="27">
        <v>6906.9290920000003</v>
      </c>
      <c r="S2112" s="27">
        <v>1325.1527579999999</v>
      </c>
      <c r="U2112" s="27">
        <v>3.9238740000000001</v>
      </c>
      <c r="W2112" s="27">
        <v>43.738677000000003</v>
      </c>
      <c r="Y2112" s="27">
        <v>8.3916240000000002</v>
      </c>
      <c r="AA2112" s="27">
        <v>619.66718700000001</v>
      </c>
      <c r="AC2112" s="27">
        <v>57.000494000000003</v>
      </c>
      <c r="AE2112" s="27">
        <v>1</v>
      </c>
      <c r="AG2112" s="27">
        <v>7.748062</v>
      </c>
      <c r="AI2112" s="27">
        <v>8.75</v>
      </c>
      <c r="AK2112" s="27">
        <v>23.721371999999999</v>
      </c>
      <c r="AM2112" s="27">
        <v>35.104646000000002</v>
      </c>
      <c r="AO2112" s="27">
        <v>6.79162</v>
      </c>
    </row>
    <row r="2113" spans="2:41" ht="13" x14ac:dyDescent="0.3">
      <c r="B2113" s="25" t="s">
        <v>123</v>
      </c>
      <c r="C2113" s="19">
        <v>19.986499999999999</v>
      </c>
      <c r="E2113" s="19">
        <v>0.84560000000000002</v>
      </c>
      <c r="G2113" s="19">
        <v>96.173100000000005</v>
      </c>
      <c r="I2113" s="19">
        <v>6.9031000000000002</v>
      </c>
      <c r="K2113" s="19">
        <v>5.1589999999999998</v>
      </c>
      <c r="M2113" s="19">
        <v>751.82650000000001</v>
      </c>
      <c r="O2113" s="19">
        <v>3830.2786000000001</v>
      </c>
      <c r="Q2113" s="19">
        <v>6830.5546000000004</v>
      </c>
      <c r="S2113" s="19">
        <v>1324.2351000000001</v>
      </c>
      <c r="U2113" s="19">
        <v>3.9308000000000001</v>
      </c>
      <c r="W2113" s="19">
        <v>43.8262</v>
      </c>
      <c r="Y2113" s="19">
        <v>8.4964999999999993</v>
      </c>
      <c r="AA2113" s="19">
        <v>619.87850000000003</v>
      </c>
      <c r="AC2113" s="19">
        <v>57.057299999999998</v>
      </c>
      <c r="AE2113" s="19">
        <v>1</v>
      </c>
      <c r="AG2113" s="19">
        <v>7.7477</v>
      </c>
      <c r="AI2113" s="19">
        <v>8.75</v>
      </c>
      <c r="AK2113" s="19">
        <v>23.855399999999999</v>
      </c>
      <c r="AM2113" s="19">
        <v>35.096699999999998</v>
      </c>
      <c r="AO2113" s="19">
        <v>6.7884000000000002</v>
      </c>
    </row>
    <row r="2114" spans="2:41" x14ac:dyDescent="0.25">
      <c r="B2114" s="21">
        <v>44409</v>
      </c>
      <c r="C2114" s="27">
        <v>19.844799999999999</v>
      </c>
      <c r="E2114" s="27">
        <v>0.84265999999999996</v>
      </c>
      <c r="G2114" s="27">
        <v>96.716381999999996</v>
      </c>
      <c r="I2114" s="27">
        <v>6.9041480000000002</v>
      </c>
      <c r="K2114" s="27">
        <v>5.2119590000000002</v>
      </c>
      <c r="M2114" s="27">
        <v>756.712132</v>
      </c>
      <c r="O2114" s="27">
        <v>3877.7485830000001</v>
      </c>
      <c r="Q2114" s="27">
        <v>6906.9290920000003</v>
      </c>
      <c r="S2114" s="27">
        <v>1325.2140899999999</v>
      </c>
      <c r="U2114" s="27">
        <v>3.9238740000000001</v>
      </c>
      <c r="W2114" s="27">
        <v>43.738677000000003</v>
      </c>
      <c r="Y2114" s="27">
        <v>8.3920119999999994</v>
      </c>
      <c r="AA2114" s="27">
        <v>619.66718700000001</v>
      </c>
      <c r="AC2114" s="27">
        <v>57.000494000000003</v>
      </c>
      <c r="AE2114" s="27">
        <v>1</v>
      </c>
      <c r="AG2114" s="27">
        <v>7.7480359999999999</v>
      </c>
      <c r="AI2114" s="27">
        <v>8.75</v>
      </c>
      <c r="AK2114" s="27">
        <v>23.721371999999999</v>
      </c>
      <c r="AM2114" s="27">
        <v>35.104646000000002</v>
      </c>
      <c r="AO2114" s="27">
        <v>6.79162</v>
      </c>
    </row>
    <row r="2115" spans="2:41" x14ac:dyDescent="0.25">
      <c r="B2115" s="21">
        <v>44410</v>
      </c>
      <c r="C2115" s="27">
        <v>19.845500000000001</v>
      </c>
      <c r="E2115" s="27">
        <v>0.84208000000000005</v>
      </c>
      <c r="G2115" s="27">
        <v>96.763536000000002</v>
      </c>
      <c r="I2115" s="27">
        <v>6.9013799999999996</v>
      </c>
      <c r="K2115" s="27">
        <v>5.1821419999999998</v>
      </c>
      <c r="M2115" s="27">
        <v>760.29757600000005</v>
      </c>
      <c r="O2115" s="27">
        <v>3878.9406140000001</v>
      </c>
      <c r="Q2115" s="27">
        <v>6916.5593179999996</v>
      </c>
      <c r="S2115" s="27">
        <v>1334.6982109999999</v>
      </c>
      <c r="U2115" s="27">
        <v>3.967012</v>
      </c>
      <c r="W2115" s="27">
        <v>43.752594000000002</v>
      </c>
      <c r="Y2115" s="27">
        <v>8.4429870000000005</v>
      </c>
      <c r="AA2115" s="27">
        <v>620.37585999999999</v>
      </c>
      <c r="AC2115" s="27">
        <v>57.129947999999999</v>
      </c>
      <c r="AE2115" s="27">
        <v>1</v>
      </c>
      <c r="AG2115" s="27">
        <v>7.7485660000000003</v>
      </c>
      <c r="AI2115" s="27">
        <v>8.75</v>
      </c>
      <c r="AK2115" s="27">
        <v>23.745716000000002</v>
      </c>
      <c r="AM2115" s="27">
        <v>35.141390000000001</v>
      </c>
      <c r="AO2115" s="27">
        <v>6.7984330000000002</v>
      </c>
    </row>
    <row r="2116" spans="2:41" x14ac:dyDescent="0.25">
      <c r="B2116" s="21">
        <v>44411</v>
      </c>
      <c r="C2116" s="27">
        <v>19.852</v>
      </c>
      <c r="E2116" s="27">
        <v>0.84226800000000002</v>
      </c>
      <c r="G2116" s="27">
        <v>96.801295999999994</v>
      </c>
      <c r="I2116" s="27">
        <v>6.904852</v>
      </c>
      <c r="K2116" s="27">
        <v>5.1974119999999999</v>
      </c>
      <c r="M2116" s="27">
        <v>771.89379899999994</v>
      </c>
      <c r="O2116" s="27">
        <v>3900.0953850000001</v>
      </c>
      <c r="Q2116" s="27">
        <v>6915.9482040000003</v>
      </c>
      <c r="S2116" s="27">
        <v>1330.659322</v>
      </c>
      <c r="U2116" s="27">
        <v>4.0094500000000002</v>
      </c>
      <c r="W2116" s="27">
        <v>43.750394</v>
      </c>
      <c r="Y2116" s="27">
        <v>8.4177540000000004</v>
      </c>
      <c r="AA2116" s="27">
        <v>620.35349199999996</v>
      </c>
      <c r="AC2116" s="27">
        <v>57.090904000000002</v>
      </c>
      <c r="AE2116" s="27">
        <v>1</v>
      </c>
      <c r="AG2116" s="27">
        <v>7.7530060000000001</v>
      </c>
      <c r="AI2116" s="27">
        <v>8.75</v>
      </c>
      <c r="AK2116" s="27">
        <v>23.740331999999999</v>
      </c>
      <c r="AM2116" s="27">
        <v>35.130836000000002</v>
      </c>
      <c r="AO2116" s="27">
        <v>6.7912039999999996</v>
      </c>
    </row>
    <row r="2117" spans="2:41" x14ac:dyDescent="0.25">
      <c r="B2117" s="21">
        <v>44412</v>
      </c>
      <c r="C2117" s="27">
        <v>19.891999999999999</v>
      </c>
      <c r="E2117" s="27">
        <v>0.84342200000000001</v>
      </c>
      <c r="G2117" s="27">
        <v>96.818538000000004</v>
      </c>
      <c r="I2117" s="27">
        <v>6.9106129999999997</v>
      </c>
      <c r="K2117" s="27">
        <v>5.1961050000000002</v>
      </c>
      <c r="M2117" s="27">
        <v>775.43557999999996</v>
      </c>
      <c r="O2117" s="27">
        <v>3908.3596590000002</v>
      </c>
      <c r="Q2117" s="27">
        <v>6921.0834720000003</v>
      </c>
      <c r="S2117" s="27">
        <v>1331.982307</v>
      </c>
      <c r="U2117" s="27">
        <v>4.0578260000000004</v>
      </c>
      <c r="W2117" s="27">
        <v>43.709457999999998</v>
      </c>
      <c r="Y2117" s="27">
        <v>8.4119919999999997</v>
      </c>
      <c r="AA2117" s="27">
        <v>620.62090999999998</v>
      </c>
      <c r="AC2117" s="27">
        <v>57.127133000000001</v>
      </c>
      <c r="AE2117" s="27">
        <v>1</v>
      </c>
      <c r="AG2117" s="27">
        <v>7.7552859999999999</v>
      </c>
      <c r="AI2117" s="27">
        <v>8.75</v>
      </c>
      <c r="AK2117" s="27">
        <v>23.810648</v>
      </c>
      <c r="AM2117" s="27">
        <v>35.206418999999997</v>
      </c>
      <c r="AO2117" s="27">
        <v>6.7900929999999997</v>
      </c>
    </row>
    <row r="2118" spans="2:41" x14ac:dyDescent="0.25">
      <c r="B2118" s="21">
        <v>44413</v>
      </c>
      <c r="C2118" s="27">
        <v>19.954699999999999</v>
      </c>
      <c r="E2118" s="27">
        <v>0.84475599999999995</v>
      </c>
      <c r="G2118" s="27">
        <v>96.840036999999995</v>
      </c>
      <c r="I2118" s="27">
        <v>6.9110490000000002</v>
      </c>
      <c r="K2118" s="27">
        <v>5.1825140000000003</v>
      </c>
      <c r="M2118" s="27">
        <v>775.88197600000001</v>
      </c>
      <c r="O2118" s="27">
        <v>3908.2499899999998</v>
      </c>
      <c r="Q2118" s="27">
        <v>6936.863378</v>
      </c>
      <c r="S2118" s="27">
        <v>1338.520248</v>
      </c>
      <c r="U2118" s="27">
        <v>4.0736439999999998</v>
      </c>
      <c r="W2118" s="27">
        <v>43.678033999999997</v>
      </c>
      <c r="Y2118" s="27">
        <v>8.4279899999999994</v>
      </c>
      <c r="AA2118" s="27">
        <v>620.65947200000005</v>
      </c>
      <c r="AC2118" s="27">
        <v>57.130493999999999</v>
      </c>
      <c r="AE2118" s="27">
        <v>1</v>
      </c>
      <c r="AG2118" s="27">
        <v>7.7555019999999999</v>
      </c>
      <c r="AI2118" s="27">
        <v>8.75</v>
      </c>
      <c r="AK2118" s="27">
        <v>23.845362000000002</v>
      </c>
      <c r="AM2118" s="27">
        <v>35.174132</v>
      </c>
      <c r="AO2118" s="27">
        <v>6.791112</v>
      </c>
    </row>
    <row r="2119" spans="2:41" x14ac:dyDescent="0.25">
      <c r="B2119" s="21">
        <v>44414</v>
      </c>
      <c r="C2119" s="27">
        <v>19.929300000000001</v>
      </c>
      <c r="E2119" s="27">
        <v>0.84798499999999999</v>
      </c>
      <c r="G2119" s="27">
        <v>96.846450000000004</v>
      </c>
      <c r="I2119" s="27">
        <v>6.9096700000000002</v>
      </c>
      <c r="K2119" s="27">
        <v>5.2416340000000003</v>
      </c>
      <c r="M2119" s="27">
        <v>782.22619999999995</v>
      </c>
      <c r="O2119" s="27">
        <v>3934.5542909999999</v>
      </c>
      <c r="Q2119" s="27">
        <v>6938.7839320000003</v>
      </c>
      <c r="S2119" s="27">
        <v>1323.7897869999999</v>
      </c>
      <c r="U2119" s="27">
        <v>4.0827119999999999</v>
      </c>
      <c r="W2119" s="27">
        <v>43.712736</v>
      </c>
      <c r="Y2119" s="27">
        <v>8.3395499999999991</v>
      </c>
      <c r="AA2119" s="27">
        <v>620.58769400000006</v>
      </c>
      <c r="AC2119" s="27">
        <v>57.123449999999998</v>
      </c>
      <c r="AE2119" s="27">
        <v>1</v>
      </c>
      <c r="AG2119" s="27">
        <v>7.7555379999999996</v>
      </c>
      <c r="AI2119" s="27">
        <v>8.75</v>
      </c>
      <c r="AK2119" s="27">
        <v>23.776547999999998</v>
      </c>
      <c r="AM2119" s="27">
        <v>35.145940000000003</v>
      </c>
      <c r="AO2119" s="27">
        <v>6.7888960000000003</v>
      </c>
    </row>
    <row r="2120" spans="2:41" x14ac:dyDescent="0.25">
      <c r="B2120" s="21">
        <v>44415</v>
      </c>
      <c r="C2120" s="27">
        <v>19.929300000000001</v>
      </c>
      <c r="E2120" s="27">
        <v>0.85022799999999998</v>
      </c>
      <c r="G2120" s="27">
        <v>96.884405999999998</v>
      </c>
      <c r="I2120" s="27">
        <v>6.905589</v>
      </c>
      <c r="K2120" s="27">
        <v>5.2327000000000004</v>
      </c>
      <c r="M2120" s="27">
        <v>788.38750000000005</v>
      </c>
      <c r="O2120" s="27">
        <v>3967.0374999999999</v>
      </c>
      <c r="Q2120" s="27">
        <v>6930.1875360000004</v>
      </c>
      <c r="S2120" s="27">
        <v>1324.4060629999999</v>
      </c>
      <c r="U2120" s="27">
        <v>4.0765029999999998</v>
      </c>
      <c r="W2120" s="27">
        <v>43.699156000000002</v>
      </c>
      <c r="Y2120" s="27">
        <v>8.3511900000000008</v>
      </c>
      <c r="AA2120" s="27">
        <v>620.22105199999999</v>
      </c>
      <c r="AC2120" s="27">
        <v>57.099020000000003</v>
      </c>
      <c r="AE2120" s="27">
        <v>1</v>
      </c>
      <c r="AG2120" s="27">
        <v>7.7513009999999998</v>
      </c>
      <c r="AI2120" s="27">
        <v>8.75</v>
      </c>
      <c r="AK2120" s="27">
        <v>23.748117000000001</v>
      </c>
      <c r="AM2120" s="27">
        <v>35.121569000000001</v>
      </c>
      <c r="AO2120" s="27">
        <v>6.7844480000000003</v>
      </c>
    </row>
    <row r="2121" spans="2:41" x14ac:dyDescent="0.25">
      <c r="B2121" s="21">
        <v>44416</v>
      </c>
      <c r="C2121" s="27">
        <v>19.929300000000001</v>
      </c>
      <c r="E2121" s="27">
        <v>0.85028400000000004</v>
      </c>
      <c r="G2121" s="27">
        <v>96.924216000000001</v>
      </c>
      <c r="I2121" s="27">
        <v>6.905589</v>
      </c>
      <c r="K2121" s="27">
        <v>5.232774</v>
      </c>
      <c r="M2121" s="27">
        <v>788.38584400000002</v>
      </c>
      <c r="O2121" s="27">
        <v>3967.0376620000002</v>
      </c>
      <c r="Q2121" s="27">
        <v>6930.1875360000004</v>
      </c>
      <c r="S2121" s="27">
        <v>1324.3874760000001</v>
      </c>
      <c r="U2121" s="27">
        <v>4.0765029999999998</v>
      </c>
      <c r="W2121" s="27">
        <v>43.699156000000002</v>
      </c>
      <c r="Y2121" s="27">
        <v>8.3510720000000003</v>
      </c>
      <c r="AA2121" s="27">
        <v>620.22105199999999</v>
      </c>
      <c r="AC2121" s="27">
        <v>57.099020000000003</v>
      </c>
      <c r="AE2121" s="27">
        <v>1</v>
      </c>
      <c r="AG2121" s="27">
        <v>7.7524899999999999</v>
      </c>
      <c r="AI2121" s="27">
        <v>8.75</v>
      </c>
      <c r="AK2121" s="27">
        <v>23.748117000000001</v>
      </c>
      <c r="AM2121" s="27">
        <v>35.121569000000001</v>
      </c>
      <c r="AO2121" s="27">
        <v>6.7844480000000003</v>
      </c>
    </row>
    <row r="2122" spans="2:41" x14ac:dyDescent="0.25">
      <c r="B2122" s="21">
        <v>44417</v>
      </c>
      <c r="C2122" s="27">
        <v>20.003699999999998</v>
      </c>
      <c r="E2122" s="27">
        <v>0.85094800000000004</v>
      </c>
      <c r="G2122" s="27">
        <v>97.020060000000001</v>
      </c>
      <c r="I2122" s="27">
        <v>6.9201480000000002</v>
      </c>
      <c r="K2122" s="27">
        <v>5.2422060000000004</v>
      </c>
      <c r="M2122" s="27">
        <v>787.37770999999998</v>
      </c>
      <c r="O2122" s="27">
        <v>3978.4919620000001</v>
      </c>
      <c r="Q2122" s="27">
        <v>6947.0320789999996</v>
      </c>
      <c r="S2122" s="27">
        <v>1325.219464</v>
      </c>
      <c r="U2122" s="27">
        <v>4.0914929999999998</v>
      </c>
      <c r="W2122" s="27">
        <v>43.762438000000003</v>
      </c>
      <c r="Y2122" s="27">
        <v>8.3481280000000009</v>
      </c>
      <c r="AA2122" s="27">
        <v>621.37429999999995</v>
      </c>
      <c r="AC2122" s="27">
        <v>57.259853999999997</v>
      </c>
      <c r="AE2122" s="27">
        <v>1</v>
      </c>
      <c r="AG2122" s="27">
        <v>7.7675320000000001</v>
      </c>
      <c r="AI2122" s="27">
        <v>8.75</v>
      </c>
      <c r="AK2122" s="27">
        <v>23.790281</v>
      </c>
      <c r="AM2122" s="27">
        <v>35.192014</v>
      </c>
      <c r="AO2122" s="27">
        <v>6.7967750000000002</v>
      </c>
    </row>
    <row r="2123" spans="2:41" x14ac:dyDescent="0.25">
      <c r="B2123" s="21">
        <v>44418</v>
      </c>
      <c r="C2123" s="27">
        <v>20.064800000000002</v>
      </c>
      <c r="E2123" s="27">
        <v>0.85279199999999999</v>
      </c>
      <c r="G2123" s="27">
        <v>97.003681999999998</v>
      </c>
      <c r="I2123" s="27">
        <v>6.9098350000000002</v>
      </c>
      <c r="K2123" s="27">
        <v>5.2210530000000004</v>
      </c>
      <c r="M2123" s="27">
        <v>782.61236099999996</v>
      </c>
      <c r="O2123" s="27">
        <v>3987.0273940000002</v>
      </c>
      <c r="Q2123" s="27">
        <v>6935.1936729999998</v>
      </c>
      <c r="S2123" s="27">
        <v>1328.32069</v>
      </c>
      <c r="U2123" s="27">
        <v>4.1000920000000001</v>
      </c>
      <c r="W2123" s="27">
        <v>43.717930000000003</v>
      </c>
      <c r="Y2123" s="27">
        <v>8.3734219999999997</v>
      </c>
      <c r="AA2123" s="27">
        <v>621.40315199999998</v>
      </c>
      <c r="AC2123" s="27">
        <v>57.203904999999999</v>
      </c>
      <c r="AE2123" s="27">
        <v>1</v>
      </c>
      <c r="AG2123" s="27">
        <v>7.7590940000000002</v>
      </c>
      <c r="AI2123" s="27">
        <v>8.75</v>
      </c>
      <c r="AK2123" s="27">
        <v>23.759191999999999</v>
      </c>
      <c r="AM2123" s="27">
        <v>35.156481999999997</v>
      </c>
      <c r="AO2123" s="27">
        <v>6.7930859999999997</v>
      </c>
    </row>
    <row r="2124" spans="2:41" x14ac:dyDescent="0.25">
      <c r="B2124" s="21">
        <v>44419</v>
      </c>
      <c r="C2124" s="27">
        <v>20.1038</v>
      </c>
      <c r="E2124" s="27">
        <v>0.852688</v>
      </c>
      <c r="G2124" s="27">
        <v>97.017775999999998</v>
      </c>
      <c r="I2124" s="27">
        <v>6.9049199999999997</v>
      </c>
      <c r="K2124" s="27">
        <v>5.2017470000000001</v>
      </c>
      <c r="M2124" s="27">
        <v>776.00189</v>
      </c>
      <c r="O2124" s="27">
        <v>3958.5756740000002</v>
      </c>
      <c r="Q2124" s="27">
        <v>6924.2653019999998</v>
      </c>
      <c r="S2124" s="27">
        <v>1331.149588</v>
      </c>
      <c r="U2124" s="27">
        <v>4.094392</v>
      </c>
      <c r="W2124" s="27">
        <v>43.710790000000003</v>
      </c>
      <c r="Y2124" s="27">
        <v>8.4031260000000003</v>
      </c>
      <c r="AA2124" s="27">
        <v>621.78913999999997</v>
      </c>
      <c r="AC2124" s="27">
        <v>57.114567999999998</v>
      </c>
      <c r="AE2124" s="27">
        <v>1</v>
      </c>
      <c r="AG2124" s="27">
        <v>7.7569910000000002</v>
      </c>
      <c r="AI2124" s="27">
        <v>8.75</v>
      </c>
      <c r="AK2124" s="27">
        <v>23.755096000000002</v>
      </c>
      <c r="AM2124" s="27">
        <v>35.151201999999998</v>
      </c>
      <c r="AO2124" s="27">
        <v>6.7956919999999998</v>
      </c>
    </row>
    <row r="2125" spans="2:41" x14ac:dyDescent="0.25">
      <c r="B2125" s="21">
        <v>44420</v>
      </c>
      <c r="C2125" s="27">
        <v>19.952999999999999</v>
      </c>
      <c r="E2125" s="27">
        <v>0.85197800000000001</v>
      </c>
      <c r="G2125" s="27">
        <v>97.005315999999993</v>
      </c>
      <c r="I2125" s="27">
        <v>6.8995850000000001</v>
      </c>
      <c r="K2125" s="27">
        <v>5.2306460000000001</v>
      </c>
      <c r="M2125" s="27">
        <v>772.49002599999994</v>
      </c>
      <c r="O2125" s="27">
        <v>3910.8444650000001</v>
      </c>
      <c r="Q2125" s="27">
        <v>6914.9119440000004</v>
      </c>
      <c r="S2125" s="27">
        <v>1322.0067160000001</v>
      </c>
      <c r="U2125" s="27">
        <v>4.0896039999999996</v>
      </c>
      <c r="W2125" s="27">
        <v>43.615287000000002</v>
      </c>
      <c r="Y2125" s="27">
        <v>8.3384409999999995</v>
      </c>
      <c r="AA2125" s="27">
        <v>621.43890999999996</v>
      </c>
      <c r="AC2125" s="27">
        <v>57.012459999999997</v>
      </c>
      <c r="AE2125" s="27">
        <v>1</v>
      </c>
      <c r="AG2125" s="27">
        <v>7.7472799999999999</v>
      </c>
      <c r="AI2125" s="27">
        <v>8.75</v>
      </c>
      <c r="AK2125" s="27">
        <v>23.735078000000001</v>
      </c>
      <c r="AM2125" s="27">
        <v>35.112273999999999</v>
      </c>
      <c r="AO2125" s="27">
        <v>6.7892749999999999</v>
      </c>
    </row>
    <row r="2126" spans="2:41" x14ac:dyDescent="0.25">
      <c r="B2126" s="21">
        <v>44421</v>
      </c>
      <c r="C2126" s="27">
        <v>19.890699999999999</v>
      </c>
      <c r="E2126" s="27">
        <v>0.84992800000000002</v>
      </c>
      <c r="G2126" s="27">
        <v>97.045203999999998</v>
      </c>
      <c r="I2126" s="27">
        <v>6.9004810000000001</v>
      </c>
      <c r="K2126" s="27">
        <v>5.2493319999999999</v>
      </c>
      <c r="M2126" s="27">
        <v>774.94879200000003</v>
      </c>
      <c r="O2126" s="27">
        <v>3849.2632090000002</v>
      </c>
      <c r="Q2126" s="27">
        <v>6918.1241520000003</v>
      </c>
      <c r="S2126" s="27">
        <v>1317.9129129999999</v>
      </c>
      <c r="U2126" s="27">
        <v>4.0904680000000004</v>
      </c>
      <c r="W2126" s="27">
        <v>43.584946000000002</v>
      </c>
      <c r="Y2126" s="27">
        <v>8.3029799999999998</v>
      </c>
      <c r="AA2126" s="27">
        <v>621.83392200000003</v>
      </c>
      <c r="AC2126" s="27">
        <v>57.079414</v>
      </c>
      <c r="AE2126" s="27">
        <v>1</v>
      </c>
      <c r="AG2126" s="27">
        <v>7.747268</v>
      </c>
      <c r="AI2126" s="27">
        <v>8.75</v>
      </c>
      <c r="AK2126" s="27">
        <v>23.742062000000001</v>
      </c>
      <c r="AM2126" s="27">
        <v>35.118116000000001</v>
      </c>
      <c r="AO2126" s="27">
        <v>6.7942539999999996</v>
      </c>
    </row>
    <row r="2127" spans="2:41" x14ac:dyDescent="0.25">
      <c r="B2127" s="21">
        <v>44422</v>
      </c>
      <c r="C2127" s="27">
        <v>19.890699999999999</v>
      </c>
      <c r="E2127" s="27">
        <v>0.84780199999999994</v>
      </c>
      <c r="G2127" s="27">
        <v>97.109200000000001</v>
      </c>
      <c r="I2127" s="27">
        <v>6.8975140000000001</v>
      </c>
      <c r="K2127" s="27">
        <v>5.24885</v>
      </c>
      <c r="M2127" s="27">
        <v>775.995</v>
      </c>
      <c r="O2127" s="27">
        <v>3842.7024999999999</v>
      </c>
      <c r="Q2127" s="27">
        <v>6919.6973939999998</v>
      </c>
      <c r="S2127" s="27">
        <v>1318.3345999999999</v>
      </c>
      <c r="U2127" s="27">
        <v>4.0889610000000003</v>
      </c>
      <c r="W2127" s="27">
        <v>43.498939999999997</v>
      </c>
      <c r="Y2127" s="27">
        <v>8.2873660000000005</v>
      </c>
      <c r="AA2127" s="27">
        <v>621.51176999999996</v>
      </c>
      <c r="AC2127" s="27">
        <v>57.130074</v>
      </c>
      <c r="AE2127" s="27">
        <v>1</v>
      </c>
      <c r="AG2127" s="27">
        <v>7.7465960000000003</v>
      </c>
      <c r="AI2127" s="27">
        <v>8.75</v>
      </c>
      <c r="AK2127" s="27">
        <v>23.741081999999999</v>
      </c>
      <c r="AM2127" s="27">
        <v>35.1158</v>
      </c>
      <c r="AO2127" s="27">
        <v>6.7957159999999996</v>
      </c>
    </row>
    <row r="2128" spans="2:41" x14ac:dyDescent="0.25">
      <c r="B2128" s="21">
        <v>44423</v>
      </c>
      <c r="C2128" s="27">
        <v>19.890699999999999</v>
      </c>
      <c r="E2128" s="27">
        <v>0.84780199999999994</v>
      </c>
      <c r="G2128" s="27">
        <v>97.106279000000001</v>
      </c>
      <c r="I2128" s="27">
        <v>6.8975140000000001</v>
      </c>
      <c r="K2128" s="27">
        <v>5.2488520000000003</v>
      </c>
      <c r="M2128" s="27">
        <v>775.99449400000003</v>
      </c>
      <c r="O2128" s="27">
        <v>3842.7017780000001</v>
      </c>
      <c r="Q2128" s="27">
        <v>6919.6973939999998</v>
      </c>
      <c r="S2128" s="27">
        <v>1318.3341</v>
      </c>
      <c r="U2128" s="27">
        <v>4.0889610000000003</v>
      </c>
      <c r="W2128" s="27">
        <v>43.498939999999997</v>
      </c>
      <c r="Y2128" s="27">
        <v>8.2873619999999999</v>
      </c>
      <c r="AA2128" s="27">
        <v>621.51176999999996</v>
      </c>
      <c r="AC2128" s="27">
        <v>57.130074</v>
      </c>
      <c r="AE2128" s="27">
        <v>1</v>
      </c>
      <c r="AG2128" s="27">
        <v>7.7466489999999997</v>
      </c>
      <c r="AI2128" s="27">
        <v>8.75</v>
      </c>
      <c r="AK2128" s="27">
        <v>23.741081999999999</v>
      </c>
      <c r="AM2128" s="27">
        <v>35.1158</v>
      </c>
      <c r="AO2128" s="27">
        <v>6.7957159999999996</v>
      </c>
    </row>
    <row r="2129" spans="2:41" x14ac:dyDescent="0.25">
      <c r="B2129" s="21">
        <v>44424</v>
      </c>
      <c r="C2129" s="27">
        <v>19.860299999999999</v>
      </c>
      <c r="E2129" s="27">
        <v>0.84865199999999996</v>
      </c>
      <c r="G2129" s="27">
        <v>96.964986999999994</v>
      </c>
      <c r="I2129" s="27">
        <v>6.8929980000000004</v>
      </c>
      <c r="K2129" s="27">
        <v>5.2529820000000003</v>
      </c>
      <c r="M2129" s="27">
        <v>780.53551600000003</v>
      </c>
      <c r="O2129" s="27">
        <v>3844.1429499999999</v>
      </c>
      <c r="Q2129" s="27">
        <v>6914.0553250000003</v>
      </c>
      <c r="S2129" s="27">
        <v>1316.2228339999999</v>
      </c>
      <c r="U2129" s="27">
        <v>4.0786009999999999</v>
      </c>
      <c r="W2129" s="27">
        <v>43.391047999999998</v>
      </c>
      <c r="Y2129" s="27">
        <v>8.2602989999999998</v>
      </c>
      <c r="AA2129" s="27">
        <v>620.87962400000004</v>
      </c>
      <c r="AC2129" s="27">
        <v>57.007916999999999</v>
      </c>
      <c r="AE2129" s="27">
        <v>1</v>
      </c>
      <c r="AG2129" s="27">
        <v>7.7392989999999999</v>
      </c>
      <c r="AI2129" s="27">
        <v>8.75</v>
      </c>
      <c r="AK2129" s="27">
        <v>23.719660000000001</v>
      </c>
      <c r="AM2129" s="27">
        <v>35.080950000000001</v>
      </c>
      <c r="AO2129" s="27">
        <v>6.7860310000000004</v>
      </c>
    </row>
    <row r="2130" spans="2:41" x14ac:dyDescent="0.25">
      <c r="B2130" s="21">
        <v>44425</v>
      </c>
      <c r="C2130" s="27">
        <v>19.886299999999999</v>
      </c>
      <c r="E2130" s="27">
        <v>0.851433</v>
      </c>
      <c r="G2130" s="27">
        <v>97.108379999999997</v>
      </c>
      <c r="I2130" s="27">
        <v>6.9019979999999999</v>
      </c>
      <c r="K2130" s="27">
        <v>5.2690140000000003</v>
      </c>
      <c r="M2130" s="27">
        <v>788.42019400000004</v>
      </c>
      <c r="O2130" s="27">
        <v>3858.8149979999998</v>
      </c>
      <c r="Q2130" s="27">
        <v>6919.0564640000002</v>
      </c>
      <c r="S2130" s="27">
        <v>1313.166635</v>
      </c>
      <c r="U2130" s="27">
        <v>4.0837719999999997</v>
      </c>
      <c r="W2130" s="27">
        <v>43.365752000000001</v>
      </c>
      <c r="Y2130" s="27">
        <v>8.2303599999999992</v>
      </c>
      <c r="AA2130" s="27">
        <v>621.13412800000003</v>
      </c>
      <c r="AC2130" s="27">
        <v>57.014940000000003</v>
      </c>
      <c r="AE2130" s="27">
        <v>1</v>
      </c>
      <c r="AG2130" s="27">
        <v>7.7454299999999998</v>
      </c>
      <c r="AI2130" s="27">
        <v>8.75</v>
      </c>
      <c r="AK2130" s="27">
        <v>23.741595</v>
      </c>
      <c r="AM2130" s="27">
        <v>35.113694000000002</v>
      </c>
      <c r="AO2130" s="27">
        <v>6.7919700000000001</v>
      </c>
    </row>
    <row r="2131" spans="2:41" x14ac:dyDescent="0.25">
      <c r="B2131" s="21">
        <v>44426</v>
      </c>
      <c r="C2131" s="27">
        <v>19.991199999999999</v>
      </c>
      <c r="E2131" s="27">
        <v>0.853688</v>
      </c>
      <c r="G2131" s="27">
        <v>97.208191999999997</v>
      </c>
      <c r="I2131" s="27">
        <v>6.8983879999999997</v>
      </c>
      <c r="K2131" s="27">
        <v>5.3193380000000001</v>
      </c>
      <c r="M2131" s="27">
        <v>788.80221400000005</v>
      </c>
      <c r="O2131" s="27">
        <v>3868.9025689999999</v>
      </c>
      <c r="Q2131" s="27">
        <v>6915.421722</v>
      </c>
      <c r="S2131" s="27">
        <v>1300.0599460000001</v>
      </c>
      <c r="U2131" s="27">
        <v>4.0889559999999996</v>
      </c>
      <c r="W2131" s="27">
        <v>43.283256000000002</v>
      </c>
      <c r="Y2131" s="27">
        <v>8.1369860000000003</v>
      </c>
      <c r="AA2131" s="27">
        <v>620.70088399999997</v>
      </c>
      <c r="AC2131" s="27">
        <v>57.001503</v>
      </c>
      <c r="AE2131" s="27">
        <v>1</v>
      </c>
      <c r="AG2131" s="27">
        <v>7.7437800000000001</v>
      </c>
      <c r="AI2131" s="27">
        <v>8.75</v>
      </c>
      <c r="AK2131" s="27">
        <v>23.738374</v>
      </c>
      <c r="AM2131" s="27">
        <v>35.107728999999999</v>
      </c>
      <c r="AO2131" s="27">
        <v>6.7924369999999996</v>
      </c>
    </row>
    <row r="2132" spans="2:41" x14ac:dyDescent="0.25">
      <c r="B2132" s="21">
        <v>44427</v>
      </c>
      <c r="C2132" s="27">
        <v>20.0107</v>
      </c>
      <c r="E2132" s="27">
        <v>0.85585999999999995</v>
      </c>
      <c r="G2132" s="27">
        <v>97.272015999999994</v>
      </c>
      <c r="I2132" s="27">
        <v>6.9008399999999996</v>
      </c>
      <c r="K2132" s="27">
        <v>5.3980509999999997</v>
      </c>
      <c r="M2132" s="27">
        <v>788.20410400000003</v>
      </c>
      <c r="O2132" s="27">
        <v>3860.86456</v>
      </c>
      <c r="Q2132" s="27">
        <v>6920.3210799999997</v>
      </c>
      <c r="S2132" s="27">
        <v>1282.010458</v>
      </c>
      <c r="U2132" s="27">
        <v>4.0970779999999998</v>
      </c>
      <c r="W2132" s="27">
        <v>43.215088999999999</v>
      </c>
      <c r="Y2132" s="27">
        <v>8.0057080000000003</v>
      </c>
      <c r="AA2132" s="27">
        <v>620.42922999999996</v>
      </c>
      <c r="AC2132" s="27">
        <v>56.970516000000003</v>
      </c>
      <c r="AE2132" s="27">
        <v>1</v>
      </c>
      <c r="AG2132" s="27">
        <v>7.7426259999999996</v>
      </c>
      <c r="AI2132" s="27">
        <v>8.75</v>
      </c>
      <c r="AK2132" s="27">
        <v>23.742562</v>
      </c>
      <c r="AM2132" s="27">
        <v>35.103009999999998</v>
      </c>
      <c r="AO2132" s="27">
        <v>6.7917259999999997</v>
      </c>
    </row>
    <row r="2133" spans="2:41" x14ac:dyDescent="0.25">
      <c r="B2133" s="21">
        <v>44428</v>
      </c>
      <c r="C2133" s="27">
        <v>20.1175</v>
      </c>
      <c r="E2133" s="27">
        <v>0.85574099999999997</v>
      </c>
      <c r="G2133" s="27">
        <v>97.274044000000004</v>
      </c>
      <c r="I2133" s="27">
        <v>6.911924</v>
      </c>
      <c r="K2133" s="27">
        <v>5.4101350000000004</v>
      </c>
      <c r="M2133" s="27">
        <v>786.57326799999998</v>
      </c>
      <c r="O2133" s="27">
        <v>3870.1259540000001</v>
      </c>
      <c r="Q2133" s="27">
        <v>6933.7356650000002</v>
      </c>
      <c r="S2133" s="27">
        <v>1281.6262220000001</v>
      </c>
      <c r="U2133" s="27">
        <v>4.1044900000000002</v>
      </c>
      <c r="W2133" s="27">
        <v>43.178925999999997</v>
      </c>
      <c r="Y2133" s="27">
        <v>7.9811430000000003</v>
      </c>
      <c r="AA2133" s="27">
        <v>620.54193199999997</v>
      </c>
      <c r="AC2133" s="27">
        <v>57.030417999999997</v>
      </c>
      <c r="AE2133" s="27">
        <v>1</v>
      </c>
      <c r="AG2133" s="27">
        <v>7.7453620000000001</v>
      </c>
      <c r="AI2133" s="27">
        <v>8.75</v>
      </c>
      <c r="AK2133" s="27">
        <v>23.756519999999998</v>
      </c>
      <c r="AM2133" s="27">
        <v>35.129356000000001</v>
      </c>
      <c r="AO2133" s="27">
        <v>6.7919799999999997</v>
      </c>
    </row>
    <row r="2134" spans="2:41" x14ac:dyDescent="0.25">
      <c r="B2134" s="21">
        <v>44429</v>
      </c>
      <c r="C2134" s="27">
        <v>20.1175</v>
      </c>
      <c r="E2134" s="27">
        <v>0.85477400000000003</v>
      </c>
      <c r="G2134" s="27">
        <v>97.232900000000001</v>
      </c>
      <c r="I2134" s="27">
        <v>6.9178459999999999</v>
      </c>
      <c r="K2134" s="27">
        <v>5.3810000000000002</v>
      </c>
      <c r="M2134" s="27">
        <v>786.63</v>
      </c>
      <c r="O2134" s="27">
        <v>3871.7975000000001</v>
      </c>
      <c r="Q2134" s="27">
        <v>6941.2121660000003</v>
      </c>
      <c r="S2134" s="27">
        <v>1289.954238</v>
      </c>
      <c r="U2134" s="27">
        <v>4.1160249999999996</v>
      </c>
      <c r="W2134" s="27">
        <v>43.193983000000003</v>
      </c>
      <c r="Y2134" s="27">
        <v>8.0271559999999997</v>
      </c>
      <c r="AA2134" s="27">
        <v>620.80226000000005</v>
      </c>
      <c r="AC2134" s="27">
        <v>57.0625</v>
      </c>
      <c r="AE2134" s="27">
        <v>1</v>
      </c>
      <c r="AG2134" s="27">
        <v>7.7482230000000003</v>
      </c>
      <c r="AI2134" s="27">
        <v>8.75</v>
      </c>
      <c r="AK2134" s="27">
        <v>23.754774999999999</v>
      </c>
      <c r="AM2134" s="27">
        <v>35.122250000000001</v>
      </c>
      <c r="AO2134" s="27">
        <v>6.792478</v>
      </c>
    </row>
    <row r="2135" spans="2:41" x14ac:dyDescent="0.25">
      <c r="B2135" s="21">
        <v>44430</v>
      </c>
      <c r="C2135" s="27">
        <v>20.1175</v>
      </c>
      <c r="E2135" s="27">
        <v>0.85480100000000003</v>
      </c>
      <c r="G2135" s="27">
        <v>97.224360000000004</v>
      </c>
      <c r="I2135" s="27">
        <v>6.9178459999999999</v>
      </c>
      <c r="K2135" s="27">
        <v>5.3808499999999997</v>
      </c>
      <c r="M2135" s="27">
        <v>786.62949400000002</v>
      </c>
      <c r="O2135" s="27">
        <v>3871.7980219999999</v>
      </c>
      <c r="Q2135" s="27">
        <v>6941.2121660000003</v>
      </c>
      <c r="S2135" s="27">
        <v>1289.9906599999999</v>
      </c>
      <c r="U2135" s="27">
        <v>4.1160249999999996</v>
      </c>
      <c r="W2135" s="27">
        <v>43.193983000000003</v>
      </c>
      <c r="Y2135" s="27">
        <v>8.0273819999999994</v>
      </c>
      <c r="AA2135" s="27">
        <v>620.80226000000005</v>
      </c>
      <c r="AC2135" s="27">
        <v>57.0625</v>
      </c>
      <c r="AE2135" s="27">
        <v>1</v>
      </c>
      <c r="AG2135" s="27">
        <v>7.7473939999999999</v>
      </c>
      <c r="AI2135" s="27">
        <v>8.75</v>
      </c>
      <c r="AK2135" s="27">
        <v>23.754774999999999</v>
      </c>
      <c r="AM2135" s="27">
        <v>35.122250000000001</v>
      </c>
      <c r="AO2135" s="27">
        <v>6.792478</v>
      </c>
    </row>
    <row r="2136" spans="2:41" x14ac:dyDescent="0.25">
      <c r="B2136" s="21">
        <v>44431</v>
      </c>
      <c r="C2136" s="27">
        <v>20.402000000000001</v>
      </c>
      <c r="E2136" s="27">
        <v>0.85261399999999998</v>
      </c>
      <c r="G2136" s="27">
        <v>97.255611999999999</v>
      </c>
      <c r="I2136" s="27">
        <v>6.9104000000000001</v>
      </c>
      <c r="K2136" s="27">
        <v>5.3843529999999999</v>
      </c>
      <c r="M2136" s="27">
        <v>785.08932700000003</v>
      </c>
      <c r="O2136" s="27">
        <v>3873.7132059999999</v>
      </c>
      <c r="Q2136" s="27">
        <v>6936.8310739999997</v>
      </c>
      <c r="S2136" s="27">
        <v>1288.3521209999999</v>
      </c>
      <c r="U2136" s="27">
        <v>4.1133280000000001</v>
      </c>
      <c r="W2136" s="27">
        <v>43.189230000000002</v>
      </c>
      <c r="Y2136" s="27">
        <v>8.0213260000000002</v>
      </c>
      <c r="AA2136" s="27">
        <v>620.52074400000004</v>
      </c>
      <c r="AC2136" s="27">
        <v>57.057321999999999</v>
      </c>
      <c r="AE2136" s="27">
        <v>1</v>
      </c>
      <c r="AG2136" s="27">
        <v>7.7428400000000002</v>
      </c>
      <c r="AI2136" s="27">
        <v>8.75</v>
      </c>
      <c r="AK2136" s="27">
        <v>23.759964</v>
      </c>
      <c r="AM2136" s="27">
        <v>35.105694</v>
      </c>
      <c r="AO2136" s="27">
        <v>6.7892979999999996</v>
      </c>
    </row>
    <row r="2137" spans="2:41" x14ac:dyDescent="0.25">
      <c r="B2137" s="21">
        <v>44432</v>
      </c>
      <c r="C2137" s="27">
        <v>20.390699999999999</v>
      </c>
      <c r="E2137" s="27">
        <v>0.85141100000000003</v>
      </c>
      <c r="G2137" s="27">
        <v>97.403012000000004</v>
      </c>
      <c r="I2137" s="27">
        <v>6.8989200000000004</v>
      </c>
      <c r="K2137" s="27">
        <v>5.3269500000000001</v>
      </c>
      <c r="M2137" s="27">
        <v>783.268102</v>
      </c>
      <c r="O2137" s="27">
        <v>3874.0807</v>
      </c>
      <c r="Q2137" s="27">
        <v>6929.4003700000003</v>
      </c>
      <c r="S2137" s="27">
        <v>1300.8260319999999</v>
      </c>
      <c r="U2137" s="27">
        <v>4.103726</v>
      </c>
      <c r="W2137" s="27">
        <v>43.152017999999998</v>
      </c>
      <c r="Y2137" s="27">
        <v>8.1007219999999993</v>
      </c>
      <c r="AA2137" s="27">
        <v>620.33051599999999</v>
      </c>
      <c r="AC2137" s="27">
        <v>57.046261999999999</v>
      </c>
      <c r="AE2137" s="27">
        <v>1</v>
      </c>
      <c r="AG2137" s="27">
        <v>7.7388019999999997</v>
      </c>
      <c r="AI2137" s="27">
        <v>8.75</v>
      </c>
      <c r="AK2137" s="27">
        <v>23.78997</v>
      </c>
      <c r="AM2137" s="27">
        <v>35.094571999999999</v>
      </c>
      <c r="AO2137" s="27">
        <v>6.7875909999999999</v>
      </c>
    </row>
    <row r="2138" spans="2:41" x14ac:dyDescent="0.25">
      <c r="B2138" s="21">
        <v>44433</v>
      </c>
      <c r="C2138" s="27">
        <v>20.296700000000001</v>
      </c>
      <c r="E2138" s="27">
        <v>0.85096799999999995</v>
      </c>
      <c r="G2138" s="27">
        <v>97.405844000000002</v>
      </c>
      <c r="I2138" s="27">
        <v>6.9005080000000003</v>
      </c>
      <c r="K2138" s="27">
        <v>5.2391940000000004</v>
      </c>
      <c r="M2138" s="27">
        <v>783.13861499999996</v>
      </c>
      <c r="O2138" s="27">
        <v>3866.1560159999999</v>
      </c>
      <c r="Q2138" s="27">
        <v>6929.4892980000004</v>
      </c>
      <c r="S2138" s="27">
        <v>1322.6320579999999</v>
      </c>
      <c r="U2138" s="27">
        <v>4.0961319999999999</v>
      </c>
      <c r="W2138" s="27">
        <v>43.056863</v>
      </c>
      <c r="Y2138" s="27">
        <v>8.2182499999999994</v>
      </c>
      <c r="AA2138" s="27">
        <v>620.86690999999996</v>
      </c>
      <c r="AC2138" s="27">
        <v>57.020440999999998</v>
      </c>
      <c r="AE2138" s="27">
        <v>1</v>
      </c>
      <c r="AG2138" s="27">
        <v>7.7390280000000002</v>
      </c>
      <c r="AI2138" s="27">
        <v>8.75</v>
      </c>
      <c r="AK2138" s="27">
        <v>23.790766000000001</v>
      </c>
      <c r="AM2138" s="27">
        <v>35.108848000000002</v>
      </c>
      <c r="AO2138" s="27">
        <v>6.7921100000000001</v>
      </c>
    </row>
    <row r="2139" spans="2:41" x14ac:dyDescent="0.25">
      <c r="B2139" s="21">
        <v>44434</v>
      </c>
      <c r="C2139" s="27">
        <v>20.293299999999999</v>
      </c>
      <c r="E2139" s="27">
        <v>0.85024299999999997</v>
      </c>
      <c r="G2139" s="27">
        <v>97.444481999999994</v>
      </c>
      <c r="I2139" s="27">
        <v>6.8975200000000001</v>
      </c>
      <c r="K2139" s="27">
        <v>5.2307499999999996</v>
      </c>
      <c r="M2139" s="27">
        <v>784.906971</v>
      </c>
      <c r="O2139" s="27">
        <v>3866.9953439999999</v>
      </c>
      <c r="Q2139" s="27">
        <v>6926.0077789999996</v>
      </c>
      <c r="S2139" s="27">
        <v>1324.1014419999999</v>
      </c>
      <c r="U2139" s="27">
        <v>4.0842340000000004</v>
      </c>
      <c r="W2139" s="27">
        <v>42.846398000000001</v>
      </c>
      <c r="Y2139" s="27">
        <v>8.1912780000000005</v>
      </c>
      <c r="AA2139" s="27">
        <v>620.86226999999997</v>
      </c>
      <c r="AC2139" s="27">
        <v>56.954492000000002</v>
      </c>
      <c r="AE2139" s="27">
        <v>1</v>
      </c>
      <c r="AG2139" s="27">
        <v>7.7356100000000003</v>
      </c>
      <c r="AI2139" s="27">
        <v>8.75</v>
      </c>
      <c r="AK2139" s="27">
        <v>23.792037000000001</v>
      </c>
      <c r="AM2139" s="27">
        <v>35.097349999999999</v>
      </c>
      <c r="AO2139" s="27">
        <v>6.7899320000000003</v>
      </c>
    </row>
    <row r="2140" spans="2:41" x14ac:dyDescent="0.25">
      <c r="B2140" s="21">
        <v>44435</v>
      </c>
      <c r="C2140" s="27">
        <v>20.3522</v>
      </c>
      <c r="E2140" s="27">
        <v>0.84944699999999995</v>
      </c>
      <c r="G2140" s="27">
        <v>97.478553000000005</v>
      </c>
      <c r="I2140" s="27">
        <v>6.9043060000000001</v>
      </c>
      <c r="K2140" s="27">
        <v>5.2320120000000001</v>
      </c>
      <c r="M2140" s="27">
        <v>785.41484300000002</v>
      </c>
      <c r="O2140" s="27">
        <v>3851.106432</v>
      </c>
      <c r="Q2140" s="27">
        <v>6934.6776799999998</v>
      </c>
      <c r="S2140" s="27">
        <v>1325.4401339999999</v>
      </c>
      <c r="U2140" s="27">
        <v>4.0829250000000004</v>
      </c>
      <c r="W2140" s="27">
        <v>42.796376000000002</v>
      </c>
      <c r="Y2140" s="27">
        <v>8.179748</v>
      </c>
      <c r="AA2140" s="27">
        <v>621.67050200000006</v>
      </c>
      <c r="AC2140" s="27">
        <v>57.017322</v>
      </c>
      <c r="AE2140" s="27">
        <v>1</v>
      </c>
      <c r="AG2140" s="27">
        <v>7.7442359999999999</v>
      </c>
      <c r="AI2140" s="27">
        <v>8.75</v>
      </c>
      <c r="AK2140" s="27">
        <v>23.834239</v>
      </c>
      <c r="AM2140" s="27">
        <v>35.158256000000002</v>
      </c>
      <c r="AO2140" s="27">
        <v>6.7960130000000003</v>
      </c>
    </row>
    <row r="2141" spans="2:41" x14ac:dyDescent="0.25">
      <c r="B2141" s="21">
        <v>44436</v>
      </c>
      <c r="C2141" s="27">
        <v>20.3522</v>
      </c>
      <c r="E2141" s="27">
        <v>0.84785999999999995</v>
      </c>
      <c r="G2141" s="27">
        <v>97.467408000000006</v>
      </c>
      <c r="I2141" s="27">
        <v>6.9029959999999999</v>
      </c>
      <c r="K2141" s="27">
        <v>5.2044499999999996</v>
      </c>
      <c r="M2141" s="27">
        <v>783.2</v>
      </c>
      <c r="O2141" s="27">
        <v>3829.9924999999998</v>
      </c>
      <c r="Q2141" s="27">
        <v>6932.8050640000001</v>
      </c>
      <c r="S2141" s="27">
        <v>1332.0980179999999</v>
      </c>
      <c r="U2141" s="27">
        <v>4.0746520000000004</v>
      </c>
      <c r="W2141" s="27">
        <v>42.718426000000001</v>
      </c>
      <c r="Y2141" s="27">
        <v>8.2080859999999998</v>
      </c>
      <c r="AA2141" s="27">
        <v>621.44931799999995</v>
      </c>
      <c r="AC2141" s="27">
        <v>56.988092999999999</v>
      </c>
      <c r="AE2141" s="27">
        <v>1</v>
      </c>
      <c r="AG2141" s="27">
        <v>7.7401580000000001</v>
      </c>
      <c r="AI2141" s="27">
        <v>8.75</v>
      </c>
      <c r="AK2141" s="27">
        <v>23.810189999999999</v>
      </c>
      <c r="AM2141" s="27">
        <v>35.12397</v>
      </c>
      <c r="AO2141" s="27">
        <v>6.79047</v>
      </c>
    </row>
    <row r="2142" spans="2:41" x14ac:dyDescent="0.25">
      <c r="B2142" s="21">
        <v>44437</v>
      </c>
      <c r="C2142" s="27">
        <v>20.3522</v>
      </c>
      <c r="E2142" s="27">
        <v>0.84783600000000003</v>
      </c>
      <c r="G2142" s="27">
        <v>97.467817999999994</v>
      </c>
      <c r="I2142" s="27">
        <v>6.9029959999999999</v>
      </c>
      <c r="K2142" s="27">
        <v>5.2044959999999998</v>
      </c>
      <c r="M2142" s="27">
        <v>783.2</v>
      </c>
      <c r="O2142" s="27">
        <v>3829.9902430000002</v>
      </c>
      <c r="Q2142" s="27">
        <v>6932.8050640000001</v>
      </c>
      <c r="S2142" s="27">
        <v>1332.086106</v>
      </c>
      <c r="U2142" s="27">
        <v>4.0746520000000004</v>
      </c>
      <c r="W2142" s="27">
        <v>42.718426000000001</v>
      </c>
      <c r="Y2142" s="27">
        <v>8.2080129999999993</v>
      </c>
      <c r="AA2142" s="27">
        <v>621.44931799999995</v>
      </c>
      <c r="AC2142" s="27">
        <v>56.988092999999999</v>
      </c>
      <c r="AE2142" s="27">
        <v>1</v>
      </c>
      <c r="AG2142" s="27">
        <v>7.74017</v>
      </c>
      <c r="AI2142" s="27">
        <v>8.75</v>
      </c>
      <c r="AK2142" s="27">
        <v>23.810189999999999</v>
      </c>
      <c r="AM2142" s="27">
        <v>35.12397</v>
      </c>
      <c r="AO2142" s="27">
        <v>6.79047</v>
      </c>
    </row>
    <row r="2143" spans="2:41" x14ac:dyDescent="0.25">
      <c r="B2143" s="21">
        <v>44438</v>
      </c>
      <c r="C2143" s="27">
        <v>20.229299999999999</v>
      </c>
      <c r="E2143" s="27">
        <v>0.847522</v>
      </c>
      <c r="G2143" s="27">
        <v>97.480490000000003</v>
      </c>
      <c r="I2143" s="27">
        <v>6.8934379999999997</v>
      </c>
      <c r="K2143" s="27">
        <v>5.1979660000000001</v>
      </c>
      <c r="M2143" s="27">
        <v>782.53484100000003</v>
      </c>
      <c r="O2143" s="27">
        <v>3822.0820330000001</v>
      </c>
      <c r="Q2143" s="27">
        <v>6925.295615</v>
      </c>
      <c r="S2143" s="27">
        <v>1332.315754</v>
      </c>
      <c r="U2143" s="27">
        <v>4.0748740000000003</v>
      </c>
      <c r="W2143" s="27">
        <v>42.614094000000001</v>
      </c>
      <c r="Y2143" s="27">
        <v>8.1982540000000004</v>
      </c>
      <c r="AA2143" s="27">
        <v>620.96740399999999</v>
      </c>
      <c r="AC2143" s="27">
        <v>56.904133000000002</v>
      </c>
      <c r="AE2143" s="27">
        <v>1</v>
      </c>
      <c r="AG2143" s="27">
        <v>7.7326040000000003</v>
      </c>
      <c r="AI2143" s="27">
        <v>8.75</v>
      </c>
      <c r="AK2143" s="27">
        <v>23.785098000000001</v>
      </c>
      <c r="AM2143" s="27">
        <v>35.081428000000002</v>
      </c>
      <c r="AO2143" s="27">
        <v>6.7854520000000003</v>
      </c>
    </row>
    <row r="2144" spans="2:41" x14ac:dyDescent="0.25">
      <c r="B2144" s="21">
        <v>44439</v>
      </c>
      <c r="C2144" s="27">
        <v>20.1403</v>
      </c>
      <c r="E2144" s="27">
        <v>0.84629900000000002</v>
      </c>
      <c r="G2144" s="27">
        <v>97.668163000000007</v>
      </c>
      <c r="I2144" s="27">
        <v>6.8953509999999998</v>
      </c>
      <c r="K2144" s="27">
        <v>5.1703020000000004</v>
      </c>
      <c r="M2144" s="27">
        <v>779.49982399999999</v>
      </c>
      <c r="O2144" s="27">
        <v>3796.4694810000001</v>
      </c>
      <c r="Q2144" s="27">
        <v>6923.4860879999997</v>
      </c>
      <c r="S2144" s="27">
        <v>1339.0945119999999</v>
      </c>
      <c r="U2144" s="27">
        <v>4.0768420000000001</v>
      </c>
      <c r="W2144" s="27">
        <v>42.534422999999997</v>
      </c>
      <c r="Y2144" s="27">
        <v>8.2267080000000004</v>
      </c>
      <c r="AA2144" s="27">
        <v>621.31210799999997</v>
      </c>
      <c r="AC2144" s="27">
        <v>56.923532999999999</v>
      </c>
      <c r="AE2144" s="27">
        <v>1</v>
      </c>
      <c r="AG2144" s="27">
        <v>7.7342139999999997</v>
      </c>
      <c r="AI2144" s="27">
        <v>8.75</v>
      </c>
      <c r="AK2144" s="27">
        <v>23.812411999999998</v>
      </c>
      <c r="AM2144" s="27">
        <v>35.086267999999997</v>
      </c>
      <c r="AO2144" s="27">
        <v>6.7889220000000003</v>
      </c>
    </row>
    <row r="2145" spans="2:41" ht="13" x14ac:dyDescent="0.3">
      <c r="B2145" s="25" t="s">
        <v>124</v>
      </c>
      <c r="C2145" s="19">
        <v>20.0608</v>
      </c>
      <c r="E2145" s="19">
        <v>0.84960000000000002</v>
      </c>
      <c r="G2145" s="19">
        <v>97.1374</v>
      </c>
      <c r="I2145" s="19">
        <v>6.9042000000000003</v>
      </c>
      <c r="K2145" s="19">
        <v>5.2554999999999996</v>
      </c>
      <c r="M2145" s="19">
        <v>780.66740000000004</v>
      </c>
      <c r="O2145" s="19">
        <v>3882.8600999999999</v>
      </c>
      <c r="Q2145" s="19">
        <v>6926.8154000000004</v>
      </c>
      <c r="S2145" s="19">
        <v>1318.223</v>
      </c>
      <c r="U2145" s="19">
        <v>4.0766999999999998</v>
      </c>
      <c r="W2145" s="19">
        <v>43.341200000000001</v>
      </c>
      <c r="Y2145" s="19">
        <v>8.2483000000000004</v>
      </c>
      <c r="AA2145" s="19">
        <v>620.9126</v>
      </c>
      <c r="AC2145" s="19">
        <v>57.057400000000001</v>
      </c>
      <c r="AE2145" s="19">
        <v>1</v>
      </c>
      <c r="AG2145" s="19">
        <v>7.7468000000000004</v>
      </c>
      <c r="AI2145" s="19">
        <v>8.75</v>
      </c>
      <c r="AK2145" s="19">
        <v>23.767499999999998</v>
      </c>
      <c r="AM2145" s="19">
        <v>35.1248</v>
      </c>
      <c r="AO2145" s="19">
        <v>6.7912999999999997</v>
      </c>
    </row>
    <row r="2146" spans="2:41" x14ac:dyDescent="0.25">
      <c r="B2146" s="21">
        <v>44440</v>
      </c>
      <c r="C2146" s="27">
        <v>20.060500000000001</v>
      </c>
      <c r="E2146" s="27">
        <v>0.84569000000000005</v>
      </c>
      <c r="G2146" s="27">
        <v>97.748400000000004</v>
      </c>
      <c r="I2146" s="27">
        <v>6.9047679999999998</v>
      </c>
      <c r="K2146" s="27">
        <v>5.1612720000000003</v>
      </c>
      <c r="M2146" s="27">
        <v>772.45589800000005</v>
      </c>
      <c r="O2146" s="27">
        <v>3764.0170429999998</v>
      </c>
      <c r="Q2146" s="27">
        <v>6925.7244840000003</v>
      </c>
      <c r="S2146" s="27">
        <v>1341.8710840000001</v>
      </c>
      <c r="U2146" s="27">
        <v>4.0887310000000001</v>
      </c>
      <c r="W2146" s="27">
        <v>42.547409999999999</v>
      </c>
      <c r="Y2146" s="27">
        <v>8.2436179999999997</v>
      </c>
      <c r="AA2146" s="27">
        <v>622.12285799999995</v>
      </c>
      <c r="AC2146" s="27">
        <v>56.941462000000001</v>
      </c>
      <c r="AE2146" s="27">
        <v>1</v>
      </c>
      <c r="AG2146" s="27">
        <v>7.7409520000000001</v>
      </c>
      <c r="AI2146" s="27">
        <v>8.75</v>
      </c>
      <c r="AK2146" s="27">
        <v>23.856883</v>
      </c>
      <c r="AM2146" s="27">
        <v>35.122343999999998</v>
      </c>
      <c r="AO2146" s="27">
        <v>6.7965010000000001</v>
      </c>
    </row>
    <row r="2147" spans="2:41" x14ac:dyDescent="0.25">
      <c r="B2147" s="21">
        <v>44441</v>
      </c>
      <c r="C2147" s="27">
        <v>19.961500000000001</v>
      </c>
      <c r="E2147" s="27">
        <v>0.84353</v>
      </c>
      <c r="G2147" s="27">
        <v>97.767655000000005</v>
      </c>
      <c r="I2147" s="27">
        <v>6.8957899999999999</v>
      </c>
      <c r="K2147" s="27">
        <v>5.1814390000000001</v>
      </c>
      <c r="M2147" s="27">
        <v>770.12600299999997</v>
      </c>
      <c r="O2147" s="27">
        <v>3773.4567590000001</v>
      </c>
      <c r="Q2147" s="27">
        <v>6918.548041</v>
      </c>
      <c r="S2147" s="27">
        <v>1335.2632880000001</v>
      </c>
      <c r="U2147" s="27">
        <v>4.0829319999999996</v>
      </c>
      <c r="W2147" s="27">
        <v>42.449860999999999</v>
      </c>
      <c r="Y2147" s="27">
        <v>8.1927059999999994</v>
      </c>
      <c r="AA2147" s="27">
        <v>622.26802199999997</v>
      </c>
      <c r="AC2147" s="27">
        <v>56.853977</v>
      </c>
      <c r="AE2147" s="27">
        <v>1</v>
      </c>
      <c r="AG2147" s="27">
        <v>7.7343989999999998</v>
      </c>
      <c r="AI2147" s="27">
        <v>8.75</v>
      </c>
      <c r="AK2147" s="27">
        <v>23.862255999999999</v>
      </c>
      <c r="AM2147" s="27">
        <v>35.089500000000001</v>
      </c>
      <c r="AO2147" s="27">
        <v>6.7901629999999997</v>
      </c>
    </row>
    <row r="2148" spans="2:41" x14ac:dyDescent="0.25">
      <c r="B2148" s="21">
        <v>44442</v>
      </c>
      <c r="C2148" s="27">
        <v>19.970300000000002</v>
      </c>
      <c r="E2148" s="27">
        <v>0.84170400000000001</v>
      </c>
      <c r="G2148" s="27">
        <v>97.848296000000005</v>
      </c>
      <c r="I2148" s="27">
        <v>6.8911420000000003</v>
      </c>
      <c r="K2148" s="27">
        <v>5.1825340000000004</v>
      </c>
      <c r="M2148" s="27">
        <v>767.99918600000001</v>
      </c>
      <c r="O2148" s="27">
        <v>3796.0176299999998</v>
      </c>
      <c r="Q2148" s="27">
        <v>6916.4985500000003</v>
      </c>
      <c r="S2148" s="27">
        <v>1334.5863260000001</v>
      </c>
      <c r="U2148" s="27">
        <v>4.089836</v>
      </c>
      <c r="W2148" s="27">
        <v>42.486427999999997</v>
      </c>
      <c r="Y2148" s="27">
        <v>8.1980339999999998</v>
      </c>
      <c r="AA2148" s="27">
        <v>623.37714400000004</v>
      </c>
      <c r="AC2148" s="27">
        <v>56.767995999999997</v>
      </c>
      <c r="AE2148" s="27">
        <v>1</v>
      </c>
      <c r="AG2148" s="27">
        <v>7.7316779999999996</v>
      </c>
      <c r="AI2148" s="27">
        <v>8.75</v>
      </c>
      <c r="AK2148" s="27">
        <v>23.923282</v>
      </c>
      <c r="AM2148" s="27">
        <v>35.070402000000001</v>
      </c>
      <c r="AO2148" s="27">
        <v>6.7850149999999996</v>
      </c>
    </row>
    <row r="2149" spans="2:41" x14ac:dyDescent="0.25">
      <c r="B2149" s="21">
        <v>44443</v>
      </c>
      <c r="C2149" s="27">
        <v>19.970300000000002</v>
      </c>
      <c r="E2149" s="27">
        <v>0.84181499999999998</v>
      </c>
      <c r="G2149" s="27">
        <v>97.872349999999997</v>
      </c>
      <c r="I2149" s="27">
        <v>6.9001720000000004</v>
      </c>
      <c r="K2149" s="27">
        <v>5.1923560000000002</v>
      </c>
      <c r="M2149" s="27">
        <v>766.8</v>
      </c>
      <c r="O2149" s="27">
        <v>3799.8674999999998</v>
      </c>
      <c r="Q2149" s="27">
        <v>6925.5403770000003</v>
      </c>
      <c r="S2149" s="27">
        <v>1333.8057040000001</v>
      </c>
      <c r="U2149" s="27">
        <v>4.0996610000000002</v>
      </c>
      <c r="W2149" s="27">
        <v>42.569561999999998</v>
      </c>
      <c r="Y2149" s="27">
        <v>8.1985539999999997</v>
      </c>
      <c r="AA2149" s="27">
        <v>623.92307600000004</v>
      </c>
      <c r="AC2149" s="27">
        <v>56.812302000000003</v>
      </c>
      <c r="AE2149" s="27">
        <v>1</v>
      </c>
      <c r="AG2149" s="27">
        <v>7.7374859999999996</v>
      </c>
      <c r="AI2149" s="27">
        <v>8.75</v>
      </c>
      <c r="AK2149" s="27">
        <v>23.949909999999999</v>
      </c>
      <c r="AM2149" s="27">
        <v>35.096151999999996</v>
      </c>
      <c r="AO2149" s="27">
        <v>6.7881179999999999</v>
      </c>
    </row>
    <row r="2150" spans="2:41" x14ac:dyDescent="0.25">
      <c r="B2150" s="21">
        <v>44444</v>
      </c>
      <c r="C2150" s="27">
        <v>19.970300000000002</v>
      </c>
      <c r="E2150" s="27">
        <v>0.84179000000000004</v>
      </c>
      <c r="G2150" s="27">
        <v>97.872921000000005</v>
      </c>
      <c r="I2150" s="27">
        <v>6.9001720000000004</v>
      </c>
      <c r="K2150" s="27">
        <v>5.1923029999999999</v>
      </c>
      <c r="M2150" s="27">
        <v>766.81118000000004</v>
      </c>
      <c r="O2150" s="27">
        <v>3799.8678420000001</v>
      </c>
      <c r="Q2150" s="27">
        <v>6925.5403770000003</v>
      </c>
      <c r="S2150" s="27">
        <v>1333.8188740000001</v>
      </c>
      <c r="U2150" s="27">
        <v>4.0995710000000001</v>
      </c>
      <c r="W2150" s="27">
        <v>42.569561999999998</v>
      </c>
      <c r="Y2150" s="27">
        <v>8.1986360000000005</v>
      </c>
      <c r="AA2150" s="27">
        <v>623.92307600000004</v>
      </c>
      <c r="AC2150" s="27">
        <v>56.812302000000003</v>
      </c>
      <c r="AE2150" s="27">
        <v>1</v>
      </c>
      <c r="AG2150" s="27">
        <v>7.7374299999999998</v>
      </c>
      <c r="AI2150" s="27">
        <v>8.75</v>
      </c>
      <c r="AK2150" s="27">
        <v>23.949909999999999</v>
      </c>
      <c r="AM2150" s="27">
        <v>35.096151999999996</v>
      </c>
      <c r="AO2150" s="27">
        <v>6.7881179999999999</v>
      </c>
    </row>
    <row r="2151" spans="2:41" x14ac:dyDescent="0.25">
      <c r="B2151" s="21">
        <v>44445</v>
      </c>
      <c r="C2151" s="27">
        <v>19.8992</v>
      </c>
      <c r="E2151" s="27">
        <v>0.84253999999999996</v>
      </c>
      <c r="G2151" s="27">
        <v>97.896382000000003</v>
      </c>
      <c r="I2151" s="27">
        <v>6.8971439999999999</v>
      </c>
      <c r="K2151" s="27">
        <v>5.1837900000000001</v>
      </c>
      <c r="M2151" s="27">
        <v>768.81281100000001</v>
      </c>
      <c r="O2151" s="27">
        <v>3799.9439219999999</v>
      </c>
      <c r="Q2151" s="27">
        <v>6920.7311559999998</v>
      </c>
      <c r="S2151" s="27">
        <v>1335.0789910000001</v>
      </c>
      <c r="U2151" s="27">
        <v>4.0983780000000003</v>
      </c>
      <c r="W2151" s="27">
        <v>42.571379</v>
      </c>
      <c r="Y2151" s="27">
        <v>8.2124319999999997</v>
      </c>
      <c r="AA2151" s="27">
        <v>623.38183300000003</v>
      </c>
      <c r="AC2151" s="27">
        <v>56.829788999999998</v>
      </c>
      <c r="AE2151" s="27">
        <v>1</v>
      </c>
      <c r="AG2151" s="27">
        <v>7.7370279999999996</v>
      </c>
      <c r="AI2151" s="27">
        <v>8.75</v>
      </c>
      <c r="AK2151" s="27">
        <v>23.905816000000002</v>
      </c>
      <c r="AM2151" s="27">
        <v>35.098801999999999</v>
      </c>
      <c r="AO2151" s="27">
        <v>6.7892900000000003</v>
      </c>
    </row>
    <row r="2152" spans="2:41" x14ac:dyDescent="0.25">
      <c r="B2152" s="21">
        <v>44446</v>
      </c>
      <c r="C2152" s="27">
        <v>19.887799999999999</v>
      </c>
      <c r="E2152" s="27">
        <v>0.84312200000000004</v>
      </c>
      <c r="G2152" s="27">
        <v>97.952738999999994</v>
      </c>
      <c r="I2152" s="27">
        <v>6.8967039999999997</v>
      </c>
      <c r="K2152" s="27">
        <v>5.1706640000000004</v>
      </c>
      <c r="M2152" s="27">
        <v>775.62902399999996</v>
      </c>
      <c r="O2152" s="27">
        <v>3802.6566400000002</v>
      </c>
      <c r="Q2152" s="27">
        <v>6916.9792239999997</v>
      </c>
      <c r="S2152" s="27">
        <v>1337.7421879999999</v>
      </c>
      <c r="U2152" s="27">
        <v>4.1021749999999999</v>
      </c>
      <c r="W2152" s="27">
        <v>42.593940000000003</v>
      </c>
      <c r="Y2152" s="27">
        <v>8.2376419999999992</v>
      </c>
      <c r="AA2152" s="27">
        <v>623.62140199999999</v>
      </c>
      <c r="AC2152" s="27">
        <v>56.840980000000002</v>
      </c>
      <c r="AE2152" s="27">
        <v>1</v>
      </c>
      <c r="AG2152" s="27">
        <v>7.7390639999999999</v>
      </c>
      <c r="AI2152" s="27">
        <v>8.75</v>
      </c>
      <c r="AK2152" s="27">
        <v>23.92323</v>
      </c>
      <c r="AM2152" s="27">
        <v>35.108012000000002</v>
      </c>
      <c r="AO2152" s="27">
        <v>6.7905480000000003</v>
      </c>
    </row>
    <row r="2153" spans="2:41" x14ac:dyDescent="0.25">
      <c r="B2153" s="21">
        <v>44447</v>
      </c>
      <c r="C2153" s="27">
        <v>19.943999999999999</v>
      </c>
      <c r="E2153" s="27">
        <v>0.84551399999999999</v>
      </c>
      <c r="G2153" s="27">
        <v>97.953652000000005</v>
      </c>
      <c r="I2153" s="27">
        <v>6.8997039999999998</v>
      </c>
      <c r="K2153" s="27">
        <v>5.2292829999999997</v>
      </c>
      <c r="M2153" s="27">
        <v>784.26185799999996</v>
      </c>
      <c r="O2153" s="27">
        <v>3808.7627400000001</v>
      </c>
      <c r="Q2153" s="27">
        <v>6914.8556939999999</v>
      </c>
      <c r="S2153" s="27">
        <v>1322.340641</v>
      </c>
      <c r="U2153" s="27">
        <v>4.0966399999999998</v>
      </c>
      <c r="W2153" s="27">
        <v>42.596547999999999</v>
      </c>
      <c r="Y2153" s="27">
        <v>8.1457979999999992</v>
      </c>
      <c r="AA2153" s="27">
        <v>623.77006600000004</v>
      </c>
      <c r="AC2153" s="27">
        <v>56.811143999999999</v>
      </c>
      <c r="AE2153" s="27">
        <v>1</v>
      </c>
      <c r="AG2153" s="27">
        <v>7.7396159999999998</v>
      </c>
      <c r="AI2153" s="27">
        <v>8.75</v>
      </c>
      <c r="AK2153" s="27">
        <v>23.943739999999998</v>
      </c>
      <c r="AM2153" s="27">
        <v>35.109428000000001</v>
      </c>
      <c r="AO2153" s="27">
        <v>6.7903200000000004</v>
      </c>
    </row>
    <row r="2154" spans="2:41" x14ac:dyDescent="0.25">
      <c r="B2154" s="21">
        <v>44448</v>
      </c>
      <c r="C2154" s="27">
        <v>19.938300000000002</v>
      </c>
      <c r="E2154" s="27">
        <v>0.84572999999999998</v>
      </c>
      <c r="G2154" s="27">
        <v>98.016951000000006</v>
      </c>
      <c r="I2154" s="27">
        <v>6.901872</v>
      </c>
      <c r="K2154" s="27">
        <v>5.2908220000000004</v>
      </c>
      <c r="M2154" s="27">
        <v>789.91223300000001</v>
      </c>
      <c r="O2154" s="27">
        <v>3825.020642</v>
      </c>
      <c r="Q2154" s="27">
        <v>6915.3226480000003</v>
      </c>
      <c r="S2154" s="27">
        <v>1307.048284</v>
      </c>
      <c r="U2154" s="27">
        <v>4.0975380000000001</v>
      </c>
      <c r="W2154" s="27">
        <v>42.627457999999997</v>
      </c>
      <c r="Y2154" s="27">
        <v>8.0568919999999995</v>
      </c>
      <c r="AA2154" s="27">
        <v>623.89998000000003</v>
      </c>
      <c r="AC2154" s="27">
        <v>56.807108999999997</v>
      </c>
      <c r="AE2154" s="27">
        <v>1</v>
      </c>
      <c r="AG2154" s="27">
        <v>7.7398470000000001</v>
      </c>
      <c r="AI2154" s="27">
        <v>8.75</v>
      </c>
      <c r="AK2154" s="27">
        <v>23.970357</v>
      </c>
      <c r="AM2154" s="27">
        <v>35.109591000000002</v>
      </c>
      <c r="AO2154" s="27">
        <v>6.791512</v>
      </c>
    </row>
    <row r="2155" spans="2:41" x14ac:dyDescent="0.25">
      <c r="B2155" s="21">
        <v>44449</v>
      </c>
      <c r="C2155" s="27">
        <v>19.931799999999999</v>
      </c>
      <c r="E2155" s="27">
        <v>0.84561399999999998</v>
      </c>
      <c r="G2155" s="27">
        <v>98.015579000000002</v>
      </c>
      <c r="I2155" s="27">
        <v>6.8995059999999997</v>
      </c>
      <c r="K2155" s="27">
        <v>5.217314</v>
      </c>
      <c r="M2155" s="27">
        <v>791.00954200000001</v>
      </c>
      <c r="O2155" s="27">
        <v>3840.0646649999999</v>
      </c>
      <c r="Q2155" s="27">
        <v>6912.0906000000004</v>
      </c>
      <c r="S2155" s="27">
        <v>1324.8439499999999</v>
      </c>
      <c r="U2155" s="27">
        <v>4.1021749999999999</v>
      </c>
      <c r="W2155" s="27">
        <v>42.689821999999999</v>
      </c>
      <c r="Y2155" s="27">
        <v>8.1823610000000002</v>
      </c>
      <c r="AA2155" s="27">
        <v>624.07529399999999</v>
      </c>
      <c r="AC2155" s="27">
        <v>56.777397999999998</v>
      </c>
      <c r="AE2155" s="27">
        <v>1</v>
      </c>
      <c r="AG2155" s="27">
        <v>7.7381539999999998</v>
      </c>
      <c r="AI2155" s="27">
        <v>8.75</v>
      </c>
      <c r="AK2155" s="27">
        <v>24.007477000000002</v>
      </c>
      <c r="AM2155" s="27">
        <v>35.110061000000002</v>
      </c>
      <c r="AO2155" s="27">
        <v>6.7927059999999999</v>
      </c>
    </row>
    <row r="2156" spans="2:41" x14ac:dyDescent="0.25">
      <c r="B2156" s="21">
        <v>44450</v>
      </c>
      <c r="C2156" s="27">
        <v>19.931799999999999</v>
      </c>
      <c r="E2156" s="27">
        <v>0.84669000000000005</v>
      </c>
      <c r="G2156" s="27">
        <v>98.010310000000004</v>
      </c>
      <c r="I2156" s="27">
        <v>6.8982200000000002</v>
      </c>
      <c r="K2156" s="27">
        <v>5.2464000000000004</v>
      </c>
      <c r="M2156" s="27">
        <v>788.46</v>
      </c>
      <c r="O2156" s="27">
        <v>3835.1925000000001</v>
      </c>
      <c r="Q2156" s="27">
        <v>6908.2139649999999</v>
      </c>
      <c r="S2156" s="27">
        <v>1316.7592930000001</v>
      </c>
      <c r="U2156" s="27">
        <v>4.1041559999999997</v>
      </c>
      <c r="W2156" s="27">
        <v>42.706215999999998</v>
      </c>
      <c r="Y2156" s="27">
        <v>8.1401199999999996</v>
      </c>
      <c r="AA2156" s="27">
        <v>624.24632799999995</v>
      </c>
      <c r="AC2156" s="27">
        <v>56.730744999999999</v>
      </c>
      <c r="AE2156" s="27">
        <v>1</v>
      </c>
      <c r="AG2156" s="27">
        <v>7.7369599999999998</v>
      </c>
      <c r="AI2156" s="27">
        <v>8.75</v>
      </c>
      <c r="AK2156" s="27">
        <v>24.036628</v>
      </c>
      <c r="AM2156" s="27">
        <v>35.112290000000002</v>
      </c>
      <c r="AO2156" s="27">
        <v>6.793228</v>
      </c>
    </row>
    <row r="2157" spans="2:41" x14ac:dyDescent="0.25">
      <c r="B2157" s="21">
        <v>44451</v>
      </c>
      <c r="C2157" s="27">
        <v>19.931799999999999</v>
      </c>
      <c r="E2157" s="27">
        <v>0.84667000000000003</v>
      </c>
      <c r="G2157" s="27">
        <v>98.013518000000005</v>
      </c>
      <c r="I2157" s="27">
        <v>6.8982200000000002</v>
      </c>
      <c r="K2157" s="27">
        <v>5.2464659999999999</v>
      </c>
      <c r="M2157" s="27">
        <v>788.46050600000001</v>
      </c>
      <c r="O2157" s="27">
        <v>3835.1923190000002</v>
      </c>
      <c r="Q2157" s="27">
        <v>6908.2139649999999</v>
      </c>
      <c r="S2157" s="27">
        <v>1316.7434559999999</v>
      </c>
      <c r="U2157" s="27">
        <v>4.1041559999999997</v>
      </c>
      <c r="W2157" s="27">
        <v>42.706215999999998</v>
      </c>
      <c r="Y2157" s="27">
        <v>8.1400210000000008</v>
      </c>
      <c r="AA2157" s="27">
        <v>624.24632799999995</v>
      </c>
      <c r="AC2157" s="27">
        <v>56.730744999999999</v>
      </c>
      <c r="AE2157" s="27">
        <v>1</v>
      </c>
      <c r="AG2157" s="27">
        <v>7.736802</v>
      </c>
      <c r="AI2157" s="27">
        <v>8.75</v>
      </c>
      <c r="AK2157" s="27">
        <v>24.036628</v>
      </c>
      <c r="AM2157" s="27">
        <v>35.112290000000002</v>
      </c>
      <c r="AO2157" s="27">
        <v>6.793228</v>
      </c>
    </row>
    <row r="2158" spans="2:41" x14ac:dyDescent="0.25">
      <c r="B2158" s="21">
        <v>44452</v>
      </c>
      <c r="C2158" s="27">
        <v>19.871700000000001</v>
      </c>
      <c r="E2158" s="27">
        <v>0.84754799999999997</v>
      </c>
      <c r="G2158" s="27">
        <v>98.141795999999999</v>
      </c>
      <c r="I2158" s="27">
        <v>6.9057719999999998</v>
      </c>
      <c r="K2158" s="27">
        <v>5.234089</v>
      </c>
      <c r="M2158" s="27">
        <v>786.63467600000001</v>
      </c>
      <c r="O2158" s="27">
        <v>3834.1166079999998</v>
      </c>
      <c r="Q2158" s="27">
        <v>6911.8073599999998</v>
      </c>
      <c r="S2158" s="27">
        <v>1320.543954</v>
      </c>
      <c r="U2158" s="27">
        <v>4.1068020000000001</v>
      </c>
      <c r="W2158" s="27">
        <v>42.713517000000003</v>
      </c>
      <c r="Y2158" s="27">
        <v>8.1606640000000006</v>
      </c>
      <c r="AA2158" s="27">
        <v>625.02271699999994</v>
      </c>
      <c r="AC2158" s="27">
        <v>56.788364000000001</v>
      </c>
      <c r="AE2158" s="27">
        <v>1</v>
      </c>
      <c r="AG2158" s="27">
        <v>7.74444</v>
      </c>
      <c r="AI2158" s="27">
        <v>8.75</v>
      </c>
      <c r="AK2158" s="27">
        <v>24.059380000000001</v>
      </c>
      <c r="AM2158" s="27">
        <v>35.135320999999998</v>
      </c>
      <c r="AO2158" s="27">
        <v>6.8010739999999998</v>
      </c>
    </row>
    <row r="2159" spans="2:41" x14ac:dyDescent="0.25">
      <c r="B2159" s="21">
        <v>44453</v>
      </c>
      <c r="C2159" s="27">
        <v>19.867699999999999</v>
      </c>
      <c r="E2159" s="27">
        <v>0.84639200000000003</v>
      </c>
      <c r="G2159" s="27">
        <v>98.179524999999998</v>
      </c>
      <c r="I2159" s="27">
        <v>6.8934680000000004</v>
      </c>
      <c r="K2159" s="27">
        <v>5.2257819999999997</v>
      </c>
      <c r="M2159" s="27">
        <v>784.27163399999995</v>
      </c>
      <c r="O2159" s="27">
        <v>3830.0881800000002</v>
      </c>
      <c r="Q2159" s="27">
        <v>6896.6859219999997</v>
      </c>
      <c r="S2159" s="27">
        <v>1319.7495550000001</v>
      </c>
      <c r="U2159" s="27">
        <v>4.1040190000000001</v>
      </c>
      <c r="W2159" s="27">
        <v>42.688077999999997</v>
      </c>
      <c r="Y2159" s="27">
        <v>8.1687759999999994</v>
      </c>
      <c r="AA2159" s="27">
        <v>624.20257200000003</v>
      </c>
      <c r="AC2159" s="27">
        <v>56.661732000000001</v>
      </c>
      <c r="AE2159" s="27">
        <v>1</v>
      </c>
      <c r="AG2159" s="27">
        <v>7.7308560000000002</v>
      </c>
      <c r="AI2159" s="27">
        <v>8.75</v>
      </c>
      <c r="AK2159" s="27">
        <v>24.060188</v>
      </c>
      <c r="AM2159" s="27">
        <v>35.062159999999999</v>
      </c>
      <c r="AO2159" s="27">
        <v>6.7866</v>
      </c>
    </row>
    <row r="2160" spans="2:41" x14ac:dyDescent="0.25">
      <c r="B2160" s="21">
        <v>44454</v>
      </c>
      <c r="C2160" s="27">
        <v>19.903500000000001</v>
      </c>
      <c r="E2160" s="27">
        <v>0.84646999999999994</v>
      </c>
      <c r="G2160" s="27">
        <v>98.172123999999997</v>
      </c>
      <c r="I2160" s="27">
        <v>6.9008779999999996</v>
      </c>
      <c r="K2160" s="27">
        <v>5.242292</v>
      </c>
      <c r="M2160" s="27">
        <v>781.82017399999995</v>
      </c>
      <c r="O2160" s="27">
        <v>3825.8635840000002</v>
      </c>
      <c r="Q2160" s="27">
        <v>6896.647406</v>
      </c>
      <c r="S2160" s="27">
        <v>1315.5857080000001</v>
      </c>
      <c r="U2160" s="27">
        <v>4.107202</v>
      </c>
      <c r="W2160" s="27">
        <v>42.733704000000003</v>
      </c>
      <c r="Y2160" s="27">
        <v>8.1517459999999993</v>
      </c>
      <c r="AA2160" s="27">
        <v>624.64526699999999</v>
      </c>
      <c r="AC2160" s="27">
        <v>56.686577</v>
      </c>
      <c r="AE2160" s="27">
        <v>1</v>
      </c>
      <c r="AG2160" s="27">
        <v>7.7340739999999997</v>
      </c>
      <c r="AI2160" s="27">
        <v>8.75</v>
      </c>
      <c r="AK2160" s="27">
        <v>24.149011999999999</v>
      </c>
      <c r="AM2160" s="27">
        <v>35.118015999999997</v>
      </c>
      <c r="AO2160" s="27">
        <v>6.7886790000000001</v>
      </c>
    </row>
    <row r="2161" spans="2:41" x14ac:dyDescent="0.25">
      <c r="B2161" s="21">
        <v>44455</v>
      </c>
      <c r="C2161" s="27">
        <v>19.903500000000001</v>
      </c>
      <c r="E2161" s="27">
        <v>0.84893600000000002</v>
      </c>
      <c r="G2161" s="27">
        <v>98.233260999999999</v>
      </c>
      <c r="I2161" s="27">
        <v>6.9051539999999996</v>
      </c>
      <c r="K2161" s="27">
        <v>5.2414389999999997</v>
      </c>
      <c r="M2161" s="27">
        <v>780.36027799999999</v>
      </c>
      <c r="O2161" s="27">
        <v>3816.0294100000001</v>
      </c>
      <c r="Q2161" s="27">
        <v>6897.1444060000003</v>
      </c>
      <c r="S2161" s="27">
        <v>1315.8949809999999</v>
      </c>
      <c r="U2161" s="27">
        <v>4.1112900000000003</v>
      </c>
      <c r="W2161" s="27">
        <v>42.721857999999997</v>
      </c>
      <c r="Y2161" s="27">
        <v>8.1508160000000007</v>
      </c>
      <c r="AA2161" s="27">
        <v>624.65997900000002</v>
      </c>
      <c r="AC2161" s="27">
        <v>56.704444000000002</v>
      </c>
      <c r="AE2161" s="27">
        <v>1</v>
      </c>
      <c r="AG2161" s="27">
        <v>7.7354710000000004</v>
      </c>
      <c r="AI2161" s="27">
        <v>8.75</v>
      </c>
      <c r="AK2161" s="27">
        <v>24.214006000000001</v>
      </c>
      <c r="AM2161" s="27">
        <v>35.128033000000002</v>
      </c>
      <c r="AO2161" s="27">
        <v>6.7902950000000004</v>
      </c>
    </row>
    <row r="2162" spans="2:41" x14ac:dyDescent="0.25">
      <c r="B2162" s="21">
        <v>44456</v>
      </c>
      <c r="C2162" s="27">
        <v>19.900300000000001</v>
      </c>
      <c r="E2162" s="27">
        <v>0.85072999999999999</v>
      </c>
      <c r="G2162" s="27">
        <v>98.316978000000006</v>
      </c>
      <c r="I2162" s="27">
        <v>6.9049120000000004</v>
      </c>
      <c r="K2162" s="27">
        <v>5.2758820000000002</v>
      </c>
      <c r="M2162" s="27">
        <v>783.948217</v>
      </c>
      <c r="O2162" s="27">
        <v>3821.934456</v>
      </c>
      <c r="Q2162" s="27">
        <v>6899.9936500000003</v>
      </c>
      <c r="S2162" s="27">
        <v>1307.845546</v>
      </c>
      <c r="U2162" s="27">
        <v>4.1100750000000001</v>
      </c>
      <c r="W2162" s="27">
        <v>42.681427999999997</v>
      </c>
      <c r="Y2162" s="27">
        <v>8.0899429999999999</v>
      </c>
      <c r="AA2162" s="27">
        <v>624.73909600000002</v>
      </c>
      <c r="AC2162" s="27">
        <v>56.702734</v>
      </c>
      <c r="AE2162" s="27">
        <v>1</v>
      </c>
      <c r="AG2162" s="27">
        <v>7.7365300000000001</v>
      </c>
      <c r="AI2162" s="27">
        <v>8.75</v>
      </c>
      <c r="AK2162" s="27">
        <v>24.181850000000001</v>
      </c>
      <c r="AM2162" s="27">
        <v>35.153182000000001</v>
      </c>
      <c r="AO2162" s="27">
        <v>6.7906279999999999</v>
      </c>
    </row>
    <row r="2163" spans="2:41" x14ac:dyDescent="0.25">
      <c r="B2163" s="21">
        <v>44457</v>
      </c>
      <c r="C2163" s="27">
        <v>19.900300000000001</v>
      </c>
      <c r="E2163" s="27">
        <v>0.85292999999999997</v>
      </c>
      <c r="G2163" s="27">
        <v>98.273700000000005</v>
      </c>
      <c r="I2163" s="27">
        <v>6.9051439999999999</v>
      </c>
      <c r="K2163" s="27">
        <v>5.2887000000000004</v>
      </c>
      <c r="M2163" s="27">
        <v>784.51</v>
      </c>
      <c r="O2163" s="27">
        <v>3827.4625000000001</v>
      </c>
      <c r="Q2163" s="27">
        <v>6900.5936979999997</v>
      </c>
      <c r="S2163" s="27">
        <v>1304.786724</v>
      </c>
      <c r="U2163" s="27">
        <v>4.1109749999999998</v>
      </c>
      <c r="W2163" s="27">
        <v>42.692093999999997</v>
      </c>
      <c r="Y2163" s="27">
        <v>8.0723439999999993</v>
      </c>
      <c r="AA2163" s="27">
        <v>624.82065699999998</v>
      </c>
      <c r="AC2163" s="27">
        <v>56.732500000000002</v>
      </c>
      <c r="AE2163" s="27">
        <v>1</v>
      </c>
      <c r="AG2163" s="27">
        <v>7.7366440000000001</v>
      </c>
      <c r="AI2163" s="27">
        <v>8.75</v>
      </c>
      <c r="AK2163" s="27">
        <v>24.232475000000001</v>
      </c>
      <c r="AM2163" s="27">
        <v>35.199750000000002</v>
      </c>
      <c r="AO2163" s="27">
        <v>6.79068</v>
      </c>
    </row>
    <row r="2164" spans="2:41" x14ac:dyDescent="0.25">
      <c r="B2164" s="21">
        <v>44458</v>
      </c>
      <c r="C2164" s="27">
        <v>19.900300000000001</v>
      </c>
      <c r="E2164" s="27">
        <v>0.85289999999999999</v>
      </c>
      <c r="G2164" s="27">
        <v>98.273426000000001</v>
      </c>
      <c r="I2164" s="27">
        <v>6.9051239999999998</v>
      </c>
      <c r="K2164" s="27">
        <v>5.2887180000000003</v>
      </c>
      <c r="M2164" s="27">
        <v>784.51</v>
      </c>
      <c r="O2164" s="27">
        <v>3827.4638359999999</v>
      </c>
      <c r="Q2164" s="27">
        <v>6900.5741239999998</v>
      </c>
      <c r="S2164" s="27">
        <v>1304.778622</v>
      </c>
      <c r="U2164" s="27">
        <v>4.110976</v>
      </c>
      <c r="W2164" s="27">
        <v>42.692107999999998</v>
      </c>
      <c r="Y2164" s="27">
        <v>8.0723199999999995</v>
      </c>
      <c r="AA2164" s="27">
        <v>624.81958399999996</v>
      </c>
      <c r="AC2164" s="27">
        <v>56.732512</v>
      </c>
      <c r="AE2164" s="27">
        <v>1</v>
      </c>
      <c r="AG2164" s="27">
        <v>7.7365940000000002</v>
      </c>
      <c r="AI2164" s="27">
        <v>8.75</v>
      </c>
      <c r="AK2164" s="27">
        <v>24.232513000000001</v>
      </c>
      <c r="AM2164" s="27">
        <v>35.199748</v>
      </c>
      <c r="AO2164" s="27">
        <v>6.7906680000000001</v>
      </c>
    </row>
    <row r="2165" spans="2:41" x14ac:dyDescent="0.25">
      <c r="B2165" s="21">
        <v>44459</v>
      </c>
      <c r="C2165" s="27">
        <v>19.985299999999999</v>
      </c>
      <c r="E2165" s="27">
        <v>0.85330600000000001</v>
      </c>
      <c r="G2165" s="27">
        <v>98.484633000000002</v>
      </c>
      <c r="I2165" s="27">
        <v>6.9116759999999999</v>
      </c>
      <c r="K2165" s="27">
        <v>5.3120139999999996</v>
      </c>
      <c r="M2165" s="27">
        <v>786.66470200000003</v>
      </c>
      <c r="O2165" s="27">
        <v>3836.0159800000001</v>
      </c>
      <c r="Q2165" s="27">
        <v>6901.1933330000002</v>
      </c>
      <c r="S2165" s="27">
        <v>1299.173933</v>
      </c>
      <c r="U2165" s="27">
        <v>4.1166099999999997</v>
      </c>
      <c r="W2165" s="27">
        <v>42.762858000000001</v>
      </c>
      <c r="Y2165" s="27">
        <v>8.0502400000000005</v>
      </c>
      <c r="AA2165" s="27">
        <v>625.13831000000005</v>
      </c>
      <c r="AC2165" s="27">
        <v>56.814200999999997</v>
      </c>
      <c r="AE2165" s="27">
        <v>1</v>
      </c>
      <c r="AG2165" s="27">
        <v>7.7434580000000004</v>
      </c>
      <c r="AI2165" s="27">
        <v>8.75</v>
      </c>
      <c r="AK2165" s="27">
        <v>24.212574</v>
      </c>
      <c r="AM2165" s="27">
        <v>35.241455999999999</v>
      </c>
      <c r="AO2165" s="27">
        <v>6.7969730000000004</v>
      </c>
    </row>
    <row r="2166" spans="2:41" x14ac:dyDescent="0.25">
      <c r="B2166" s="21">
        <v>44460</v>
      </c>
      <c r="C2166" s="27">
        <v>20.173500000000001</v>
      </c>
      <c r="E2166" s="27">
        <v>0.85252600000000001</v>
      </c>
      <c r="G2166" s="27">
        <v>98.408308000000005</v>
      </c>
      <c r="I2166" s="27">
        <v>6.898288</v>
      </c>
      <c r="K2166" s="27">
        <v>5.307518</v>
      </c>
      <c r="M2166" s="27">
        <v>787.16296399999999</v>
      </c>
      <c r="O2166" s="27">
        <v>3842.1945070000002</v>
      </c>
      <c r="Q2166" s="27">
        <v>6878.9634450000003</v>
      </c>
      <c r="S2166" s="27">
        <v>1296.0860700000001</v>
      </c>
      <c r="U2166" s="27">
        <v>4.1141779999999999</v>
      </c>
      <c r="W2166" s="27">
        <v>42.682268000000001</v>
      </c>
      <c r="Y2166" s="27">
        <v>8.0418780000000005</v>
      </c>
      <c r="AA2166" s="27">
        <v>624.08282399999996</v>
      </c>
      <c r="AC2166" s="27">
        <v>56.614817000000002</v>
      </c>
      <c r="AE2166" s="27">
        <v>1</v>
      </c>
      <c r="AG2166" s="27">
        <v>7.73224</v>
      </c>
      <c r="AI2166" s="27">
        <v>8.75</v>
      </c>
      <c r="AK2166" s="27">
        <v>24.122544000000001</v>
      </c>
      <c r="AM2166" s="27">
        <v>35.140521999999997</v>
      </c>
      <c r="AO2166" s="27">
        <v>6.7886559999999996</v>
      </c>
    </row>
    <row r="2167" spans="2:41" x14ac:dyDescent="0.25">
      <c r="B2167" s="21">
        <v>44461</v>
      </c>
      <c r="C2167" s="27">
        <v>20.143799999999999</v>
      </c>
      <c r="E2167" s="27">
        <v>0.85313899999999998</v>
      </c>
      <c r="G2167" s="27">
        <v>98.437141999999994</v>
      </c>
      <c r="I2167" s="27">
        <v>6.9046919999999998</v>
      </c>
      <c r="K2167" s="27">
        <v>5.2772790000000001</v>
      </c>
      <c r="M2167" s="27">
        <v>786.215013</v>
      </c>
      <c r="O2167" s="27">
        <v>3835.92623</v>
      </c>
      <c r="Q2167" s="27">
        <v>6876.0286939999996</v>
      </c>
      <c r="S2167" s="27">
        <v>1302.9567099999999</v>
      </c>
      <c r="U2167" s="27">
        <v>4.1155499999999998</v>
      </c>
      <c r="W2167" s="27">
        <v>42.794254000000002</v>
      </c>
      <c r="Y2167" s="27">
        <v>8.1091759999999997</v>
      </c>
      <c r="AA2167" s="27">
        <v>624.77376000000004</v>
      </c>
      <c r="AC2167" s="27">
        <v>56.606409999999997</v>
      </c>
      <c r="AE2167" s="27">
        <v>1</v>
      </c>
      <c r="AG2167" s="27">
        <v>7.740494</v>
      </c>
      <c r="AI2167" s="27">
        <v>8.75</v>
      </c>
      <c r="AK2167" s="27">
        <v>24.162365999999999</v>
      </c>
      <c r="AM2167" s="27">
        <v>35.160193999999997</v>
      </c>
      <c r="AO2167" s="27">
        <v>6.7987479999999998</v>
      </c>
    </row>
    <row r="2168" spans="2:41" x14ac:dyDescent="0.25">
      <c r="B2168" s="21">
        <v>44462</v>
      </c>
      <c r="C2168" s="27">
        <v>20.032800000000002</v>
      </c>
      <c r="E2168" s="27">
        <v>0.85294199999999998</v>
      </c>
      <c r="G2168" s="27">
        <v>98.486818999999997</v>
      </c>
      <c r="I2168" s="27">
        <v>6.912337</v>
      </c>
      <c r="K2168" s="27">
        <v>5.2930450000000002</v>
      </c>
      <c r="M2168" s="27">
        <v>786.81877199999997</v>
      </c>
      <c r="O2168" s="27">
        <v>3833.8588100000002</v>
      </c>
      <c r="Q2168" s="27">
        <v>6885.5418259999997</v>
      </c>
      <c r="S2168" s="27">
        <v>1300.8728860000001</v>
      </c>
      <c r="U2168" s="27">
        <v>4.1202860000000001</v>
      </c>
      <c r="W2168" s="27">
        <v>42.847216000000003</v>
      </c>
      <c r="Y2168" s="27">
        <v>8.0950279999999992</v>
      </c>
      <c r="AA2168" s="27">
        <v>625.42601400000001</v>
      </c>
      <c r="AC2168" s="27">
        <v>56.589782</v>
      </c>
      <c r="AE2168" s="27">
        <v>1</v>
      </c>
      <c r="AG2168" s="27">
        <v>7.74648</v>
      </c>
      <c r="AI2168" s="27">
        <v>8.75</v>
      </c>
      <c r="AK2168" s="27">
        <v>24.18505</v>
      </c>
      <c r="AM2168" s="27">
        <v>35.20917</v>
      </c>
      <c r="AO2168" s="27">
        <v>6.8045460000000002</v>
      </c>
    </row>
    <row r="2169" spans="2:41" x14ac:dyDescent="0.25">
      <c r="B2169" s="21">
        <v>44463</v>
      </c>
      <c r="C2169" s="27">
        <v>20.027999999999999</v>
      </c>
      <c r="E2169" s="27">
        <v>0.852746</v>
      </c>
      <c r="G2169" s="27">
        <v>98.500119999999995</v>
      </c>
      <c r="I2169" s="27">
        <v>6.8999160000000002</v>
      </c>
      <c r="K2169" s="27">
        <v>5.3217439999999998</v>
      </c>
      <c r="M2169" s="27">
        <v>788.37807699999996</v>
      </c>
      <c r="O2169" s="27">
        <v>3836.4144980000001</v>
      </c>
      <c r="Q2169" s="27">
        <v>6878.2698119999995</v>
      </c>
      <c r="S2169" s="27">
        <v>1292.490982</v>
      </c>
      <c r="U2169" s="27">
        <v>4.1083920000000003</v>
      </c>
      <c r="W2169" s="27">
        <v>42.640208000000001</v>
      </c>
      <c r="Y2169" s="27">
        <v>8.0124739999999992</v>
      </c>
      <c r="AA2169" s="27">
        <v>624.32457899999997</v>
      </c>
      <c r="AC2169" s="27">
        <v>56.392598</v>
      </c>
      <c r="AE2169" s="27">
        <v>1</v>
      </c>
      <c r="AG2169" s="27">
        <v>7.7298479999999996</v>
      </c>
      <c r="AI2169" s="27">
        <v>8.75</v>
      </c>
      <c r="AK2169" s="27">
        <v>24.115926000000002</v>
      </c>
      <c r="AM2169" s="27">
        <v>35.131469000000003</v>
      </c>
      <c r="AO2169" s="27">
        <v>6.791372</v>
      </c>
    </row>
    <row r="2170" spans="2:41" x14ac:dyDescent="0.25">
      <c r="B2170" s="21">
        <v>44464</v>
      </c>
      <c r="C2170" s="27">
        <v>20.027999999999999</v>
      </c>
      <c r="E2170" s="27">
        <v>0.85319500000000004</v>
      </c>
      <c r="G2170" s="27">
        <v>98.5535</v>
      </c>
      <c r="I2170" s="27">
        <v>6.9051020000000003</v>
      </c>
      <c r="K2170" s="27">
        <v>5.3353999999999999</v>
      </c>
      <c r="M2170" s="27">
        <v>792.83</v>
      </c>
      <c r="O2170" s="27">
        <v>3835.64</v>
      </c>
      <c r="Q2170" s="27">
        <v>6882.0231720000002</v>
      </c>
      <c r="S2170" s="27">
        <v>1289.88546</v>
      </c>
      <c r="U2170" s="27">
        <v>4.1098499999999998</v>
      </c>
      <c r="W2170" s="27">
        <v>42.627823999999997</v>
      </c>
      <c r="Y2170" s="27">
        <v>7.9896419999999999</v>
      </c>
      <c r="AA2170" s="27">
        <v>624.78729399999997</v>
      </c>
      <c r="AC2170" s="27">
        <v>56.4375</v>
      </c>
      <c r="AE2170" s="27">
        <v>1</v>
      </c>
      <c r="AG2170" s="27">
        <v>7.7354830000000003</v>
      </c>
      <c r="AI2170" s="27">
        <v>8.75</v>
      </c>
      <c r="AK2170" s="27">
        <v>24.199974999999998</v>
      </c>
      <c r="AM2170" s="27">
        <v>35.239750000000001</v>
      </c>
      <c r="AO2170" s="27">
        <v>6.7965080000000002</v>
      </c>
    </row>
    <row r="2171" spans="2:41" x14ac:dyDescent="0.25">
      <c r="B2171" s="21">
        <v>44465</v>
      </c>
      <c r="C2171" s="27">
        <v>20.027999999999999</v>
      </c>
      <c r="E2171" s="27">
        <v>0.85319800000000001</v>
      </c>
      <c r="G2171" s="27">
        <v>98.551630000000003</v>
      </c>
      <c r="I2171" s="27">
        <v>6.9050260000000003</v>
      </c>
      <c r="K2171" s="27">
        <v>5.3355379999999997</v>
      </c>
      <c r="M2171" s="27">
        <v>792.83153100000004</v>
      </c>
      <c r="O2171" s="27">
        <v>3835.6869259999999</v>
      </c>
      <c r="Q2171" s="27">
        <v>6881.9401939999998</v>
      </c>
      <c r="S2171" s="27">
        <v>1289.836902</v>
      </c>
      <c r="U2171" s="27">
        <v>4.1098059999999998</v>
      </c>
      <c r="W2171" s="27">
        <v>42.62867</v>
      </c>
      <c r="Y2171" s="27">
        <v>7.9895959999999997</v>
      </c>
      <c r="AA2171" s="27">
        <v>624.77876600000002</v>
      </c>
      <c r="AC2171" s="27">
        <v>56.437615999999998</v>
      </c>
      <c r="AE2171" s="27">
        <v>1</v>
      </c>
      <c r="AG2171" s="27">
        <v>7.7350880000000002</v>
      </c>
      <c r="AI2171" s="27">
        <v>8.75</v>
      </c>
      <c r="AK2171" s="27">
        <v>24.199974000000001</v>
      </c>
      <c r="AM2171" s="27">
        <v>35.237738</v>
      </c>
      <c r="AO2171" s="27">
        <v>6.796278</v>
      </c>
    </row>
    <row r="2172" spans="2:41" x14ac:dyDescent="0.25">
      <c r="B2172" s="21">
        <v>44466</v>
      </c>
      <c r="C2172" s="27">
        <v>20.111799999999999</v>
      </c>
      <c r="E2172" s="27">
        <v>0.85425600000000002</v>
      </c>
      <c r="G2172" s="27">
        <v>98.590102000000002</v>
      </c>
      <c r="I2172" s="27">
        <v>6.9045449999999997</v>
      </c>
      <c r="K2172" s="27">
        <v>5.3527880000000003</v>
      </c>
      <c r="M2172" s="27">
        <v>793.77765299999999</v>
      </c>
      <c r="O2172" s="27">
        <v>3837.062911</v>
      </c>
      <c r="Q2172" s="27">
        <v>6884.4892060000002</v>
      </c>
      <c r="S2172" s="27">
        <v>1286.1566789999999</v>
      </c>
      <c r="U2172" s="27">
        <v>4.114636</v>
      </c>
      <c r="W2172" s="27">
        <v>42.685181999999998</v>
      </c>
      <c r="Y2172" s="27">
        <v>7.9744060000000001</v>
      </c>
      <c r="AA2172" s="27">
        <v>625.37400600000001</v>
      </c>
      <c r="AC2172" s="27">
        <v>56.458882000000003</v>
      </c>
      <c r="AE2172" s="27">
        <v>1</v>
      </c>
      <c r="AG2172" s="27">
        <v>7.7404960000000003</v>
      </c>
      <c r="AI2172" s="27">
        <v>8.75</v>
      </c>
      <c r="AK2172" s="27">
        <v>24.155774000000001</v>
      </c>
      <c r="AM2172" s="27">
        <v>35.189411</v>
      </c>
      <c r="AO2172" s="27">
        <v>6.8002140000000004</v>
      </c>
    </row>
    <row r="2173" spans="2:41" x14ac:dyDescent="0.25">
      <c r="B2173" s="21">
        <v>44467</v>
      </c>
      <c r="C2173" s="27">
        <v>20.1052</v>
      </c>
      <c r="E2173" s="27">
        <v>0.85583699999999996</v>
      </c>
      <c r="G2173" s="27">
        <v>98.593900000000005</v>
      </c>
      <c r="I2173" s="27">
        <v>6.905316</v>
      </c>
      <c r="K2173" s="27">
        <v>5.4094110000000004</v>
      </c>
      <c r="M2173" s="27">
        <v>797.27407800000003</v>
      </c>
      <c r="O2173" s="27">
        <v>3840.5547630000001</v>
      </c>
      <c r="Q2173" s="27">
        <v>6882.2306769999996</v>
      </c>
      <c r="S2173" s="27">
        <v>1272.2764669999999</v>
      </c>
      <c r="U2173" s="27">
        <v>4.1221319999999997</v>
      </c>
      <c r="W2173" s="27">
        <v>42.701112000000002</v>
      </c>
      <c r="Y2173" s="27">
        <v>7.8938800000000002</v>
      </c>
      <c r="AA2173" s="27">
        <v>625.75550299999998</v>
      </c>
      <c r="AC2173" s="27">
        <v>56.445852000000002</v>
      </c>
      <c r="AE2173" s="27">
        <v>1</v>
      </c>
      <c r="AG2173" s="27">
        <v>7.7422139999999997</v>
      </c>
      <c r="AI2173" s="27">
        <v>8.75</v>
      </c>
      <c r="AK2173" s="27">
        <v>24.131428</v>
      </c>
      <c r="AM2173" s="27">
        <v>35.159534999999998</v>
      </c>
      <c r="AO2173" s="27">
        <v>6.7973179999999997</v>
      </c>
    </row>
    <row r="2174" spans="2:41" x14ac:dyDescent="0.25">
      <c r="B2174" s="21">
        <v>44468</v>
      </c>
      <c r="C2174" s="27">
        <v>20.306000000000001</v>
      </c>
      <c r="E2174" s="27">
        <v>0.85892800000000002</v>
      </c>
      <c r="G2174" s="27">
        <v>98.621036000000004</v>
      </c>
      <c r="I2174" s="27">
        <v>6.9057719999999998</v>
      </c>
      <c r="K2174" s="27">
        <v>5.4255899999999997</v>
      </c>
      <c r="M2174" s="27">
        <v>805.13413800000001</v>
      </c>
      <c r="O2174" s="27">
        <v>3836.364822</v>
      </c>
      <c r="Q2174" s="27">
        <v>6882.3359840000003</v>
      </c>
      <c r="S2174" s="27">
        <v>1268.501894</v>
      </c>
      <c r="U2174" s="27">
        <v>4.1273780000000002</v>
      </c>
      <c r="W2174" s="27">
        <v>42.740726000000002</v>
      </c>
      <c r="Y2174" s="27">
        <v>7.8776419999999998</v>
      </c>
      <c r="AA2174" s="27">
        <v>625.55189199999995</v>
      </c>
      <c r="AC2174" s="27">
        <v>56.367857999999998</v>
      </c>
      <c r="AE2174" s="27">
        <v>1</v>
      </c>
      <c r="AG2174" s="27">
        <v>7.7386359999999996</v>
      </c>
      <c r="AI2174" s="27">
        <v>8.75</v>
      </c>
      <c r="AK2174" s="27">
        <v>24.123555</v>
      </c>
      <c r="AM2174" s="27">
        <v>35.136184</v>
      </c>
      <c r="AO2174" s="27">
        <v>6.7906680000000001</v>
      </c>
    </row>
    <row r="2175" spans="2:41" x14ac:dyDescent="0.25">
      <c r="B2175" s="21">
        <v>44469</v>
      </c>
      <c r="C2175" s="27">
        <v>20.497699999999998</v>
      </c>
      <c r="E2175" s="27">
        <v>0.862846</v>
      </c>
      <c r="G2175" s="27">
        <v>98.680120000000002</v>
      </c>
      <c r="I2175" s="27">
        <v>6.9160199999999996</v>
      </c>
      <c r="K2175" s="27">
        <v>5.4284629999999998</v>
      </c>
      <c r="M2175" s="27">
        <v>810.63319000000001</v>
      </c>
      <c r="O2175" s="27">
        <v>3825.3862060000001</v>
      </c>
      <c r="Q2175" s="27">
        <v>6896.5435580000003</v>
      </c>
      <c r="S2175" s="27">
        <v>1270.4478879999999</v>
      </c>
      <c r="U2175" s="27">
        <v>4.1364999999999998</v>
      </c>
      <c r="W2175" s="27">
        <v>42.880228000000002</v>
      </c>
      <c r="Y2175" s="27">
        <v>7.8991709999999999</v>
      </c>
      <c r="AA2175" s="27">
        <v>626.61911199999997</v>
      </c>
      <c r="AC2175" s="27">
        <v>56.487316</v>
      </c>
      <c r="AE2175" s="27">
        <v>1</v>
      </c>
      <c r="AG2175" s="27">
        <v>7.7508290000000004</v>
      </c>
      <c r="AI2175" s="27">
        <v>8.75</v>
      </c>
      <c r="AK2175" s="27">
        <v>24.179542000000001</v>
      </c>
      <c r="AM2175" s="27">
        <v>35.230438999999997</v>
      </c>
      <c r="AO2175" s="27">
        <v>6.8022799999999997</v>
      </c>
    </row>
    <row r="2176" spans="2:41" ht="13" x14ac:dyDescent="0.3">
      <c r="B2176" s="25" t="s">
        <v>125</v>
      </c>
      <c r="C2176" s="19">
        <v>20.002800000000001</v>
      </c>
      <c r="E2176" s="19">
        <v>0.84930000000000005</v>
      </c>
      <c r="G2176" s="19">
        <v>98.215599999999995</v>
      </c>
      <c r="I2176" s="19">
        <v>6.9024000000000001</v>
      </c>
      <c r="K2176" s="19">
        <v>5.2697000000000003</v>
      </c>
      <c r="M2176" s="19">
        <v>784.81709999999998</v>
      </c>
      <c r="O2176" s="19">
        <v>3821.9375</v>
      </c>
      <c r="Q2176" s="19">
        <v>6901.3755000000001</v>
      </c>
      <c r="S2176" s="19">
        <v>1309.9258</v>
      </c>
      <c r="U2176" s="19">
        <v>4.1074000000000002</v>
      </c>
      <c r="W2176" s="19">
        <v>42.6676</v>
      </c>
      <c r="Y2176" s="19">
        <v>8.0982000000000003</v>
      </c>
      <c r="AA2176" s="19">
        <v>624.4126</v>
      </c>
      <c r="AC2176" s="19">
        <v>56.679299999999998</v>
      </c>
      <c r="AE2176" s="19">
        <v>1</v>
      </c>
      <c r="AG2176" s="19">
        <v>7.7380000000000004</v>
      </c>
      <c r="AI2176" s="19">
        <v>8.75</v>
      </c>
      <c r="AK2176" s="19">
        <v>24.0761</v>
      </c>
      <c r="AM2176" s="19">
        <v>35.143599999999999</v>
      </c>
      <c r="AO2176" s="19">
        <v>6.7930000000000001</v>
      </c>
    </row>
    <row r="2177" spans="2:41" x14ac:dyDescent="0.25">
      <c r="B2177" s="21">
        <v>44470</v>
      </c>
      <c r="C2177" s="27">
        <v>20.5623</v>
      </c>
      <c r="E2177" s="27">
        <v>0.86297400000000002</v>
      </c>
      <c r="G2177" s="27">
        <v>98.741169999999997</v>
      </c>
      <c r="I2177" s="27">
        <v>6.9062840000000003</v>
      </c>
      <c r="K2177" s="27">
        <v>5.4096820000000001</v>
      </c>
      <c r="M2177" s="27">
        <v>807.04865600000005</v>
      </c>
      <c r="O2177" s="27">
        <v>3800.5792059999999</v>
      </c>
      <c r="Q2177" s="27">
        <v>6895.3669909999999</v>
      </c>
      <c r="S2177" s="27">
        <v>1274.640983</v>
      </c>
      <c r="U2177" s="27">
        <v>4.135777</v>
      </c>
      <c r="W2177" s="27">
        <v>42.890112000000002</v>
      </c>
      <c r="Y2177" s="27">
        <v>7.9284230000000004</v>
      </c>
      <c r="AA2177" s="27">
        <v>625.961364</v>
      </c>
      <c r="AC2177" s="27">
        <v>56.389364</v>
      </c>
      <c r="AE2177" s="27">
        <v>1</v>
      </c>
      <c r="AG2177" s="27">
        <v>7.7405999999999997</v>
      </c>
      <c r="AI2177" s="27">
        <v>8.75</v>
      </c>
      <c r="AK2177" s="27">
        <v>24.121873000000001</v>
      </c>
      <c r="AM2177" s="27">
        <v>35.181989999999999</v>
      </c>
      <c r="AO2177" s="27">
        <v>6.7943160000000002</v>
      </c>
    </row>
    <row r="2178" spans="2:41" x14ac:dyDescent="0.25">
      <c r="B2178" s="21">
        <v>44471</v>
      </c>
      <c r="C2178" s="27">
        <v>20.5623</v>
      </c>
      <c r="E2178" s="27">
        <v>0.86258999999999997</v>
      </c>
      <c r="G2178" s="27">
        <v>98.701350000000005</v>
      </c>
      <c r="I2178" s="27">
        <v>6.9047939999999999</v>
      </c>
      <c r="K2178" s="27">
        <v>5.3651249999999999</v>
      </c>
      <c r="M2178" s="27">
        <v>803.26</v>
      </c>
      <c r="O2178" s="27">
        <v>3789.9974999999999</v>
      </c>
      <c r="Q2178" s="27">
        <v>6901.8654479999996</v>
      </c>
      <c r="S2178" s="27">
        <v>1286.4384749999999</v>
      </c>
      <c r="U2178" s="27">
        <v>4.138725</v>
      </c>
      <c r="W2178" s="27">
        <v>42.922933999999998</v>
      </c>
      <c r="Y2178" s="27">
        <v>8.0003849999999996</v>
      </c>
      <c r="AA2178" s="27">
        <v>625.92562199999998</v>
      </c>
      <c r="AC2178" s="27">
        <v>56.422499999999999</v>
      </c>
      <c r="AE2178" s="27">
        <v>1</v>
      </c>
      <c r="AG2178" s="27">
        <v>7.7389960000000002</v>
      </c>
      <c r="AI2178" s="27">
        <v>8.75</v>
      </c>
      <c r="AK2178" s="27">
        <v>24.136199999999999</v>
      </c>
      <c r="AM2178" s="27">
        <v>35.249749999999999</v>
      </c>
      <c r="AO2178" s="27">
        <v>6.7927660000000003</v>
      </c>
    </row>
    <row r="2179" spans="2:41" x14ac:dyDescent="0.25">
      <c r="B2179" s="21">
        <v>44472</v>
      </c>
      <c r="C2179" s="27">
        <v>20.5623</v>
      </c>
      <c r="E2179" s="27">
        <v>0.86248599999999997</v>
      </c>
      <c r="G2179" s="27">
        <v>98.693460999999999</v>
      </c>
      <c r="I2179" s="27">
        <v>6.9048170000000004</v>
      </c>
      <c r="K2179" s="27">
        <v>5.3651099999999996</v>
      </c>
      <c r="M2179" s="27">
        <v>803.25285899999994</v>
      </c>
      <c r="O2179" s="27">
        <v>3789.997934</v>
      </c>
      <c r="Q2179" s="27">
        <v>6901.7964540000003</v>
      </c>
      <c r="S2179" s="27">
        <v>1286.429026</v>
      </c>
      <c r="U2179" s="27">
        <v>4.1383349999999997</v>
      </c>
      <c r="W2179" s="27">
        <v>42.92042</v>
      </c>
      <c r="Y2179" s="27">
        <v>7.9999380000000002</v>
      </c>
      <c r="AA2179" s="27">
        <v>625.92659200000003</v>
      </c>
      <c r="AC2179" s="27">
        <v>56.424864999999997</v>
      </c>
      <c r="AE2179" s="27">
        <v>1</v>
      </c>
      <c r="AG2179" s="27">
        <v>7.739026</v>
      </c>
      <c r="AI2179" s="27">
        <v>8.75</v>
      </c>
      <c r="AK2179" s="27">
        <v>24.135418000000001</v>
      </c>
      <c r="AM2179" s="27">
        <v>35.244748000000001</v>
      </c>
      <c r="AO2179" s="27">
        <v>6.7927949999999999</v>
      </c>
    </row>
    <row r="2180" spans="2:41" x14ac:dyDescent="0.25">
      <c r="B2180" s="21">
        <v>44473</v>
      </c>
      <c r="C2180" s="27">
        <v>20.510300000000001</v>
      </c>
      <c r="E2180" s="27">
        <v>0.86103099999999999</v>
      </c>
      <c r="G2180" s="27">
        <v>98.772234999999995</v>
      </c>
      <c r="I2180" s="27">
        <v>6.8990559999999999</v>
      </c>
      <c r="K2180" s="27">
        <v>5.4013169999999997</v>
      </c>
      <c r="M2180" s="27">
        <v>804.64231900000004</v>
      </c>
      <c r="O2180" s="27">
        <v>3789.5117319999999</v>
      </c>
      <c r="Q2180" s="27">
        <v>6900.0384480000002</v>
      </c>
      <c r="S2180" s="27">
        <v>1277.4801930000001</v>
      </c>
      <c r="U2180" s="27">
        <v>4.1310700000000002</v>
      </c>
      <c r="W2180" s="27">
        <v>42.903092999999998</v>
      </c>
      <c r="Y2180" s="27">
        <v>7.9431060000000002</v>
      </c>
      <c r="AA2180" s="27">
        <v>625.40187700000001</v>
      </c>
      <c r="AC2180" s="27">
        <v>56.377741999999998</v>
      </c>
      <c r="AE2180" s="27">
        <v>1</v>
      </c>
      <c r="AG2180" s="27">
        <v>7.7324080000000004</v>
      </c>
      <c r="AI2180" s="27">
        <v>8.75</v>
      </c>
      <c r="AK2180" s="27">
        <v>24.090776999999999</v>
      </c>
      <c r="AM2180" s="27">
        <v>35.125819</v>
      </c>
      <c r="AO2180" s="27">
        <v>6.7839239999999998</v>
      </c>
    </row>
    <row r="2181" spans="2:41" x14ac:dyDescent="0.25">
      <c r="B2181" s="21">
        <v>44474</v>
      </c>
      <c r="C2181" s="27">
        <v>20.5747</v>
      </c>
      <c r="E2181" s="27">
        <v>0.86206000000000005</v>
      </c>
      <c r="G2181" s="27">
        <v>98.899249999999995</v>
      </c>
      <c r="I2181" s="27">
        <v>6.9009140000000002</v>
      </c>
      <c r="K2181" s="27">
        <v>5.4614760000000002</v>
      </c>
      <c r="M2181" s="27">
        <v>808.51829199999997</v>
      </c>
      <c r="O2181" s="27">
        <v>3789.7064879999998</v>
      </c>
      <c r="Q2181" s="27">
        <v>6909.167042</v>
      </c>
      <c r="S2181" s="27">
        <v>1265.0796620000001</v>
      </c>
      <c r="U2181" s="27">
        <v>4.132784</v>
      </c>
      <c r="W2181" s="27">
        <v>42.978724</v>
      </c>
      <c r="Y2181" s="27">
        <v>7.8694569999999997</v>
      </c>
      <c r="AA2181" s="27">
        <v>625.97913400000004</v>
      </c>
      <c r="AC2181" s="27">
        <v>56.350183999999999</v>
      </c>
      <c r="AE2181" s="27">
        <v>1</v>
      </c>
      <c r="AG2181" s="27">
        <v>7.7375920000000002</v>
      </c>
      <c r="AI2181" s="27">
        <v>8.75</v>
      </c>
      <c r="AK2181" s="27">
        <v>24.145472999999999</v>
      </c>
      <c r="AM2181" s="27">
        <v>35.211654000000003</v>
      </c>
      <c r="AO2181" s="27">
        <v>6.7870179999999998</v>
      </c>
    </row>
    <row r="2182" spans="2:41" x14ac:dyDescent="0.25">
      <c r="B2182" s="21">
        <v>44475</v>
      </c>
      <c r="C2182" s="27">
        <v>20.581800000000001</v>
      </c>
      <c r="E2182" s="27">
        <v>0.864958</v>
      </c>
      <c r="G2182" s="27">
        <v>98.899907999999996</v>
      </c>
      <c r="I2182" s="27">
        <v>6.8986539999999996</v>
      </c>
      <c r="K2182" s="27">
        <v>5.4898740000000004</v>
      </c>
      <c r="M2182" s="27">
        <v>813.27312400000005</v>
      </c>
      <c r="O2182" s="27">
        <v>3785.2029120000002</v>
      </c>
      <c r="Q2182" s="27">
        <v>6911.9896010000002</v>
      </c>
      <c r="S2182" s="27">
        <v>1259.0516869999999</v>
      </c>
      <c r="U2182" s="27">
        <v>4.1320490000000003</v>
      </c>
      <c r="W2182" s="27">
        <v>42.987319999999997</v>
      </c>
      <c r="Y2182" s="27">
        <v>7.8303240000000001</v>
      </c>
      <c r="AA2182" s="27">
        <v>625.80399399999999</v>
      </c>
      <c r="AC2182" s="27">
        <v>56.317405999999998</v>
      </c>
      <c r="AE2182" s="27">
        <v>1</v>
      </c>
      <c r="AG2182" s="27">
        <v>7.7359</v>
      </c>
      <c r="AI2182" s="27">
        <v>8.75</v>
      </c>
      <c r="AK2182" s="27">
        <v>24.124388</v>
      </c>
      <c r="AM2182" s="27">
        <v>35.200817999999998</v>
      </c>
      <c r="AO2182" s="27">
        <v>6.7846310000000001</v>
      </c>
    </row>
    <row r="2183" spans="2:41" x14ac:dyDescent="0.25">
      <c r="B2183" s="21">
        <v>44476</v>
      </c>
      <c r="C2183" s="27">
        <v>20.694700000000001</v>
      </c>
      <c r="E2183" s="27">
        <v>0.86519800000000002</v>
      </c>
      <c r="G2183" s="27">
        <v>98.909586000000004</v>
      </c>
      <c r="I2183" s="27">
        <v>6.9008479999999999</v>
      </c>
      <c r="K2183" s="27">
        <v>5.5019559999999998</v>
      </c>
      <c r="M2183" s="27">
        <v>813.00639699999999</v>
      </c>
      <c r="O2183" s="27">
        <v>3778.8928470000001</v>
      </c>
      <c r="Q2183" s="27">
        <v>6908.7799580000001</v>
      </c>
      <c r="S2183" s="27">
        <v>1255.701462</v>
      </c>
      <c r="U2183" s="27">
        <v>4.1240940000000004</v>
      </c>
      <c r="W2183" s="27">
        <v>43.042270000000002</v>
      </c>
      <c r="Y2183" s="27">
        <v>7.8231089999999996</v>
      </c>
      <c r="AA2183" s="27">
        <v>625.50894400000004</v>
      </c>
      <c r="AC2183" s="27">
        <v>56.263784999999999</v>
      </c>
      <c r="AE2183" s="27">
        <v>1</v>
      </c>
      <c r="AG2183" s="27">
        <v>7.7332939999999999</v>
      </c>
      <c r="AI2183" s="27">
        <v>8.75</v>
      </c>
      <c r="AK2183" s="27">
        <v>24.108196</v>
      </c>
      <c r="AM2183" s="27">
        <v>35.173243999999997</v>
      </c>
      <c r="AO2183" s="27">
        <v>6.7809699999999999</v>
      </c>
    </row>
    <row r="2184" spans="2:41" x14ac:dyDescent="0.25">
      <c r="B2184" s="21">
        <v>44477</v>
      </c>
      <c r="C2184" s="27">
        <v>20.603999999999999</v>
      </c>
      <c r="E2184" s="27">
        <v>0.86485400000000001</v>
      </c>
      <c r="G2184" s="27">
        <v>98.859157999999994</v>
      </c>
      <c r="I2184" s="27">
        <v>6.9086299999999996</v>
      </c>
      <c r="K2184" s="27">
        <v>5.515244</v>
      </c>
      <c r="M2184" s="27">
        <v>817.51937899999996</v>
      </c>
      <c r="O2184" s="27">
        <v>3770.7212890000001</v>
      </c>
      <c r="Q2184" s="27">
        <v>6908.5026520000001</v>
      </c>
      <c r="S2184" s="27">
        <v>1252.626</v>
      </c>
      <c r="U2184" s="27">
        <v>4.1041629999999998</v>
      </c>
      <c r="W2184" s="27">
        <v>43.197006000000002</v>
      </c>
      <c r="Y2184" s="27">
        <v>7.8323159999999996</v>
      </c>
      <c r="AA2184" s="27">
        <v>626.116398</v>
      </c>
      <c r="AC2184" s="27">
        <v>56.341501999999998</v>
      </c>
      <c r="AE2184" s="27">
        <v>1</v>
      </c>
      <c r="AG2184" s="27">
        <v>7.7398379999999998</v>
      </c>
      <c r="AI2184" s="27">
        <v>8.75</v>
      </c>
      <c r="AK2184" s="27">
        <v>24.134983999999999</v>
      </c>
      <c r="AM2184" s="27">
        <v>35.207126000000002</v>
      </c>
      <c r="AO2184" s="27">
        <v>6.7910430000000002</v>
      </c>
    </row>
    <row r="2185" spans="2:41" x14ac:dyDescent="0.25">
      <c r="B2185" s="21">
        <v>44478</v>
      </c>
      <c r="C2185" s="27">
        <v>20.603999999999999</v>
      </c>
      <c r="E2185" s="27">
        <v>0.86397599999999997</v>
      </c>
      <c r="G2185" s="27">
        <v>98.848416999999998</v>
      </c>
      <c r="I2185" s="27">
        <v>6.908709</v>
      </c>
      <c r="K2185" s="27">
        <v>5.5075250000000002</v>
      </c>
      <c r="M2185" s="27">
        <v>824.45</v>
      </c>
      <c r="O2185" s="27">
        <v>3766.7775000000001</v>
      </c>
      <c r="Q2185" s="27">
        <v>6905.0397419999999</v>
      </c>
      <c r="S2185" s="27">
        <v>1253.753318</v>
      </c>
      <c r="U2185" s="27">
        <v>4.0879750000000001</v>
      </c>
      <c r="W2185" s="27">
        <v>43.317751999999999</v>
      </c>
      <c r="Y2185" s="27">
        <v>7.8652179999999996</v>
      </c>
      <c r="AA2185" s="27">
        <v>626.15655600000002</v>
      </c>
      <c r="AC2185" s="27">
        <v>56.4375</v>
      </c>
      <c r="AE2185" s="27">
        <v>1</v>
      </c>
      <c r="AG2185" s="27">
        <v>7.7399180000000003</v>
      </c>
      <c r="AI2185" s="27">
        <v>8.75</v>
      </c>
      <c r="AK2185" s="27">
        <v>24.194974999999999</v>
      </c>
      <c r="AM2185" s="27">
        <v>35.222250000000003</v>
      </c>
      <c r="AO2185" s="27">
        <v>6.7949450000000002</v>
      </c>
    </row>
    <row r="2186" spans="2:41" x14ac:dyDescent="0.25">
      <c r="B2186" s="21">
        <v>44479</v>
      </c>
      <c r="C2186" s="27">
        <v>20.603999999999999</v>
      </c>
      <c r="E2186" s="27">
        <v>0.86401600000000001</v>
      </c>
      <c r="G2186" s="27">
        <v>98.842304999999996</v>
      </c>
      <c r="I2186" s="27">
        <v>6.908709</v>
      </c>
      <c r="K2186" s="27">
        <v>5.5076070000000001</v>
      </c>
      <c r="M2186" s="27">
        <v>824.45004600000004</v>
      </c>
      <c r="O2186" s="27">
        <v>3766.7797639999999</v>
      </c>
      <c r="Q2186" s="27">
        <v>6905.0397419999999</v>
      </c>
      <c r="S2186" s="27">
        <v>1253.734702</v>
      </c>
      <c r="U2186" s="27">
        <v>4.0879750000000001</v>
      </c>
      <c r="W2186" s="27">
        <v>43.317751999999999</v>
      </c>
      <c r="Y2186" s="27">
        <v>7.8651010000000001</v>
      </c>
      <c r="AA2186" s="27">
        <v>626.15655600000002</v>
      </c>
      <c r="AC2186" s="27">
        <v>56.4375</v>
      </c>
      <c r="AE2186" s="27">
        <v>1</v>
      </c>
      <c r="AG2186" s="27">
        <v>7.7396880000000001</v>
      </c>
      <c r="AI2186" s="27">
        <v>8.75</v>
      </c>
      <c r="AK2186" s="27">
        <v>24.194974999999999</v>
      </c>
      <c r="AM2186" s="27">
        <v>35.222250000000003</v>
      </c>
      <c r="AO2186" s="27">
        <v>6.7949450000000002</v>
      </c>
    </row>
    <row r="2187" spans="2:41" x14ac:dyDescent="0.25">
      <c r="B2187" s="21">
        <v>44480</v>
      </c>
      <c r="C2187" s="27">
        <v>20.729299999999999</v>
      </c>
      <c r="E2187" s="27">
        <v>0.86455400000000004</v>
      </c>
      <c r="G2187" s="27">
        <v>98.837128000000007</v>
      </c>
      <c r="I2187" s="27">
        <v>6.9068120000000004</v>
      </c>
      <c r="K2187" s="27">
        <v>5.5180530000000001</v>
      </c>
      <c r="M2187" s="27">
        <v>824.45047</v>
      </c>
      <c r="O2187" s="27">
        <v>3763.4936259999999</v>
      </c>
      <c r="Q2187" s="27">
        <v>6896.9032909999996</v>
      </c>
      <c r="S2187" s="27">
        <v>1249.886266</v>
      </c>
      <c r="U2187" s="27">
        <v>4.0883659999999997</v>
      </c>
      <c r="W2187" s="27">
        <v>43.328153</v>
      </c>
      <c r="Y2187" s="27">
        <v>7.8520979999999998</v>
      </c>
      <c r="AA2187" s="27">
        <v>625.89921000000004</v>
      </c>
      <c r="AC2187" s="27">
        <v>56.275478</v>
      </c>
      <c r="AE2187" s="27">
        <v>1</v>
      </c>
      <c r="AG2187" s="27">
        <v>7.7364680000000003</v>
      </c>
      <c r="AI2187" s="27">
        <v>8.75</v>
      </c>
      <c r="AK2187" s="27">
        <v>24.086606</v>
      </c>
      <c r="AM2187" s="27">
        <v>35.190392000000003</v>
      </c>
      <c r="AO2187" s="27">
        <v>6.7965419999999996</v>
      </c>
    </row>
    <row r="2188" spans="2:41" x14ac:dyDescent="0.25">
      <c r="B2188" s="21">
        <v>44481</v>
      </c>
      <c r="C2188" s="27">
        <v>20.8017</v>
      </c>
      <c r="E2188" s="27">
        <v>0.86608700000000005</v>
      </c>
      <c r="G2188" s="27">
        <v>98.957519000000005</v>
      </c>
      <c r="I2188" s="27">
        <v>6.9135160000000004</v>
      </c>
      <c r="K2188" s="27">
        <v>5.535444</v>
      </c>
      <c r="M2188" s="27">
        <v>824.53463399999998</v>
      </c>
      <c r="O2188" s="27">
        <v>3744.7455359999999</v>
      </c>
      <c r="Q2188" s="27">
        <v>6901.2920480000002</v>
      </c>
      <c r="S2188" s="27">
        <v>1246.752326</v>
      </c>
      <c r="U2188" s="27">
        <v>4.0745779999999998</v>
      </c>
      <c r="W2188" s="27">
        <v>43.415162000000002</v>
      </c>
      <c r="Y2188" s="27">
        <v>7.843146</v>
      </c>
      <c r="AA2188" s="27">
        <v>626.49058000000002</v>
      </c>
      <c r="AC2188" s="27">
        <v>56.375777999999997</v>
      </c>
      <c r="AE2188" s="27">
        <v>1</v>
      </c>
      <c r="AG2188" s="27">
        <v>7.7437899999999997</v>
      </c>
      <c r="AI2188" s="27">
        <v>8.75</v>
      </c>
      <c r="AK2188" s="27">
        <v>24.143712000000001</v>
      </c>
      <c r="AM2188" s="27">
        <v>35.221926000000003</v>
      </c>
      <c r="AO2188" s="27">
        <v>6.8055240000000001</v>
      </c>
    </row>
    <row r="2189" spans="2:41" x14ac:dyDescent="0.25">
      <c r="B2189" s="21">
        <v>44482</v>
      </c>
      <c r="C2189" s="27">
        <v>20.776700000000002</v>
      </c>
      <c r="E2189" s="27">
        <v>0.86455199999999999</v>
      </c>
      <c r="G2189" s="27">
        <v>99.044105999999999</v>
      </c>
      <c r="I2189" s="27">
        <v>6.9149779999999996</v>
      </c>
      <c r="K2189" s="27">
        <v>5.5319659999999997</v>
      </c>
      <c r="M2189" s="27">
        <v>820.08477500000004</v>
      </c>
      <c r="O2189" s="27">
        <v>3730.5038869999998</v>
      </c>
      <c r="Q2189" s="27">
        <v>6902.3399149999996</v>
      </c>
      <c r="S2189" s="27">
        <v>1247.72534</v>
      </c>
      <c r="U2189" s="27">
        <v>4.0532120000000003</v>
      </c>
      <c r="W2189" s="27">
        <v>43.503605</v>
      </c>
      <c r="Y2189" s="27">
        <v>7.8640639999999999</v>
      </c>
      <c r="AA2189" s="27">
        <v>626.70187999999996</v>
      </c>
      <c r="AC2189" s="27">
        <v>56.320974</v>
      </c>
      <c r="AE2189" s="27">
        <v>1</v>
      </c>
      <c r="AG2189" s="27">
        <v>7.7431400000000004</v>
      </c>
      <c r="AI2189" s="27">
        <v>8.75</v>
      </c>
      <c r="AK2189" s="27">
        <v>24.136063</v>
      </c>
      <c r="AM2189" s="27">
        <v>35.214582</v>
      </c>
      <c r="AO2189" s="27">
        <v>6.7988160000000004</v>
      </c>
    </row>
    <row r="2190" spans="2:41" x14ac:dyDescent="0.25">
      <c r="B2190" s="21">
        <v>44483</v>
      </c>
      <c r="C2190" s="27">
        <v>20.682700000000001</v>
      </c>
      <c r="E2190" s="27">
        <v>0.86219800000000002</v>
      </c>
      <c r="G2190" s="27">
        <v>99.073241999999993</v>
      </c>
      <c r="I2190" s="27">
        <v>6.904147</v>
      </c>
      <c r="K2190" s="27">
        <v>5.5118280000000004</v>
      </c>
      <c r="M2190" s="27">
        <v>818.44946100000004</v>
      </c>
      <c r="O2190" s="27">
        <v>3748.0989789999999</v>
      </c>
      <c r="Q2190" s="27">
        <v>6892.2584059999999</v>
      </c>
      <c r="S2190" s="27">
        <v>1250.4552490000001</v>
      </c>
      <c r="U2190" s="27">
        <v>3.9813019999999999</v>
      </c>
      <c r="W2190" s="27">
        <v>43.521521999999997</v>
      </c>
      <c r="Y2190" s="27">
        <v>7.8960489999999997</v>
      </c>
      <c r="AA2190" s="27">
        <v>626.52594399999998</v>
      </c>
      <c r="AC2190" s="27">
        <v>56.283085999999997</v>
      </c>
      <c r="AE2190" s="27">
        <v>1</v>
      </c>
      <c r="AG2190" s="27">
        <v>7.7311249999999996</v>
      </c>
      <c r="AI2190" s="27">
        <v>8.75</v>
      </c>
      <c r="AK2190" s="27">
        <v>24.092392</v>
      </c>
      <c r="AM2190" s="27">
        <v>35.145124000000003</v>
      </c>
      <c r="AO2190" s="27">
        <v>6.7841259999999997</v>
      </c>
    </row>
    <row r="2191" spans="2:41" x14ac:dyDescent="0.25">
      <c r="B2191" s="21">
        <v>44484</v>
      </c>
      <c r="C2191" s="27">
        <v>20.607500000000002</v>
      </c>
      <c r="E2191" s="27">
        <v>0.86190999999999995</v>
      </c>
      <c r="G2191" s="27">
        <v>99.113139000000004</v>
      </c>
      <c r="I2191" s="27">
        <v>6.913754</v>
      </c>
      <c r="K2191" s="27">
        <v>5.4861149999999999</v>
      </c>
      <c r="M2191" s="27">
        <v>825.37902399999996</v>
      </c>
      <c r="O2191" s="27">
        <v>3764.6155100000001</v>
      </c>
      <c r="Q2191" s="27">
        <v>6903.1994430000004</v>
      </c>
      <c r="S2191" s="27">
        <v>1258.3105599999999</v>
      </c>
      <c r="U2191" s="27">
        <v>3.9371960000000001</v>
      </c>
      <c r="W2191" s="27">
        <v>43.785040000000002</v>
      </c>
      <c r="Y2191" s="27">
        <v>7.9810920000000003</v>
      </c>
      <c r="AA2191" s="27">
        <v>628.12009399999999</v>
      </c>
      <c r="AC2191" s="27">
        <v>56.439445999999997</v>
      </c>
      <c r="AE2191" s="27">
        <v>1</v>
      </c>
      <c r="AG2191" s="27">
        <v>7.7429940000000004</v>
      </c>
      <c r="AI2191" s="27">
        <v>8.75</v>
      </c>
      <c r="AK2191" s="27">
        <v>24.164746000000001</v>
      </c>
      <c r="AM2191" s="27">
        <v>35.205595000000002</v>
      </c>
      <c r="AO2191" s="27">
        <v>6.7988780000000002</v>
      </c>
    </row>
    <row r="2192" spans="2:41" x14ac:dyDescent="0.25">
      <c r="B2192" s="21">
        <v>44485</v>
      </c>
      <c r="C2192" s="27">
        <v>20.607500000000002</v>
      </c>
      <c r="E2192" s="27">
        <v>0.862147</v>
      </c>
      <c r="G2192" s="27">
        <v>99.146275000000003</v>
      </c>
      <c r="I2192" s="27">
        <v>6.9109999999999996</v>
      </c>
      <c r="K2192" s="27">
        <v>5.46</v>
      </c>
      <c r="M2192" s="27">
        <v>823.75</v>
      </c>
      <c r="O2192" s="27">
        <v>3763.2674999999999</v>
      </c>
      <c r="Q2192" s="27">
        <v>6900.40726</v>
      </c>
      <c r="S2192" s="27">
        <v>1263.8165939999999</v>
      </c>
      <c r="U2192" s="27">
        <v>3.9298709999999999</v>
      </c>
      <c r="W2192" s="27">
        <v>43.855772000000002</v>
      </c>
      <c r="Y2192" s="27">
        <v>8.0322119999999995</v>
      </c>
      <c r="AA2192" s="27">
        <v>627.90142200000003</v>
      </c>
      <c r="AC2192" s="27">
        <v>56.467500000000001</v>
      </c>
      <c r="AE2192" s="27">
        <v>1</v>
      </c>
      <c r="AG2192" s="27">
        <v>7.7391449999999997</v>
      </c>
      <c r="AI2192" s="27">
        <v>8.75</v>
      </c>
      <c r="AK2192" s="27">
        <v>24.197475000000001</v>
      </c>
      <c r="AM2192" s="27">
        <v>35.15475</v>
      </c>
      <c r="AO2192" s="27">
        <v>6.7987120000000001</v>
      </c>
    </row>
    <row r="2193" spans="2:41" x14ac:dyDescent="0.25">
      <c r="B2193" s="21">
        <v>44486</v>
      </c>
      <c r="C2193" s="27">
        <v>20.607500000000002</v>
      </c>
      <c r="E2193" s="27">
        <v>0.86213600000000001</v>
      </c>
      <c r="G2193" s="27">
        <v>99.147813999999997</v>
      </c>
      <c r="I2193" s="27">
        <v>6.9109999999999996</v>
      </c>
      <c r="K2193" s="27">
        <v>5.4600689999999998</v>
      </c>
      <c r="M2193" s="27">
        <v>823.74842599999999</v>
      </c>
      <c r="O2193" s="27">
        <v>3763.2864479999998</v>
      </c>
      <c r="Q2193" s="27">
        <v>6900.3999919999997</v>
      </c>
      <c r="S2193" s="27">
        <v>1263.7994200000001</v>
      </c>
      <c r="U2193" s="27">
        <v>3.9302220000000001</v>
      </c>
      <c r="W2193" s="27">
        <v>43.847244000000003</v>
      </c>
      <c r="Y2193" s="27">
        <v>8.0305499999999999</v>
      </c>
      <c r="AA2193" s="27">
        <v>627.89532799999995</v>
      </c>
      <c r="AC2193" s="27">
        <v>56.467455000000001</v>
      </c>
      <c r="AE2193" s="27">
        <v>1</v>
      </c>
      <c r="AG2193" s="27">
        <v>7.7391480000000001</v>
      </c>
      <c r="AI2193" s="27">
        <v>8.75</v>
      </c>
      <c r="AK2193" s="27">
        <v>24.193916000000002</v>
      </c>
      <c r="AM2193" s="27">
        <v>35.154477999999997</v>
      </c>
      <c r="AO2193" s="27">
        <v>6.798699</v>
      </c>
    </row>
    <row r="2194" spans="2:41" x14ac:dyDescent="0.25">
      <c r="B2194" s="21">
        <v>44487</v>
      </c>
      <c r="C2194" s="27">
        <v>20.467199999999998</v>
      </c>
      <c r="E2194" s="27">
        <v>0.86225200000000002</v>
      </c>
      <c r="G2194" s="27">
        <v>99.232984999999999</v>
      </c>
      <c r="I2194" s="27">
        <v>6.917637</v>
      </c>
      <c r="K2194" s="27">
        <v>5.4880560000000003</v>
      </c>
      <c r="M2194" s="27">
        <v>821.23831900000005</v>
      </c>
      <c r="O2194" s="27">
        <v>3766.126346</v>
      </c>
      <c r="Q2194" s="27">
        <v>6907.4690479999999</v>
      </c>
      <c r="S2194" s="27">
        <v>1258.6441460000001</v>
      </c>
      <c r="U2194" s="27">
        <v>3.9347080000000001</v>
      </c>
      <c r="W2194" s="27">
        <v>43.882959999999997</v>
      </c>
      <c r="Y2194" s="27">
        <v>7.9961130000000002</v>
      </c>
      <c r="AA2194" s="27">
        <v>628.38933799999995</v>
      </c>
      <c r="AC2194" s="27">
        <v>56.453068000000002</v>
      </c>
      <c r="AE2194" s="27">
        <v>1</v>
      </c>
      <c r="AG2194" s="27">
        <v>7.743938</v>
      </c>
      <c r="AI2194" s="27">
        <v>8.75</v>
      </c>
      <c r="AK2194" s="27">
        <v>24.149042999999999</v>
      </c>
      <c r="AM2194" s="27">
        <v>35.216794</v>
      </c>
      <c r="AO2194" s="27">
        <v>6.801558</v>
      </c>
    </row>
    <row r="2195" spans="2:41" x14ac:dyDescent="0.25">
      <c r="B2195" s="21">
        <v>44488</v>
      </c>
      <c r="C2195" s="27">
        <v>20.358699999999999</v>
      </c>
      <c r="E2195" s="27">
        <v>0.85888699999999996</v>
      </c>
      <c r="G2195" s="27">
        <v>99.257707999999994</v>
      </c>
      <c r="I2195" s="27">
        <v>6.9035120000000001</v>
      </c>
      <c r="K2195" s="27">
        <v>5.5423859999999996</v>
      </c>
      <c r="M2195" s="27">
        <v>814.39937799999996</v>
      </c>
      <c r="O2195" s="27">
        <v>3767.5293259999999</v>
      </c>
      <c r="Q2195" s="27">
        <v>6899.4510309999996</v>
      </c>
      <c r="S2195" s="27">
        <v>1244.858808</v>
      </c>
      <c r="U2195" s="27">
        <v>3.9369839999999998</v>
      </c>
      <c r="W2195" s="27">
        <v>43.825555000000001</v>
      </c>
      <c r="Y2195" s="27">
        <v>7.907368</v>
      </c>
      <c r="AA2195" s="27">
        <v>627.39130699999998</v>
      </c>
      <c r="AC2195" s="27">
        <v>56.335326999999999</v>
      </c>
      <c r="AE2195" s="27">
        <v>1</v>
      </c>
      <c r="AG2195" s="27">
        <v>7.7304199999999996</v>
      </c>
      <c r="AI2195" s="27">
        <v>8.75</v>
      </c>
      <c r="AK2195" s="27">
        <v>24.131941999999999</v>
      </c>
      <c r="AM2195" s="27">
        <v>35.144640000000003</v>
      </c>
      <c r="AO2195" s="27">
        <v>6.7882179999999996</v>
      </c>
    </row>
    <row r="2196" spans="2:41" x14ac:dyDescent="0.25">
      <c r="B2196" s="21">
        <v>44489</v>
      </c>
      <c r="C2196" s="27">
        <v>20.264700000000001</v>
      </c>
      <c r="E2196" s="27">
        <v>0.85894599999999999</v>
      </c>
      <c r="G2196" s="27">
        <v>99.318538000000004</v>
      </c>
      <c r="I2196" s="27">
        <v>6.9068059999999996</v>
      </c>
      <c r="K2196" s="27">
        <v>5.5761640000000003</v>
      </c>
      <c r="M2196" s="27">
        <v>811.71864600000004</v>
      </c>
      <c r="O2196" s="27">
        <v>3767.5785369999999</v>
      </c>
      <c r="Q2196" s="27">
        <v>6914.9617660000004</v>
      </c>
      <c r="S2196" s="27">
        <v>1240.0994740000001</v>
      </c>
      <c r="U2196" s="27">
        <v>3.9474640000000001</v>
      </c>
      <c r="W2196" s="27">
        <v>43.880412999999997</v>
      </c>
      <c r="Y2196" s="27">
        <v>7.8693070000000001</v>
      </c>
      <c r="AA2196" s="27">
        <v>628.60665600000004</v>
      </c>
      <c r="AC2196" s="27">
        <v>56.429160000000003</v>
      </c>
      <c r="AE2196" s="27">
        <v>1</v>
      </c>
      <c r="AG2196" s="27">
        <v>7.7428470000000003</v>
      </c>
      <c r="AI2196" s="27">
        <v>8.75</v>
      </c>
      <c r="AK2196" s="27">
        <v>24.164200000000001</v>
      </c>
      <c r="AM2196" s="27">
        <v>35.225619999999999</v>
      </c>
      <c r="AO2196" s="27">
        <v>6.7969860000000004</v>
      </c>
    </row>
    <row r="2197" spans="2:41" x14ac:dyDescent="0.25">
      <c r="B2197" s="21">
        <v>44490</v>
      </c>
      <c r="C2197" s="27">
        <v>20.184999999999999</v>
      </c>
      <c r="E2197" s="27">
        <v>0.859016</v>
      </c>
      <c r="G2197" s="27">
        <v>99.327637999999993</v>
      </c>
      <c r="I2197" s="27">
        <v>6.8966500000000002</v>
      </c>
      <c r="K2197" s="27">
        <v>5.6266299999999996</v>
      </c>
      <c r="M2197" s="27">
        <v>815.95845599999996</v>
      </c>
      <c r="O2197" s="27">
        <v>3774.3288229999998</v>
      </c>
      <c r="Q2197" s="27">
        <v>6910.47091</v>
      </c>
      <c r="S2197" s="27">
        <v>1228.178523</v>
      </c>
      <c r="U2197" s="27">
        <v>3.949103</v>
      </c>
      <c r="W2197" s="27">
        <v>43.788466</v>
      </c>
      <c r="Y2197" s="27">
        <v>7.7823830000000003</v>
      </c>
      <c r="AA2197" s="27">
        <v>627.93284800000004</v>
      </c>
      <c r="AC2197" s="27">
        <v>56.293436</v>
      </c>
      <c r="AE2197" s="27">
        <v>1</v>
      </c>
      <c r="AG2197" s="27">
        <v>7.7325999999999997</v>
      </c>
      <c r="AI2197" s="27">
        <v>8.75</v>
      </c>
      <c r="AK2197" s="27">
        <v>24.11496</v>
      </c>
      <c r="AM2197" s="27">
        <v>35.160359</v>
      </c>
      <c r="AO2197" s="27">
        <v>6.7881200000000002</v>
      </c>
    </row>
    <row r="2198" spans="2:41" x14ac:dyDescent="0.25">
      <c r="B2198" s="21">
        <v>44491</v>
      </c>
      <c r="C2198" s="27">
        <v>20.264299999999999</v>
      </c>
      <c r="E2198" s="27">
        <v>0.85940300000000003</v>
      </c>
      <c r="G2198" s="27">
        <v>99.356573999999995</v>
      </c>
      <c r="I2198" s="27">
        <v>6.9045519999999998</v>
      </c>
      <c r="K2198" s="27">
        <v>5.6686920000000001</v>
      </c>
      <c r="M2198" s="27">
        <v>817.03842399999996</v>
      </c>
      <c r="O2198" s="27">
        <v>3779.2281400000002</v>
      </c>
      <c r="Q2198" s="27">
        <v>6916.7152679999999</v>
      </c>
      <c r="S2198" s="27">
        <v>1220.1668520000001</v>
      </c>
      <c r="U2198" s="27">
        <v>3.9576479999999998</v>
      </c>
      <c r="W2198" s="27">
        <v>43.852308999999998</v>
      </c>
      <c r="Y2198" s="27">
        <v>7.7359</v>
      </c>
      <c r="AA2198" s="27">
        <v>628.40561600000001</v>
      </c>
      <c r="AC2198" s="27">
        <v>56.388814000000004</v>
      </c>
      <c r="AE2198" s="27">
        <v>1</v>
      </c>
      <c r="AG2198" s="27">
        <v>7.7388019999999997</v>
      </c>
      <c r="AI2198" s="27">
        <v>8.75</v>
      </c>
      <c r="AK2198" s="27">
        <v>24.134035999999998</v>
      </c>
      <c r="AM2198" s="27">
        <v>35.196936999999998</v>
      </c>
      <c r="AO2198" s="27">
        <v>6.7954840000000001</v>
      </c>
    </row>
    <row r="2199" spans="2:41" x14ac:dyDescent="0.25">
      <c r="B2199" s="21">
        <v>44492</v>
      </c>
      <c r="C2199" s="27">
        <v>20.264299999999999</v>
      </c>
      <c r="E2199" s="27">
        <v>0.85867199999999999</v>
      </c>
      <c r="G2199" s="27">
        <v>99.361999999999995</v>
      </c>
      <c r="I2199" s="27">
        <v>6.9019279999999998</v>
      </c>
      <c r="K2199" s="27">
        <v>5.6497000000000002</v>
      </c>
      <c r="M2199" s="27">
        <v>816.02250000000004</v>
      </c>
      <c r="O2199" s="27">
        <v>3774.0524999999998</v>
      </c>
      <c r="Q2199" s="27">
        <v>6913.0898649999999</v>
      </c>
      <c r="S2199" s="27">
        <v>1223.626037</v>
      </c>
      <c r="U2199" s="27">
        <v>3.9667249999999998</v>
      </c>
      <c r="W2199" s="27">
        <v>43.848993999999998</v>
      </c>
      <c r="Y2199" s="27">
        <v>7.7613139999999996</v>
      </c>
      <c r="AA2199" s="27">
        <v>628.15363500000001</v>
      </c>
      <c r="AC2199" s="27">
        <v>56.397500000000001</v>
      </c>
      <c r="AE2199" s="27">
        <v>1</v>
      </c>
      <c r="AG2199" s="27">
        <v>7.7364620000000004</v>
      </c>
      <c r="AI2199" s="27">
        <v>8.75</v>
      </c>
      <c r="AK2199" s="27">
        <v>24.162475000000001</v>
      </c>
      <c r="AM2199" s="27">
        <v>35.132249999999999</v>
      </c>
      <c r="AO2199" s="27">
        <v>6.7935119999999998</v>
      </c>
    </row>
    <row r="2200" spans="2:41" x14ac:dyDescent="0.25">
      <c r="B2200" s="21">
        <v>44493</v>
      </c>
      <c r="C2200" s="27">
        <v>20.264299999999999</v>
      </c>
      <c r="E2200" s="27">
        <v>0.85871399999999998</v>
      </c>
      <c r="G2200" s="27">
        <v>99.353378000000006</v>
      </c>
      <c r="I2200" s="27">
        <v>6.9019279999999998</v>
      </c>
      <c r="K2200" s="27">
        <v>5.6497200000000003</v>
      </c>
      <c r="M2200" s="27">
        <v>816.01993600000003</v>
      </c>
      <c r="O2200" s="27">
        <v>3773.9430000000002</v>
      </c>
      <c r="Q2200" s="27">
        <v>6913.0898649999999</v>
      </c>
      <c r="S2200" s="27">
        <v>1223.6217919999999</v>
      </c>
      <c r="U2200" s="27">
        <v>3.9667249999999998</v>
      </c>
      <c r="W2200" s="27">
        <v>43.848993999999998</v>
      </c>
      <c r="Y2200" s="27">
        <v>7.7612880000000004</v>
      </c>
      <c r="AA2200" s="27">
        <v>628.15363500000001</v>
      </c>
      <c r="AC2200" s="27">
        <v>56.397500000000001</v>
      </c>
      <c r="AE2200" s="27">
        <v>1</v>
      </c>
      <c r="AG2200" s="27">
        <v>7.7364940000000004</v>
      </c>
      <c r="AI2200" s="27">
        <v>8.75</v>
      </c>
      <c r="AK2200" s="27">
        <v>24.162475000000001</v>
      </c>
      <c r="AM2200" s="27">
        <v>35.132249999999999</v>
      </c>
      <c r="AO2200" s="27">
        <v>6.7935080000000001</v>
      </c>
    </row>
    <row r="2201" spans="2:41" x14ac:dyDescent="0.25">
      <c r="B2201" s="21">
        <v>44494</v>
      </c>
      <c r="C2201" s="27">
        <v>20.183700000000002</v>
      </c>
      <c r="E2201" s="27">
        <v>0.86003099999999999</v>
      </c>
      <c r="G2201" s="27">
        <v>99.372979000000001</v>
      </c>
      <c r="I2201" s="27">
        <v>6.8988240000000003</v>
      </c>
      <c r="K2201" s="27">
        <v>5.6129889999999998</v>
      </c>
      <c r="M2201" s="27">
        <v>812.41480200000001</v>
      </c>
      <c r="O2201" s="27">
        <v>3768.0225879999998</v>
      </c>
      <c r="Q2201" s="27">
        <v>6910.3906470000002</v>
      </c>
      <c r="S2201" s="27">
        <v>1231.1494809999999</v>
      </c>
      <c r="U2201" s="27">
        <v>3.9617640000000001</v>
      </c>
      <c r="W2201" s="27">
        <v>43.826785999999998</v>
      </c>
      <c r="Y2201" s="27">
        <v>7.808128</v>
      </c>
      <c r="AA2201" s="27">
        <v>628.38894200000004</v>
      </c>
      <c r="AC2201" s="27">
        <v>56.390239000000001</v>
      </c>
      <c r="AE2201" s="27">
        <v>1</v>
      </c>
      <c r="AG2201" s="27">
        <v>7.736561</v>
      </c>
      <c r="AI2201" s="27">
        <v>8.75</v>
      </c>
      <c r="AK2201" s="27">
        <v>24.094794</v>
      </c>
      <c r="AM2201" s="27">
        <v>35.204718</v>
      </c>
      <c r="AO2201" s="27">
        <v>6.7943150000000001</v>
      </c>
    </row>
    <row r="2202" spans="2:41" x14ac:dyDescent="0.25">
      <c r="B2202" s="21">
        <v>44495</v>
      </c>
      <c r="C2202" s="27">
        <v>20.189699999999998</v>
      </c>
      <c r="E2202" s="27">
        <v>0.86187800000000003</v>
      </c>
      <c r="G2202" s="27">
        <v>99.485404000000003</v>
      </c>
      <c r="I2202" s="27">
        <v>6.9054640000000003</v>
      </c>
      <c r="K2202" s="27">
        <v>5.5644070000000001</v>
      </c>
      <c r="M2202" s="27">
        <v>806.49255600000004</v>
      </c>
      <c r="O2202" s="27">
        <v>3769.5225110000001</v>
      </c>
      <c r="Q2202" s="27">
        <v>6910.7620489999999</v>
      </c>
      <c r="S2202" s="27">
        <v>1241.964684</v>
      </c>
      <c r="U2202" s="27">
        <v>3.9829370000000002</v>
      </c>
      <c r="W2202" s="27">
        <v>43.841034000000001</v>
      </c>
      <c r="Y2202" s="27">
        <v>7.8788580000000001</v>
      </c>
      <c r="AA2202" s="27">
        <v>629.888554</v>
      </c>
      <c r="AC2202" s="27">
        <v>56.425823999999999</v>
      </c>
      <c r="AE2202" s="27">
        <v>1</v>
      </c>
      <c r="AG2202" s="27">
        <v>7.7451749999999997</v>
      </c>
      <c r="AI2202" s="27">
        <v>8.75</v>
      </c>
      <c r="AK2202" s="27">
        <v>24.128333999999999</v>
      </c>
      <c r="AM2202" s="27">
        <v>35.254162999999998</v>
      </c>
      <c r="AO2202" s="27">
        <v>6.7981569999999998</v>
      </c>
    </row>
    <row r="2203" spans="2:41" x14ac:dyDescent="0.25">
      <c r="B2203" s="21">
        <v>44496</v>
      </c>
      <c r="C2203" s="27">
        <v>20.188800000000001</v>
      </c>
      <c r="E2203" s="27">
        <v>0.86180599999999996</v>
      </c>
      <c r="G2203" s="27">
        <v>99.586320000000001</v>
      </c>
      <c r="I2203" s="27">
        <v>6.9047919999999996</v>
      </c>
      <c r="K2203" s="27">
        <v>5.5626720000000001</v>
      </c>
      <c r="M2203" s="27">
        <v>804.56637999999998</v>
      </c>
      <c r="O2203" s="27">
        <v>3766.1077140000002</v>
      </c>
      <c r="Q2203" s="27">
        <v>6916.60898</v>
      </c>
      <c r="S2203" s="27">
        <v>1243.4031580000001</v>
      </c>
      <c r="U2203" s="27">
        <v>3.9875600000000002</v>
      </c>
      <c r="W2203" s="27">
        <v>43.748933000000001</v>
      </c>
      <c r="Y2203" s="27">
        <v>7.8647600000000004</v>
      </c>
      <c r="AA2203" s="27">
        <v>630.04605900000001</v>
      </c>
      <c r="AC2203" s="27">
        <v>56.422904000000003</v>
      </c>
      <c r="AE2203" s="27">
        <v>1</v>
      </c>
      <c r="AG2203" s="27">
        <v>7.7438859999999998</v>
      </c>
      <c r="AI2203" s="27">
        <v>8.75</v>
      </c>
      <c r="AK2203" s="27">
        <v>24.135732000000001</v>
      </c>
      <c r="AM2203" s="27">
        <v>35.256942000000002</v>
      </c>
      <c r="AO2203" s="27">
        <v>6.7931559999999998</v>
      </c>
    </row>
    <row r="2204" spans="2:41" x14ac:dyDescent="0.25">
      <c r="B2204" s="21">
        <v>44497</v>
      </c>
      <c r="C2204" s="27">
        <v>20.193000000000001</v>
      </c>
      <c r="E2204" s="27">
        <v>0.85936599999999996</v>
      </c>
      <c r="G2204" s="27">
        <v>99.659148999999999</v>
      </c>
      <c r="I2204" s="27">
        <v>6.9000459999999997</v>
      </c>
      <c r="K2204" s="27">
        <v>5.5794180000000004</v>
      </c>
      <c r="M2204" s="27">
        <v>805.50694199999998</v>
      </c>
      <c r="O2204" s="27">
        <v>3765.5824480000001</v>
      </c>
      <c r="Q2204" s="27">
        <v>6918.754148</v>
      </c>
      <c r="S2204" s="27">
        <v>1240.0556959999999</v>
      </c>
      <c r="U2204" s="27">
        <v>3.9808680000000001</v>
      </c>
      <c r="W2204" s="27">
        <v>43.645240000000001</v>
      </c>
      <c r="Y2204" s="27">
        <v>7.8225680000000004</v>
      </c>
      <c r="AA2204" s="27">
        <v>631.43941099999995</v>
      </c>
      <c r="AC2204" s="27">
        <v>56.377997000000001</v>
      </c>
      <c r="AE2204" s="27">
        <v>1</v>
      </c>
      <c r="AG2204" s="27">
        <v>7.739808</v>
      </c>
      <c r="AI2204" s="27">
        <v>8.75</v>
      </c>
      <c r="AK2204" s="27">
        <v>24.131204</v>
      </c>
      <c r="AM2204" s="27">
        <v>35.221812999999997</v>
      </c>
      <c r="AO2204" s="27">
        <v>6.776154</v>
      </c>
    </row>
    <row r="2205" spans="2:41" x14ac:dyDescent="0.25">
      <c r="B2205" s="21">
        <v>44498</v>
      </c>
      <c r="C2205" s="27">
        <v>20.325500000000002</v>
      </c>
      <c r="E2205" s="27">
        <v>0.86056699999999997</v>
      </c>
      <c r="G2205" s="27">
        <v>99.670327</v>
      </c>
      <c r="I2205" s="27">
        <v>6.8828659999999999</v>
      </c>
      <c r="K2205" s="27">
        <v>5.6426069999999999</v>
      </c>
      <c r="M2205" s="27">
        <v>809.01933599999995</v>
      </c>
      <c r="O2205" s="27">
        <v>3776.1276979999998</v>
      </c>
      <c r="Q2205" s="27">
        <v>6897.326118</v>
      </c>
      <c r="S2205" s="27">
        <v>1222.371443</v>
      </c>
      <c r="U2205" s="27">
        <v>3.9679959999999999</v>
      </c>
      <c r="W2205" s="27">
        <v>43.581645999999999</v>
      </c>
      <c r="Y2205" s="27">
        <v>7.7236969999999996</v>
      </c>
      <c r="AA2205" s="27">
        <v>632.17655300000001</v>
      </c>
      <c r="AC2205" s="27">
        <v>56.316023999999999</v>
      </c>
      <c r="AE2205" s="27">
        <v>1</v>
      </c>
      <c r="AG2205" s="27">
        <v>7.7299420000000003</v>
      </c>
      <c r="AI2205" s="27">
        <v>8.75</v>
      </c>
      <c r="AK2205" s="27">
        <v>24.090699999999998</v>
      </c>
      <c r="AM2205" s="27">
        <v>35.113553000000003</v>
      </c>
      <c r="AO2205" s="27">
        <v>6.7607340000000002</v>
      </c>
    </row>
    <row r="2206" spans="2:41" x14ac:dyDescent="0.25">
      <c r="B2206" s="21">
        <v>44499</v>
      </c>
      <c r="C2206" s="27">
        <v>20.325500000000002</v>
      </c>
      <c r="E2206" s="27">
        <v>0.86490999999999996</v>
      </c>
      <c r="G2206" s="27">
        <v>99.680324999999996</v>
      </c>
      <c r="I2206" s="27">
        <v>6.8946540000000001</v>
      </c>
      <c r="K2206" s="27">
        <v>5.6358249999999996</v>
      </c>
      <c r="M2206" s="27">
        <v>813.5</v>
      </c>
      <c r="O2206" s="27">
        <v>3761.5774999999999</v>
      </c>
      <c r="Q2206" s="27">
        <v>6912.3600539999998</v>
      </c>
      <c r="S2206" s="27">
        <v>1226.5111380000001</v>
      </c>
      <c r="U2206" s="27">
        <v>3.977725</v>
      </c>
      <c r="W2206" s="27">
        <v>43.838124999999998</v>
      </c>
      <c r="Y2206" s="27">
        <v>7.7785099999999998</v>
      </c>
      <c r="AA2206" s="27">
        <v>634.15282000000002</v>
      </c>
      <c r="AC2206" s="27">
        <v>56.454999999999998</v>
      </c>
      <c r="AE2206" s="27">
        <v>1</v>
      </c>
      <c r="AG2206" s="27">
        <v>7.7417800000000003</v>
      </c>
      <c r="AI2206" s="27">
        <v>8.75</v>
      </c>
      <c r="AK2206" s="27">
        <v>24.125824999999999</v>
      </c>
      <c r="AM2206" s="27">
        <v>35.199750000000002</v>
      </c>
      <c r="AO2206" s="27">
        <v>6.7755409999999996</v>
      </c>
    </row>
    <row r="2207" spans="2:41" x14ac:dyDescent="0.25">
      <c r="B2207" s="21">
        <v>44500</v>
      </c>
      <c r="C2207" s="27">
        <v>20.325500000000002</v>
      </c>
      <c r="E2207" s="27">
        <v>0.86491600000000002</v>
      </c>
      <c r="G2207" s="27">
        <v>99.682264000000004</v>
      </c>
      <c r="I2207" s="27">
        <v>6.8946540000000001</v>
      </c>
      <c r="K2207" s="27">
        <v>5.6358839999999999</v>
      </c>
      <c r="M2207" s="27">
        <v>813.5</v>
      </c>
      <c r="O2207" s="27">
        <v>3761.5774999999999</v>
      </c>
      <c r="Q2207" s="27">
        <v>6912.3600539999998</v>
      </c>
      <c r="S2207" s="27">
        <v>1226.4979519999999</v>
      </c>
      <c r="U2207" s="27">
        <v>3.977725</v>
      </c>
      <c r="W2207" s="27">
        <v>43.838124999999998</v>
      </c>
      <c r="Y2207" s="27">
        <v>7.7784259999999996</v>
      </c>
      <c r="AA2207" s="27">
        <v>634.12698899999998</v>
      </c>
      <c r="AC2207" s="27">
        <v>56.454999999999998</v>
      </c>
      <c r="AE2207" s="27">
        <v>1</v>
      </c>
      <c r="AG2207" s="27">
        <v>7.7417809999999996</v>
      </c>
      <c r="AI2207" s="27">
        <v>8.75</v>
      </c>
      <c r="AK2207" s="27">
        <v>24.125824999999999</v>
      </c>
      <c r="AM2207" s="27">
        <v>35.199750000000002</v>
      </c>
      <c r="AO2207" s="27">
        <v>6.7755409999999996</v>
      </c>
    </row>
    <row r="2208" spans="2:41" ht="13" x14ac:dyDescent="0.3">
      <c r="B2208" s="25" t="s">
        <v>126</v>
      </c>
      <c r="C2208" s="19">
        <v>20.466899999999999</v>
      </c>
      <c r="E2208" s="19">
        <v>0.86219999999999997</v>
      </c>
      <c r="G2208" s="19">
        <v>99.155900000000003</v>
      </c>
      <c r="I2208" s="19">
        <v>6.9042000000000003</v>
      </c>
      <c r="K2208" s="19">
        <v>5.5311000000000003</v>
      </c>
      <c r="M2208" s="19">
        <v>814.74879999999996</v>
      </c>
      <c r="O2208" s="19">
        <v>3770.2413999999999</v>
      </c>
      <c r="Q2208" s="19">
        <v>6906.3933999999999</v>
      </c>
      <c r="S2208" s="19">
        <v>1248.93</v>
      </c>
      <c r="U2208" s="19">
        <v>4.0227000000000004</v>
      </c>
      <c r="W2208" s="19">
        <v>43.515500000000003</v>
      </c>
      <c r="Y2208" s="19">
        <v>7.8685999999999998</v>
      </c>
      <c r="AA2208" s="19">
        <v>627.92660000000001</v>
      </c>
      <c r="AC2208" s="19">
        <v>56.384799999999998</v>
      </c>
      <c r="AE2208" s="19">
        <v>1</v>
      </c>
      <c r="AG2208" s="19">
        <v>7.7385000000000002</v>
      </c>
      <c r="AI2208" s="19">
        <v>8.75</v>
      </c>
      <c r="AK2208" s="19">
        <v>24.1372</v>
      </c>
      <c r="AM2208" s="19">
        <v>35.193100000000001</v>
      </c>
      <c r="AO2208" s="19">
        <v>6.7906000000000004</v>
      </c>
    </row>
    <row r="2209" spans="2:41" x14ac:dyDescent="0.25">
      <c r="B2209" s="21">
        <v>44501</v>
      </c>
      <c r="C2209" s="27">
        <v>20.529699999999998</v>
      </c>
      <c r="E2209" s="27">
        <v>0.86381699999999995</v>
      </c>
      <c r="G2209" s="27">
        <v>99.908889000000002</v>
      </c>
      <c r="I2209" s="27">
        <v>6.9104780000000003</v>
      </c>
      <c r="K2209" s="27">
        <v>5.6547650000000003</v>
      </c>
      <c r="M2209" s="27">
        <v>813.04586200000006</v>
      </c>
      <c r="O2209" s="27">
        <v>3760.863167</v>
      </c>
      <c r="Q2209" s="27">
        <v>6922.4842490000001</v>
      </c>
      <c r="S2209" s="27">
        <v>1224.1926679999999</v>
      </c>
      <c r="U2209" s="27">
        <v>3.996534</v>
      </c>
      <c r="W2209" s="27">
        <v>44.016621999999998</v>
      </c>
      <c r="Y2209" s="27">
        <v>7.784014</v>
      </c>
      <c r="AA2209" s="27">
        <v>635.36772199999996</v>
      </c>
      <c r="AC2209" s="27">
        <v>56.522849999999998</v>
      </c>
      <c r="AE2209" s="27">
        <v>1</v>
      </c>
      <c r="AG2209" s="27">
        <v>7.766254</v>
      </c>
      <c r="AI2209" s="27">
        <v>8.75</v>
      </c>
      <c r="AK2209" s="27">
        <v>24.190629999999999</v>
      </c>
      <c r="AM2209" s="27">
        <v>35.293787000000002</v>
      </c>
      <c r="AO2209" s="27">
        <v>6.7935949999999998</v>
      </c>
    </row>
    <row r="2210" spans="2:41" x14ac:dyDescent="0.25">
      <c r="B2210" s="21">
        <v>44502</v>
      </c>
      <c r="C2210" s="27">
        <v>20.529699999999998</v>
      </c>
      <c r="E2210" s="27">
        <v>0.862626</v>
      </c>
      <c r="G2210" s="27">
        <v>99.803876000000002</v>
      </c>
      <c r="I2210" s="27">
        <v>6.8931480000000001</v>
      </c>
      <c r="K2210" s="27">
        <v>5.6801459999999997</v>
      </c>
      <c r="M2210" s="27">
        <v>813.01789199999996</v>
      </c>
      <c r="O2210" s="27">
        <v>3773.0841390000001</v>
      </c>
      <c r="Q2210" s="27">
        <v>6899.9173099999998</v>
      </c>
      <c r="S2210" s="27">
        <v>1214.74881</v>
      </c>
      <c r="U2210" s="27">
        <v>3.9961180000000001</v>
      </c>
      <c r="W2210" s="27">
        <v>44.050677999999998</v>
      </c>
      <c r="Y2210" s="27">
        <v>7.7552219999999998</v>
      </c>
      <c r="AA2210" s="27">
        <v>633.66732500000001</v>
      </c>
      <c r="AC2210" s="27">
        <v>56.378622999999997</v>
      </c>
      <c r="AE2210" s="27">
        <v>1</v>
      </c>
      <c r="AG2210" s="27">
        <v>7.736504</v>
      </c>
      <c r="AI2210" s="27">
        <v>8.75</v>
      </c>
      <c r="AK2210" s="27">
        <v>24.151488000000001</v>
      </c>
      <c r="AM2210" s="27">
        <v>35.202117999999999</v>
      </c>
      <c r="AO2210" s="27">
        <v>6.7781440000000002</v>
      </c>
    </row>
    <row r="2211" spans="2:41" x14ac:dyDescent="0.25">
      <c r="B2211" s="21">
        <v>44503</v>
      </c>
      <c r="C2211" s="27">
        <v>20.8598</v>
      </c>
      <c r="E2211" s="27">
        <v>0.86293699999999995</v>
      </c>
      <c r="G2211" s="27">
        <v>99.857597999999996</v>
      </c>
      <c r="I2211" s="27">
        <v>6.9036460000000002</v>
      </c>
      <c r="K2211" s="27">
        <v>5.6461040000000002</v>
      </c>
      <c r="M2211" s="27">
        <v>813.94826399999999</v>
      </c>
      <c r="O2211" s="27">
        <v>3814.6226280000001</v>
      </c>
      <c r="Q2211" s="27">
        <v>6902.0053459999999</v>
      </c>
      <c r="S2211" s="27">
        <v>1222.4429640000001</v>
      </c>
      <c r="U2211" s="27">
        <v>4.0064780000000004</v>
      </c>
      <c r="W2211" s="27">
        <v>44.22683</v>
      </c>
      <c r="Y2211" s="27">
        <v>7.8331799999999996</v>
      </c>
      <c r="AA2211" s="27">
        <v>637.71927900000003</v>
      </c>
      <c r="AC2211" s="27">
        <v>56.471241999999997</v>
      </c>
      <c r="AE2211" s="27">
        <v>1</v>
      </c>
      <c r="AG2211" s="27">
        <v>7.7451999999999996</v>
      </c>
      <c r="AI2211" s="27">
        <v>8.75</v>
      </c>
      <c r="AK2211" s="27">
        <v>24.172709999999999</v>
      </c>
      <c r="AM2211" s="27">
        <v>35.298105999999997</v>
      </c>
      <c r="AO2211" s="27">
        <v>6.7851509999999999</v>
      </c>
    </row>
    <row r="2212" spans="2:41" x14ac:dyDescent="0.25">
      <c r="B2212" s="21">
        <v>44504</v>
      </c>
      <c r="C2212" s="27">
        <v>20.8352</v>
      </c>
      <c r="E2212" s="27">
        <v>0.86459799999999998</v>
      </c>
      <c r="G2212" s="27">
        <v>99.900233999999998</v>
      </c>
      <c r="I2212" s="27">
        <v>6.8967460000000003</v>
      </c>
      <c r="K2212" s="27">
        <v>5.5783379999999996</v>
      </c>
      <c r="M2212" s="27">
        <v>814.29872</v>
      </c>
      <c r="O2212" s="27">
        <v>3844.8342379999999</v>
      </c>
      <c r="Q2212" s="27">
        <v>6885.4917109999997</v>
      </c>
      <c r="S2212" s="27">
        <v>1234.3329650000001</v>
      </c>
      <c r="U2212" s="27">
        <v>4.01152</v>
      </c>
      <c r="W2212" s="27">
        <v>44.162433</v>
      </c>
      <c r="Y2212" s="27">
        <v>7.9167940000000003</v>
      </c>
      <c r="AA2212" s="27">
        <v>637.87078599999995</v>
      </c>
      <c r="AC2212" s="27">
        <v>56.432062000000002</v>
      </c>
      <c r="AE2212" s="27">
        <v>1</v>
      </c>
      <c r="AG2212" s="27">
        <v>7.7378609999999997</v>
      </c>
      <c r="AI2212" s="27">
        <v>8.75</v>
      </c>
      <c r="AK2212" s="27">
        <v>24.13054</v>
      </c>
      <c r="AM2212" s="27">
        <v>35.205677999999999</v>
      </c>
      <c r="AO2212" s="27">
        <v>6.7795959999999997</v>
      </c>
    </row>
    <row r="2213" spans="2:41" x14ac:dyDescent="0.25">
      <c r="B2213" s="21">
        <v>44505</v>
      </c>
      <c r="C2213" s="27">
        <v>20.624199999999998</v>
      </c>
      <c r="E2213" s="27">
        <v>0.86578100000000002</v>
      </c>
      <c r="G2213" s="27">
        <v>99.921316000000004</v>
      </c>
      <c r="I2213" s="27">
        <v>6.901446</v>
      </c>
      <c r="K2213" s="27">
        <v>5.5711490000000001</v>
      </c>
      <c r="M2213" s="27">
        <v>813.07029</v>
      </c>
      <c r="O2213" s="27">
        <v>3874.8752479999998</v>
      </c>
      <c r="Q2213" s="27">
        <v>6889.6390719999999</v>
      </c>
      <c r="S2213" s="27">
        <v>1236.6707610000001</v>
      </c>
      <c r="U2213" s="27">
        <v>4.0179980000000004</v>
      </c>
      <c r="W2213" s="27">
        <v>44.144466000000001</v>
      </c>
      <c r="Y2213" s="27">
        <v>7.9237880000000001</v>
      </c>
      <c r="AA2213" s="27">
        <v>639.28619900000001</v>
      </c>
      <c r="AC2213" s="27">
        <v>56.487341999999998</v>
      </c>
      <c r="AE2213" s="27">
        <v>1</v>
      </c>
      <c r="AG2213" s="27">
        <v>7.7425560000000004</v>
      </c>
      <c r="AI2213" s="27">
        <v>8.75</v>
      </c>
      <c r="AK2213" s="27">
        <v>24.167217999999998</v>
      </c>
      <c r="AM2213" s="27">
        <v>35.233145999999998</v>
      </c>
      <c r="AO2213" s="27">
        <v>6.7882850000000001</v>
      </c>
    </row>
    <row r="2214" spans="2:41" x14ac:dyDescent="0.25">
      <c r="B2214" s="21">
        <v>44506</v>
      </c>
      <c r="C2214" s="27">
        <v>20.624199999999998</v>
      </c>
      <c r="E2214" s="27">
        <v>0.86445000000000005</v>
      </c>
      <c r="G2214" s="27">
        <v>99.903499999999994</v>
      </c>
      <c r="I2214" s="27">
        <v>6.9046260000000004</v>
      </c>
      <c r="K2214" s="27">
        <v>5.541779</v>
      </c>
      <c r="M2214" s="27">
        <v>811.41499999999996</v>
      </c>
      <c r="O2214" s="27">
        <v>3873.2525000000001</v>
      </c>
      <c r="Q2214" s="27">
        <v>6891.8915919999999</v>
      </c>
      <c r="S2214" s="27">
        <v>1243.6336859999999</v>
      </c>
      <c r="U2214" s="27">
        <v>4.0172249999999998</v>
      </c>
      <c r="W2214" s="27">
        <v>44.073799999999999</v>
      </c>
      <c r="Y2214" s="27">
        <v>7.9530380000000003</v>
      </c>
      <c r="AA2214" s="27">
        <v>639.994415</v>
      </c>
      <c r="AC2214" s="27">
        <v>56.592500000000001</v>
      </c>
      <c r="AE2214" s="27">
        <v>1</v>
      </c>
      <c r="AG2214" s="27">
        <v>7.7421420000000003</v>
      </c>
      <c r="AI2214" s="27">
        <v>8.75</v>
      </c>
      <c r="AK2214" s="27">
        <v>24.169499999999999</v>
      </c>
      <c r="AM2214" s="27">
        <v>35.227249999999998</v>
      </c>
      <c r="AO2214" s="27">
        <v>6.7906240000000002</v>
      </c>
    </row>
    <row r="2215" spans="2:41" x14ac:dyDescent="0.25">
      <c r="B2215" s="21">
        <v>44507</v>
      </c>
      <c r="C2215" s="27">
        <v>20.624199999999998</v>
      </c>
      <c r="E2215" s="27">
        <v>0.86446900000000004</v>
      </c>
      <c r="G2215" s="27">
        <v>99.905388000000002</v>
      </c>
      <c r="I2215" s="27">
        <v>6.9046260000000004</v>
      </c>
      <c r="K2215" s="27">
        <v>5.5417399999999999</v>
      </c>
      <c r="M2215" s="27">
        <v>811.41499999999996</v>
      </c>
      <c r="O2215" s="27">
        <v>3873.2525000000001</v>
      </c>
      <c r="Q2215" s="27">
        <v>6891.8915919999999</v>
      </c>
      <c r="S2215" s="27">
        <v>1243.6423319999999</v>
      </c>
      <c r="U2215" s="27">
        <v>4.0172249999999998</v>
      </c>
      <c r="W2215" s="27">
        <v>44.073799999999999</v>
      </c>
      <c r="Y2215" s="27">
        <v>7.9530940000000001</v>
      </c>
      <c r="AA2215" s="27">
        <v>639.994415</v>
      </c>
      <c r="AC2215" s="27">
        <v>56.592500000000001</v>
      </c>
      <c r="AE2215" s="27">
        <v>1</v>
      </c>
      <c r="AG2215" s="27">
        <v>7.7421519999999999</v>
      </c>
      <c r="AI2215" s="27">
        <v>8.75</v>
      </c>
      <c r="AK2215" s="27">
        <v>24.169499999999999</v>
      </c>
      <c r="AM2215" s="27">
        <v>35.227249999999998</v>
      </c>
      <c r="AO2215" s="27">
        <v>6.7906240000000002</v>
      </c>
    </row>
    <row r="2216" spans="2:41" x14ac:dyDescent="0.25">
      <c r="B2216" s="21">
        <v>44508</v>
      </c>
      <c r="C2216" s="27">
        <v>20.392499999999998</v>
      </c>
      <c r="E2216" s="27">
        <v>0.86404800000000004</v>
      </c>
      <c r="G2216" s="27">
        <v>99.922008000000005</v>
      </c>
      <c r="I2216" s="27">
        <v>6.8928370000000001</v>
      </c>
      <c r="K2216" s="27">
        <v>5.5474899999999998</v>
      </c>
      <c r="M2216" s="27">
        <v>808.19311400000004</v>
      </c>
      <c r="O2216" s="27">
        <v>3875.56709</v>
      </c>
      <c r="Q2216" s="27">
        <v>6882.7030560000003</v>
      </c>
      <c r="S2216" s="27">
        <v>1240.694767</v>
      </c>
      <c r="U2216" s="27">
        <v>4.0139630000000004</v>
      </c>
      <c r="W2216" s="27">
        <v>43.948475999999999</v>
      </c>
      <c r="Y2216" s="27">
        <v>7.922256</v>
      </c>
      <c r="AA2216" s="27">
        <v>639.66980000000001</v>
      </c>
      <c r="AC2216" s="27">
        <v>56.415757999999997</v>
      </c>
      <c r="AE2216" s="27">
        <v>1</v>
      </c>
      <c r="AG2216" s="27">
        <v>7.7328479999999997</v>
      </c>
      <c r="AI2216" s="27">
        <v>8.75</v>
      </c>
      <c r="AK2216" s="27">
        <v>24.126548</v>
      </c>
      <c r="AM2216" s="27">
        <v>35.198511000000003</v>
      </c>
      <c r="AO2216" s="27">
        <v>6.7857700000000003</v>
      </c>
    </row>
    <row r="2217" spans="2:41" x14ac:dyDescent="0.25">
      <c r="B2217" s="21">
        <v>44509</v>
      </c>
      <c r="C2217" s="27">
        <v>20.326499999999999</v>
      </c>
      <c r="E2217" s="27">
        <v>0.86281799999999997</v>
      </c>
      <c r="G2217" s="27">
        <v>100.05003600000001</v>
      </c>
      <c r="I2217" s="27">
        <v>6.8959029999999997</v>
      </c>
      <c r="K2217" s="27">
        <v>5.5186640000000002</v>
      </c>
      <c r="M2217" s="27">
        <v>799.43170899999996</v>
      </c>
      <c r="O2217" s="27">
        <v>3876.0738919999999</v>
      </c>
      <c r="Q2217" s="27">
        <v>6883.8152179999997</v>
      </c>
      <c r="S2217" s="27">
        <v>1247.3762489999999</v>
      </c>
      <c r="U2217" s="27">
        <v>4.0149910000000002</v>
      </c>
      <c r="W2217" s="27">
        <v>43.758369999999999</v>
      </c>
      <c r="Y2217" s="27">
        <v>7.929182</v>
      </c>
      <c r="AA2217" s="27">
        <v>640.53408999999999</v>
      </c>
      <c r="AC2217" s="27">
        <v>56.457534000000003</v>
      </c>
      <c r="AE2217" s="27">
        <v>1</v>
      </c>
      <c r="AG2217" s="27">
        <v>7.7368040000000002</v>
      </c>
      <c r="AI2217" s="27">
        <v>8.75</v>
      </c>
      <c r="AK2217" s="27">
        <v>24.126614</v>
      </c>
      <c r="AM2217" s="27">
        <v>35.213065999999998</v>
      </c>
      <c r="AO2217" s="27">
        <v>6.792548</v>
      </c>
    </row>
    <row r="2218" spans="2:41" x14ac:dyDescent="0.25">
      <c r="B2218" s="21">
        <v>44510</v>
      </c>
      <c r="C2218" s="27">
        <v>20.283300000000001</v>
      </c>
      <c r="E2218" s="27">
        <v>0.866147</v>
      </c>
      <c r="G2218" s="27">
        <v>100.101868</v>
      </c>
      <c r="I2218" s="27">
        <v>6.8966940000000001</v>
      </c>
      <c r="K2218" s="27">
        <v>5.4817809999999998</v>
      </c>
      <c r="M2218" s="27">
        <v>793.84221600000001</v>
      </c>
      <c r="O2218" s="27">
        <v>3871.613605</v>
      </c>
      <c r="Q2218" s="27">
        <v>6877.3852580000002</v>
      </c>
      <c r="S2218" s="27">
        <v>1254.5963839999999</v>
      </c>
      <c r="U2218" s="27">
        <v>4.0146920000000001</v>
      </c>
      <c r="W2218" s="27">
        <v>43.557361</v>
      </c>
      <c r="Y2218" s="27">
        <v>7.9458650000000004</v>
      </c>
      <c r="AA2218" s="27">
        <v>640.99832100000003</v>
      </c>
      <c r="AC2218" s="27">
        <v>56.473824</v>
      </c>
      <c r="AE2218" s="27">
        <v>1</v>
      </c>
      <c r="AG2218" s="27">
        <v>7.7357509999999996</v>
      </c>
      <c r="AI2218" s="27">
        <v>8.75</v>
      </c>
      <c r="AK2218" s="27">
        <v>24.118366000000002</v>
      </c>
      <c r="AM2218" s="27">
        <v>35.204906000000001</v>
      </c>
      <c r="AO2218" s="27">
        <v>6.7927960000000001</v>
      </c>
    </row>
    <row r="2219" spans="2:41" x14ac:dyDescent="0.25">
      <c r="B2219" s="21">
        <v>44511</v>
      </c>
      <c r="C2219" s="27">
        <v>20.470199999999998</v>
      </c>
      <c r="E2219" s="27">
        <v>0.87222500000000003</v>
      </c>
      <c r="G2219" s="27">
        <v>100.16167</v>
      </c>
      <c r="I2219" s="27">
        <v>6.9131999999999998</v>
      </c>
      <c r="K2219" s="27">
        <v>5.4516619999999998</v>
      </c>
      <c r="M2219" s="27">
        <v>794.25426400000003</v>
      </c>
      <c r="O2219" s="27">
        <v>3878.703919</v>
      </c>
      <c r="Q2219" s="27">
        <v>6876.3323440000004</v>
      </c>
      <c r="S2219" s="27">
        <v>1261.3350740000001</v>
      </c>
      <c r="U2219" s="27">
        <v>4.0334580000000004</v>
      </c>
      <c r="W2219" s="27">
        <v>43.680781000000003</v>
      </c>
      <c r="Y2219" s="27">
        <v>8.0124060000000004</v>
      </c>
      <c r="AA2219" s="27">
        <v>642.46539800000005</v>
      </c>
      <c r="AC2219" s="27">
        <v>56.705027000000001</v>
      </c>
      <c r="AE2219" s="27">
        <v>1</v>
      </c>
      <c r="AG2219" s="27">
        <v>7.7445950000000003</v>
      </c>
      <c r="AI2219" s="27">
        <v>8.75</v>
      </c>
      <c r="AK2219" s="27">
        <v>24.181933999999998</v>
      </c>
      <c r="AM2219" s="27">
        <v>35.326507999999997</v>
      </c>
      <c r="AO2219" s="27">
        <v>6.8007679999999997</v>
      </c>
    </row>
    <row r="2220" spans="2:41" x14ac:dyDescent="0.25">
      <c r="B2220" s="21">
        <v>44512</v>
      </c>
      <c r="C2220" s="27">
        <v>20.465199999999999</v>
      </c>
      <c r="E2220" s="27">
        <v>0.87379899999999999</v>
      </c>
      <c r="G2220" s="27">
        <v>100.20029</v>
      </c>
      <c r="I2220" s="27">
        <v>6.9105129999999999</v>
      </c>
      <c r="K2220" s="27">
        <v>5.4203479999999997</v>
      </c>
      <c r="M2220" s="27">
        <v>796.94376199999999</v>
      </c>
      <c r="O2220" s="27">
        <v>3882.3464800000002</v>
      </c>
      <c r="Q2220" s="27">
        <v>6872.4227559999999</v>
      </c>
      <c r="S2220" s="27">
        <v>1267.90049</v>
      </c>
      <c r="U2220" s="27">
        <v>4.0308390000000003</v>
      </c>
      <c r="W2220" s="27">
        <v>43.709696999999998</v>
      </c>
      <c r="Y2220" s="27">
        <v>8.0640280000000004</v>
      </c>
      <c r="AA2220" s="27">
        <v>642.77569800000003</v>
      </c>
      <c r="AC2220" s="27">
        <v>56.682540000000003</v>
      </c>
      <c r="AE2220" s="27">
        <v>1</v>
      </c>
      <c r="AG2220" s="27">
        <v>7.7438799999999999</v>
      </c>
      <c r="AI2220" s="27">
        <v>8.75</v>
      </c>
      <c r="AK2220" s="27">
        <v>24.160357999999999</v>
      </c>
      <c r="AM2220" s="27">
        <v>35.268979000000002</v>
      </c>
      <c r="AO2220" s="27">
        <v>6.797104</v>
      </c>
    </row>
    <row r="2221" spans="2:41" x14ac:dyDescent="0.25">
      <c r="B2221" s="21">
        <v>44513</v>
      </c>
      <c r="C2221" s="27">
        <v>20.465199999999999</v>
      </c>
      <c r="E2221" s="27">
        <v>0.87387400000000004</v>
      </c>
      <c r="G2221" s="27">
        <v>100.1788</v>
      </c>
      <c r="I2221" s="27">
        <v>6.9021100000000004</v>
      </c>
      <c r="K2221" s="27">
        <v>5.4592000000000001</v>
      </c>
      <c r="M2221" s="27">
        <v>800.83</v>
      </c>
      <c r="O2221" s="27">
        <v>3883.2975000000001</v>
      </c>
      <c r="Q2221" s="27">
        <v>6874.6004919999996</v>
      </c>
      <c r="S2221" s="27">
        <v>1259.274658</v>
      </c>
      <c r="U2221" s="27">
        <v>4.0214749999999997</v>
      </c>
      <c r="W2221" s="27">
        <v>43.769533000000003</v>
      </c>
      <c r="Y2221" s="27">
        <v>8.0175920000000005</v>
      </c>
      <c r="AA2221" s="27">
        <v>642.60758599999997</v>
      </c>
      <c r="AC2221" s="27">
        <v>56.597499999999997</v>
      </c>
      <c r="AE2221" s="27">
        <v>1</v>
      </c>
      <c r="AG2221" s="27">
        <v>7.7390280000000002</v>
      </c>
      <c r="AI2221" s="27">
        <v>8.75</v>
      </c>
      <c r="AK2221" s="27">
        <v>24.166025000000001</v>
      </c>
      <c r="AM2221" s="27">
        <v>35.219749999999998</v>
      </c>
      <c r="AO2221" s="27">
        <v>6.793736</v>
      </c>
    </row>
    <row r="2222" spans="2:41" x14ac:dyDescent="0.25">
      <c r="B2222" s="21">
        <v>44514</v>
      </c>
      <c r="C2222" s="27">
        <v>20.465199999999999</v>
      </c>
      <c r="E2222" s="27">
        <v>0.87387199999999998</v>
      </c>
      <c r="G2222" s="27">
        <v>100.18441799999999</v>
      </c>
      <c r="I2222" s="27">
        <v>6.9021100000000004</v>
      </c>
      <c r="K2222" s="27">
        <v>5.4592000000000001</v>
      </c>
      <c r="M2222" s="27">
        <v>800.83</v>
      </c>
      <c r="O2222" s="27">
        <v>3883.2975000000001</v>
      </c>
      <c r="Q2222" s="27">
        <v>6874.6004919999996</v>
      </c>
      <c r="S2222" s="27">
        <v>1259.274658</v>
      </c>
      <c r="U2222" s="27">
        <v>4.0214749999999997</v>
      </c>
      <c r="W2222" s="27">
        <v>43.769533000000003</v>
      </c>
      <c r="Y2222" s="27">
        <v>8.0175920000000005</v>
      </c>
      <c r="AA2222" s="27">
        <v>642.60758599999997</v>
      </c>
      <c r="AC2222" s="27">
        <v>56.597499999999997</v>
      </c>
      <c r="AE2222" s="27">
        <v>1</v>
      </c>
      <c r="AG2222" s="27">
        <v>7.7390569999999999</v>
      </c>
      <c r="AI2222" s="27">
        <v>8.75</v>
      </c>
      <c r="AK2222" s="27">
        <v>24.166025000000001</v>
      </c>
      <c r="AM2222" s="27">
        <v>35.219749999999998</v>
      </c>
      <c r="AO2222" s="27">
        <v>6.793736</v>
      </c>
    </row>
    <row r="2223" spans="2:41" x14ac:dyDescent="0.25">
      <c r="B2223" s="21">
        <v>44515</v>
      </c>
      <c r="C2223" s="27">
        <v>20.465199999999999</v>
      </c>
      <c r="E2223" s="27">
        <v>0.87507699999999999</v>
      </c>
      <c r="G2223" s="27">
        <v>100.217771</v>
      </c>
      <c r="I2223" s="27">
        <v>6.9001739999999998</v>
      </c>
      <c r="K2223" s="27">
        <v>5.4579839999999997</v>
      </c>
      <c r="M2223" s="27">
        <v>800.25980800000002</v>
      </c>
      <c r="O2223" s="27">
        <v>3883.8964780000001</v>
      </c>
      <c r="Q2223" s="27">
        <v>6869.4453080000003</v>
      </c>
      <c r="S2223" s="27">
        <v>1258.612083</v>
      </c>
      <c r="U2223" s="27">
        <v>4.010567</v>
      </c>
      <c r="W2223" s="27">
        <v>43.873551999999997</v>
      </c>
      <c r="Y2223" s="27">
        <v>8.0384460000000004</v>
      </c>
      <c r="AA2223" s="27">
        <v>642.46216200000003</v>
      </c>
      <c r="AC2223" s="27">
        <v>56.552515999999997</v>
      </c>
      <c r="AE2223" s="27">
        <v>1</v>
      </c>
      <c r="AG2223" s="27">
        <v>7.7407789999999999</v>
      </c>
      <c r="AI2223" s="27">
        <v>8.75</v>
      </c>
      <c r="AK2223" s="27">
        <v>24.117993999999999</v>
      </c>
      <c r="AM2223" s="27">
        <v>35.216118000000002</v>
      </c>
      <c r="AO2223" s="27">
        <v>6.7908439999999999</v>
      </c>
    </row>
    <row r="2224" spans="2:41" x14ac:dyDescent="0.25">
      <c r="B2224" s="21">
        <v>44516</v>
      </c>
      <c r="C2224" s="27">
        <v>20.507200000000001</v>
      </c>
      <c r="E2224" s="27">
        <v>0.88071200000000005</v>
      </c>
      <c r="G2224" s="27">
        <v>100.290868</v>
      </c>
      <c r="I2224" s="27">
        <v>6.902647</v>
      </c>
      <c r="K2224" s="27">
        <v>5.4730999999999996</v>
      </c>
      <c r="M2224" s="27">
        <v>803.73416499999996</v>
      </c>
      <c r="O2224" s="27">
        <v>3890.5098699999999</v>
      </c>
      <c r="Q2224" s="27">
        <v>6868.1231939999998</v>
      </c>
      <c r="S2224" s="27">
        <v>1254.894178</v>
      </c>
      <c r="U2224" s="27">
        <v>3.9964810000000002</v>
      </c>
      <c r="W2224" s="27">
        <v>44.049401000000003</v>
      </c>
      <c r="Y2224" s="27">
        <v>8.0483720000000005</v>
      </c>
      <c r="AA2224" s="27">
        <v>642.75169800000003</v>
      </c>
      <c r="AC2224" s="27">
        <v>56.599836000000003</v>
      </c>
      <c r="AE2224" s="27">
        <v>1</v>
      </c>
      <c r="AG2224" s="27">
        <v>7.7412939999999999</v>
      </c>
      <c r="AI2224" s="27">
        <v>8.75</v>
      </c>
      <c r="AK2224" s="27">
        <v>24.146058</v>
      </c>
      <c r="AM2224" s="27">
        <v>35.225920000000002</v>
      </c>
      <c r="AO2224" s="27">
        <v>6.7929500000000003</v>
      </c>
    </row>
    <row r="2225" spans="2:41" x14ac:dyDescent="0.25">
      <c r="B2225" s="21">
        <v>44517</v>
      </c>
      <c r="C2225" s="27">
        <v>20.809200000000001</v>
      </c>
      <c r="E2225" s="27">
        <v>0.88389399999999996</v>
      </c>
      <c r="G2225" s="27">
        <v>100.32485800000001</v>
      </c>
      <c r="I2225" s="27">
        <v>6.9062400000000004</v>
      </c>
      <c r="K2225" s="27">
        <v>5.5079690000000001</v>
      </c>
      <c r="M2225" s="27">
        <v>818.60102400000005</v>
      </c>
      <c r="O2225" s="27">
        <v>3903.7078080000001</v>
      </c>
      <c r="Q2225" s="27">
        <v>6866.0307400000002</v>
      </c>
      <c r="S2225" s="27">
        <v>1246.569984</v>
      </c>
      <c r="U2225" s="27">
        <v>4.0016239999999996</v>
      </c>
      <c r="W2225" s="27">
        <v>44.140968000000001</v>
      </c>
      <c r="Y2225" s="27">
        <v>8.0140440000000002</v>
      </c>
      <c r="AA2225" s="27">
        <v>642.05805699999996</v>
      </c>
      <c r="AC2225" s="27">
        <v>56.526628000000002</v>
      </c>
      <c r="AE2225" s="27">
        <v>1</v>
      </c>
      <c r="AG2225" s="27">
        <v>7.7433709999999998</v>
      </c>
      <c r="AI2225" s="27">
        <v>8.75</v>
      </c>
      <c r="AK2225" s="27">
        <v>24.161328000000001</v>
      </c>
      <c r="AM2225" s="27">
        <v>35.235971999999997</v>
      </c>
      <c r="AO2225" s="27">
        <v>6.7923220000000004</v>
      </c>
    </row>
    <row r="2226" spans="2:41" x14ac:dyDescent="0.25">
      <c r="B2226" s="21">
        <v>44518</v>
      </c>
      <c r="C2226" s="27">
        <v>20.691199999999998</v>
      </c>
      <c r="E2226" s="27">
        <v>0.88151400000000002</v>
      </c>
      <c r="G2226" s="27">
        <v>100.353798</v>
      </c>
      <c r="I2226" s="27">
        <v>6.9077349999999997</v>
      </c>
      <c r="K2226" s="27">
        <v>5.5427179999999998</v>
      </c>
      <c r="M2226" s="27">
        <v>831.585554</v>
      </c>
      <c r="O2226" s="27">
        <v>3928.0481559999998</v>
      </c>
      <c r="Q2226" s="27">
        <v>6859.5878659999998</v>
      </c>
      <c r="S2226" s="27">
        <v>1237.593574</v>
      </c>
      <c r="U2226" s="27">
        <v>4.0106539999999997</v>
      </c>
      <c r="W2226" s="27">
        <v>44.110928000000001</v>
      </c>
      <c r="Y2226" s="27">
        <v>7.958386</v>
      </c>
      <c r="AA2226" s="27">
        <v>640.72510799999998</v>
      </c>
      <c r="AC2226" s="27">
        <v>56.510092999999998</v>
      </c>
      <c r="AE2226" s="27">
        <v>1</v>
      </c>
      <c r="AG2226" s="27">
        <v>7.7434560000000001</v>
      </c>
      <c r="AI2226" s="27">
        <v>8.75</v>
      </c>
      <c r="AK2226" s="27">
        <v>24.132992000000002</v>
      </c>
      <c r="AM2226" s="27">
        <v>35.233745999999996</v>
      </c>
      <c r="AO2226" s="27">
        <v>6.7893540000000003</v>
      </c>
    </row>
    <row r="2227" spans="2:41" x14ac:dyDescent="0.25">
      <c r="B2227" s="21">
        <v>44519</v>
      </c>
      <c r="C2227" s="27">
        <v>20.762799999999999</v>
      </c>
      <c r="E2227" s="27">
        <v>0.88356000000000001</v>
      </c>
      <c r="G2227" s="27">
        <v>100.403268</v>
      </c>
      <c r="I2227" s="27">
        <v>6.8968280000000002</v>
      </c>
      <c r="K2227" s="27">
        <v>5.5703779999999998</v>
      </c>
      <c r="M2227" s="27">
        <v>831.419712</v>
      </c>
      <c r="O2227" s="27">
        <v>3928.5776580000002</v>
      </c>
      <c r="Q2227" s="27">
        <v>6851.9290510000001</v>
      </c>
      <c r="S2227" s="27">
        <v>1230.0719280000001</v>
      </c>
      <c r="U2227" s="27">
        <v>4.0161100000000003</v>
      </c>
      <c r="W2227" s="27">
        <v>44.072910999999998</v>
      </c>
      <c r="Y2227" s="27">
        <v>7.9120379999999999</v>
      </c>
      <c r="AA2227" s="27">
        <v>640.02740300000005</v>
      </c>
      <c r="AC2227" s="27">
        <v>56.508228000000003</v>
      </c>
      <c r="AE2227" s="27">
        <v>1</v>
      </c>
      <c r="AG2227" s="27">
        <v>7.7323339999999998</v>
      </c>
      <c r="AI2227" s="27">
        <v>8.75</v>
      </c>
      <c r="AK2227" s="27">
        <v>24.099357999999999</v>
      </c>
      <c r="AM2227" s="27">
        <v>35.202402999999997</v>
      </c>
      <c r="AO2227" s="27">
        <v>6.7809020000000002</v>
      </c>
    </row>
    <row r="2228" spans="2:41" x14ac:dyDescent="0.25">
      <c r="B2228" s="21">
        <v>44520</v>
      </c>
      <c r="C2228" s="27">
        <v>20.762799999999999</v>
      </c>
      <c r="E2228" s="27">
        <v>0.88637600000000005</v>
      </c>
      <c r="G2228" s="27">
        <v>100.4372</v>
      </c>
      <c r="I2228" s="27">
        <v>6.9011490000000002</v>
      </c>
      <c r="K2228" s="27">
        <v>5.6136999999999997</v>
      </c>
      <c r="M2228" s="27">
        <v>828.5</v>
      </c>
      <c r="O2228" s="27">
        <v>3915.2975000000001</v>
      </c>
      <c r="Q2228" s="27">
        <v>6846.0227439999999</v>
      </c>
      <c r="S2228" s="27">
        <v>1219.5261379999999</v>
      </c>
      <c r="U2228" s="27">
        <v>4.0202809999999998</v>
      </c>
      <c r="W2228" s="27">
        <v>44.151806999999998</v>
      </c>
      <c r="Y2228" s="27">
        <v>7.8650289999999998</v>
      </c>
      <c r="AA2228" s="27">
        <v>640.03185599999995</v>
      </c>
      <c r="AC2228" s="27">
        <v>56.500630000000001</v>
      </c>
      <c r="AE2228" s="27">
        <v>1</v>
      </c>
      <c r="AG2228" s="27">
        <v>7.732424</v>
      </c>
      <c r="AI2228" s="27">
        <v>8.75</v>
      </c>
      <c r="AK2228" s="27">
        <v>24.097750000000001</v>
      </c>
      <c r="AM2228" s="27">
        <v>35.207068</v>
      </c>
      <c r="AO2228" s="27">
        <v>6.7844530000000001</v>
      </c>
    </row>
    <row r="2229" spans="2:41" x14ac:dyDescent="0.25">
      <c r="B2229" s="21">
        <v>44521</v>
      </c>
      <c r="C2229" s="27">
        <v>20.762799999999999</v>
      </c>
      <c r="E2229" s="27">
        <v>0.88637600000000005</v>
      </c>
      <c r="G2229" s="27">
        <v>100.443832</v>
      </c>
      <c r="I2229" s="27">
        <v>6.9011490000000002</v>
      </c>
      <c r="K2229" s="27">
        <v>5.6136999999999997</v>
      </c>
      <c r="M2229" s="27">
        <v>828.5</v>
      </c>
      <c r="O2229" s="27">
        <v>3915.2975000000001</v>
      </c>
      <c r="Q2229" s="27">
        <v>6846.0227439999999</v>
      </c>
      <c r="S2229" s="27">
        <v>1219.5261379999999</v>
      </c>
      <c r="U2229" s="27">
        <v>4.0202809999999998</v>
      </c>
      <c r="W2229" s="27">
        <v>44.151806999999998</v>
      </c>
      <c r="Y2229" s="27">
        <v>7.8650289999999998</v>
      </c>
      <c r="AA2229" s="27">
        <v>640.03185599999995</v>
      </c>
      <c r="AC2229" s="27">
        <v>56.500630000000001</v>
      </c>
      <c r="AE2229" s="27">
        <v>1</v>
      </c>
      <c r="AG2229" s="27">
        <v>7.7324479999999998</v>
      </c>
      <c r="AI2229" s="27">
        <v>8.75</v>
      </c>
      <c r="AK2229" s="27">
        <v>24.097750000000001</v>
      </c>
      <c r="AM2229" s="27">
        <v>35.207068</v>
      </c>
      <c r="AO2229" s="27">
        <v>6.7844530000000001</v>
      </c>
    </row>
    <row r="2230" spans="2:41" x14ac:dyDescent="0.25">
      <c r="B2230" s="21">
        <v>44522</v>
      </c>
      <c r="C2230" s="27">
        <v>20.828299999999999</v>
      </c>
      <c r="E2230" s="27">
        <v>0.887876</v>
      </c>
      <c r="G2230" s="27">
        <v>100.450891</v>
      </c>
      <c r="I2230" s="27">
        <v>6.903829</v>
      </c>
      <c r="K2230" s="27">
        <v>5.6001329999999996</v>
      </c>
      <c r="M2230" s="27">
        <v>819.81356600000004</v>
      </c>
      <c r="O2230" s="27">
        <v>3917.928758</v>
      </c>
      <c r="Q2230" s="27">
        <v>6851.2361179999998</v>
      </c>
      <c r="S2230" s="27">
        <v>1223.412736</v>
      </c>
      <c r="U2230" s="27">
        <v>4.0221640000000001</v>
      </c>
      <c r="W2230" s="27">
        <v>44.167178</v>
      </c>
      <c r="Y2230" s="27">
        <v>7.8868359999999997</v>
      </c>
      <c r="AA2230" s="27">
        <v>640.56716200000005</v>
      </c>
      <c r="AC2230" s="27">
        <v>56.597338000000001</v>
      </c>
      <c r="AE2230" s="27">
        <v>1</v>
      </c>
      <c r="AG2230" s="27">
        <v>7.7404820000000001</v>
      </c>
      <c r="AI2230" s="27">
        <v>8.75</v>
      </c>
      <c r="AK2230" s="27">
        <v>24.138776</v>
      </c>
      <c r="AM2230" s="27">
        <v>35.244047999999999</v>
      </c>
      <c r="AO2230" s="27">
        <v>6.7906779999999998</v>
      </c>
    </row>
    <row r="2231" spans="2:41" x14ac:dyDescent="0.25">
      <c r="B2231" s="21">
        <v>44523</v>
      </c>
      <c r="C2231" s="27">
        <v>20.963200000000001</v>
      </c>
      <c r="E2231" s="27">
        <v>0.88901399999999997</v>
      </c>
      <c r="G2231" s="27">
        <v>100.49118</v>
      </c>
      <c r="I2231" s="27">
        <v>6.9078759999999999</v>
      </c>
      <c r="K2231" s="27">
        <v>5.6018359999999996</v>
      </c>
      <c r="M2231" s="27">
        <v>811.99345800000003</v>
      </c>
      <c r="O2231" s="27">
        <v>3935.3593879999999</v>
      </c>
      <c r="Q2231" s="27">
        <v>6851.665739</v>
      </c>
      <c r="S2231" s="27">
        <v>1223.117092</v>
      </c>
      <c r="U2231" s="27">
        <v>4.0162129999999996</v>
      </c>
      <c r="W2231" s="27">
        <v>44.215359999999997</v>
      </c>
      <c r="Y2231" s="27">
        <v>7.8930360000000004</v>
      </c>
      <c r="AA2231" s="27">
        <v>640.82740699999999</v>
      </c>
      <c r="AC2231" s="27">
        <v>56.692405999999998</v>
      </c>
      <c r="AE2231" s="27">
        <v>1</v>
      </c>
      <c r="AG2231" s="27">
        <v>7.7447059999999999</v>
      </c>
      <c r="AI2231" s="27">
        <v>8.75</v>
      </c>
      <c r="AK2231" s="27">
        <v>24.168624999999999</v>
      </c>
      <c r="AM2231" s="27">
        <v>35.283492000000003</v>
      </c>
      <c r="AO2231" s="27">
        <v>6.7983019999999996</v>
      </c>
    </row>
    <row r="2232" spans="2:41" x14ac:dyDescent="0.25">
      <c r="B2232" s="21">
        <v>44524</v>
      </c>
      <c r="C2232" s="27">
        <v>21.210699999999999</v>
      </c>
      <c r="E2232" s="27">
        <v>0.89143700000000003</v>
      </c>
      <c r="G2232" s="27">
        <v>100.588786</v>
      </c>
      <c r="I2232" s="27">
        <v>6.9023060000000003</v>
      </c>
      <c r="K2232" s="27">
        <v>5.5849460000000004</v>
      </c>
      <c r="M2232" s="27">
        <v>813.48895500000003</v>
      </c>
      <c r="O2232" s="27">
        <v>3962.5262619999999</v>
      </c>
      <c r="Q2232" s="27">
        <v>6841.6776090000003</v>
      </c>
      <c r="S2232" s="27">
        <v>1225.0278080000001</v>
      </c>
      <c r="U2232" s="27">
        <v>4.0146220000000001</v>
      </c>
      <c r="W2232" s="27">
        <v>44.088147999999997</v>
      </c>
      <c r="Y2232" s="27">
        <v>7.8941299999999996</v>
      </c>
      <c r="AA2232" s="27">
        <v>640.24456799999996</v>
      </c>
      <c r="AC2232" s="27">
        <v>56.586070999999997</v>
      </c>
      <c r="AE2232" s="27">
        <v>1</v>
      </c>
      <c r="AG2232" s="27">
        <v>7.7386759999999999</v>
      </c>
      <c r="AI2232" s="27">
        <v>8.75</v>
      </c>
      <c r="AK2232" s="27">
        <v>24.135442999999999</v>
      </c>
      <c r="AM2232" s="27">
        <v>35.232917999999998</v>
      </c>
      <c r="AO2232" s="27">
        <v>6.7967009999999997</v>
      </c>
    </row>
    <row r="2233" spans="2:41" x14ac:dyDescent="0.25">
      <c r="B2233" s="21">
        <v>44525</v>
      </c>
      <c r="C2233" s="27">
        <v>21.435700000000001</v>
      </c>
      <c r="E2233" s="27">
        <v>0.89175000000000004</v>
      </c>
      <c r="G2233" s="27">
        <v>100.62484600000001</v>
      </c>
      <c r="I2233" s="27">
        <v>6.9016320000000002</v>
      </c>
      <c r="K2233" s="27">
        <v>5.5877600000000003</v>
      </c>
      <c r="M2233" s="27">
        <v>816.63471400000003</v>
      </c>
      <c r="O2233" s="27">
        <v>3976.2730000000001</v>
      </c>
      <c r="Q2233" s="27">
        <v>6838.6585320000004</v>
      </c>
      <c r="S2233" s="27">
        <v>1223.870535</v>
      </c>
      <c r="U2233" s="27">
        <v>4.0215439999999996</v>
      </c>
      <c r="W2233" s="27">
        <v>44.091563999999998</v>
      </c>
      <c r="Y2233" s="27">
        <v>7.8907619999999996</v>
      </c>
      <c r="AA2233" s="27">
        <v>640.31109400000003</v>
      </c>
      <c r="AC2233" s="27">
        <v>56.538767999999997</v>
      </c>
      <c r="AE2233" s="27">
        <v>1</v>
      </c>
      <c r="AG2233" s="27">
        <v>7.7404130000000002</v>
      </c>
      <c r="AI2233" s="27">
        <v>8.75</v>
      </c>
      <c r="AK2233" s="27">
        <v>24.125968</v>
      </c>
      <c r="AM2233" s="27">
        <v>35.242356000000001</v>
      </c>
      <c r="AO2233" s="27">
        <v>6.79514</v>
      </c>
    </row>
    <row r="2234" spans="2:41" x14ac:dyDescent="0.25">
      <c r="B2234" s="21">
        <v>44526</v>
      </c>
      <c r="C2234" s="27">
        <v>21.546199999999999</v>
      </c>
      <c r="E2234" s="27">
        <v>0.88718600000000003</v>
      </c>
      <c r="G2234" s="27">
        <v>100.716752</v>
      </c>
      <c r="I2234" s="27">
        <v>6.9046079999999996</v>
      </c>
      <c r="K2234" s="27">
        <v>5.5832139999999999</v>
      </c>
      <c r="M2234" s="27">
        <v>825.60922400000004</v>
      </c>
      <c r="O2234" s="27">
        <v>3990.5809290000002</v>
      </c>
      <c r="Q2234" s="27">
        <v>6833.4127959999996</v>
      </c>
      <c r="S2234" s="27">
        <v>1223.9275299999999</v>
      </c>
      <c r="U2234" s="27">
        <v>4.0305660000000003</v>
      </c>
      <c r="W2234" s="27">
        <v>44.123424</v>
      </c>
      <c r="Y2234" s="27">
        <v>7.9028960000000001</v>
      </c>
      <c r="AA2234" s="27">
        <v>640.11843399999998</v>
      </c>
      <c r="AC2234" s="27">
        <v>56.568317999999998</v>
      </c>
      <c r="AE2234" s="27">
        <v>1</v>
      </c>
      <c r="AG2234" s="27">
        <v>7.7396260000000003</v>
      </c>
      <c r="AI2234" s="27">
        <v>8.75</v>
      </c>
      <c r="AK2234" s="27">
        <v>24.12452</v>
      </c>
      <c r="AM2234" s="27">
        <v>35.229672000000001</v>
      </c>
      <c r="AO2234" s="27">
        <v>6.7893920000000003</v>
      </c>
    </row>
    <row r="2235" spans="2:41" x14ac:dyDescent="0.25">
      <c r="B2235" s="21">
        <v>44527</v>
      </c>
      <c r="C2235" s="27">
        <v>21.546199999999999</v>
      </c>
      <c r="E2235" s="27">
        <v>0.884158</v>
      </c>
      <c r="G2235" s="27">
        <v>100.768052</v>
      </c>
      <c r="I2235" s="27">
        <v>6.9048819999999997</v>
      </c>
      <c r="K2235" s="27">
        <v>5.6097999999999999</v>
      </c>
      <c r="M2235" s="27">
        <v>832.05</v>
      </c>
      <c r="O2235" s="27">
        <v>4007.4025000000001</v>
      </c>
      <c r="Q2235" s="27">
        <v>6831.7470599999997</v>
      </c>
      <c r="S2235" s="27">
        <v>1217.829232</v>
      </c>
      <c r="U2235" s="27">
        <v>4.03695</v>
      </c>
      <c r="W2235" s="27">
        <v>44.156914</v>
      </c>
      <c r="Y2235" s="27">
        <v>7.8714079999999997</v>
      </c>
      <c r="AA2235" s="27">
        <v>640.00609599999996</v>
      </c>
      <c r="AC2235" s="27">
        <v>56.622500000000002</v>
      </c>
      <c r="AE2235" s="27">
        <v>1</v>
      </c>
      <c r="AG2235" s="27">
        <v>7.739744</v>
      </c>
      <c r="AI2235" s="27">
        <v>8.75</v>
      </c>
      <c r="AK2235" s="27">
        <v>24.148775000000001</v>
      </c>
      <c r="AM2235" s="27">
        <v>35.227249999999998</v>
      </c>
      <c r="AO2235" s="27">
        <v>6.787236</v>
      </c>
    </row>
    <row r="2236" spans="2:41" x14ac:dyDescent="0.25">
      <c r="B2236" s="21">
        <v>44528</v>
      </c>
      <c r="C2236" s="27">
        <v>21.546199999999999</v>
      </c>
      <c r="E2236" s="27">
        <v>0.88423200000000002</v>
      </c>
      <c r="G2236" s="27">
        <v>100.78198999999999</v>
      </c>
      <c r="I2236" s="27">
        <v>6.9048819999999997</v>
      </c>
      <c r="K2236" s="27">
        <v>5.6097999999999999</v>
      </c>
      <c r="M2236" s="27">
        <v>832.05</v>
      </c>
      <c r="O2236" s="27">
        <v>4007.4025000000001</v>
      </c>
      <c r="Q2236" s="27">
        <v>6831.7470599999997</v>
      </c>
      <c r="S2236" s="27">
        <v>1217.829232</v>
      </c>
      <c r="U2236" s="27">
        <v>4.03695</v>
      </c>
      <c r="W2236" s="27">
        <v>44.156914</v>
      </c>
      <c r="Y2236" s="27">
        <v>7.8714079999999997</v>
      </c>
      <c r="AA2236" s="27">
        <v>640.00609599999996</v>
      </c>
      <c r="AC2236" s="27">
        <v>56.622500000000002</v>
      </c>
      <c r="AE2236" s="27">
        <v>1</v>
      </c>
      <c r="AG2236" s="27">
        <v>7.7397559999999999</v>
      </c>
      <c r="AI2236" s="27">
        <v>8.75</v>
      </c>
      <c r="AK2236" s="27">
        <v>24.148775000000001</v>
      </c>
      <c r="AM2236" s="27">
        <v>35.227249999999998</v>
      </c>
      <c r="AO2236" s="27">
        <v>6.787236</v>
      </c>
    </row>
    <row r="2237" spans="2:41" x14ac:dyDescent="0.25">
      <c r="B2237" s="21">
        <v>44529</v>
      </c>
      <c r="C2237" s="27">
        <v>21.8185</v>
      </c>
      <c r="E2237" s="27">
        <v>0.886598</v>
      </c>
      <c r="G2237" s="27">
        <v>100.83557399999999</v>
      </c>
      <c r="I2237" s="27">
        <v>6.900182</v>
      </c>
      <c r="K2237" s="27">
        <v>5.5970319999999996</v>
      </c>
      <c r="M2237" s="27">
        <v>836.42489399999999</v>
      </c>
      <c r="O2237" s="27">
        <v>4015.616434</v>
      </c>
      <c r="Q2237" s="27">
        <v>6827.9166580000001</v>
      </c>
      <c r="S2237" s="27">
        <v>1219.9300900000001</v>
      </c>
      <c r="U2237" s="27">
        <v>4.0422760000000002</v>
      </c>
      <c r="W2237" s="27">
        <v>44.101588</v>
      </c>
      <c r="Y2237" s="27">
        <v>7.8795060000000001</v>
      </c>
      <c r="AA2237" s="27">
        <v>636.71696199999997</v>
      </c>
      <c r="AC2237" s="27">
        <v>56.579014000000001</v>
      </c>
      <c r="AE2237" s="27">
        <v>1</v>
      </c>
      <c r="AG2237" s="27">
        <v>7.7378559999999998</v>
      </c>
      <c r="AI2237" s="27">
        <v>8.75</v>
      </c>
      <c r="AK2237" s="27">
        <v>24.123781999999999</v>
      </c>
      <c r="AM2237" s="27">
        <v>35.218392000000001</v>
      </c>
      <c r="AO2237" s="27">
        <v>6.7855629999999998</v>
      </c>
    </row>
    <row r="2238" spans="2:41" x14ac:dyDescent="0.25">
      <c r="B2238" s="21">
        <v>44530</v>
      </c>
      <c r="C2238" s="27">
        <v>21.7333</v>
      </c>
      <c r="E2238" s="27">
        <v>0.88295000000000001</v>
      </c>
      <c r="G2238" s="27">
        <v>100.909964</v>
      </c>
      <c r="I2238" s="27">
        <v>6.8925380000000001</v>
      </c>
      <c r="K2238" s="27">
        <v>5.6131409999999997</v>
      </c>
      <c r="M2238" s="27">
        <v>838.25980900000002</v>
      </c>
      <c r="O2238" s="27">
        <v>4019.8723879999998</v>
      </c>
      <c r="Q2238" s="27">
        <v>6829.2214590000003</v>
      </c>
      <c r="S2238" s="27">
        <v>1216.6584029999999</v>
      </c>
      <c r="U2238" s="27">
        <v>4.0538059999999998</v>
      </c>
      <c r="W2238" s="27">
        <v>44.094239999999999</v>
      </c>
      <c r="Y2238" s="27">
        <v>7.8555739999999998</v>
      </c>
      <c r="AA2238" s="27">
        <v>630.85050000000001</v>
      </c>
      <c r="AC2238" s="27">
        <v>56.583109</v>
      </c>
      <c r="AE2238" s="27">
        <v>1</v>
      </c>
      <c r="AG2238" s="27">
        <v>7.73698</v>
      </c>
      <c r="AI2238" s="27">
        <v>8.75</v>
      </c>
      <c r="AK2238" s="27">
        <v>24.133620000000001</v>
      </c>
      <c r="AM2238" s="27">
        <v>35.221961999999998</v>
      </c>
      <c r="AO2238" s="27">
        <v>6.7815500000000002</v>
      </c>
    </row>
    <row r="2239" spans="2:41" ht="13" x14ac:dyDescent="0.3">
      <c r="B2239" s="25" t="s">
        <v>127</v>
      </c>
      <c r="C2239" s="19">
        <v>20.829499999999999</v>
      </c>
      <c r="E2239" s="19">
        <v>0.87660000000000005</v>
      </c>
      <c r="G2239" s="19">
        <v>100.288</v>
      </c>
      <c r="I2239" s="19">
        <v>6.9021999999999997</v>
      </c>
      <c r="K2239" s="19">
        <v>5.5572999999999997</v>
      </c>
      <c r="M2239" s="19">
        <v>815.11540000000002</v>
      </c>
      <c r="O2239" s="19">
        <v>3905.4661000000001</v>
      </c>
      <c r="Q2239" s="19">
        <v>6865.6541999999999</v>
      </c>
      <c r="S2239" s="19">
        <v>1235.6170999999999</v>
      </c>
      <c r="U2239" s="19">
        <v>4.0187999999999997</v>
      </c>
      <c r="W2239" s="19">
        <v>44.023000000000003</v>
      </c>
      <c r="Y2239" s="19">
        <v>7.9225000000000003</v>
      </c>
      <c r="AA2239" s="19">
        <v>639.77650000000006</v>
      </c>
      <c r="AC2239" s="19">
        <v>56.549799999999998</v>
      </c>
      <c r="AE2239" s="19">
        <v>1</v>
      </c>
      <c r="AG2239" s="19">
        <v>7.7403000000000004</v>
      </c>
      <c r="AI2239" s="19">
        <v>8.75</v>
      </c>
      <c r="AK2239" s="19">
        <v>24.1433</v>
      </c>
      <c r="AM2239" s="19">
        <v>35.2331</v>
      </c>
      <c r="AO2239" s="19">
        <v>6.7896999999999998</v>
      </c>
    </row>
    <row r="2240" spans="2:41" x14ac:dyDescent="0.25">
      <c r="B2240" s="21">
        <v>44531</v>
      </c>
      <c r="C2240" s="27">
        <v>21.4453</v>
      </c>
      <c r="E2240" s="27">
        <v>0.88290400000000002</v>
      </c>
      <c r="G2240" s="27">
        <v>100.965738</v>
      </c>
      <c r="I2240" s="27">
        <v>6.8967200000000002</v>
      </c>
      <c r="K2240" s="27">
        <v>5.6372020000000003</v>
      </c>
      <c r="M2240" s="27">
        <v>830.73553200000003</v>
      </c>
      <c r="O2240" s="27">
        <v>3979.8450699999999</v>
      </c>
      <c r="Q2240" s="27">
        <v>6841.1573449999996</v>
      </c>
      <c r="S2240" s="27">
        <v>1213.5830800000001</v>
      </c>
      <c r="U2240" s="27">
        <v>4.0704739999999999</v>
      </c>
      <c r="W2240" s="27">
        <v>44.153233999999998</v>
      </c>
      <c r="Y2240" s="27">
        <v>7.8325100000000001</v>
      </c>
      <c r="AA2240" s="27">
        <v>628.49436800000001</v>
      </c>
      <c r="AC2240" s="27">
        <v>56.598508000000002</v>
      </c>
      <c r="AE2240" s="27">
        <v>1</v>
      </c>
      <c r="AG2240" s="27">
        <v>7.7406119999999996</v>
      </c>
      <c r="AI2240" s="27">
        <v>8.75</v>
      </c>
      <c r="AK2240" s="27">
        <v>24.161640999999999</v>
      </c>
      <c r="AM2240" s="27">
        <v>35.167946000000001</v>
      </c>
      <c r="AO2240" s="27">
        <v>6.781428</v>
      </c>
    </row>
    <row r="2241" spans="2:41" x14ac:dyDescent="0.25">
      <c r="B2241" s="21">
        <v>44532</v>
      </c>
      <c r="C2241" s="27">
        <v>21.271000000000001</v>
      </c>
      <c r="E2241" s="27">
        <v>0.88341400000000003</v>
      </c>
      <c r="G2241" s="27">
        <v>101.01420400000001</v>
      </c>
      <c r="I2241" s="27">
        <v>6.8983460000000001</v>
      </c>
      <c r="K2241" s="27">
        <v>5.6699760000000001</v>
      </c>
      <c r="M2241" s="27">
        <v>838.26801799999998</v>
      </c>
      <c r="O2241" s="27">
        <v>3955.7269900000001</v>
      </c>
      <c r="Q2241" s="27">
        <v>6836.9476210000003</v>
      </c>
      <c r="S2241" s="27">
        <v>1205.8256200000001</v>
      </c>
      <c r="U2241" s="27">
        <v>4.0679959999999999</v>
      </c>
      <c r="W2241" s="27">
        <v>44.067273</v>
      </c>
      <c r="Y2241" s="27">
        <v>7.7720760000000002</v>
      </c>
      <c r="AA2241" s="27">
        <v>628.16756199999998</v>
      </c>
      <c r="AC2241" s="27">
        <v>56.501485000000002</v>
      </c>
      <c r="AE2241" s="27">
        <v>1</v>
      </c>
      <c r="AG2241" s="27">
        <v>7.7352259999999999</v>
      </c>
      <c r="AI2241" s="27">
        <v>8.75</v>
      </c>
      <c r="AK2241" s="27">
        <v>24.130483999999999</v>
      </c>
      <c r="AM2241" s="27">
        <v>35.220252000000002</v>
      </c>
      <c r="AO2241" s="27">
        <v>6.7812270000000003</v>
      </c>
    </row>
    <row r="2242" spans="2:41" x14ac:dyDescent="0.25">
      <c r="B2242" s="21">
        <v>44533</v>
      </c>
      <c r="C2242" s="27">
        <v>21.3033</v>
      </c>
      <c r="E2242" s="27">
        <v>0.88485999999999998</v>
      </c>
      <c r="G2242" s="27">
        <v>101.09457399999999</v>
      </c>
      <c r="I2242" s="27">
        <v>6.9124080000000001</v>
      </c>
      <c r="K2242" s="27">
        <v>5.6511579999999997</v>
      </c>
      <c r="M2242" s="27">
        <v>838.57387400000005</v>
      </c>
      <c r="O2242" s="27">
        <v>3947.1624040000002</v>
      </c>
      <c r="Q2242" s="27">
        <v>6837.8673319999998</v>
      </c>
      <c r="S2242" s="27">
        <v>1210.0022220000001</v>
      </c>
      <c r="U2242" s="27">
        <v>4.0789400000000002</v>
      </c>
      <c r="W2242" s="27">
        <v>44.202317000000001</v>
      </c>
      <c r="Y2242" s="27">
        <v>7.8218459999999999</v>
      </c>
      <c r="AA2242" s="27">
        <v>629.16460600000005</v>
      </c>
      <c r="AC2242" s="27">
        <v>56.733514</v>
      </c>
      <c r="AE2242" s="27">
        <v>1</v>
      </c>
      <c r="AG2242" s="27">
        <v>7.7452649999999998</v>
      </c>
      <c r="AI2242" s="27">
        <v>8.75</v>
      </c>
      <c r="AK2242" s="27">
        <v>24.184987</v>
      </c>
      <c r="AM2242" s="27">
        <v>35.283231000000001</v>
      </c>
      <c r="AO2242" s="27">
        <v>6.7931869999999996</v>
      </c>
    </row>
    <row r="2243" spans="2:41" x14ac:dyDescent="0.25">
      <c r="B2243" s="21">
        <v>44534</v>
      </c>
      <c r="C2243" s="27">
        <v>21.3033</v>
      </c>
      <c r="E2243" s="27">
        <v>0.88410299999999997</v>
      </c>
      <c r="G2243" s="27">
        <v>101.1152</v>
      </c>
      <c r="I2243" s="27">
        <v>6.8985260000000004</v>
      </c>
      <c r="K2243" s="27">
        <v>5.6537249999999997</v>
      </c>
      <c r="M2243" s="27">
        <v>841.06</v>
      </c>
      <c r="O2243" s="27">
        <v>3966.8625000000002</v>
      </c>
      <c r="Q2243" s="27">
        <v>6825.5813669999998</v>
      </c>
      <c r="S2243" s="27">
        <v>1207.2788049999999</v>
      </c>
      <c r="U2243" s="27">
        <v>4.0752249999999997</v>
      </c>
      <c r="W2243" s="27">
        <v>44.159030000000001</v>
      </c>
      <c r="Y2243" s="27">
        <v>7.8106410000000004</v>
      </c>
      <c r="AA2243" s="27">
        <v>628.391076</v>
      </c>
      <c r="AC2243" s="27">
        <v>56.622500000000002</v>
      </c>
      <c r="AE2243" s="27">
        <v>1</v>
      </c>
      <c r="AG2243" s="27">
        <v>7.7354500000000002</v>
      </c>
      <c r="AI2243" s="27">
        <v>8.75</v>
      </c>
      <c r="AK2243" s="27">
        <v>24.157900000000001</v>
      </c>
      <c r="AM2243" s="27">
        <v>35.227249999999998</v>
      </c>
      <c r="AO2243" s="27">
        <v>6.7848870000000003</v>
      </c>
    </row>
    <row r="2244" spans="2:41" x14ac:dyDescent="0.25">
      <c r="B2244" s="21">
        <v>44535</v>
      </c>
      <c r="C2244" s="27">
        <v>21.3033</v>
      </c>
      <c r="E2244" s="27">
        <v>0.88412999999999997</v>
      </c>
      <c r="G2244" s="27">
        <v>101.11102</v>
      </c>
      <c r="I2244" s="27">
        <v>6.8985260000000004</v>
      </c>
      <c r="K2244" s="27">
        <v>5.6537249999999997</v>
      </c>
      <c r="M2244" s="27">
        <v>841.06</v>
      </c>
      <c r="O2244" s="27">
        <v>3966.8625000000002</v>
      </c>
      <c r="Q2244" s="27">
        <v>6825.5813669999998</v>
      </c>
      <c r="S2244" s="27">
        <v>1207.2788049999999</v>
      </c>
      <c r="U2244" s="27">
        <v>4.0752249999999997</v>
      </c>
      <c r="W2244" s="27">
        <v>44.159030000000001</v>
      </c>
      <c r="Y2244" s="27">
        <v>7.8106410000000004</v>
      </c>
      <c r="AA2244" s="27">
        <v>628.391076</v>
      </c>
      <c r="AC2244" s="27">
        <v>56.622500000000002</v>
      </c>
      <c r="AE2244" s="27">
        <v>1</v>
      </c>
      <c r="AG2244" s="27">
        <v>7.7353319999999997</v>
      </c>
      <c r="AI2244" s="27">
        <v>8.75</v>
      </c>
      <c r="AK2244" s="27">
        <v>24.157900000000001</v>
      </c>
      <c r="AM2244" s="27">
        <v>35.227249999999998</v>
      </c>
      <c r="AO2244" s="27">
        <v>6.7848870000000003</v>
      </c>
    </row>
    <row r="2245" spans="2:41" x14ac:dyDescent="0.25">
      <c r="B2245" s="21">
        <v>44536</v>
      </c>
      <c r="C2245" s="27">
        <v>21.4177</v>
      </c>
      <c r="E2245" s="27">
        <v>0.88588699999999998</v>
      </c>
      <c r="G2245" s="27">
        <v>101.225773</v>
      </c>
      <c r="I2245" s="27">
        <v>6.9032980000000004</v>
      </c>
      <c r="K2245" s="27">
        <v>5.670299</v>
      </c>
      <c r="M2245" s="27">
        <v>842.95229800000004</v>
      </c>
      <c r="O2245" s="27">
        <v>3953.858862</v>
      </c>
      <c r="Q2245" s="27">
        <v>6816.2842140000002</v>
      </c>
      <c r="S2245" s="27">
        <v>1202.1101759999999</v>
      </c>
      <c r="U2245" s="27">
        <v>4.0804479999999996</v>
      </c>
      <c r="W2245" s="27">
        <v>44.177475999999999</v>
      </c>
      <c r="Y2245" s="27">
        <v>7.7910599999999999</v>
      </c>
      <c r="AA2245" s="27">
        <v>629.17906000000005</v>
      </c>
      <c r="AC2245" s="27">
        <v>56.734231999999999</v>
      </c>
      <c r="AE2245" s="27">
        <v>1</v>
      </c>
      <c r="AG2245" s="27">
        <v>7.7424720000000002</v>
      </c>
      <c r="AI2245" s="27">
        <v>8.75</v>
      </c>
      <c r="AK2245" s="27">
        <v>24.167406</v>
      </c>
      <c r="AM2245" s="27">
        <v>35.245742</v>
      </c>
      <c r="AO2245" s="27">
        <v>6.7943980000000002</v>
      </c>
    </row>
    <row r="2246" spans="2:41" x14ac:dyDescent="0.25">
      <c r="B2246" s="21">
        <v>44537</v>
      </c>
      <c r="C2246" s="27">
        <v>21.204699999999999</v>
      </c>
      <c r="E2246" s="27">
        <v>0.88743799999999995</v>
      </c>
      <c r="G2246" s="27">
        <v>101.313467</v>
      </c>
      <c r="I2246" s="27">
        <v>6.9041119999999996</v>
      </c>
      <c r="K2246" s="27">
        <v>5.6610180000000003</v>
      </c>
      <c r="M2246" s="27">
        <v>842.93660999999997</v>
      </c>
      <c r="O2246" s="27">
        <v>3921.5607450000002</v>
      </c>
      <c r="Q2246" s="27">
        <v>6809.8504350000003</v>
      </c>
      <c r="S2246" s="27">
        <v>1202.9438070000001</v>
      </c>
      <c r="U2246" s="27">
        <v>4.0830599999999997</v>
      </c>
      <c r="W2246" s="27">
        <v>44.188150999999998</v>
      </c>
      <c r="Y2246" s="27">
        <v>7.8057119999999998</v>
      </c>
      <c r="AA2246" s="27">
        <v>630.60191399999997</v>
      </c>
      <c r="AC2246" s="27">
        <v>56.779051000000003</v>
      </c>
      <c r="AE2246" s="27">
        <v>1</v>
      </c>
      <c r="AG2246" s="27">
        <v>7.7417670000000003</v>
      </c>
      <c r="AI2246" s="27">
        <v>8.75</v>
      </c>
      <c r="AK2246" s="27">
        <v>24.168035</v>
      </c>
      <c r="AM2246" s="27">
        <v>35.241703999999999</v>
      </c>
      <c r="AO2246" s="27">
        <v>6.79941</v>
      </c>
    </row>
    <row r="2247" spans="2:41" x14ac:dyDescent="0.25">
      <c r="B2247" s="21">
        <v>44538</v>
      </c>
      <c r="C2247" s="27">
        <v>21.090699999999998</v>
      </c>
      <c r="E2247" s="27">
        <v>0.88429500000000005</v>
      </c>
      <c r="G2247" s="27">
        <v>101.37934</v>
      </c>
      <c r="I2247" s="27">
        <v>6.8977360000000001</v>
      </c>
      <c r="K2247" s="27">
        <v>5.5839699999999999</v>
      </c>
      <c r="M2247" s="27">
        <v>839.81005800000003</v>
      </c>
      <c r="O2247" s="27">
        <v>3906.723234</v>
      </c>
      <c r="Q2247" s="27">
        <v>6821.99287</v>
      </c>
      <c r="S2247" s="27">
        <v>1221.7165680000001</v>
      </c>
      <c r="U2247" s="27">
        <v>4.0786379999999998</v>
      </c>
      <c r="W2247" s="27">
        <v>44.142783000000001</v>
      </c>
      <c r="Y2247" s="27">
        <v>7.9052939999999996</v>
      </c>
      <c r="AA2247" s="27">
        <v>632.70122800000001</v>
      </c>
      <c r="AC2247" s="27">
        <v>56.657252999999997</v>
      </c>
      <c r="AE2247" s="27">
        <v>1</v>
      </c>
      <c r="AG2247" s="27">
        <v>7.7291780000000001</v>
      </c>
      <c r="AI2247" s="27">
        <v>8.75</v>
      </c>
      <c r="AK2247" s="27">
        <v>24.138058000000001</v>
      </c>
      <c r="AM2247" s="27">
        <v>35.197814000000001</v>
      </c>
      <c r="AO2247" s="27">
        <v>6.7953510000000001</v>
      </c>
    </row>
    <row r="2248" spans="2:41" x14ac:dyDescent="0.25">
      <c r="B2248" s="21">
        <v>44539</v>
      </c>
      <c r="C2248" s="27">
        <v>20.933</v>
      </c>
      <c r="E2248" s="27">
        <v>0.88399499999999998</v>
      </c>
      <c r="G2248" s="27">
        <v>101.442041</v>
      </c>
      <c r="I2248" s="27">
        <v>6.8959729999999997</v>
      </c>
      <c r="K2248" s="27">
        <v>5.5514830000000002</v>
      </c>
      <c r="M2248" s="27">
        <v>842.18145600000003</v>
      </c>
      <c r="O2248" s="27">
        <v>3897.7734070000001</v>
      </c>
      <c r="Q2248" s="27">
        <v>6825.4050880000004</v>
      </c>
      <c r="S2248" s="27">
        <v>1229.4806840000001</v>
      </c>
      <c r="U2248" s="27">
        <v>4.0706980000000001</v>
      </c>
      <c r="W2248" s="27">
        <v>44.15663</v>
      </c>
      <c r="Y2248" s="27">
        <v>7.9540480000000002</v>
      </c>
      <c r="AA2248" s="27">
        <v>633.833303</v>
      </c>
      <c r="AC2248" s="27">
        <v>56.644917999999997</v>
      </c>
      <c r="AE2248" s="27">
        <v>1</v>
      </c>
      <c r="AG2248" s="27">
        <v>7.7269110000000003</v>
      </c>
      <c r="AI2248" s="27">
        <v>8.75</v>
      </c>
      <c r="AK2248" s="27">
        <v>24.124338000000002</v>
      </c>
      <c r="AM2248" s="27">
        <v>35.152424000000003</v>
      </c>
      <c r="AO2248" s="27">
        <v>6.7949599999999997</v>
      </c>
    </row>
    <row r="2249" spans="2:41" x14ac:dyDescent="0.25">
      <c r="B2249" s="21">
        <v>44540</v>
      </c>
      <c r="C2249" s="27">
        <v>21.032800000000002</v>
      </c>
      <c r="E2249" s="27">
        <v>0.88509700000000002</v>
      </c>
      <c r="G2249" s="27">
        <v>101.53494000000001</v>
      </c>
      <c r="I2249" s="27">
        <v>6.9044400000000001</v>
      </c>
      <c r="K2249" s="27">
        <v>5.5883190000000003</v>
      </c>
      <c r="M2249" s="27">
        <v>843.32407799999999</v>
      </c>
      <c r="O2249" s="27">
        <v>3898.5320459999998</v>
      </c>
      <c r="Q2249" s="27">
        <v>6837.2648900000004</v>
      </c>
      <c r="S2249" s="27">
        <v>1223.498734</v>
      </c>
      <c r="U2249" s="27">
        <v>4.0777260000000002</v>
      </c>
      <c r="W2249" s="27">
        <v>44.227853000000003</v>
      </c>
      <c r="Y2249" s="27">
        <v>7.9143679999999996</v>
      </c>
      <c r="AA2249" s="27">
        <v>636.70625500000006</v>
      </c>
      <c r="AC2249" s="27">
        <v>56.798577999999999</v>
      </c>
      <c r="AE2249" s="27">
        <v>1</v>
      </c>
      <c r="AG2249" s="27">
        <v>7.7353639999999997</v>
      </c>
      <c r="AI2249" s="27">
        <v>8.75</v>
      </c>
      <c r="AK2249" s="27">
        <v>24.232378000000001</v>
      </c>
      <c r="AM2249" s="27">
        <v>35.262596000000002</v>
      </c>
      <c r="AO2249" s="27">
        <v>6.8035880000000004</v>
      </c>
    </row>
    <row r="2250" spans="2:41" x14ac:dyDescent="0.25">
      <c r="B2250" s="21">
        <v>44541</v>
      </c>
      <c r="C2250" s="27">
        <v>21.032800000000002</v>
      </c>
      <c r="E2250" s="27">
        <v>0.88356000000000001</v>
      </c>
      <c r="G2250" s="27">
        <v>101.497675</v>
      </c>
      <c r="I2250" s="27">
        <v>6.9024409999999996</v>
      </c>
      <c r="K2250" s="27">
        <v>5.6133499999999996</v>
      </c>
      <c r="M2250" s="27">
        <v>844.18</v>
      </c>
      <c r="O2250" s="27">
        <v>3897.7375000000002</v>
      </c>
      <c r="Q2250" s="27">
        <v>6835.5102109999998</v>
      </c>
      <c r="S2250" s="27">
        <v>1217.731902</v>
      </c>
      <c r="U2250" s="27">
        <v>4.0619750000000003</v>
      </c>
      <c r="W2250" s="27">
        <v>44.193497999999998</v>
      </c>
      <c r="Y2250" s="27">
        <v>7.8729639999999996</v>
      </c>
      <c r="AA2250" s="27">
        <v>637.58113600000001</v>
      </c>
      <c r="AC2250" s="27">
        <v>56.762500000000003</v>
      </c>
      <c r="AE2250" s="27">
        <v>1</v>
      </c>
      <c r="AG2250" s="27">
        <v>7.7283580000000001</v>
      </c>
      <c r="AI2250" s="27">
        <v>8.75</v>
      </c>
      <c r="AK2250" s="27">
        <v>24.251925</v>
      </c>
      <c r="AM2250" s="27">
        <v>35.222250000000003</v>
      </c>
      <c r="AO2250" s="27">
        <v>6.7973439999999998</v>
      </c>
    </row>
    <row r="2251" spans="2:41" x14ac:dyDescent="0.25">
      <c r="B2251" s="21">
        <v>44542</v>
      </c>
      <c r="C2251" s="27">
        <v>21.032800000000002</v>
      </c>
      <c r="E2251" s="27">
        <v>0.88358599999999998</v>
      </c>
      <c r="G2251" s="27">
        <v>101.479328</v>
      </c>
      <c r="I2251" s="27">
        <v>6.9024409999999996</v>
      </c>
      <c r="K2251" s="27">
        <v>5.6133499999999996</v>
      </c>
      <c r="M2251" s="27">
        <v>844.18</v>
      </c>
      <c r="O2251" s="27">
        <v>3897.7375000000002</v>
      </c>
      <c r="Q2251" s="27">
        <v>6835.5102109999998</v>
      </c>
      <c r="S2251" s="27">
        <v>1217.731902</v>
      </c>
      <c r="U2251" s="27">
        <v>4.0619750000000003</v>
      </c>
      <c r="W2251" s="27">
        <v>44.193497999999998</v>
      </c>
      <c r="Y2251" s="27">
        <v>7.8729639999999996</v>
      </c>
      <c r="AA2251" s="27">
        <v>637.58113600000001</v>
      </c>
      <c r="AC2251" s="27">
        <v>56.762500000000003</v>
      </c>
      <c r="AE2251" s="27">
        <v>1</v>
      </c>
      <c r="AG2251" s="27">
        <v>7.7273079999999998</v>
      </c>
      <c r="AI2251" s="27">
        <v>8.75</v>
      </c>
      <c r="AK2251" s="27">
        <v>24.251925</v>
      </c>
      <c r="AM2251" s="27">
        <v>35.222250000000003</v>
      </c>
      <c r="AO2251" s="27">
        <v>6.7973439999999998</v>
      </c>
    </row>
    <row r="2252" spans="2:41" x14ac:dyDescent="0.25">
      <c r="B2252" s="21">
        <v>44543</v>
      </c>
      <c r="C2252" s="27">
        <v>20.892199999999999</v>
      </c>
      <c r="E2252" s="27">
        <v>0.88580999999999999</v>
      </c>
      <c r="G2252" s="27">
        <v>101.515579</v>
      </c>
      <c r="I2252" s="27">
        <v>6.8880280000000003</v>
      </c>
      <c r="K2252" s="27">
        <v>5.6350480000000003</v>
      </c>
      <c r="M2252" s="27">
        <v>844.88285599999995</v>
      </c>
      <c r="O2252" s="27">
        <v>3888.9353700000001</v>
      </c>
      <c r="Q2252" s="27">
        <v>6819.8670599999996</v>
      </c>
      <c r="S2252" s="27">
        <v>1210.266204</v>
      </c>
      <c r="U2252" s="27">
        <v>4.0618740000000004</v>
      </c>
      <c r="W2252" s="27">
        <v>44.170847999999999</v>
      </c>
      <c r="Y2252" s="27">
        <v>7.838622</v>
      </c>
      <c r="AA2252" s="27">
        <v>637.15972499999998</v>
      </c>
      <c r="AC2252" s="27">
        <v>56.697408000000003</v>
      </c>
      <c r="AE2252" s="27">
        <v>1</v>
      </c>
      <c r="AG2252" s="27">
        <v>7.7160880000000001</v>
      </c>
      <c r="AI2252" s="27">
        <v>8.75</v>
      </c>
      <c r="AK2252" s="27">
        <v>24.212173</v>
      </c>
      <c r="AM2252" s="27">
        <v>35.170535999999998</v>
      </c>
      <c r="AO2252" s="27">
        <v>6.780964</v>
      </c>
    </row>
    <row r="2253" spans="2:41" x14ac:dyDescent="0.25">
      <c r="B2253" s="21">
        <v>44544</v>
      </c>
      <c r="C2253" s="27">
        <v>20.938300000000002</v>
      </c>
      <c r="E2253" s="27">
        <v>0.88646400000000003</v>
      </c>
      <c r="G2253" s="27">
        <v>101.70477200000001</v>
      </c>
      <c r="I2253" s="27">
        <v>6.89595</v>
      </c>
      <c r="K2253" s="27">
        <v>5.6755040000000001</v>
      </c>
      <c r="M2253" s="27">
        <v>842.96644900000001</v>
      </c>
      <c r="O2253" s="27">
        <v>3907.093844</v>
      </c>
      <c r="Q2253" s="27">
        <v>6816.4815479999997</v>
      </c>
      <c r="S2253" s="27">
        <v>1201.041594</v>
      </c>
      <c r="U2253" s="27">
        <v>4.0551459999999997</v>
      </c>
      <c r="W2253" s="27">
        <v>44.230966000000002</v>
      </c>
      <c r="Y2253" s="27">
        <v>7.7933320000000004</v>
      </c>
      <c r="AA2253" s="27">
        <v>637.86008200000003</v>
      </c>
      <c r="AC2253" s="27">
        <v>56.737445999999998</v>
      </c>
      <c r="AE2253" s="27">
        <v>1</v>
      </c>
      <c r="AG2253" s="27">
        <v>7.728542</v>
      </c>
      <c r="AI2253" s="27">
        <v>8.75</v>
      </c>
      <c r="AK2253" s="27">
        <v>24.221285999999999</v>
      </c>
      <c r="AM2253" s="27">
        <v>35.224904000000002</v>
      </c>
      <c r="AO2253" s="27">
        <v>6.7873780000000004</v>
      </c>
    </row>
    <row r="2254" spans="2:41" x14ac:dyDescent="0.25">
      <c r="B2254" s="21">
        <v>44545</v>
      </c>
      <c r="C2254" s="27">
        <v>21.164999999999999</v>
      </c>
      <c r="E2254" s="27">
        <v>0.887409</v>
      </c>
      <c r="G2254" s="27">
        <v>101.776222</v>
      </c>
      <c r="I2254" s="27">
        <v>6.9053440000000004</v>
      </c>
      <c r="K2254" s="27">
        <v>5.6919959999999996</v>
      </c>
      <c r="M2254" s="27">
        <v>846.730906</v>
      </c>
      <c r="O2254" s="27">
        <v>3982.0479799999998</v>
      </c>
      <c r="Q2254" s="27">
        <v>6817.7001819999996</v>
      </c>
      <c r="S2254" s="27">
        <v>1197.7760270000001</v>
      </c>
      <c r="U2254" s="27">
        <v>4.0628279999999997</v>
      </c>
      <c r="W2254" s="27">
        <v>44.349730999999998</v>
      </c>
      <c r="Y2254" s="27">
        <v>7.79162</v>
      </c>
      <c r="AA2254" s="27">
        <v>638.59479199999998</v>
      </c>
      <c r="AC2254" s="27">
        <v>56.913297999999998</v>
      </c>
      <c r="AE2254" s="27">
        <v>1</v>
      </c>
      <c r="AG2254" s="27">
        <v>7.7375579999999999</v>
      </c>
      <c r="AI2254" s="27">
        <v>8.75</v>
      </c>
      <c r="AK2254" s="27">
        <v>24.293033999999999</v>
      </c>
      <c r="AM2254" s="27">
        <v>35.356735999999998</v>
      </c>
      <c r="AO2254" s="27">
        <v>6.7979609999999999</v>
      </c>
    </row>
    <row r="2255" spans="2:41" x14ac:dyDescent="0.25">
      <c r="B2255" s="21">
        <v>44546</v>
      </c>
      <c r="C2255" s="27">
        <v>21.2393</v>
      </c>
      <c r="E2255" s="27">
        <v>0.884212</v>
      </c>
      <c r="G2255" s="27">
        <v>101.853982</v>
      </c>
      <c r="I2255" s="27">
        <v>6.8932979999999997</v>
      </c>
      <c r="K2255" s="27">
        <v>5.6825979999999996</v>
      </c>
      <c r="M2255" s="27">
        <v>849.45858199999998</v>
      </c>
      <c r="O2255" s="27">
        <v>4003.2683010000001</v>
      </c>
      <c r="Q2255" s="27">
        <v>6791.0274520000003</v>
      </c>
      <c r="S2255" s="27">
        <v>1195.063105</v>
      </c>
      <c r="U2255" s="27">
        <v>4.0467899999999997</v>
      </c>
      <c r="W2255" s="27">
        <v>44.255806</v>
      </c>
      <c r="Y2255" s="27">
        <v>7.7879759999999996</v>
      </c>
      <c r="AA2255" s="27">
        <v>637.815472</v>
      </c>
      <c r="AC2255" s="27">
        <v>56.782094000000001</v>
      </c>
      <c r="AE2255" s="27">
        <v>1</v>
      </c>
      <c r="AG2255" s="27">
        <v>7.7247760000000003</v>
      </c>
      <c r="AI2255" s="27">
        <v>8.75</v>
      </c>
      <c r="AK2255" s="27">
        <v>24.215147999999999</v>
      </c>
      <c r="AM2255" s="27">
        <v>35.366405999999998</v>
      </c>
      <c r="AO2255" s="27">
        <v>6.7865359999999999</v>
      </c>
    </row>
    <row r="2256" spans="2:41" x14ac:dyDescent="0.25">
      <c r="B2256" s="21">
        <v>44547</v>
      </c>
      <c r="C2256" s="27">
        <v>20.9238</v>
      </c>
      <c r="E2256" s="27">
        <v>0.88490800000000003</v>
      </c>
      <c r="G2256" s="27">
        <v>101.906578</v>
      </c>
      <c r="I2256" s="27">
        <v>6.8943940000000001</v>
      </c>
      <c r="K2256" s="27">
        <v>5.6886520000000003</v>
      </c>
      <c r="M2256" s="27">
        <v>845.14051600000005</v>
      </c>
      <c r="O2256" s="27">
        <v>4003.9957159999999</v>
      </c>
      <c r="Q2256" s="27">
        <v>6790.4070730000003</v>
      </c>
      <c r="S2256" s="27">
        <v>1193.6819849999999</v>
      </c>
      <c r="U2256" s="27">
        <v>4.0410370000000002</v>
      </c>
      <c r="W2256" s="27">
        <v>44.318173999999999</v>
      </c>
      <c r="Y2256" s="27">
        <v>7.7906519999999997</v>
      </c>
      <c r="AA2256" s="27">
        <v>637.95019600000001</v>
      </c>
      <c r="AC2256" s="27">
        <v>56.846699000000001</v>
      </c>
      <c r="AE2256" s="27">
        <v>1</v>
      </c>
      <c r="AG2256" s="27">
        <v>7.7260939999999998</v>
      </c>
      <c r="AI2256" s="27">
        <v>8.75</v>
      </c>
      <c r="AK2256" s="27">
        <v>24.231172000000001</v>
      </c>
      <c r="AM2256" s="27">
        <v>35.361395999999999</v>
      </c>
      <c r="AO2256" s="27">
        <v>6.7903099999999998</v>
      </c>
    </row>
    <row r="2257" spans="2:41" x14ac:dyDescent="0.25">
      <c r="B2257" s="21">
        <v>44548</v>
      </c>
      <c r="C2257" s="27">
        <v>20.9238</v>
      </c>
      <c r="E2257" s="27">
        <v>0.88999600000000001</v>
      </c>
      <c r="G2257" s="27">
        <v>101.9226</v>
      </c>
      <c r="I2257" s="27">
        <v>6.8959279999999996</v>
      </c>
      <c r="K2257" s="27">
        <v>5.6961000000000004</v>
      </c>
      <c r="M2257" s="27">
        <v>842.17250000000001</v>
      </c>
      <c r="O2257" s="27">
        <v>3974.1824999999999</v>
      </c>
      <c r="Q2257" s="27">
        <v>6798.9370520000002</v>
      </c>
      <c r="S2257" s="27">
        <v>1193.618056</v>
      </c>
      <c r="U2257" s="27">
        <v>4.0354749999999999</v>
      </c>
      <c r="W2257" s="27">
        <v>44.431392000000002</v>
      </c>
      <c r="Y2257" s="27">
        <v>7.8003419999999997</v>
      </c>
      <c r="AA2257" s="27">
        <v>638.20116700000005</v>
      </c>
      <c r="AC2257" s="27">
        <v>56.972499999999997</v>
      </c>
      <c r="AE2257" s="27">
        <v>1</v>
      </c>
      <c r="AG2257" s="27">
        <v>7.7322480000000002</v>
      </c>
      <c r="AI2257" s="27">
        <v>8.75</v>
      </c>
      <c r="AK2257" s="27">
        <v>24.299975</v>
      </c>
      <c r="AM2257" s="27">
        <v>35.384749999999997</v>
      </c>
      <c r="AO2257" s="27">
        <v>6.7983399999999996</v>
      </c>
    </row>
    <row r="2258" spans="2:41" x14ac:dyDescent="0.25">
      <c r="B2258" s="21">
        <v>44549</v>
      </c>
      <c r="C2258" s="27">
        <v>20.9238</v>
      </c>
      <c r="E2258" s="27">
        <v>0.88997400000000004</v>
      </c>
      <c r="G2258" s="27">
        <v>101.97758399999999</v>
      </c>
      <c r="I2258" s="27">
        <v>6.8959279999999996</v>
      </c>
      <c r="K2258" s="27">
        <v>5.6961000000000004</v>
      </c>
      <c r="M2258" s="27">
        <v>842.17250000000001</v>
      </c>
      <c r="O2258" s="27">
        <v>3974.1824999999999</v>
      </c>
      <c r="Q2258" s="27">
        <v>6798.9370520000002</v>
      </c>
      <c r="S2258" s="27">
        <v>1193.618056</v>
      </c>
      <c r="U2258" s="27">
        <v>4.0354749999999999</v>
      </c>
      <c r="W2258" s="27">
        <v>44.431392000000002</v>
      </c>
      <c r="Y2258" s="27">
        <v>7.8003419999999997</v>
      </c>
      <c r="AA2258" s="27">
        <v>638.20116700000005</v>
      </c>
      <c r="AC2258" s="27">
        <v>56.972499999999997</v>
      </c>
      <c r="AE2258" s="27">
        <v>1</v>
      </c>
      <c r="AG2258" s="27">
        <v>7.734394</v>
      </c>
      <c r="AI2258" s="27">
        <v>8.75</v>
      </c>
      <c r="AK2258" s="27">
        <v>24.299975</v>
      </c>
      <c r="AM2258" s="27">
        <v>35.384749999999997</v>
      </c>
      <c r="AO2258" s="27">
        <v>6.7983399999999996</v>
      </c>
    </row>
    <row r="2259" spans="2:41" x14ac:dyDescent="0.25">
      <c r="B2259" s="21">
        <v>44550</v>
      </c>
      <c r="C2259" s="27">
        <v>20.733699999999999</v>
      </c>
      <c r="E2259" s="27">
        <v>0.88742399999999999</v>
      </c>
      <c r="G2259" s="27">
        <v>102.19453</v>
      </c>
      <c r="I2259" s="27">
        <v>6.9270160000000001</v>
      </c>
      <c r="K2259" s="27">
        <v>5.7106560000000002</v>
      </c>
      <c r="M2259" s="27">
        <v>859.97680100000002</v>
      </c>
      <c r="O2259" s="27">
        <v>4002.6199780000002</v>
      </c>
      <c r="Q2259" s="27">
        <v>6824.0439839999999</v>
      </c>
      <c r="S2259" s="27">
        <v>1194.9732859999999</v>
      </c>
      <c r="U2259" s="27">
        <v>4.0490219999999999</v>
      </c>
      <c r="W2259" s="27">
        <v>44.524906000000001</v>
      </c>
      <c r="Y2259" s="27">
        <v>7.7968380000000002</v>
      </c>
      <c r="AA2259" s="27">
        <v>640.89460799999995</v>
      </c>
      <c r="AC2259" s="27">
        <v>57.1006</v>
      </c>
      <c r="AE2259" s="27">
        <v>1</v>
      </c>
      <c r="AG2259" s="27">
        <v>7.768059</v>
      </c>
      <c r="AI2259" s="27">
        <v>8.75</v>
      </c>
      <c r="AK2259" s="27">
        <v>24.390176</v>
      </c>
      <c r="AM2259" s="27">
        <v>35.564900000000002</v>
      </c>
      <c r="AO2259" s="27">
        <v>6.8291040000000001</v>
      </c>
    </row>
    <row r="2260" spans="2:41" x14ac:dyDescent="0.25">
      <c r="B2260" s="21">
        <v>44551</v>
      </c>
      <c r="C2260" s="27">
        <v>20.7363</v>
      </c>
      <c r="E2260" s="27">
        <v>0.88637299999999997</v>
      </c>
      <c r="G2260" s="27">
        <v>102.16610799999999</v>
      </c>
      <c r="I2260" s="27">
        <v>6.8982659999999996</v>
      </c>
      <c r="K2260" s="27">
        <v>5.74193</v>
      </c>
      <c r="M2260" s="27">
        <v>870.88289599999996</v>
      </c>
      <c r="O2260" s="27">
        <v>4002.87554</v>
      </c>
      <c r="Q2260" s="27">
        <v>6804.5404680000001</v>
      </c>
      <c r="S2260" s="27">
        <v>1185.0676539999999</v>
      </c>
      <c r="U2260" s="27">
        <v>4.0498979999999998</v>
      </c>
      <c r="W2260" s="27">
        <v>44.403564000000003</v>
      </c>
      <c r="Y2260" s="27">
        <v>7.7332359999999998</v>
      </c>
      <c r="AA2260" s="27">
        <v>638.79945399999997</v>
      </c>
      <c r="AC2260" s="27">
        <v>56.974372000000002</v>
      </c>
      <c r="AE2260" s="27">
        <v>1</v>
      </c>
      <c r="AG2260" s="27">
        <v>7.7268889999999999</v>
      </c>
      <c r="AI2260" s="27">
        <v>8.75</v>
      </c>
      <c r="AK2260" s="27">
        <v>24.422498999999998</v>
      </c>
      <c r="AM2260" s="27">
        <v>35.413893999999999</v>
      </c>
      <c r="AO2260" s="27">
        <v>6.7946520000000001</v>
      </c>
    </row>
    <row r="2261" spans="2:41" x14ac:dyDescent="0.25">
      <c r="B2261" s="21">
        <v>44552</v>
      </c>
      <c r="C2261" s="27">
        <v>20.782299999999999</v>
      </c>
      <c r="E2261" s="27">
        <v>0.884884</v>
      </c>
      <c r="G2261" s="27">
        <v>102.22534400000001</v>
      </c>
      <c r="I2261" s="27">
        <v>6.8986830000000001</v>
      </c>
      <c r="K2261" s="27">
        <v>5.7172099999999997</v>
      </c>
      <c r="M2261" s="27">
        <v>867.53668500000003</v>
      </c>
      <c r="O2261" s="27">
        <v>4000.1553509999999</v>
      </c>
      <c r="Q2261" s="27">
        <v>6801.1990040000001</v>
      </c>
      <c r="S2261" s="27">
        <v>1189.607211</v>
      </c>
      <c r="U2261" s="27">
        <v>4.0492080000000001</v>
      </c>
      <c r="W2261" s="27">
        <v>44.361649999999997</v>
      </c>
      <c r="Y2261" s="27">
        <v>7.7593420000000002</v>
      </c>
      <c r="AA2261" s="27">
        <v>638.79422499999998</v>
      </c>
      <c r="AC2261" s="27">
        <v>56.947825999999999</v>
      </c>
      <c r="AE2261" s="27">
        <v>1</v>
      </c>
      <c r="AG2261" s="27">
        <v>7.7215600000000002</v>
      </c>
      <c r="AI2261" s="27">
        <v>8.75</v>
      </c>
      <c r="AK2261" s="27">
        <v>24.326792000000001</v>
      </c>
      <c r="AM2261" s="27">
        <v>35.494300000000003</v>
      </c>
      <c r="AO2261" s="27">
        <v>6.7784399999999998</v>
      </c>
    </row>
    <row r="2262" spans="2:41" x14ac:dyDescent="0.25">
      <c r="B2262" s="21">
        <v>44553</v>
      </c>
      <c r="C2262" s="27">
        <v>20.752700000000001</v>
      </c>
      <c r="E2262" s="27">
        <v>0.88283599999999995</v>
      </c>
      <c r="G2262" s="27">
        <v>102.190952</v>
      </c>
      <c r="I2262" s="27">
        <v>6.8935459999999997</v>
      </c>
      <c r="K2262" s="27">
        <v>5.6650749999999999</v>
      </c>
      <c r="M2262" s="27">
        <v>859.48820999999998</v>
      </c>
      <c r="O2262" s="27">
        <v>3998.7483929999999</v>
      </c>
      <c r="Q2262" s="27">
        <v>6801.5462559999996</v>
      </c>
      <c r="S2262" s="27">
        <v>1200.6169319999999</v>
      </c>
      <c r="U2262" s="27">
        <v>4.0339340000000004</v>
      </c>
      <c r="W2262" s="27">
        <v>44.298464000000003</v>
      </c>
      <c r="Y2262" s="27">
        <v>7.8195990000000002</v>
      </c>
      <c r="AA2262" s="27">
        <v>639.64884600000005</v>
      </c>
      <c r="AC2262" s="27">
        <v>56.914856</v>
      </c>
      <c r="AE2262" s="27">
        <v>1</v>
      </c>
      <c r="AG2262" s="27">
        <v>7.713228</v>
      </c>
      <c r="AI2262" s="27">
        <v>8.75</v>
      </c>
      <c r="AK2262" s="27">
        <v>24.427800999999999</v>
      </c>
      <c r="AM2262" s="27">
        <v>35.349375999999999</v>
      </c>
      <c r="AO2262" s="27">
        <v>6.7844559999999996</v>
      </c>
    </row>
    <row r="2263" spans="2:41" x14ac:dyDescent="0.25">
      <c r="B2263" s="21">
        <v>44554</v>
      </c>
      <c r="C2263" s="27">
        <v>20.658200000000001</v>
      </c>
      <c r="E2263" s="27">
        <v>0.88308200000000003</v>
      </c>
      <c r="G2263" s="27">
        <v>102.26804</v>
      </c>
      <c r="I2263" s="27">
        <v>6.8992760000000004</v>
      </c>
      <c r="K2263" s="27">
        <v>5.6753499999999999</v>
      </c>
      <c r="M2263" s="27">
        <v>861.35895400000004</v>
      </c>
      <c r="O2263" s="27">
        <v>3997.5098119999998</v>
      </c>
      <c r="Q2263" s="27">
        <v>6814.3861029999998</v>
      </c>
      <c r="S2263" s="27">
        <v>1200.7046720000001</v>
      </c>
      <c r="U2263" s="27">
        <v>4.0084419999999996</v>
      </c>
      <c r="W2263" s="27">
        <v>44.390785000000001</v>
      </c>
      <c r="Y2263" s="27">
        <v>7.8217020000000002</v>
      </c>
      <c r="AA2263" s="27">
        <v>640.80968199999995</v>
      </c>
      <c r="AC2263" s="27">
        <v>57.217702000000003</v>
      </c>
      <c r="AE2263" s="27">
        <v>1</v>
      </c>
      <c r="AG2263" s="27">
        <v>7.7226359999999996</v>
      </c>
      <c r="AI2263" s="27">
        <v>8.75</v>
      </c>
      <c r="AK2263" s="27">
        <v>24.393540000000002</v>
      </c>
      <c r="AM2263" s="27">
        <v>35.402816000000001</v>
      </c>
      <c r="AO2263" s="27">
        <v>6.7960339999999997</v>
      </c>
    </row>
    <row r="2264" spans="2:41" x14ac:dyDescent="0.25">
      <c r="B2264" s="21">
        <v>44555</v>
      </c>
      <c r="C2264" s="27">
        <v>20.658200000000001</v>
      </c>
      <c r="E2264" s="27">
        <v>0.88413399999999998</v>
      </c>
      <c r="G2264" s="27">
        <v>102.2555</v>
      </c>
      <c r="I2264" s="27">
        <v>6.9009260000000001</v>
      </c>
      <c r="K2264" s="27">
        <v>5.6747899999999998</v>
      </c>
      <c r="M2264" s="27">
        <v>865.42</v>
      </c>
      <c r="O2264" s="27">
        <v>3995.75</v>
      </c>
      <c r="Q2264" s="27">
        <v>6813.0325579999999</v>
      </c>
      <c r="S2264" s="27">
        <v>1200.5881059999999</v>
      </c>
      <c r="U2264" s="27">
        <v>4.0044000000000004</v>
      </c>
      <c r="W2264" s="27">
        <v>44.400204000000002</v>
      </c>
      <c r="Y2264" s="27">
        <v>7.8241459999999998</v>
      </c>
      <c r="AA2264" s="27">
        <v>640.63761199999999</v>
      </c>
      <c r="AC2264" s="27">
        <v>57.247500000000002</v>
      </c>
      <c r="AE2264" s="27">
        <v>1</v>
      </c>
      <c r="AG2264" s="27">
        <v>7.7213630000000002</v>
      </c>
      <c r="AI2264" s="27">
        <v>8.75</v>
      </c>
      <c r="AK2264" s="27">
        <v>24.382474999999999</v>
      </c>
      <c r="AM2264" s="27">
        <v>35.40475</v>
      </c>
      <c r="AO2264" s="27">
        <v>6.7951759999999997</v>
      </c>
    </row>
    <row r="2265" spans="2:41" x14ac:dyDescent="0.25">
      <c r="B2265" s="21">
        <v>44556</v>
      </c>
      <c r="C2265" s="27">
        <v>20.658200000000001</v>
      </c>
      <c r="E2265" s="27">
        <v>0.88407500000000006</v>
      </c>
      <c r="G2265" s="27">
        <v>102.255634</v>
      </c>
      <c r="I2265" s="27">
        <v>6.9009260000000001</v>
      </c>
      <c r="K2265" s="27">
        <v>5.6747899999999998</v>
      </c>
      <c r="M2265" s="27">
        <v>865.42</v>
      </c>
      <c r="O2265" s="27">
        <v>3995.75</v>
      </c>
      <c r="Q2265" s="27">
        <v>6813.0325579999999</v>
      </c>
      <c r="S2265" s="27">
        <v>1200.5881059999999</v>
      </c>
      <c r="U2265" s="27">
        <v>4.0044000000000004</v>
      </c>
      <c r="W2265" s="27">
        <v>44.400204000000002</v>
      </c>
      <c r="Y2265" s="27">
        <v>7.8241459999999998</v>
      </c>
      <c r="AA2265" s="27">
        <v>640.63761199999999</v>
      </c>
      <c r="AC2265" s="27">
        <v>57.247500000000002</v>
      </c>
      <c r="AE2265" s="27">
        <v>1</v>
      </c>
      <c r="AG2265" s="27">
        <v>7.7212120000000004</v>
      </c>
      <c r="AI2265" s="27">
        <v>8.75</v>
      </c>
      <c r="AK2265" s="27">
        <v>24.382474999999999</v>
      </c>
      <c r="AM2265" s="27">
        <v>35.40475</v>
      </c>
      <c r="AO2265" s="27">
        <v>6.7951759999999997</v>
      </c>
    </row>
    <row r="2266" spans="2:41" x14ac:dyDescent="0.25">
      <c r="B2266" s="21">
        <v>44557</v>
      </c>
      <c r="C2266" s="27">
        <v>20.6112</v>
      </c>
      <c r="E2266" s="27">
        <v>0.88333799999999996</v>
      </c>
      <c r="G2266" s="27">
        <v>102.413786</v>
      </c>
      <c r="I2266" s="27">
        <v>6.9068880000000004</v>
      </c>
      <c r="K2266" s="27">
        <v>5.6600539999999997</v>
      </c>
      <c r="M2266" s="27">
        <v>861.37011600000005</v>
      </c>
      <c r="O2266" s="27">
        <v>3992.8482960000001</v>
      </c>
      <c r="Q2266" s="27">
        <v>6808.9125960000001</v>
      </c>
      <c r="S2266" s="27">
        <v>1203.0069860000001</v>
      </c>
      <c r="U2266" s="27">
        <v>4.0005920000000001</v>
      </c>
      <c r="W2266" s="27">
        <v>44.411026</v>
      </c>
      <c r="Y2266" s="27">
        <v>7.8465199999999999</v>
      </c>
      <c r="AA2266" s="27">
        <v>642.31561999999997</v>
      </c>
      <c r="AC2266" s="27">
        <v>57.161020000000001</v>
      </c>
      <c r="AE2266" s="27">
        <v>1</v>
      </c>
      <c r="AG2266" s="27">
        <v>7.7248320000000001</v>
      </c>
      <c r="AI2266" s="27">
        <v>8.75</v>
      </c>
      <c r="AK2266" s="27">
        <v>24.485847</v>
      </c>
      <c r="AM2266" s="27">
        <v>35.418309999999998</v>
      </c>
      <c r="AO2266" s="27">
        <v>6.796538</v>
      </c>
    </row>
    <row r="2267" spans="2:41" x14ac:dyDescent="0.25">
      <c r="B2267" s="21">
        <v>44558</v>
      </c>
      <c r="C2267" s="27">
        <v>20.6828</v>
      </c>
      <c r="E2267" s="27">
        <v>0.88350600000000001</v>
      </c>
      <c r="G2267" s="27">
        <v>102.576719</v>
      </c>
      <c r="I2267" s="27">
        <v>6.9007189999999996</v>
      </c>
      <c r="K2267" s="27">
        <v>5.6310209999999996</v>
      </c>
      <c r="M2267" s="27">
        <v>856.59793999999999</v>
      </c>
      <c r="O2267" s="27">
        <v>3999.7268359999998</v>
      </c>
      <c r="Q2267" s="27">
        <v>6797.7043439999998</v>
      </c>
      <c r="S2267" s="27">
        <v>1207.1953140000001</v>
      </c>
      <c r="U2267" s="27">
        <v>3.9925449999999998</v>
      </c>
      <c r="W2267" s="27">
        <v>44.412396999999999</v>
      </c>
      <c r="Y2267" s="27">
        <v>7.8871190000000002</v>
      </c>
      <c r="AA2267" s="27">
        <v>641.99625700000001</v>
      </c>
      <c r="AC2267" s="27">
        <v>57.108908</v>
      </c>
      <c r="AE2267" s="27">
        <v>1</v>
      </c>
      <c r="AG2267" s="27">
        <v>7.7205050000000002</v>
      </c>
      <c r="AI2267" s="27">
        <v>8.75</v>
      </c>
      <c r="AK2267" s="27">
        <v>24.468973999999999</v>
      </c>
      <c r="AM2267" s="27">
        <v>35.392744</v>
      </c>
      <c r="AO2267" s="27">
        <v>6.7897220000000003</v>
      </c>
    </row>
    <row r="2268" spans="2:41" x14ac:dyDescent="0.25">
      <c r="B2268" s="21">
        <v>44559</v>
      </c>
      <c r="C2268" s="27">
        <v>20.577000000000002</v>
      </c>
      <c r="E2268" s="27">
        <v>0.88353199999999998</v>
      </c>
      <c r="G2268" s="27">
        <v>102.633205</v>
      </c>
      <c r="I2268" s="27">
        <v>6.9039720000000004</v>
      </c>
      <c r="K2268" s="27">
        <v>5.6554200000000003</v>
      </c>
      <c r="M2268" s="27">
        <v>852.83262999999999</v>
      </c>
      <c r="O2268" s="27">
        <v>4017.4832019999999</v>
      </c>
      <c r="Q2268" s="27">
        <v>6805.7644399999999</v>
      </c>
      <c r="S2268" s="27">
        <v>1203.4123239999999</v>
      </c>
      <c r="U2268" s="27">
        <v>3.9855520000000002</v>
      </c>
      <c r="W2268" s="27">
        <v>44.524574999999999</v>
      </c>
      <c r="Y2268" s="27">
        <v>7.8729279999999999</v>
      </c>
      <c r="AA2268" s="27">
        <v>642.56581300000005</v>
      </c>
      <c r="AC2268" s="27">
        <v>57.146675999999999</v>
      </c>
      <c r="AE2268" s="27">
        <v>1</v>
      </c>
      <c r="AG2268" s="27">
        <v>7.7269569999999996</v>
      </c>
      <c r="AI2268" s="27">
        <v>8.75</v>
      </c>
      <c r="AK2268" s="27">
        <v>24.472843999999998</v>
      </c>
      <c r="AM2268" s="27">
        <v>35.444724000000001</v>
      </c>
      <c r="AO2268" s="27">
        <v>6.7983729999999998</v>
      </c>
    </row>
    <row r="2269" spans="2:41" x14ac:dyDescent="0.25">
      <c r="B2269" s="21">
        <v>44560</v>
      </c>
      <c r="C2269" s="27">
        <v>20.583500000000001</v>
      </c>
      <c r="E2269" s="27">
        <v>0.88301399999999997</v>
      </c>
      <c r="G2269" s="27">
        <v>102.681594</v>
      </c>
      <c r="I2269" s="27">
        <v>6.8922080000000001</v>
      </c>
      <c r="K2269" s="27">
        <v>5.64466</v>
      </c>
      <c r="M2269" s="27">
        <v>849.39567299999999</v>
      </c>
      <c r="O2269" s="27">
        <v>4034.784361</v>
      </c>
      <c r="Q2269" s="27">
        <v>6797.4548080000004</v>
      </c>
      <c r="S2269" s="27">
        <v>1204.2340799999999</v>
      </c>
      <c r="U2269" s="27">
        <v>3.9657100000000001</v>
      </c>
      <c r="W2269" s="27">
        <v>44.445661999999999</v>
      </c>
      <c r="Y2269" s="27">
        <v>7.8739549999999996</v>
      </c>
      <c r="AA2269" s="27">
        <v>641.30544199999997</v>
      </c>
      <c r="AC2269" s="27">
        <v>57.111761999999999</v>
      </c>
      <c r="AE2269" s="27">
        <v>1</v>
      </c>
      <c r="AG2269" s="27">
        <v>7.7081169999999997</v>
      </c>
      <c r="AI2269" s="27">
        <v>8.75</v>
      </c>
      <c r="AK2269" s="27">
        <v>24.420804</v>
      </c>
      <c r="AM2269" s="27">
        <v>35.342832000000001</v>
      </c>
      <c r="AO2269" s="27">
        <v>6.7861880000000001</v>
      </c>
    </row>
    <row r="2270" spans="2:41" x14ac:dyDescent="0.25">
      <c r="B2270" s="21">
        <v>44561</v>
      </c>
      <c r="C2270" s="27">
        <v>20.515699999999999</v>
      </c>
      <c r="E2270" s="27">
        <v>0.88159399999999999</v>
      </c>
      <c r="G2270" s="27">
        <v>102.688289</v>
      </c>
      <c r="I2270" s="27">
        <v>6.9032080000000002</v>
      </c>
      <c r="K2270" s="27">
        <v>5.5716710000000003</v>
      </c>
      <c r="M2270" s="27">
        <v>851.54051400000003</v>
      </c>
      <c r="O2270" s="27">
        <v>4057.2787680000001</v>
      </c>
      <c r="Q2270" s="27">
        <v>6823.7779849999997</v>
      </c>
      <c r="S2270" s="27">
        <v>1224.7334980000001</v>
      </c>
      <c r="U2270" s="27">
        <v>3.9874999999999998</v>
      </c>
      <c r="W2270" s="27">
        <v>44.578648000000001</v>
      </c>
      <c r="Y2270" s="27">
        <v>8.0009709999999998</v>
      </c>
      <c r="AA2270" s="27">
        <v>642.21830899999998</v>
      </c>
      <c r="AC2270" s="27">
        <v>57.293211999999997</v>
      </c>
      <c r="AE2270" s="27">
        <v>1</v>
      </c>
      <c r="AG2270" s="27">
        <v>7.71896</v>
      </c>
      <c r="AI2270" s="27">
        <v>8.75</v>
      </c>
      <c r="AK2270" s="27">
        <v>24.442751000000001</v>
      </c>
      <c r="AM2270" s="27">
        <v>35.405710999999997</v>
      </c>
      <c r="AO2270" s="27">
        <v>6.7946419999999996</v>
      </c>
    </row>
    <row r="2271" spans="2:41" ht="13" x14ac:dyDescent="0.3">
      <c r="B2271" s="25" t="s">
        <v>128</v>
      </c>
      <c r="C2271" s="19">
        <v>20.946000000000002</v>
      </c>
      <c r="E2271" s="19">
        <v>0.88480000000000003</v>
      </c>
      <c r="G2271" s="19">
        <v>101.81870000000001</v>
      </c>
      <c r="I2271" s="19">
        <v>6.9002999999999997</v>
      </c>
      <c r="K2271" s="19">
        <v>5.6559999999999997</v>
      </c>
      <c r="M2271" s="19">
        <v>849.18089999999995</v>
      </c>
      <c r="O2271" s="19">
        <v>3968.3748000000001</v>
      </c>
      <c r="Q2271" s="19">
        <v>6815.7323999999999</v>
      </c>
      <c r="S2271" s="19">
        <v>1205.1282000000001</v>
      </c>
      <c r="U2271" s="19">
        <v>4.0435999999999996</v>
      </c>
      <c r="W2271" s="19">
        <v>44.302</v>
      </c>
      <c r="Y2271" s="19">
        <v>7.8331</v>
      </c>
      <c r="AA2271" s="19">
        <v>636.68380000000002</v>
      </c>
      <c r="AC2271" s="19">
        <v>56.890700000000002</v>
      </c>
      <c r="AE2271" s="19">
        <v>1</v>
      </c>
      <c r="AG2271" s="19">
        <v>7.7295999999999996</v>
      </c>
      <c r="AI2271" s="19">
        <v>8.75</v>
      </c>
      <c r="AK2271" s="19">
        <v>24.287600000000001</v>
      </c>
      <c r="AM2271" s="19">
        <v>35.321300000000001</v>
      </c>
      <c r="AO2271" s="19">
        <v>6.7930999999999999</v>
      </c>
    </row>
    <row r="2272" spans="2:41" x14ac:dyDescent="0.25">
      <c r="B2272" s="21">
        <v>44562</v>
      </c>
      <c r="C2272" s="27">
        <v>20.515699999999999</v>
      </c>
      <c r="E2272" s="27">
        <v>0.87927599999999995</v>
      </c>
      <c r="G2272" s="27">
        <v>102.68891600000001</v>
      </c>
      <c r="I2272" s="27">
        <v>6.9001900000000003</v>
      </c>
      <c r="K2272" s="27">
        <v>5.5716279999999996</v>
      </c>
      <c r="M2272" s="27">
        <v>852</v>
      </c>
      <c r="O2272" s="27">
        <v>4065.665</v>
      </c>
      <c r="Q2272" s="27">
        <v>6834.6887800000004</v>
      </c>
      <c r="S2272" s="27">
        <v>1226.704665</v>
      </c>
      <c r="U2272" s="27">
        <v>3.9904999999999999</v>
      </c>
      <c r="W2272" s="27">
        <v>44.670439999999999</v>
      </c>
      <c r="Y2272" s="27">
        <v>8.0175280000000004</v>
      </c>
      <c r="AA2272" s="27">
        <v>642.17171399999995</v>
      </c>
      <c r="AC2272" s="27">
        <v>57.335000000000001</v>
      </c>
      <c r="AE2272" s="27">
        <v>1</v>
      </c>
      <c r="AG2272" s="27">
        <v>7.7189199999999998</v>
      </c>
      <c r="AI2272" s="27">
        <v>8.75</v>
      </c>
      <c r="AK2272" s="27">
        <v>24.404975</v>
      </c>
      <c r="AM2272" s="27">
        <v>35.399749999999997</v>
      </c>
      <c r="AO2272" s="27">
        <v>6.7941520000000004</v>
      </c>
    </row>
    <row r="2273" spans="2:41" x14ac:dyDescent="0.25">
      <c r="B2273" s="21">
        <v>44563</v>
      </c>
      <c r="C2273" s="27">
        <v>20.515699999999999</v>
      </c>
      <c r="E2273" s="27">
        <v>0.87927299999999997</v>
      </c>
      <c r="G2273" s="27">
        <v>102.68657399999999</v>
      </c>
      <c r="I2273" s="27">
        <v>6.8999969999999999</v>
      </c>
      <c r="K2273" s="27">
        <v>5.5716219999999996</v>
      </c>
      <c r="M2273" s="27">
        <v>851.95146599999998</v>
      </c>
      <c r="O2273" s="27">
        <v>4064.4900200000002</v>
      </c>
      <c r="Q2273" s="27">
        <v>6836.0416919999998</v>
      </c>
      <c r="S2273" s="27">
        <v>1226.9492399999999</v>
      </c>
      <c r="U2273" s="27">
        <v>3.9904739999999999</v>
      </c>
      <c r="W2273" s="27">
        <v>44.666764000000001</v>
      </c>
      <c r="Y2273" s="27">
        <v>8.0168780000000002</v>
      </c>
      <c r="AA2273" s="27">
        <v>642.16913799999998</v>
      </c>
      <c r="AC2273" s="27">
        <v>57.336902000000002</v>
      </c>
      <c r="AE2273" s="27">
        <v>1</v>
      </c>
      <c r="AG2273" s="27">
        <v>7.7189300000000003</v>
      </c>
      <c r="AI2273" s="27">
        <v>8.75</v>
      </c>
      <c r="AK2273" s="27">
        <v>24.410927999999998</v>
      </c>
      <c r="AM2273" s="27">
        <v>35.400531999999998</v>
      </c>
      <c r="AO2273" s="27">
        <v>6.7941219999999998</v>
      </c>
    </row>
    <row r="2274" spans="2:41" x14ac:dyDescent="0.25">
      <c r="B2274" s="21">
        <v>44564</v>
      </c>
      <c r="C2274" s="27">
        <v>20.467199999999998</v>
      </c>
      <c r="E2274" s="27">
        <v>0.88273699999999999</v>
      </c>
      <c r="G2274" s="27">
        <v>102.818038</v>
      </c>
      <c r="I2274" s="27">
        <v>6.893014</v>
      </c>
      <c r="K2274" s="27">
        <v>5.6155600000000003</v>
      </c>
      <c r="M2274" s="27">
        <v>851.68839800000001</v>
      </c>
      <c r="O2274" s="27">
        <v>4067.8370580000001</v>
      </c>
      <c r="Q2274" s="27">
        <v>6865.3724789999997</v>
      </c>
      <c r="S2274" s="27">
        <v>1222.657974</v>
      </c>
      <c r="U2274" s="27">
        <v>3.985268</v>
      </c>
      <c r="W2274" s="27">
        <v>44.620201000000002</v>
      </c>
      <c r="Y2274" s="27">
        <v>7.9462099999999998</v>
      </c>
      <c r="AA2274" s="27">
        <v>641.33822199999997</v>
      </c>
      <c r="AC2274" s="27">
        <v>57.182380000000002</v>
      </c>
      <c r="AE2274" s="27">
        <v>1</v>
      </c>
      <c r="AG2274" s="27">
        <v>7.7098839999999997</v>
      </c>
      <c r="AI2274" s="27">
        <v>8.75</v>
      </c>
      <c r="AK2274" s="27">
        <v>24.476438999999999</v>
      </c>
      <c r="AM2274" s="27">
        <v>35.348424999999999</v>
      </c>
      <c r="AO2274" s="27">
        <v>6.7883610000000001</v>
      </c>
    </row>
    <row r="2275" spans="2:41" x14ac:dyDescent="0.25">
      <c r="B2275" s="21">
        <v>44565</v>
      </c>
      <c r="C2275" s="27">
        <v>20.588999999999999</v>
      </c>
      <c r="E2275" s="27">
        <v>0.88546000000000002</v>
      </c>
      <c r="G2275" s="27">
        <v>103.020321</v>
      </c>
      <c r="I2275" s="27">
        <v>6.9083880000000004</v>
      </c>
      <c r="K2275" s="27">
        <v>5.6815540000000002</v>
      </c>
      <c r="M2275" s="27">
        <v>850.59965299999999</v>
      </c>
      <c r="O2275" s="27">
        <v>4072.2015660000002</v>
      </c>
      <c r="Q2275" s="27">
        <v>6882.3139840000003</v>
      </c>
      <c r="S2275" s="27">
        <v>1211.3501220000001</v>
      </c>
      <c r="U2275" s="27">
        <v>3.9769559999999999</v>
      </c>
      <c r="W2275" s="27">
        <v>44.771917999999999</v>
      </c>
      <c r="Y2275" s="27">
        <v>7.8802490000000001</v>
      </c>
      <c r="AA2275" s="27">
        <v>642.76459999999997</v>
      </c>
      <c r="AC2275" s="27">
        <v>57.352293000000003</v>
      </c>
      <c r="AE2275" s="27">
        <v>1</v>
      </c>
      <c r="AG2275" s="27">
        <v>7.7271840000000003</v>
      </c>
      <c r="AI2275" s="27">
        <v>8.75</v>
      </c>
      <c r="AK2275" s="27">
        <v>24.549906</v>
      </c>
      <c r="AM2275" s="27">
        <v>35.459656000000003</v>
      </c>
      <c r="AO2275" s="27">
        <v>6.8046160000000002</v>
      </c>
    </row>
    <row r="2276" spans="2:41" x14ac:dyDescent="0.25">
      <c r="B2276" s="21">
        <v>44566</v>
      </c>
      <c r="C2276" s="27">
        <v>20.4742</v>
      </c>
      <c r="E2276" s="27">
        <v>0.88418600000000003</v>
      </c>
      <c r="G2276" s="27">
        <v>103.114721</v>
      </c>
      <c r="I2276" s="27">
        <v>6.8981409999999999</v>
      </c>
      <c r="K2276" s="27">
        <v>5.6823240000000004</v>
      </c>
      <c r="M2276" s="27">
        <v>843.39274599999999</v>
      </c>
      <c r="O2276" s="27">
        <v>4061.657119</v>
      </c>
      <c r="Q2276" s="27">
        <v>6883.3503330000003</v>
      </c>
      <c r="S2276" s="27">
        <v>1211.3683100000001</v>
      </c>
      <c r="U2276" s="27">
        <v>3.9670160000000001</v>
      </c>
      <c r="W2276" s="27">
        <v>44.671816</v>
      </c>
      <c r="Y2276" s="27">
        <v>7.8615649999999997</v>
      </c>
      <c r="AA2276" s="27">
        <v>641.80416600000001</v>
      </c>
      <c r="AC2276" s="27">
        <v>57.268357999999999</v>
      </c>
      <c r="AE2276" s="27">
        <v>1</v>
      </c>
      <c r="AG2276" s="27">
        <v>7.7164659999999996</v>
      </c>
      <c r="AI2276" s="27">
        <v>8.75</v>
      </c>
      <c r="AK2276" s="27">
        <v>24.497416999999999</v>
      </c>
      <c r="AM2276" s="27">
        <v>35.388204000000002</v>
      </c>
      <c r="AO2276" s="27">
        <v>6.7945799999999998</v>
      </c>
    </row>
    <row r="2277" spans="2:41" x14ac:dyDescent="0.25">
      <c r="B2277" s="21">
        <v>44567</v>
      </c>
      <c r="C2277" s="27">
        <v>20.3977</v>
      </c>
      <c r="E2277" s="27">
        <v>0.88457799999999998</v>
      </c>
      <c r="G2277" s="27">
        <v>103.158838</v>
      </c>
      <c r="I2277" s="27">
        <v>6.9014559999999996</v>
      </c>
      <c r="K2277" s="27">
        <v>5.7020920000000004</v>
      </c>
      <c r="M2277" s="27">
        <v>838.37478899999996</v>
      </c>
      <c r="O2277" s="27">
        <v>4030.4123479999998</v>
      </c>
      <c r="Q2277" s="27">
        <v>6903.9487499999996</v>
      </c>
      <c r="S2277" s="27">
        <v>1210.7809299999999</v>
      </c>
      <c r="U2277" s="27">
        <v>3.9627530000000002</v>
      </c>
      <c r="W2277" s="27">
        <v>44.695867999999997</v>
      </c>
      <c r="Y2277" s="27">
        <v>7.8385249999999997</v>
      </c>
      <c r="AA2277" s="27">
        <v>642.15557999999999</v>
      </c>
      <c r="AC2277" s="27">
        <v>57.344118999999999</v>
      </c>
      <c r="AE2277" s="27">
        <v>1</v>
      </c>
      <c r="AG2277" s="27">
        <v>7.7206960000000002</v>
      </c>
      <c r="AI2277" s="27">
        <v>8.75</v>
      </c>
      <c r="AK2277" s="27">
        <v>24.523993999999998</v>
      </c>
      <c r="AM2277" s="27">
        <v>35.407432</v>
      </c>
      <c r="AO2277" s="27">
        <v>6.7994760000000003</v>
      </c>
    </row>
    <row r="2278" spans="2:41" x14ac:dyDescent="0.25">
      <c r="B2278" s="21">
        <v>44568</v>
      </c>
      <c r="C2278" s="27">
        <v>20.4588</v>
      </c>
      <c r="E2278" s="27">
        <v>0.88312299999999999</v>
      </c>
      <c r="G2278" s="27">
        <v>103.25582799999999</v>
      </c>
      <c r="I2278" s="27">
        <v>6.8951630000000002</v>
      </c>
      <c r="K2278" s="27">
        <v>5.6669700000000001</v>
      </c>
      <c r="M2278" s="27">
        <v>833.50238999999999</v>
      </c>
      <c r="O2278" s="27">
        <v>4038.8670820000002</v>
      </c>
      <c r="Q2278" s="27">
        <v>6920.0671560000001</v>
      </c>
      <c r="S2278" s="27">
        <v>1221.1290039999999</v>
      </c>
      <c r="U2278" s="27">
        <v>3.9641060000000001</v>
      </c>
      <c r="W2278" s="27">
        <v>44.766950000000001</v>
      </c>
      <c r="Y2278" s="27">
        <v>7.8996500000000003</v>
      </c>
      <c r="AA2278" s="27">
        <v>642.40200200000004</v>
      </c>
      <c r="AC2278" s="27">
        <v>57.427615000000003</v>
      </c>
      <c r="AE2278" s="27">
        <v>1</v>
      </c>
      <c r="AG2278" s="27">
        <v>7.7229580000000002</v>
      </c>
      <c r="AI2278" s="27">
        <v>8.75</v>
      </c>
      <c r="AK2278" s="27">
        <v>24.546984999999999</v>
      </c>
      <c r="AM2278" s="27">
        <v>35.420183999999999</v>
      </c>
      <c r="AO2278" s="27">
        <v>6.7971320000000004</v>
      </c>
    </row>
    <row r="2279" spans="2:41" x14ac:dyDescent="0.25">
      <c r="B2279" s="21">
        <v>44569</v>
      </c>
      <c r="C2279" s="27">
        <v>20.4588</v>
      </c>
      <c r="E2279" s="27">
        <v>0.880162</v>
      </c>
      <c r="G2279" s="27">
        <v>103.28812499999999</v>
      </c>
      <c r="I2279" s="27">
        <v>6.8889579999999997</v>
      </c>
      <c r="K2279" s="27">
        <v>5.6363000000000003</v>
      </c>
      <c r="M2279" s="27">
        <v>828.31</v>
      </c>
      <c r="O2279" s="27">
        <v>4051.0025000000001</v>
      </c>
      <c r="Q2279" s="27">
        <v>6921.7992640000002</v>
      </c>
      <c r="S2279" s="27">
        <v>1228.0805419999999</v>
      </c>
      <c r="U2279" s="27">
        <v>3.9577249999999999</v>
      </c>
      <c r="W2279" s="27">
        <v>44.746986</v>
      </c>
      <c r="Y2279" s="27">
        <v>7.9390960000000002</v>
      </c>
      <c r="AA2279" s="27">
        <v>642.20293000000004</v>
      </c>
      <c r="AC2279" s="27">
        <v>57.622500000000002</v>
      </c>
      <c r="AE2279" s="27">
        <v>1</v>
      </c>
      <c r="AG2279" s="27">
        <v>7.7204839999999999</v>
      </c>
      <c r="AI2279" s="27">
        <v>8.75</v>
      </c>
      <c r="AK2279" s="27">
        <v>24.52065</v>
      </c>
      <c r="AM2279" s="27">
        <v>35.399749999999997</v>
      </c>
      <c r="AO2279" s="27">
        <v>6.7906009999999997</v>
      </c>
    </row>
    <row r="2280" spans="2:41" x14ac:dyDescent="0.25">
      <c r="B2280" s="21">
        <v>44570</v>
      </c>
      <c r="C2280" s="27">
        <v>20.4588</v>
      </c>
      <c r="E2280" s="27">
        <v>0.88019400000000003</v>
      </c>
      <c r="G2280" s="27">
        <v>103.244424</v>
      </c>
      <c r="I2280" s="27">
        <v>6.8889579999999997</v>
      </c>
      <c r="K2280" s="27">
        <v>5.6363000000000003</v>
      </c>
      <c r="M2280" s="27">
        <v>828.31</v>
      </c>
      <c r="O2280" s="27">
        <v>4050.9984119999999</v>
      </c>
      <c r="Q2280" s="27">
        <v>6921.7992640000002</v>
      </c>
      <c r="S2280" s="27">
        <v>1228.0805419999999</v>
      </c>
      <c r="U2280" s="27">
        <v>3.9577249999999999</v>
      </c>
      <c r="W2280" s="27">
        <v>44.746986</v>
      </c>
      <c r="Y2280" s="27">
        <v>7.9390960000000002</v>
      </c>
      <c r="AA2280" s="27">
        <v>642.20293000000004</v>
      </c>
      <c r="AC2280" s="27">
        <v>57.622172999999997</v>
      </c>
      <c r="AE2280" s="27">
        <v>1</v>
      </c>
      <c r="AG2280" s="27">
        <v>7.7195499999999999</v>
      </c>
      <c r="AI2280" s="27">
        <v>8.75</v>
      </c>
      <c r="AK2280" s="27">
        <v>24.52065</v>
      </c>
      <c r="AM2280" s="27">
        <v>35.399816999999999</v>
      </c>
      <c r="AO2280" s="27">
        <v>6.7906009999999997</v>
      </c>
    </row>
    <row r="2281" spans="2:41" x14ac:dyDescent="0.25">
      <c r="B2281" s="21">
        <v>44571</v>
      </c>
      <c r="C2281" s="27">
        <v>20.4237</v>
      </c>
      <c r="E2281" s="27">
        <v>0.88267799999999996</v>
      </c>
      <c r="G2281" s="27">
        <v>103.25857499999999</v>
      </c>
      <c r="I2281" s="27">
        <v>6.8752069999999996</v>
      </c>
      <c r="K2281" s="27">
        <v>5.6529999999999996</v>
      </c>
      <c r="M2281" s="27">
        <v>831.09872199999995</v>
      </c>
      <c r="O2281" s="27">
        <v>4041.9345929999999</v>
      </c>
      <c r="Q2281" s="27">
        <v>6934.2565839999997</v>
      </c>
      <c r="S2281" s="27">
        <v>1226.658326</v>
      </c>
      <c r="U2281" s="27">
        <v>3.943311</v>
      </c>
      <c r="W2281" s="27">
        <v>44.641094000000002</v>
      </c>
      <c r="Y2281" s="27">
        <v>7.8969139999999998</v>
      </c>
      <c r="AA2281" s="27">
        <v>640.86495000000002</v>
      </c>
      <c r="AC2281" s="27">
        <v>57.507154</v>
      </c>
      <c r="AE2281" s="27">
        <v>1</v>
      </c>
      <c r="AG2281" s="27">
        <v>7.7018360000000001</v>
      </c>
      <c r="AI2281" s="27">
        <v>8.75</v>
      </c>
      <c r="AK2281" s="27">
        <v>24.477931999999999</v>
      </c>
      <c r="AM2281" s="27">
        <v>35.486429999999999</v>
      </c>
      <c r="AO2281" s="27">
        <v>6.7740629999999999</v>
      </c>
    </row>
    <row r="2282" spans="2:41" x14ac:dyDescent="0.25">
      <c r="B2282" s="21">
        <v>44572</v>
      </c>
      <c r="C2282" s="27">
        <v>20.4453</v>
      </c>
      <c r="E2282" s="27">
        <v>0.88134800000000002</v>
      </c>
      <c r="G2282" s="27">
        <v>103.501514</v>
      </c>
      <c r="I2282" s="27">
        <v>6.8847759999999996</v>
      </c>
      <c r="K2282" s="27">
        <v>5.6336349999999999</v>
      </c>
      <c r="M2282" s="27">
        <v>832.91107999999997</v>
      </c>
      <c r="O2282" s="27">
        <v>4031.0580479999999</v>
      </c>
      <c r="Q2282" s="27">
        <v>6939.8133799999996</v>
      </c>
      <c r="S2282" s="27">
        <v>1231.8598199999999</v>
      </c>
      <c r="U2282" s="27">
        <v>3.927054</v>
      </c>
      <c r="W2282" s="27">
        <v>44.644824</v>
      </c>
      <c r="Y2282" s="27">
        <v>7.9247160000000001</v>
      </c>
      <c r="AA2282" s="27">
        <v>641.51011800000003</v>
      </c>
      <c r="AC2282" s="27">
        <v>57.589291000000003</v>
      </c>
      <c r="AE2282" s="27">
        <v>1</v>
      </c>
      <c r="AG2282" s="27">
        <v>7.7116239999999996</v>
      </c>
      <c r="AI2282" s="27">
        <v>8.75</v>
      </c>
      <c r="AK2282" s="27">
        <v>24.526586000000002</v>
      </c>
      <c r="AM2282" s="27">
        <v>35.442571000000001</v>
      </c>
      <c r="AO2282" s="27">
        <v>6.7825300000000004</v>
      </c>
    </row>
    <row r="2283" spans="2:41" x14ac:dyDescent="0.25">
      <c r="B2283" s="21">
        <v>44573</v>
      </c>
      <c r="C2283" s="27">
        <v>20.378499999999999</v>
      </c>
      <c r="E2283" s="27">
        <v>0.87744100000000003</v>
      </c>
      <c r="G2283" s="27">
        <v>103.57778399999999</v>
      </c>
      <c r="I2283" s="27">
        <v>6.8767589999999998</v>
      </c>
      <c r="K2283" s="27">
        <v>5.5592360000000003</v>
      </c>
      <c r="M2283" s="27">
        <v>826.40454599999998</v>
      </c>
      <c r="O2283" s="27">
        <v>3986.1555360000002</v>
      </c>
      <c r="Q2283" s="27">
        <v>6933.9673780000003</v>
      </c>
      <c r="S2283" s="27">
        <v>1247.2941800000001</v>
      </c>
      <c r="U2283" s="27">
        <v>3.9061859999999999</v>
      </c>
      <c r="W2283" s="27">
        <v>44.554254999999998</v>
      </c>
      <c r="Y2283" s="27">
        <v>8.0144800000000007</v>
      </c>
      <c r="AA2283" s="27">
        <v>640.58609799999999</v>
      </c>
      <c r="AC2283" s="27">
        <v>57.570307</v>
      </c>
      <c r="AE2283" s="27">
        <v>1</v>
      </c>
      <c r="AG2283" s="27">
        <v>7.7044980000000001</v>
      </c>
      <c r="AI2283" s="27">
        <v>8.75</v>
      </c>
      <c r="AK2283" s="27">
        <v>24.522596</v>
      </c>
      <c r="AM2283" s="27">
        <v>35.362214000000002</v>
      </c>
      <c r="AO2283" s="27">
        <v>6.7863480000000003</v>
      </c>
    </row>
    <row r="2284" spans="2:41" x14ac:dyDescent="0.25">
      <c r="B2284" s="21">
        <v>44574</v>
      </c>
      <c r="C2284" s="27">
        <v>20.366</v>
      </c>
      <c r="E2284" s="27">
        <v>0.87286399999999997</v>
      </c>
      <c r="G2284" s="27">
        <v>103.705938</v>
      </c>
      <c r="I2284" s="27">
        <v>6.8760960000000004</v>
      </c>
      <c r="K2284" s="27">
        <v>5.530081</v>
      </c>
      <c r="M2284" s="27">
        <v>821.27103</v>
      </c>
      <c r="O2284" s="27">
        <v>3970.605243</v>
      </c>
      <c r="Q2284" s="27">
        <v>6929.962168</v>
      </c>
      <c r="S2284" s="27">
        <v>1253.1462799999999</v>
      </c>
      <c r="U2284" s="27">
        <v>3.8915850000000001</v>
      </c>
      <c r="W2284" s="27">
        <v>44.531374</v>
      </c>
      <c r="Y2284" s="27">
        <v>8.0525959999999994</v>
      </c>
      <c r="AA2284" s="27">
        <v>638.80119400000001</v>
      </c>
      <c r="AC2284" s="27">
        <v>57.504795000000001</v>
      </c>
      <c r="AE2284" s="27">
        <v>1</v>
      </c>
      <c r="AG2284" s="27">
        <v>7.6958140000000004</v>
      </c>
      <c r="AI2284" s="27">
        <v>8.75</v>
      </c>
      <c r="AK2284" s="27">
        <v>24.494122000000001</v>
      </c>
      <c r="AM2284" s="27">
        <v>35.341504</v>
      </c>
      <c r="AO2284" s="27">
        <v>6.7908549999999996</v>
      </c>
    </row>
    <row r="2285" spans="2:41" x14ac:dyDescent="0.25">
      <c r="B2285" s="21">
        <v>44575</v>
      </c>
      <c r="C2285" s="27">
        <v>20.360700000000001</v>
      </c>
      <c r="E2285" s="27">
        <v>0.87377099999999996</v>
      </c>
      <c r="G2285" s="27">
        <v>103.802561</v>
      </c>
      <c r="I2285" s="27">
        <v>6.8855880000000003</v>
      </c>
      <c r="K2285" s="27">
        <v>5.5319229999999999</v>
      </c>
      <c r="M2285" s="27">
        <v>817.0951</v>
      </c>
      <c r="O2285" s="27">
        <v>3978.9284299999999</v>
      </c>
      <c r="Q2285" s="27">
        <v>6945.826532</v>
      </c>
      <c r="S2285" s="27">
        <v>1255.596571</v>
      </c>
      <c r="U2285" s="27">
        <v>3.8883220000000001</v>
      </c>
      <c r="W2285" s="27">
        <v>44.627512000000003</v>
      </c>
      <c r="Y2285" s="27">
        <v>8.0672940000000004</v>
      </c>
      <c r="AA2285" s="27">
        <v>637.80328999999995</v>
      </c>
      <c r="AC2285" s="27">
        <v>57.639237999999999</v>
      </c>
      <c r="AE2285" s="27">
        <v>1</v>
      </c>
      <c r="AG2285" s="27">
        <v>7.7052339999999999</v>
      </c>
      <c r="AI2285" s="27">
        <v>8.75</v>
      </c>
      <c r="AK2285" s="27">
        <v>24.56532</v>
      </c>
      <c r="AM2285" s="27">
        <v>35.424971999999997</v>
      </c>
      <c r="AO2285" s="27">
        <v>6.7926200000000003</v>
      </c>
    </row>
    <row r="2286" spans="2:41" x14ac:dyDescent="0.25">
      <c r="B2286" s="21">
        <v>44576</v>
      </c>
      <c r="C2286" s="27">
        <v>20.360700000000001</v>
      </c>
      <c r="E2286" s="27">
        <v>0.87600599999999995</v>
      </c>
      <c r="G2286" s="27">
        <v>103.84693799999999</v>
      </c>
      <c r="I2286" s="27">
        <v>6.8819379999999999</v>
      </c>
      <c r="K2286" s="27">
        <v>5.5349000000000004</v>
      </c>
      <c r="M2286" s="27">
        <v>819.71</v>
      </c>
      <c r="O2286" s="27">
        <v>4006.8724999999999</v>
      </c>
      <c r="Q2286" s="27">
        <v>6951.6452799999997</v>
      </c>
      <c r="S2286" s="27">
        <v>1255.9715020000001</v>
      </c>
      <c r="U2286" s="27">
        <v>3.8712249999999999</v>
      </c>
      <c r="W2286" s="27">
        <v>44.614041999999998</v>
      </c>
      <c r="Y2286" s="27">
        <v>8.0605220000000006</v>
      </c>
      <c r="AA2286" s="27">
        <v>637.35391300000003</v>
      </c>
      <c r="AC2286" s="27">
        <v>57.822499999999998</v>
      </c>
      <c r="AE2286" s="27">
        <v>1</v>
      </c>
      <c r="AG2286" s="27">
        <v>7.7045539999999999</v>
      </c>
      <c r="AI2286" s="27">
        <v>8.75</v>
      </c>
      <c r="AK2286" s="27">
        <v>24.552225</v>
      </c>
      <c r="AM2286" s="27">
        <v>35.399749999999997</v>
      </c>
      <c r="AO2286" s="27">
        <v>6.7856139999999998</v>
      </c>
    </row>
    <row r="2287" spans="2:41" x14ac:dyDescent="0.25">
      <c r="B2287" s="21">
        <v>44577</v>
      </c>
      <c r="C2287" s="27">
        <v>20.360700000000001</v>
      </c>
      <c r="E2287" s="27">
        <v>0.87602000000000002</v>
      </c>
      <c r="G2287" s="27">
        <v>103.84941600000001</v>
      </c>
      <c r="I2287" s="27">
        <v>6.8819379999999999</v>
      </c>
      <c r="K2287" s="27">
        <v>5.5349000000000004</v>
      </c>
      <c r="M2287" s="27">
        <v>819.71</v>
      </c>
      <c r="O2287" s="27">
        <v>4006.8724999999999</v>
      </c>
      <c r="Q2287" s="27">
        <v>6951.6452799999997</v>
      </c>
      <c r="S2287" s="27">
        <v>1255.9715020000001</v>
      </c>
      <c r="U2287" s="27">
        <v>3.8712249999999999</v>
      </c>
      <c r="W2287" s="27">
        <v>44.614041999999998</v>
      </c>
      <c r="Y2287" s="27">
        <v>8.0605220000000006</v>
      </c>
      <c r="AA2287" s="27">
        <v>637.35391300000003</v>
      </c>
      <c r="AC2287" s="27">
        <v>57.822499999999998</v>
      </c>
      <c r="AE2287" s="27">
        <v>1</v>
      </c>
      <c r="AG2287" s="27">
        <v>7.7045440000000003</v>
      </c>
      <c r="AI2287" s="27">
        <v>8.75</v>
      </c>
      <c r="AK2287" s="27">
        <v>24.552225</v>
      </c>
      <c r="AM2287" s="27">
        <v>35.399749999999997</v>
      </c>
      <c r="AO2287" s="27">
        <v>6.7856139999999998</v>
      </c>
    </row>
    <row r="2288" spans="2:41" x14ac:dyDescent="0.25">
      <c r="B2288" s="21">
        <v>44578</v>
      </c>
      <c r="C2288" s="27">
        <v>20.311800000000002</v>
      </c>
      <c r="E2288" s="27">
        <v>0.87626700000000002</v>
      </c>
      <c r="G2288" s="27">
        <v>104.000681</v>
      </c>
      <c r="I2288" s="27">
        <v>6.9024979999999996</v>
      </c>
      <c r="K2288" s="27">
        <v>5.5254810000000001</v>
      </c>
      <c r="M2288" s="27">
        <v>821.00747000000001</v>
      </c>
      <c r="O2288" s="27">
        <v>4007.0307200000002</v>
      </c>
      <c r="Q2288" s="27">
        <v>6971.1499089999998</v>
      </c>
      <c r="S2288" s="27">
        <v>1261.6453570000001</v>
      </c>
      <c r="U2288" s="27">
        <v>3.8764240000000001</v>
      </c>
      <c r="W2288" s="27">
        <v>44.663927999999999</v>
      </c>
      <c r="Y2288" s="27">
        <v>8.0832979999999992</v>
      </c>
      <c r="AA2288" s="27">
        <v>637.17170999999996</v>
      </c>
      <c r="AC2288" s="27">
        <v>57.824790999999998</v>
      </c>
      <c r="AE2288" s="27">
        <v>1</v>
      </c>
      <c r="AG2288" s="27">
        <v>7.7223660000000001</v>
      </c>
      <c r="AI2288" s="27">
        <v>8.75</v>
      </c>
      <c r="AK2288" s="27">
        <v>24.631632</v>
      </c>
      <c r="AM2288" s="27">
        <v>35.518768000000001</v>
      </c>
      <c r="AO2288" s="27">
        <v>6.8007</v>
      </c>
    </row>
    <row r="2289" spans="2:41" x14ac:dyDescent="0.25">
      <c r="B2289" s="21">
        <v>44579</v>
      </c>
      <c r="C2289" s="27">
        <v>20.3002</v>
      </c>
      <c r="E2289" s="27">
        <v>0.87935600000000003</v>
      </c>
      <c r="G2289" s="27">
        <v>104.105339</v>
      </c>
      <c r="I2289" s="27">
        <v>6.891642</v>
      </c>
      <c r="K2289" s="27">
        <v>5.5339939999999999</v>
      </c>
      <c r="M2289" s="27">
        <v>821.04174599999999</v>
      </c>
      <c r="O2289" s="27">
        <v>4018.8285799999999</v>
      </c>
      <c r="Q2289" s="27">
        <v>6965.097409</v>
      </c>
      <c r="S2289" s="27">
        <v>1258.6090610000001</v>
      </c>
      <c r="U2289" s="27">
        <v>3.8626399999999999</v>
      </c>
      <c r="W2289" s="27">
        <v>44.573403999999996</v>
      </c>
      <c r="Y2289" s="27">
        <v>8.0544980000000006</v>
      </c>
      <c r="AA2289" s="27">
        <v>634.91676800000005</v>
      </c>
      <c r="AC2289" s="27">
        <v>57.749952999999998</v>
      </c>
      <c r="AE2289" s="27">
        <v>1</v>
      </c>
      <c r="AG2289" s="27">
        <v>7.7075079999999998</v>
      </c>
      <c r="AI2289" s="27">
        <v>8.75</v>
      </c>
      <c r="AK2289" s="27">
        <v>24.577635999999998</v>
      </c>
      <c r="AM2289" s="27">
        <v>35.431099000000003</v>
      </c>
      <c r="AO2289" s="27">
        <v>6.7890280000000001</v>
      </c>
    </row>
    <row r="2290" spans="2:41" x14ac:dyDescent="0.25">
      <c r="B2290" s="21">
        <v>44580</v>
      </c>
      <c r="C2290" s="27">
        <v>20.402999999999999</v>
      </c>
      <c r="E2290" s="27">
        <v>0.88192099999999995</v>
      </c>
      <c r="G2290" s="27">
        <v>104.177655</v>
      </c>
      <c r="I2290" s="27">
        <v>6.9017280000000003</v>
      </c>
      <c r="K2290" s="27">
        <v>5.5201209999999996</v>
      </c>
      <c r="M2290" s="27">
        <v>814.50152500000002</v>
      </c>
      <c r="O2290" s="27">
        <v>4020.6301570000001</v>
      </c>
      <c r="Q2290" s="27">
        <v>6980.8080360000004</v>
      </c>
      <c r="S2290" s="27">
        <v>1264.6183060000001</v>
      </c>
      <c r="U2290" s="27">
        <v>3.8725200000000002</v>
      </c>
      <c r="W2290" s="27">
        <v>44.692293999999997</v>
      </c>
      <c r="Y2290" s="27">
        <v>8.0962779999999999</v>
      </c>
      <c r="AA2290" s="27">
        <v>635.57492100000002</v>
      </c>
      <c r="AC2290" s="27">
        <v>57.880431999999999</v>
      </c>
      <c r="AE2290" s="27">
        <v>1</v>
      </c>
      <c r="AG2290" s="27">
        <v>7.7189940000000004</v>
      </c>
      <c r="AI2290" s="27">
        <v>8.75</v>
      </c>
      <c r="AK2290" s="27">
        <v>24.629819999999999</v>
      </c>
      <c r="AM2290" s="27">
        <v>35.529243000000001</v>
      </c>
      <c r="AO2290" s="27">
        <v>6.79779</v>
      </c>
    </row>
    <row r="2291" spans="2:41" x14ac:dyDescent="0.25">
      <c r="B2291" s="21">
        <v>44581</v>
      </c>
      <c r="C2291" s="27">
        <v>20.46</v>
      </c>
      <c r="E2291" s="27">
        <v>0.88188599999999995</v>
      </c>
      <c r="G2291" s="27">
        <v>104.246674</v>
      </c>
      <c r="I2291" s="27">
        <v>6.8883559999999999</v>
      </c>
      <c r="K2291" s="27">
        <v>5.4279419999999998</v>
      </c>
      <c r="M2291" s="27">
        <v>806.23276899999996</v>
      </c>
      <c r="O2291" s="27">
        <v>3986.6736719999999</v>
      </c>
      <c r="Q2291" s="27">
        <v>6960.4742649999998</v>
      </c>
      <c r="S2291" s="27">
        <v>1282.348246</v>
      </c>
      <c r="U2291" s="27">
        <v>3.8574619999999999</v>
      </c>
      <c r="W2291" s="27">
        <v>44.558169999999997</v>
      </c>
      <c r="Y2291" s="27">
        <v>8.2090619999999994</v>
      </c>
      <c r="AA2291" s="27">
        <v>634.08671400000003</v>
      </c>
      <c r="AC2291" s="27">
        <v>57.674396000000002</v>
      </c>
      <c r="AE2291" s="27">
        <v>1</v>
      </c>
      <c r="AG2291" s="27">
        <v>7.7033800000000001</v>
      </c>
      <c r="AI2291" s="27">
        <v>8.75</v>
      </c>
      <c r="AK2291" s="27">
        <v>24.539467999999999</v>
      </c>
      <c r="AM2291" s="27">
        <v>35.415326</v>
      </c>
      <c r="AO2291" s="27">
        <v>6.7799699999999996</v>
      </c>
    </row>
    <row r="2292" spans="2:41" x14ac:dyDescent="0.25">
      <c r="B2292" s="21">
        <v>44582</v>
      </c>
      <c r="C2292" s="27">
        <v>20.450700000000001</v>
      </c>
      <c r="E2292" s="27">
        <v>0.88219000000000003</v>
      </c>
      <c r="G2292" s="27">
        <v>104.30718</v>
      </c>
      <c r="I2292" s="27">
        <v>6.8958570000000003</v>
      </c>
      <c r="K2292" s="27">
        <v>5.4330160000000003</v>
      </c>
      <c r="M2292" s="27">
        <v>800.54770799999994</v>
      </c>
      <c r="O2292" s="27">
        <v>3968.7428920000002</v>
      </c>
      <c r="Q2292" s="27">
        <v>6970.8718769999996</v>
      </c>
      <c r="S2292" s="27">
        <v>1283.0646280000001</v>
      </c>
      <c r="U2292" s="27">
        <v>3.8434179999999998</v>
      </c>
      <c r="W2292" s="27">
        <v>44.648428000000003</v>
      </c>
      <c r="Y2292" s="27">
        <v>8.2180099999999996</v>
      </c>
      <c r="AA2292" s="27">
        <v>635.06616599999995</v>
      </c>
      <c r="AC2292" s="27">
        <v>57.830902000000002</v>
      </c>
      <c r="AE2292" s="27">
        <v>1</v>
      </c>
      <c r="AG2292" s="27">
        <v>7.7127679999999996</v>
      </c>
      <c r="AI2292" s="27">
        <v>8.75</v>
      </c>
      <c r="AK2292" s="27">
        <v>24.605965000000001</v>
      </c>
      <c r="AM2292" s="27">
        <v>35.483114</v>
      </c>
      <c r="AO2292" s="27">
        <v>6.7895500000000002</v>
      </c>
    </row>
    <row r="2293" spans="2:41" x14ac:dyDescent="0.25">
      <c r="B2293" s="21">
        <v>44583</v>
      </c>
      <c r="C2293" s="27">
        <v>20.450700000000001</v>
      </c>
      <c r="E2293" s="27">
        <v>0.88152399999999997</v>
      </c>
      <c r="G2293" s="27">
        <v>104.34417999999999</v>
      </c>
      <c r="I2293" s="27">
        <v>6.8960689999999998</v>
      </c>
      <c r="K2293" s="27">
        <v>5.4586249999999996</v>
      </c>
      <c r="M2293" s="27">
        <v>798.96</v>
      </c>
      <c r="O2293" s="27">
        <v>3956.0324999999998</v>
      </c>
      <c r="Q2293" s="27">
        <v>6972.6616780000004</v>
      </c>
      <c r="S2293" s="27">
        <v>1277.373908</v>
      </c>
      <c r="U2293" s="27">
        <v>3.82355</v>
      </c>
      <c r="W2293" s="27">
        <v>44.598908000000002</v>
      </c>
      <c r="Y2293" s="27">
        <v>8.1703919999999997</v>
      </c>
      <c r="AA2293" s="27">
        <v>634.98394399999995</v>
      </c>
      <c r="AC2293" s="27">
        <v>57.797499999999999</v>
      </c>
      <c r="AE2293" s="27">
        <v>1</v>
      </c>
      <c r="AG2293" s="27">
        <v>7.7096650000000002</v>
      </c>
      <c r="AI2293" s="27">
        <v>8.75</v>
      </c>
      <c r="AK2293" s="27">
        <v>24.573225000000001</v>
      </c>
      <c r="AM2293" s="27">
        <v>35.437249999999999</v>
      </c>
      <c r="AO2293" s="27">
        <v>6.7885780000000002</v>
      </c>
    </row>
    <row r="2294" spans="2:41" x14ac:dyDescent="0.25">
      <c r="B2294" s="21">
        <v>44584</v>
      </c>
      <c r="C2294" s="27">
        <v>20.450700000000001</v>
      </c>
      <c r="E2294" s="27">
        <v>0.88153499999999996</v>
      </c>
      <c r="G2294" s="27">
        <v>104.34424</v>
      </c>
      <c r="I2294" s="27">
        <v>6.8960689999999998</v>
      </c>
      <c r="K2294" s="27">
        <v>5.4586249999999996</v>
      </c>
      <c r="M2294" s="27">
        <v>798.96</v>
      </c>
      <c r="O2294" s="27">
        <v>3956.0324999999998</v>
      </c>
      <c r="Q2294" s="27">
        <v>6972.6616780000004</v>
      </c>
      <c r="S2294" s="27">
        <v>1277.373908</v>
      </c>
      <c r="U2294" s="27">
        <v>3.824176</v>
      </c>
      <c r="W2294" s="27">
        <v>44.598908000000002</v>
      </c>
      <c r="Y2294" s="27">
        <v>8.1703919999999997</v>
      </c>
      <c r="AA2294" s="27">
        <v>634.98394399999995</v>
      </c>
      <c r="AC2294" s="27">
        <v>57.797499999999999</v>
      </c>
      <c r="AE2294" s="27">
        <v>1</v>
      </c>
      <c r="AG2294" s="27">
        <v>7.7096999999999998</v>
      </c>
      <c r="AI2294" s="27">
        <v>8.75</v>
      </c>
      <c r="AK2294" s="27">
        <v>24.573225000000001</v>
      </c>
      <c r="AM2294" s="27">
        <v>35.437249999999999</v>
      </c>
      <c r="AO2294" s="27">
        <v>6.7885780000000002</v>
      </c>
    </row>
    <row r="2295" spans="2:41" x14ac:dyDescent="0.25">
      <c r="B2295" s="21">
        <v>44585</v>
      </c>
      <c r="C2295" s="27">
        <v>20.459800000000001</v>
      </c>
      <c r="E2295" s="27">
        <v>0.88327599999999995</v>
      </c>
      <c r="G2295" s="27">
        <v>104.411506</v>
      </c>
      <c r="I2295" s="27">
        <v>6.89419</v>
      </c>
      <c r="K2295" s="27">
        <v>5.4752859999999997</v>
      </c>
      <c r="M2295" s="27">
        <v>801.72262499999999</v>
      </c>
      <c r="O2295" s="27">
        <v>3962.8660880000002</v>
      </c>
      <c r="Q2295" s="27">
        <v>6981.5927819999997</v>
      </c>
      <c r="S2295" s="27">
        <v>1275.118007</v>
      </c>
      <c r="U2295" s="27">
        <v>3.8313600000000001</v>
      </c>
      <c r="W2295" s="27">
        <v>44.606662</v>
      </c>
      <c r="Y2295" s="27">
        <v>8.1469419999999992</v>
      </c>
      <c r="AA2295" s="27">
        <v>634.68271000000004</v>
      </c>
      <c r="AC2295" s="27">
        <v>57.783439999999999</v>
      </c>
      <c r="AE2295" s="27">
        <v>1</v>
      </c>
      <c r="AG2295" s="27">
        <v>7.7044490000000003</v>
      </c>
      <c r="AI2295" s="27">
        <v>8.75</v>
      </c>
      <c r="AK2295" s="27">
        <v>24.580663999999999</v>
      </c>
      <c r="AM2295" s="27">
        <v>35.429735999999998</v>
      </c>
      <c r="AO2295" s="27">
        <v>6.7857700000000003</v>
      </c>
    </row>
    <row r="2296" spans="2:41" x14ac:dyDescent="0.25">
      <c r="B2296" s="21">
        <v>44586</v>
      </c>
      <c r="C2296" s="27">
        <v>20.630800000000001</v>
      </c>
      <c r="E2296" s="27">
        <v>0.88518799999999997</v>
      </c>
      <c r="G2296" s="27">
        <v>104.538642</v>
      </c>
      <c r="I2296" s="27">
        <v>6.88863</v>
      </c>
      <c r="K2296" s="27">
        <v>5.4784519999999999</v>
      </c>
      <c r="M2296" s="27">
        <v>805.05952000000002</v>
      </c>
      <c r="O2296" s="27">
        <v>3974.1230420000002</v>
      </c>
      <c r="Q2296" s="27">
        <v>6996.3732339999997</v>
      </c>
      <c r="S2296" s="27">
        <v>1277.078448</v>
      </c>
      <c r="U2296" s="27">
        <v>3.8412470000000001</v>
      </c>
      <c r="W2296" s="27">
        <v>44.547623999999999</v>
      </c>
      <c r="Y2296" s="27">
        <v>8.1314519999999995</v>
      </c>
      <c r="AA2296" s="27">
        <v>635.34840499999996</v>
      </c>
      <c r="AC2296" s="27">
        <v>57.739590999999997</v>
      </c>
      <c r="AE2296" s="27">
        <v>1</v>
      </c>
      <c r="AG2296" s="27">
        <v>7.6952600000000002</v>
      </c>
      <c r="AI2296" s="27">
        <v>8.75</v>
      </c>
      <c r="AK2296" s="27">
        <v>24.576740000000001</v>
      </c>
      <c r="AM2296" s="27">
        <v>35.429870999999999</v>
      </c>
      <c r="AO2296" s="27">
        <v>6.7852480000000002</v>
      </c>
    </row>
    <row r="2297" spans="2:41" x14ac:dyDescent="0.25">
      <c r="B2297" s="21">
        <v>44587</v>
      </c>
      <c r="C2297" s="27">
        <v>20.668299999999999</v>
      </c>
      <c r="E2297" s="27">
        <v>0.88629800000000003</v>
      </c>
      <c r="G2297" s="27">
        <v>104.652062</v>
      </c>
      <c r="I2297" s="27">
        <v>6.8831699999999998</v>
      </c>
      <c r="K2297" s="27">
        <v>5.4383100000000004</v>
      </c>
      <c r="M2297" s="27">
        <v>800.27044999999998</v>
      </c>
      <c r="O2297" s="27">
        <v>3954.4254169999999</v>
      </c>
      <c r="Q2297" s="27">
        <v>7004.1552849999998</v>
      </c>
      <c r="S2297" s="27">
        <v>1287.9396340000001</v>
      </c>
      <c r="U2297" s="27">
        <v>3.826136</v>
      </c>
      <c r="W2297" s="27">
        <v>44.475926999999999</v>
      </c>
      <c r="Y2297" s="27">
        <v>8.1783110000000008</v>
      </c>
      <c r="AA2297" s="27">
        <v>636.30350499999997</v>
      </c>
      <c r="AC2297" s="27">
        <v>57.677844999999998</v>
      </c>
      <c r="AE2297" s="27">
        <v>1</v>
      </c>
      <c r="AG2297" s="27">
        <v>7.6828130000000003</v>
      </c>
      <c r="AI2297" s="27">
        <v>8.75</v>
      </c>
      <c r="AK2297" s="27">
        <v>24.560362999999999</v>
      </c>
      <c r="AM2297" s="27">
        <v>35.405276000000001</v>
      </c>
      <c r="AO2297" s="27">
        <v>6.7814079999999999</v>
      </c>
    </row>
    <row r="2298" spans="2:41" x14ac:dyDescent="0.25">
      <c r="B2298" s="21">
        <v>44588</v>
      </c>
      <c r="C2298" s="27">
        <v>20.641500000000001</v>
      </c>
      <c r="E2298" s="27">
        <v>0.89439400000000002</v>
      </c>
      <c r="G2298" s="27">
        <v>104.730739</v>
      </c>
      <c r="I2298" s="27">
        <v>6.9029819999999997</v>
      </c>
      <c r="K2298" s="27">
        <v>5.419664</v>
      </c>
      <c r="M2298" s="27">
        <v>802.68472799999995</v>
      </c>
      <c r="O2298" s="27">
        <v>3941.1365740000001</v>
      </c>
      <c r="Q2298" s="27">
        <v>7020.6892820000003</v>
      </c>
      <c r="S2298" s="27">
        <v>1295.421687</v>
      </c>
      <c r="U2298" s="27">
        <v>3.850142</v>
      </c>
      <c r="W2298" s="27">
        <v>44.485573000000002</v>
      </c>
      <c r="Y2298" s="27">
        <v>8.2082270000000008</v>
      </c>
      <c r="AA2298" s="27">
        <v>640.46736999999996</v>
      </c>
      <c r="AC2298" s="27">
        <v>57.813602000000003</v>
      </c>
      <c r="AE2298" s="27">
        <v>1</v>
      </c>
      <c r="AG2298" s="27">
        <v>7.6985809999999999</v>
      </c>
      <c r="AI2298" s="27">
        <v>8.75</v>
      </c>
      <c r="AK2298" s="27">
        <v>24.640526000000001</v>
      </c>
      <c r="AM2298" s="27">
        <v>35.512228999999998</v>
      </c>
      <c r="AO2298" s="27">
        <v>6.7964659999999997</v>
      </c>
    </row>
    <row r="2299" spans="2:41" x14ac:dyDescent="0.25">
      <c r="B2299" s="21">
        <v>44589</v>
      </c>
      <c r="C2299" s="27">
        <v>20.738299999999999</v>
      </c>
      <c r="E2299" s="27">
        <v>0.89715999999999996</v>
      </c>
      <c r="G2299" s="27">
        <v>104.793319</v>
      </c>
      <c r="I2299" s="27">
        <v>6.8874029999999999</v>
      </c>
      <c r="K2299" s="27">
        <v>5.398053</v>
      </c>
      <c r="M2299" s="27">
        <v>808.854062</v>
      </c>
      <c r="O2299" s="27">
        <v>3965.1331709999999</v>
      </c>
      <c r="Q2299" s="27">
        <v>7024.6543650000003</v>
      </c>
      <c r="S2299" s="27">
        <v>1301.3425540000001</v>
      </c>
      <c r="U2299" s="27">
        <v>3.844862</v>
      </c>
      <c r="W2299" s="27">
        <v>44.246510999999998</v>
      </c>
      <c r="Y2299" s="27">
        <v>8.1968049999999995</v>
      </c>
      <c r="AA2299" s="27">
        <v>640.48502199999996</v>
      </c>
      <c r="AC2299" s="27">
        <v>57.683473999999997</v>
      </c>
      <c r="AE2299" s="27">
        <v>1</v>
      </c>
      <c r="AG2299" s="27">
        <v>7.689508</v>
      </c>
      <c r="AI2299" s="27">
        <v>8.75</v>
      </c>
      <c r="AK2299" s="27">
        <v>24.612582</v>
      </c>
      <c r="AM2299" s="27">
        <v>35.461810999999997</v>
      </c>
      <c r="AO2299" s="27">
        <v>6.7923640000000001</v>
      </c>
    </row>
    <row r="2300" spans="2:41" x14ac:dyDescent="0.25">
      <c r="B2300" s="21">
        <v>44590</v>
      </c>
      <c r="C2300" s="27">
        <v>20.738299999999999</v>
      </c>
      <c r="E2300" s="27">
        <v>0.89693000000000001</v>
      </c>
      <c r="G2300" s="27">
        <v>104.827674</v>
      </c>
      <c r="I2300" s="27">
        <v>6.8823670000000003</v>
      </c>
      <c r="K2300" s="27">
        <v>5.3690249999999997</v>
      </c>
      <c r="M2300" s="27">
        <v>813.40250000000003</v>
      </c>
      <c r="O2300" s="27">
        <v>3957.7175000000002</v>
      </c>
      <c r="Q2300" s="27">
        <v>7027.2434599999997</v>
      </c>
      <c r="S2300" s="27">
        <v>1308.8620659999999</v>
      </c>
      <c r="U2300" s="27">
        <v>3.8480750000000001</v>
      </c>
      <c r="W2300" s="27">
        <v>43.937731999999997</v>
      </c>
      <c r="Y2300" s="27">
        <v>8.1836179999999992</v>
      </c>
      <c r="AA2300" s="27">
        <v>640.51154199999996</v>
      </c>
      <c r="AC2300" s="27">
        <v>57.672499999999999</v>
      </c>
      <c r="AE2300" s="27">
        <v>1</v>
      </c>
      <c r="AG2300" s="27">
        <v>7.6852580000000001</v>
      </c>
      <c r="AI2300" s="27">
        <v>8.75</v>
      </c>
      <c r="AK2300" s="27">
        <v>24.585925</v>
      </c>
      <c r="AM2300" s="27">
        <v>35.424750000000003</v>
      </c>
      <c r="AO2300" s="27">
        <v>6.7916999999999996</v>
      </c>
    </row>
    <row r="2301" spans="2:41" x14ac:dyDescent="0.25">
      <c r="B2301" s="21">
        <v>44591</v>
      </c>
      <c r="C2301" s="27">
        <v>20.738299999999999</v>
      </c>
      <c r="E2301" s="27">
        <v>0.89695400000000003</v>
      </c>
      <c r="G2301" s="27">
        <v>104.81287399999999</v>
      </c>
      <c r="I2301" s="27">
        <v>6.8823670000000003</v>
      </c>
      <c r="K2301" s="27">
        <v>5.3690249999999997</v>
      </c>
      <c r="M2301" s="27">
        <v>813.40250000000003</v>
      </c>
      <c r="O2301" s="27">
        <v>3957.7175000000002</v>
      </c>
      <c r="Q2301" s="27">
        <v>7027.2434599999997</v>
      </c>
      <c r="S2301" s="27">
        <v>1308.8620659999999</v>
      </c>
      <c r="U2301" s="27">
        <v>3.8480750000000001</v>
      </c>
      <c r="W2301" s="27">
        <v>43.937731999999997</v>
      </c>
      <c r="Y2301" s="27">
        <v>8.1836179999999992</v>
      </c>
      <c r="AA2301" s="27">
        <v>640.51154199999996</v>
      </c>
      <c r="AC2301" s="27">
        <v>57.672499999999999</v>
      </c>
      <c r="AE2301" s="27">
        <v>1</v>
      </c>
      <c r="AG2301" s="27">
        <v>7.6852200000000002</v>
      </c>
      <c r="AI2301" s="27">
        <v>8.75</v>
      </c>
      <c r="AK2301" s="27">
        <v>24.585925</v>
      </c>
      <c r="AM2301" s="27">
        <v>35.424750000000003</v>
      </c>
      <c r="AO2301" s="27">
        <v>6.7916999999999996</v>
      </c>
    </row>
    <row r="2302" spans="2:41" x14ac:dyDescent="0.25">
      <c r="B2302" s="21">
        <v>44592</v>
      </c>
      <c r="C2302" s="27">
        <v>20.8597</v>
      </c>
      <c r="E2302" s="27">
        <v>0.89386500000000002</v>
      </c>
      <c r="G2302" s="27">
        <v>104.838522</v>
      </c>
      <c r="I2302" s="27">
        <v>6.8834340000000003</v>
      </c>
      <c r="K2302" s="27">
        <v>5.3451680000000001</v>
      </c>
      <c r="M2302" s="27">
        <v>807.74207200000001</v>
      </c>
      <c r="O2302" s="27">
        <v>3951.4241440000001</v>
      </c>
      <c r="Q2302" s="27">
        <v>7056.6113379999997</v>
      </c>
      <c r="S2302" s="27">
        <v>1320.195144</v>
      </c>
      <c r="U2302" s="27">
        <v>3.8408470000000001</v>
      </c>
      <c r="W2302" s="27">
        <v>43.928485999999999</v>
      </c>
      <c r="Y2302" s="27">
        <v>8.2183899999999994</v>
      </c>
      <c r="AA2302" s="27">
        <v>640.54975999999999</v>
      </c>
      <c r="AC2302" s="27">
        <v>57.613582000000001</v>
      </c>
      <c r="AE2302" s="27">
        <v>1</v>
      </c>
      <c r="AG2302" s="27">
        <v>7.6822939999999997</v>
      </c>
      <c r="AI2302" s="27">
        <v>8.75</v>
      </c>
      <c r="AK2302" s="27">
        <v>24.573857</v>
      </c>
      <c r="AM2302" s="27">
        <v>35.414996000000002</v>
      </c>
      <c r="AO2302" s="27">
        <v>6.787166</v>
      </c>
    </row>
    <row r="2303" spans="2:41" ht="13" x14ac:dyDescent="0.3">
      <c r="B2303" s="25" t="s">
        <v>201</v>
      </c>
      <c r="C2303" s="19">
        <v>20.494599999999998</v>
      </c>
      <c r="E2303" s="19">
        <v>0.88319999999999999</v>
      </c>
      <c r="G2303" s="19">
        <v>103.8693</v>
      </c>
      <c r="I2303" s="19">
        <v>6.8907999999999996</v>
      </c>
      <c r="K2303" s="19">
        <v>5.5288000000000004</v>
      </c>
      <c r="M2303" s="19">
        <v>821.31349999999998</v>
      </c>
      <c r="O2303" s="19">
        <v>4003.3571999999999</v>
      </c>
      <c r="Q2303" s="19">
        <v>6951.2511999999997</v>
      </c>
      <c r="S2303" s="19">
        <v>1257.8533</v>
      </c>
      <c r="U2303" s="19">
        <v>3.8948999999999998</v>
      </c>
      <c r="W2303" s="19">
        <v>44.551099999999998</v>
      </c>
      <c r="Y2303" s="19">
        <v>8.0602</v>
      </c>
      <c r="AA2303" s="19">
        <v>639.00419999999997</v>
      </c>
      <c r="AC2303" s="19">
        <v>57.618000000000002</v>
      </c>
      <c r="AE2303" s="19">
        <v>1</v>
      </c>
      <c r="AG2303" s="19">
        <v>7.7068000000000003</v>
      </c>
      <c r="AI2303" s="19">
        <v>8.75</v>
      </c>
      <c r="AK2303" s="19">
        <v>24.548100000000002</v>
      </c>
      <c r="AM2303" s="19">
        <v>35.427</v>
      </c>
      <c r="AO2303" s="19">
        <v>6.7901999999999996</v>
      </c>
    </row>
    <row r="2304" spans="2:41" x14ac:dyDescent="0.25">
      <c r="B2304" s="21">
        <v>44593</v>
      </c>
      <c r="C2304" s="27">
        <v>20.635200000000001</v>
      </c>
      <c r="E2304" s="27">
        <v>0.88875000000000004</v>
      </c>
      <c r="G2304" s="27">
        <v>105.093943</v>
      </c>
      <c r="I2304" s="27">
        <v>6.8832959999999996</v>
      </c>
      <c r="K2304" s="27">
        <v>5.2911219999999997</v>
      </c>
      <c r="M2304" s="27">
        <v>801.35045000000002</v>
      </c>
      <c r="O2304" s="27">
        <v>3935.926614</v>
      </c>
      <c r="Q2304" s="27">
        <v>7070.5407139999998</v>
      </c>
      <c r="S2304" s="27">
        <v>1336.310414</v>
      </c>
      <c r="U2304" s="27">
        <v>3.8435630000000001</v>
      </c>
      <c r="W2304" s="27">
        <v>43.908591999999999</v>
      </c>
      <c r="Y2304" s="27">
        <v>8.2985699999999998</v>
      </c>
      <c r="AA2304" s="27">
        <v>640.82897200000002</v>
      </c>
      <c r="AC2304" s="27">
        <v>57.704808999999997</v>
      </c>
      <c r="AE2304" s="27">
        <v>1</v>
      </c>
      <c r="AG2304" s="27">
        <v>7.6820149999999998</v>
      </c>
      <c r="AI2304" s="27">
        <v>8.75</v>
      </c>
      <c r="AK2304" s="27">
        <v>24.558496999999999</v>
      </c>
      <c r="AM2304" s="27">
        <v>35.403416</v>
      </c>
      <c r="AO2304" s="27">
        <v>6.7834659999999998</v>
      </c>
    </row>
    <row r="2305" spans="2:41" x14ac:dyDescent="0.25">
      <c r="B2305" s="21">
        <v>44594</v>
      </c>
      <c r="C2305" s="27">
        <v>20.58</v>
      </c>
      <c r="E2305" s="27">
        <v>0.885351</v>
      </c>
      <c r="G2305" s="27">
        <v>105.148538</v>
      </c>
      <c r="I2305" s="27">
        <v>6.8832420000000001</v>
      </c>
      <c r="K2305" s="27">
        <v>5.2735859999999999</v>
      </c>
      <c r="M2305" s="27">
        <v>805.53222500000004</v>
      </c>
      <c r="O2305" s="27">
        <v>3927.2031160000001</v>
      </c>
      <c r="Q2305" s="27">
        <v>7059.5897569999997</v>
      </c>
      <c r="S2305" s="27">
        <v>1338.6769730000001</v>
      </c>
      <c r="U2305" s="27">
        <v>3.8629910000000001</v>
      </c>
      <c r="W2305" s="27">
        <v>43.919626000000001</v>
      </c>
      <c r="Y2305" s="27">
        <v>8.3282559999999997</v>
      </c>
      <c r="AA2305" s="27">
        <v>641.92506000000003</v>
      </c>
      <c r="AC2305" s="27">
        <v>57.67192</v>
      </c>
      <c r="AE2305" s="27">
        <v>1</v>
      </c>
      <c r="AG2305" s="27">
        <v>7.6864980000000003</v>
      </c>
      <c r="AI2305" s="27">
        <v>8.75</v>
      </c>
      <c r="AK2305" s="27">
        <v>24.605615</v>
      </c>
      <c r="AM2305" s="27">
        <v>35.445081999999999</v>
      </c>
      <c r="AO2305" s="27">
        <v>6.7763799999999996</v>
      </c>
    </row>
    <row r="2306" spans="2:41" x14ac:dyDescent="0.25">
      <c r="B2306" s="21">
        <v>44595</v>
      </c>
      <c r="C2306" s="27">
        <v>20.600300000000001</v>
      </c>
      <c r="E2306" s="27">
        <v>0.88102999999999998</v>
      </c>
      <c r="G2306" s="27">
        <v>105.224097</v>
      </c>
      <c r="I2306" s="27">
        <v>6.8885930000000002</v>
      </c>
      <c r="K2306" s="27">
        <v>5.2780820000000004</v>
      </c>
      <c r="M2306" s="27">
        <v>814.50218600000005</v>
      </c>
      <c r="O2306" s="27">
        <v>3941.4570119999998</v>
      </c>
      <c r="Q2306" s="27">
        <v>7043.3174639999997</v>
      </c>
      <c r="S2306" s="27">
        <v>1334.4538660000001</v>
      </c>
      <c r="U2306" s="27">
        <v>3.8647999999999998</v>
      </c>
      <c r="W2306" s="27">
        <v>43.914991999999998</v>
      </c>
      <c r="Y2306" s="27">
        <v>8.3202839999999991</v>
      </c>
      <c r="AA2306" s="27">
        <v>642.74920099999997</v>
      </c>
      <c r="AC2306" s="27">
        <v>57.669713999999999</v>
      </c>
      <c r="AE2306" s="27">
        <v>1</v>
      </c>
      <c r="AG2306" s="27">
        <v>7.6886840000000003</v>
      </c>
      <c r="AI2306" s="27">
        <v>8.75</v>
      </c>
      <c r="AK2306" s="27">
        <v>24.62922</v>
      </c>
      <c r="AM2306" s="27">
        <v>35.471448000000002</v>
      </c>
      <c r="AO2306" s="27">
        <v>6.7806550000000003</v>
      </c>
    </row>
    <row r="2307" spans="2:41" x14ac:dyDescent="0.25">
      <c r="B2307" s="21">
        <v>44596</v>
      </c>
      <c r="C2307" s="27">
        <v>20.5562</v>
      </c>
      <c r="E2307" s="27">
        <v>0.87300199999999994</v>
      </c>
      <c r="G2307" s="27">
        <v>105.333016</v>
      </c>
      <c r="I2307" s="27">
        <v>6.8663600000000002</v>
      </c>
      <c r="K2307" s="27">
        <v>5.3046689999999996</v>
      </c>
      <c r="M2307" s="27">
        <v>821.73567400000002</v>
      </c>
      <c r="O2307" s="27">
        <v>3951.254664</v>
      </c>
      <c r="Q2307" s="27">
        <v>7014.0828039999997</v>
      </c>
      <c r="S2307" s="27">
        <v>1322.25432</v>
      </c>
      <c r="U2307" s="27">
        <v>3.8546179999999999</v>
      </c>
      <c r="W2307" s="27">
        <v>43.729787999999999</v>
      </c>
      <c r="Y2307" s="27">
        <v>8.2436659999999993</v>
      </c>
      <c r="AA2307" s="27">
        <v>640.95635800000002</v>
      </c>
      <c r="AC2307" s="27">
        <v>57.609383999999999</v>
      </c>
      <c r="AE2307" s="27">
        <v>1</v>
      </c>
      <c r="AG2307" s="27">
        <v>7.6643939999999997</v>
      </c>
      <c r="AI2307" s="27">
        <v>8.75</v>
      </c>
      <c r="AK2307" s="27">
        <v>24.607938999999998</v>
      </c>
      <c r="AM2307" s="27">
        <v>35.433446000000004</v>
      </c>
      <c r="AO2307" s="27">
        <v>6.761666</v>
      </c>
    </row>
    <row r="2308" spans="2:41" x14ac:dyDescent="0.25">
      <c r="B2308" s="21">
        <v>44597</v>
      </c>
      <c r="C2308" s="27">
        <v>20.5562</v>
      </c>
      <c r="E2308" s="27">
        <v>0.87323700000000004</v>
      </c>
      <c r="G2308" s="27">
        <v>105.37628599999999</v>
      </c>
      <c r="I2308" s="27">
        <v>6.8869340000000001</v>
      </c>
      <c r="K2308" s="27">
        <v>5.3284000000000002</v>
      </c>
      <c r="M2308" s="27">
        <v>828.49749999999995</v>
      </c>
      <c r="O2308" s="27">
        <v>3956.9575</v>
      </c>
      <c r="Q2308" s="27">
        <v>7036.6418080000003</v>
      </c>
      <c r="S2308" s="27">
        <v>1320.598027</v>
      </c>
      <c r="U2308" s="27">
        <v>3.8454999999999999</v>
      </c>
      <c r="W2308" s="27">
        <v>43.836326</v>
      </c>
      <c r="Y2308" s="27">
        <v>8.2269419999999993</v>
      </c>
      <c r="AA2308" s="27">
        <v>643.66301999999996</v>
      </c>
      <c r="AC2308" s="27">
        <v>57.647500000000001</v>
      </c>
      <c r="AE2308" s="27">
        <v>1</v>
      </c>
      <c r="AG2308" s="27">
        <v>7.6922870000000003</v>
      </c>
      <c r="AI2308" s="27">
        <v>8.75</v>
      </c>
      <c r="AK2308" s="27">
        <v>24.616800000000001</v>
      </c>
      <c r="AM2308" s="27">
        <v>35.424750000000003</v>
      </c>
      <c r="AO2308" s="27">
        <v>6.786009</v>
      </c>
    </row>
    <row r="2309" spans="2:41" x14ac:dyDescent="0.25">
      <c r="B2309" s="21">
        <v>44598</v>
      </c>
      <c r="C2309" s="27">
        <v>20.5562</v>
      </c>
      <c r="E2309" s="27">
        <v>0.87320500000000001</v>
      </c>
      <c r="G2309" s="27">
        <v>105.372202</v>
      </c>
      <c r="I2309" s="27">
        <v>6.8869340000000001</v>
      </c>
      <c r="K2309" s="27">
        <v>5.3284000000000002</v>
      </c>
      <c r="M2309" s="27">
        <v>828.49749999999995</v>
      </c>
      <c r="O2309" s="27">
        <v>3956.9575</v>
      </c>
      <c r="Q2309" s="27">
        <v>7036.6418080000003</v>
      </c>
      <c r="S2309" s="27">
        <v>1320.598027</v>
      </c>
      <c r="U2309" s="27">
        <v>3.8454999999999999</v>
      </c>
      <c r="W2309" s="27">
        <v>43.836326</v>
      </c>
      <c r="Y2309" s="27">
        <v>8.2269419999999993</v>
      </c>
      <c r="AA2309" s="27">
        <v>643.66301999999996</v>
      </c>
      <c r="AC2309" s="27">
        <v>57.647500000000001</v>
      </c>
      <c r="AE2309" s="27">
        <v>1</v>
      </c>
      <c r="AG2309" s="27">
        <v>7.6922870000000003</v>
      </c>
      <c r="AI2309" s="27">
        <v>8.75</v>
      </c>
      <c r="AK2309" s="27">
        <v>24.616800000000001</v>
      </c>
      <c r="AM2309" s="27">
        <v>35.424750000000003</v>
      </c>
      <c r="AO2309" s="27">
        <v>6.786009</v>
      </c>
    </row>
    <row r="2310" spans="2:41" x14ac:dyDescent="0.25">
      <c r="B2310" s="21">
        <v>44599</v>
      </c>
      <c r="C2310" s="27">
        <v>20.5562</v>
      </c>
      <c r="E2310" s="27">
        <v>0.87449299999999996</v>
      </c>
      <c r="G2310" s="27">
        <v>105.581062</v>
      </c>
      <c r="I2310" s="27">
        <v>6.893878</v>
      </c>
      <c r="K2310" s="27">
        <v>5.3032139999999997</v>
      </c>
      <c r="M2310" s="27">
        <v>827.08401400000002</v>
      </c>
      <c r="O2310" s="27">
        <v>3958.2153819999999</v>
      </c>
      <c r="Q2310" s="27">
        <v>7026.6760670000003</v>
      </c>
      <c r="S2310" s="27">
        <v>1324.9918849999999</v>
      </c>
      <c r="U2310" s="27">
        <v>3.854476</v>
      </c>
      <c r="W2310" s="27">
        <v>43.836691999999999</v>
      </c>
      <c r="Y2310" s="27">
        <v>8.2660920000000004</v>
      </c>
      <c r="AA2310" s="27">
        <v>644.53976799999998</v>
      </c>
      <c r="AC2310" s="27">
        <v>57.692712999999998</v>
      </c>
      <c r="AE2310" s="27">
        <v>1</v>
      </c>
      <c r="AG2310" s="27">
        <v>7.7027799999999997</v>
      </c>
      <c r="AI2310" s="27">
        <v>8.75</v>
      </c>
      <c r="AK2310" s="27">
        <v>24.627687999999999</v>
      </c>
      <c r="AM2310" s="27">
        <v>35.577074000000003</v>
      </c>
      <c r="AO2310" s="27">
        <v>6.7776699999999996</v>
      </c>
    </row>
    <row r="2311" spans="2:41" x14ac:dyDescent="0.25">
      <c r="B2311" s="21">
        <v>44600</v>
      </c>
      <c r="C2311" s="27">
        <v>20.732500000000002</v>
      </c>
      <c r="E2311" s="27">
        <v>0.87571900000000003</v>
      </c>
      <c r="G2311" s="27">
        <v>105.71214999999999</v>
      </c>
      <c r="I2311" s="27">
        <v>6.8841279999999996</v>
      </c>
      <c r="K2311" s="27">
        <v>5.2652840000000003</v>
      </c>
      <c r="M2311" s="27">
        <v>825.57612700000004</v>
      </c>
      <c r="O2311" s="27">
        <v>3961.492917</v>
      </c>
      <c r="Q2311" s="27">
        <v>6995.1969859999999</v>
      </c>
      <c r="S2311" s="27">
        <v>1328.5580070000001</v>
      </c>
      <c r="U2311" s="27">
        <v>3.8460540000000001</v>
      </c>
      <c r="W2311" s="27">
        <v>43.765411999999998</v>
      </c>
      <c r="Y2311" s="27">
        <v>8.3120989999999999</v>
      </c>
      <c r="AA2311" s="27">
        <v>644.05013599999995</v>
      </c>
      <c r="AC2311" s="27">
        <v>57.616307999999997</v>
      </c>
      <c r="AE2311" s="27">
        <v>1</v>
      </c>
      <c r="AG2311" s="27">
        <v>7.698626</v>
      </c>
      <c r="AI2311" s="27">
        <v>8.75</v>
      </c>
      <c r="AK2311" s="27">
        <v>24.567170000000001</v>
      </c>
      <c r="AM2311" s="27">
        <v>35.663504000000003</v>
      </c>
      <c r="AO2311" s="27">
        <v>6.7703389999999999</v>
      </c>
    </row>
    <row r="2312" spans="2:41" x14ac:dyDescent="0.25">
      <c r="B2312" s="21">
        <v>44601</v>
      </c>
      <c r="C2312" s="27">
        <v>20.641300000000001</v>
      </c>
      <c r="E2312" s="27">
        <v>0.87507599999999996</v>
      </c>
      <c r="G2312" s="27">
        <v>105.845803</v>
      </c>
      <c r="I2312" s="27">
        <v>6.8811859999999996</v>
      </c>
      <c r="K2312" s="27">
        <v>5.2537060000000002</v>
      </c>
      <c r="M2312" s="27">
        <v>821.84628399999997</v>
      </c>
      <c r="O2312" s="27">
        <v>3945.6721029999999</v>
      </c>
      <c r="Q2312" s="27">
        <v>6976.7375220000004</v>
      </c>
      <c r="S2312" s="27">
        <v>1327.97234</v>
      </c>
      <c r="U2312" s="27">
        <v>3.8331179999999998</v>
      </c>
      <c r="W2312" s="27">
        <v>43.666856000000003</v>
      </c>
      <c r="Y2312" s="27">
        <v>8.3116579999999995</v>
      </c>
      <c r="AA2312" s="27">
        <v>643.459924</v>
      </c>
      <c r="AC2312" s="27">
        <v>57.466889999999999</v>
      </c>
      <c r="AE2312" s="27">
        <v>1</v>
      </c>
      <c r="AG2312" s="27">
        <v>7.6957700000000004</v>
      </c>
      <c r="AI2312" s="27">
        <v>8.75</v>
      </c>
      <c r="AK2312" s="27">
        <v>24.607257000000001</v>
      </c>
      <c r="AM2312" s="27">
        <v>35.500374000000001</v>
      </c>
      <c r="AO2312" s="27">
        <v>6.787744</v>
      </c>
    </row>
    <row r="2313" spans="2:41" x14ac:dyDescent="0.25">
      <c r="B2313" s="21">
        <v>44602</v>
      </c>
      <c r="C2313" s="27">
        <v>20.500800000000002</v>
      </c>
      <c r="E2313" s="27">
        <v>0.87455499999999997</v>
      </c>
      <c r="G2313" s="27">
        <v>105.94125200000001</v>
      </c>
      <c r="I2313" s="27">
        <v>6.8844770000000004</v>
      </c>
      <c r="K2313" s="27">
        <v>5.2313400000000003</v>
      </c>
      <c r="M2313" s="27">
        <v>808.67285800000002</v>
      </c>
      <c r="O2313" s="27">
        <v>3927.5631619999999</v>
      </c>
      <c r="Q2313" s="27">
        <v>6972.7057560000003</v>
      </c>
      <c r="S2313" s="27">
        <v>1332.8792350000001</v>
      </c>
      <c r="U2313" s="27">
        <v>3.806022</v>
      </c>
      <c r="W2313" s="27">
        <v>43.527431</v>
      </c>
      <c r="Y2313" s="27">
        <v>8.3205390000000001</v>
      </c>
      <c r="AA2313" s="27">
        <v>643.34641599999998</v>
      </c>
      <c r="AC2313" s="27">
        <v>57.374616000000003</v>
      </c>
      <c r="AE2313" s="27">
        <v>1</v>
      </c>
      <c r="AG2313" s="27">
        <v>7.696332</v>
      </c>
      <c r="AI2313" s="27">
        <v>8.75</v>
      </c>
      <c r="AK2313" s="27">
        <v>24.624293999999999</v>
      </c>
      <c r="AM2313" s="27">
        <v>35.519786000000003</v>
      </c>
      <c r="AO2313" s="27">
        <v>6.7953840000000003</v>
      </c>
    </row>
    <row r="2314" spans="2:41" x14ac:dyDescent="0.25">
      <c r="B2314" s="21">
        <v>44603</v>
      </c>
      <c r="C2314" s="27">
        <v>20.4148</v>
      </c>
      <c r="E2314" s="27">
        <v>0.87847500000000001</v>
      </c>
      <c r="G2314" s="27">
        <v>106.069326</v>
      </c>
      <c r="I2314" s="27">
        <v>6.8875479999999998</v>
      </c>
      <c r="K2314" s="27">
        <v>5.2354900000000004</v>
      </c>
      <c r="M2314" s="27">
        <v>806.53879600000005</v>
      </c>
      <c r="O2314" s="27">
        <v>3920.1511420000002</v>
      </c>
      <c r="Q2314" s="27">
        <v>6980.6159260000004</v>
      </c>
      <c r="S2314" s="27">
        <v>1333.3332780000001</v>
      </c>
      <c r="U2314" s="27">
        <v>3.7635619999999999</v>
      </c>
      <c r="W2314" s="27">
        <v>43.383417999999999</v>
      </c>
      <c r="Y2314" s="27">
        <v>8.2864369999999994</v>
      </c>
      <c r="AA2314" s="27">
        <v>643.61570400000005</v>
      </c>
      <c r="AC2314" s="27">
        <v>57.324407000000001</v>
      </c>
      <c r="AE2314" s="27">
        <v>1</v>
      </c>
      <c r="AG2314" s="27">
        <v>7.6985890000000001</v>
      </c>
      <c r="AI2314" s="27">
        <v>8.75</v>
      </c>
      <c r="AK2314" s="27">
        <v>24.643540000000002</v>
      </c>
      <c r="AM2314" s="27">
        <v>35.544310000000003</v>
      </c>
      <c r="AO2314" s="27">
        <v>6.7999499999999999</v>
      </c>
    </row>
    <row r="2315" spans="2:41" x14ac:dyDescent="0.25">
      <c r="B2315" s="21">
        <v>44604</v>
      </c>
      <c r="C2315" s="27">
        <v>20.4148</v>
      </c>
      <c r="E2315" s="27">
        <v>0.88127800000000001</v>
      </c>
      <c r="G2315" s="27">
        <v>106.15796400000001</v>
      </c>
      <c r="I2315" s="27">
        <v>6.88598</v>
      </c>
      <c r="K2315" s="27">
        <v>5.2531999999999996</v>
      </c>
      <c r="M2315" s="27">
        <v>810.17750000000001</v>
      </c>
      <c r="O2315" s="27">
        <v>3926.4575</v>
      </c>
      <c r="Q2315" s="27">
        <v>6974.2864319999999</v>
      </c>
      <c r="S2315" s="27">
        <v>1327.6326019999999</v>
      </c>
      <c r="U2315" s="27">
        <v>3.7652000000000001</v>
      </c>
      <c r="W2315" s="27">
        <v>43.225467999999999</v>
      </c>
      <c r="Y2315" s="27">
        <v>8.2284360000000003</v>
      </c>
      <c r="AA2315" s="27">
        <v>643.10878200000002</v>
      </c>
      <c r="AC2315" s="27">
        <v>57.177500000000002</v>
      </c>
      <c r="AE2315" s="27">
        <v>1</v>
      </c>
      <c r="AG2315" s="27">
        <v>7.6923500000000002</v>
      </c>
      <c r="AI2315" s="27">
        <v>8.75</v>
      </c>
      <c r="AK2315" s="27">
        <v>24.613225</v>
      </c>
      <c r="AM2315" s="27">
        <v>35.489750000000001</v>
      </c>
      <c r="AO2315" s="27">
        <v>6.7950299999999997</v>
      </c>
    </row>
    <row r="2316" spans="2:41" x14ac:dyDescent="0.25">
      <c r="B2316" s="21">
        <v>44605</v>
      </c>
      <c r="C2316" s="27">
        <v>20.4148</v>
      </c>
      <c r="E2316" s="27">
        <v>0.88125799999999999</v>
      </c>
      <c r="G2316" s="27">
        <v>106.17102800000001</v>
      </c>
      <c r="I2316" s="27">
        <v>6.8860919999999997</v>
      </c>
      <c r="K2316" s="27">
        <v>5.2531999999999996</v>
      </c>
      <c r="M2316" s="27">
        <v>810.175387</v>
      </c>
      <c r="O2316" s="27">
        <v>3926.4731929999998</v>
      </c>
      <c r="Q2316" s="27">
        <v>6974.3577329999998</v>
      </c>
      <c r="S2316" s="27">
        <v>1327.646176</v>
      </c>
      <c r="U2316" s="27">
        <v>3.7651859999999999</v>
      </c>
      <c r="W2316" s="27">
        <v>43.225411999999999</v>
      </c>
      <c r="Y2316" s="27">
        <v>8.2284249999999997</v>
      </c>
      <c r="AA2316" s="27">
        <v>643.11785799999996</v>
      </c>
      <c r="AC2316" s="27">
        <v>57.179026999999998</v>
      </c>
      <c r="AE2316" s="27">
        <v>1</v>
      </c>
      <c r="AG2316" s="27">
        <v>7.6931440000000002</v>
      </c>
      <c r="AI2316" s="27">
        <v>8.75</v>
      </c>
      <c r="AK2316" s="27">
        <v>24.613866000000002</v>
      </c>
      <c r="AM2316" s="27">
        <v>35.490366000000002</v>
      </c>
      <c r="AO2316" s="27">
        <v>6.7951759999999997</v>
      </c>
    </row>
    <row r="2317" spans="2:41" x14ac:dyDescent="0.25">
      <c r="B2317" s="21">
        <v>44606</v>
      </c>
      <c r="C2317" s="27">
        <v>20.418800000000001</v>
      </c>
      <c r="E2317" s="27">
        <v>0.88323600000000002</v>
      </c>
      <c r="G2317" s="27">
        <v>106.290254</v>
      </c>
      <c r="I2317" s="27">
        <v>6.8977560000000002</v>
      </c>
      <c r="K2317" s="27">
        <v>5.2353839999999998</v>
      </c>
      <c r="M2317" s="27">
        <v>810.57434799999999</v>
      </c>
      <c r="O2317" s="27">
        <v>3936.2385410000002</v>
      </c>
      <c r="Q2317" s="27">
        <v>6979.5597959999996</v>
      </c>
      <c r="S2317" s="27">
        <v>1333.160232</v>
      </c>
      <c r="U2317" s="27">
        <v>3.768389</v>
      </c>
      <c r="W2317" s="27">
        <v>43.2224</v>
      </c>
      <c r="Y2317" s="27">
        <v>8.2558520000000009</v>
      </c>
      <c r="AA2317" s="27">
        <v>643.91665599999999</v>
      </c>
      <c r="AC2317" s="27">
        <v>57.290165999999999</v>
      </c>
      <c r="AE2317" s="27">
        <v>1</v>
      </c>
      <c r="AG2317" s="27">
        <v>7.7073179999999999</v>
      </c>
      <c r="AI2317" s="27">
        <v>8.75</v>
      </c>
      <c r="AK2317" s="27">
        <v>24.679912000000002</v>
      </c>
      <c r="AM2317" s="27">
        <v>35.545602000000002</v>
      </c>
      <c r="AO2317" s="27">
        <v>6.8096719999999999</v>
      </c>
    </row>
    <row r="2318" spans="2:41" x14ac:dyDescent="0.25">
      <c r="B2318" s="21">
        <v>44607</v>
      </c>
      <c r="C2318" s="27">
        <v>20.411000000000001</v>
      </c>
      <c r="E2318" s="27">
        <v>0.88183199999999995</v>
      </c>
      <c r="G2318" s="27">
        <v>106.39174800000001</v>
      </c>
      <c r="I2318" s="27">
        <v>6.8902270000000003</v>
      </c>
      <c r="K2318" s="27">
        <v>5.1978780000000002</v>
      </c>
      <c r="M2318" s="27">
        <v>807.73863700000004</v>
      </c>
      <c r="O2318" s="27">
        <v>3945.7580480000001</v>
      </c>
      <c r="Q2318" s="27">
        <v>6966.5028080000002</v>
      </c>
      <c r="S2318" s="27">
        <v>1340.266388</v>
      </c>
      <c r="U2318" s="27">
        <v>3.7919640000000001</v>
      </c>
      <c r="W2318" s="27">
        <v>43.129528000000001</v>
      </c>
      <c r="Y2318" s="27">
        <v>8.2975519999999996</v>
      </c>
      <c r="AA2318" s="27">
        <v>641.58095800000001</v>
      </c>
      <c r="AC2318" s="27">
        <v>57.183245999999997</v>
      </c>
      <c r="AE2318" s="27">
        <v>1</v>
      </c>
      <c r="AG2318" s="27">
        <v>7.6988580000000004</v>
      </c>
      <c r="AI2318" s="27">
        <v>8.75</v>
      </c>
      <c r="AK2318" s="27">
        <v>24.622451000000002</v>
      </c>
      <c r="AM2318" s="27">
        <v>35.470301999999997</v>
      </c>
      <c r="AO2318" s="27">
        <v>6.8023389999999999</v>
      </c>
    </row>
    <row r="2319" spans="2:41" x14ac:dyDescent="0.25">
      <c r="B2319" s="21">
        <v>44608</v>
      </c>
      <c r="C2319" s="27">
        <v>20.3992</v>
      </c>
      <c r="E2319" s="27">
        <v>0.87957099999999999</v>
      </c>
      <c r="G2319" s="27">
        <v>106.46784599999999</v>
      </c>
      <c r="I2319" s="27">
        <v>6.8878139999999997</v>
      </c>
      <c r="K2319" s="27">
        <v>5.1538440000000003</v>
      </c>
      <c r="M2319" s="27">
        <v>800.04852700000004</v>
      </c>
      <c r="O2319" s="27">
        <v>3956.2557000000002</v>
      </c>
      <c r="Q2319" s="27">
        <v>6964.0153540000001</v>
      </c>
      <c r="S2319" s="27">
        <v>1351.2352659999999</v>
      </c>
      <c r="U2319" s="27">
        <v>3.7891330000000001</v>
      </c>
      <c r="W2319" s="27">
        <v>43.067957999999997</v>
      </c>
      <c r="Y2319" s="27">
        <v>8.3565000000000005</v>
      </c>
      <c r="AA2319" s="27">
        <v>640.95926399999996</v>
      </c>
      <c r="AC2319" s="27">
        <v>57.001168999999997</v>
      </c>
      <c r="AE2319" s="27">
        <v>1</v>
      </c>
      <c r="AG2319" s="27">
        <v>7.6970840000000003</v>
      </c>
      <c r="AI2319" s="27">
        <v>8.75</v>
      </c>
      <c r="AK2319" s="27">
        <v>24.614746</v>
      </c>
      <c r="AM2319" s="27">
        <v>35.476936000000002</v>
      </c>
      <c r="AO2319" s="27">
        <v>6.8006159999999998</v>
      </c>
    </row>
    <row r="2320" spans="2:41" x14ac:dyDescent="0.25">
      <c r="B2320" s="21">
        <v>44609</v>
      </c>
      <c r="C2320" s="27">
        <v>20.333500000000001</v>
      </c>
      <c r="E2320" s="27">
        <v>0.87983900000000004</v>
      </c>
      <c r="G2320" s="27">
        <v>106.594492</v>
      </c>
      <c r="I2320" s="27">
        <v>6.8822950000000001</v>
      </c>
      <c r="K2320" s="27">
        <v>5.150379</v>
      </c>
      <c r="M2320" s="27">
        <v>797.45484099999999</v>
      </c>
      <c r="O2320" s="27">
        <v>3957.4668799999999</v>
      </c>
      <c r="Q2320" s="27">
        <v>6952.8872730000003</v>
      </c>
      <c r="S2320" s="27">
        <v>1349.9836519999999</v>
      </c>
      <c r="U2320" s="27">
        <v>3.7737479999999999</v>
      </c>
      <c r="W2320" s="27">
        <v>43.082222000000002</v>
      </c>
      <c r="Y2320" s="27">
        <v>8.3648939999999996</v>
      </c>
      <c r="AA2320" s="27">
        <v>639.34525299999996</v>
      </c>
      <c r="AC2320" s="27">
        <v>56.773068000000002</v>
      </c>
      <c r="AE2320" s="27">
        <v>1</v>
      </c>
      <c r="AG2320" s="27">
        <v>7.6920960000000003</v>
      </c>
      <c r="AI2320" s="27">
        <v>8.75</v>
      </c>
      <c r="AK2320" s="27">
        <v>24.609480999999999</v>
      </c>
      <c r="AM2320" s="27">
        <v>35.576743</v>
      </c>
      <c r="AO2320" s="27">
        <v>6.7916400000000001</v>
      </c>
    </row>
    <row r="2321" spans="2:41" x14ac:dyDescent="0.25">
      <c r="B2321" s="21">
        <v>44610</v>
      </c>
      <c r="C2321" s="27">
        <v>20.297799999999999</v>
      </c>
      <c r="E2321" s="27">
        <v>0.88100800000000001</v>
      </c>
      <c r="G2321" s="27">
        <v>106.72514099999999</v>
      </c>
      <c r="I2321" s="27">
        <v>6.8844640000000004</v>
      </c>
      <c r="K2321" s="27">
        <v>5.1543950000000001</v>
      </c>
      <c r="M2321" s="27">
        <v>796.78351799999996</v>
      </c>
      <c r="O2321" s="27">
        <v>3941.0034919999998</v>
      </c>
      <c r="Q2321" s="27">
        <v>6943.2098880000003</v>
      </c>
      <c r="S2321" s="27">
        <v>1347.0540940000001</v>
      </c>
      <c r="U2321" s="27">
        <v>3.737514</v>
      </c>
      <c r="W2321" s="27">
        <v>43.063251999999999</v>
      </c>
      <c r="Y2321" s="27">
        <v>8.3546929999999993</v>
      </c>
      <c r="AA2321" s="27">
        <v>639.37810000000002</v>
      </c>
      <c r="AC2321" s="27">
        <v>56.690972000000002</v>
      </c>
      <c r="AE2321" s="27">
        <v>1</v>
      </c>
      <c r="AG2321" s="27">
        <v>7.692221</v>
      </c>
      <c r="AI2321" s="27">
        <v>8.75</v>
      </c>
      <c r="AK2321" s="27">
        <v>24.583148000000001</v>
      </c>
      <c r="AM2321" s="27">
        <v>35.488173000000003</v>
      </c>
      <c r="AO2321" s="27">
        <v>6.7747780000000004</v>
      </c>
    </row>
    <row r="2322" spans="2:41" x14ac:dyDescent="0.25">
      <c r="B2322" s="21">
        <v>44611</v>
      </c>
      <c r="C2322" s="27">
        <v>20.297799999999999</v>
      </c>
      <c r="E2322" s="27">
        <v>0.883104</v>
      </c>
      <c r="G2322" s="27">
        <v>106.79993399999999</v>
      </c>
      <c r="I2322" s="27">
        <v>6.884843</v>
      </c>
      <c r="K2322" s="27">
        <v>5.1393000000000004</v>
      </c>
      <c r="M2322" s="27">
        <v>801.25</v>
      </c>
      <c r="O2322" s="27">
        <v>3931.4124999999999</v>
      </c>
      <c r="Q2322" s="27">
        <v>6940.2685359999996</v>
      </c>
      <c r="S2322" s="27">
        <v>1350.437322</v>
      </c>
      <c r="U2322" s="27">
        <v>3.7471749999999999</v>
      </c>
      <c r="W2322" s="27">
        <v>43.056035999999999</v>
      </c>
      <c r="Y2322" s="27">
        <v>8.3778240000000004</v>
      </c>
      <c r="AA2322" s="27">
        <v>639.733428</v>
      </c>
      <c r="AC2322" s="27">
        <v>56.452500000000001</v>
      </c>
      <c r="AE2322" s="27">
        <v>1</v>
      </c>
      <c r="AG2322" s="27">
        <v>7.6944520000000001</v>
      </c>
      <c r="AI2322" s="27">
        <v>8.75</v>
      </c>
      <c r="AK2322" s="27">
        <v>24.556625</v>
      </c>
      <c r="AM2322" s="27">
        <v>35.424750000000003</v>
      </c>
      <c r="AO2322" s="27">
        <v>6.7612430000000003</v>
      </c>
    </row>
    <row r="2323" spans="2:41" x14ac:dyDescent="0.25">
      <c r="B2323" s="21">
        <v>44612</v>
      </c>
      <c r="C2323" s="27">
        <v>20.297799999999999</v>
      </c>
      <c r="E2323" s="27">
        <v>0.88312599999999997</v>
      </c>
      <c r="G2323" s="27">
        <v>106.800675</v>
      </c>
      <c r="I2323" s="27">
        <v>6.884836</v>
      </c>
      <c r="K2323" s="27">
        <v>5.1393000000000004</v>
      </c>
      <c r="M2323" s="27">
        <v>801.24866799999995</v>
      </c>
      <c r="O2323" s="27">
        <v>3931.4235659999999</v>
      </c>
      <c r="Q2323" s="27">
        <v>6940.3099240000001</v>
      </c>
      <c r="S2323" s="27">
        <v>1350.445375</v>
      </c>
      <c r="U2323" s="27">
        <v>3.7469199999999998</v>
      </c>
      <c r="W2323" s="27">
        <v>43.056480000000001</v>
      </c>
      <c r="Y2323" s="27">
        <v>8.3779109999999992</v>
      </c>
      <c r="AA2323" s="27">
        <v>639.73237700000004</v>
      </c>
      <c r="AC2323" s="27">
        <v>56.453243000000001</v>
      </c>
      <c r="AE2323" s="27">
        <v>1</v>
      </c>
      <c r="AG2323" s="27">
        <v>7.6944460000000001</v>
      </c>
      <c r="AI2323" s="27">
        <v>8.75</v>
      </c>
      <c r="AK2323" s="27">
        <v>24.556466</v>
      </c>
      <c r="AM2323" s="27">
        <v>35.433010000000003</v>
      </c>
      <c r="AO2323" s="27">
        <v>6.7613390000000004</v>
      </c>
    </row>
    <row r="2324" spans="2:41" x14ac:dyDescent="0.25">
      <c r="B2324" s="21">
        <v>44613</v>
      </c>
      <c r="C2324" s="27">
        <v>20.3063</v>
      </c>
      <c r="E2324" s="27">
        <v>0.88172600000000001</v>
      </c>
      <c r="G2324" s="27">
        <v>106.89286</v>
      </c>
      <c r="I2324" s="27">
        <v>6.8875489999999999</v>
      </c>
      <c r="K2324" s="27">
        <v>5.12059</v>
      </c>
      <c r="M2324" s="27">
        <v>800.34162900000001</v>
      </c>
      <c r="O2324" s="27">
        <v>3933.0501100000001</v>
      </c>
      <c r="Q2324" s="27">
        <v>6938.5553040000004</v>
      </c>
      <c r="S2324" s="27">
        <v>1355.039037</v>
      </c>
      <c r="U2324" s="27">
        <v>3.7370709999999998</v>
      </c>
      <c r="W2324" s="27">
        <v>43.060062000000002</v>
      </c>
      <c r="Y2324" s="27">
        <v>8.4092289999999998</v>
      </c>
      <c r="AA2324" s="27">
        <v>639.71365000000003</v>
      </c>
      <c r="AC2324" s="27">
        <v>56.649827999999999</v>
      </c>
      <c r="AE2324" s="27">
        <v>1</v>
      </c>
      <c r="AG2324" s="27">
        <v>7.7038060000000002</v>
      </c>
      <c r="AI2324" s="27">
        <v>8.75</v>
      </c>
      <c r="AK2324" s="27">
        <v>24.573232000000001</v>
      </c>
      <c r="AM2324" s="27">
        <v>35.640701</v>
      </c>
      <c r="AO2324" s="27">
        <v>6.77128</v>
      </c>
    </row>
    <row r="2325" spans="2:41" x14ac:dyDescent="0.25">
      <c r="B2325" s="21">
        <v>44614</v>
      </c>
      <c r="C2325" s="27">
        <v>20.282499999999999</v>
      </c>
      <c r="E2325" s="27">
        <v>0.88300599999999996</v>
      </c>
      <c r="G2325" s="27">
        <v>107.124217</v>
      </c>
      <c r="I2325" s="27">
        <v>6.8947719999999997</v>
      </c>
      <c r="K2325" s="27">
        <v>5.0828340000000001</v>
      </c>
      <c r="M2325" s="27">
        <v>796.29100000000005</v>
      </c>
      <c r="O2325" s="27">
        <v>3932.5942060000002</v>
      </c>
      <c r="Q2325" s="27">
        <v>6951.7365280000004</v>
      </c>
      <c r="S2325" s="27">
        <v>1367.696995</v>
      </c>
      <c r="U2325" s="27">
        <v>3.7404220000000001</v>
      </c>
      <c r="W2325" s="27">
        <v>43.094073000000002</v>
      </c>
      <c r="Y2325" s="27">
        <v>8.4783860000000004</v>
      </c>
      <c r="AA2325" s="27">
        <v>640.02637600000003</v>
      </c>
      <c r="AC2325" s="27">
        <v>56.604548999999999</v>
      </c>
      <c r="AE2325" s="27">
        <v>1</v>
      </c>
      <c r="AG2325" s="27">
        <v>7.7197610000000001</v>
      </c>
      <c r="AI2325" s="27">
        <v>8.75</v>
      </c>
      <c r="AK2325" s="27">
        <v>24.628976999999999</v>
      </c>
      <c r="AM2325" s="27">
        <v>35.522806000000003</v>
      </c>
      <c r="AO2325" s="27">
        <v>6.7933849999999998</v>
      </c>
    </row>
    <row r="2326" spans="2:41" x14ac:dyDescent="0.25">
      <c r="B2326" s="21">
        <v>44615</v>
      </c>
      <c r="C2326" s="27">
        <v>20.297699999999999</v>
      </c>
      <c r="E2326" s="27">
        <v>0.88288999999999995</v>
      </c>
      <c r="G2326" s="27">
        <v>107.238957</v>
      </c>
      <c r="I2326" s="27">
        <v>6.8867520000000004</v>
      </c>
      <c r="K2326" s="27">
        <v>5.0348439999999997</v>
      </c>
      <c r="M2326" s="27">
        <v>790.87945000000002</v>
      </c>
      <c r="O2326" s="27">
        <v>3922.8926719999999</v>
      </c>
      <c r="Q2326" s="27">
        <v>6948.1088449999997</v>
      </c>
      <c r="S2326" s="27">
        <v>1380.012424</v>
      </c>
      <c r="U2326" s="27">
        <v>3.7346900000000001</v>
      </c>
      <c r="W2326" s="27">
        <v>42.915031999999997</v>
      </c>
      <c r="Y2326" s="27">
        <v>8.5236350000000005</v>
      </c>
      <c r="AA2326" s="27">
        <v>639.66795400000001</v>
      </c>
      <c r="AC2326" s="27">
        <v>56.429029999999997</v>
      </c>
      <c r="AE2326" s="27">
        <v>1</v>
      </c>
      <c r="AG2326" s="27">
        <v>7.715948</v>
      </c>
      <c r="AI2326" s="27">
        <v>8.75</v>
      </c>
      <c r="AK2326" s="27">
        <v>24.620393</v>
      </c>
      <c r="AM2326" s="27">
        <v>35.460445999999997</v>
      </c>
      <c r="AO2326" s="27">
        <v>6.7923340000000003</v>
      </c>
    </row>
    <row r="2327" spans="2:41" x14ac:dyDescent="0.25">
      <c r="B2327" s="21">
        <v>44616</v>
      </c>
      <c r="C2327" s="27">
        <v>20.243500000000001</v>
      </c>
      <c r="E2327" s="27">
        <v>0.89219199999999999</v>
      </c>
      <c r="G2327" s="27">
        <v>107.331226</v>
      </c>
      <c r="I2327" s="27">
        <v>6.8914479999999996</v>
      </c>
      <c r="K2327" s="27">
        <v>5.0640080000000003</v>
      </c>
      <c r="M2327" s="27">
        <v>802.83381999999995</v>
      </c>
      <c r="O2327" s="27">
        <v>3920.5068200000001</v>
      </c>
      <c r="Q2327" s="27">
        <v>6943.8733840000004</v>
      </c>
      <c r="S2327" s="27">
        <v>1371.2290410000001</v>
      </c>
      <c r="U2327" s="27">
        <v>3.7521119999999999</v>
      </c>
      <c r="W2327" s="27">
        <v>42.776207999999997</v>
      </c>
      <c r="Y2327" s="27">
        <v>8.4471340000000001</v>
      </c>
      <c r="AA2327" s="27">
        <v>640.69168400000001</v>
      </c>
      <c r="AC2327" s="27">
        <v>56.106447000000003</v>
      </c>
      <c r="AE2327" s="27">
        <v>1</v>
      </c>
      <c r="AG2327" s="27">
        <v>7.7225720000000004</v>
      </c>
      <c r="AI2327" s="27">
        <v>8.75</v>
      </c>
      <c r="AK2327" s="27">
        <v>24.645873000000002</v>
      </c>
      <c r="AM2327" s="27">
        <v>35.511721000000001</v>
      </c>
      <c r="AO2327" s="27">
        <v>6.8003619999999998</v>
      </c>
    </row>
    <row r="2328" spans="2:41" x14ac:dyDescent="0.25">
      <c r="B2328" s="21">
        <v>44617</v>
      </c>
      <c r="C2328" s="27">
        <v>20.6525</v>
      </c>
      <c r="E2328" s="27">
        <v>0.89093800000000001</v>
      </c>
      <c r="G2328" s="27">
        <v>107.405908</v>
      </c>
      <c r="I2328" s="27">
        <v>6.8703940000000001</v>
      </c>
      <c r="K2328" s="27">
        <v>5.1356780000000004</v>
      </c>
      <c r="M2328" s="27">
        <v>809.97942899999998</v>
      </c>
      <c r="O2328" s="27">
        <v>3920.515476</v>
      </c>
      <c r="Q2328" s="27">
        <v>6924.6972740000001</v>
      </c>
      <c r="S2328" s="27">
        <v>1348.3587480000001</v>
      </c>
      <c r="U2328" s="27">
        <v>3.7725919999999999</v>
      </c>
      <c r="W2328" s="27">
        <v>42.38261</v>
      </c>
      <c r="Y2328" s="27">
        <v>8.2526089999999996</v>
      </c>
      <c r="AA2328" s="27">
        <v>639.61335599999995</v>
      </c>
      <c r="AC2328" s="27">
        <v>55.378143999999999</v>
      </c>
      <c r="AE2328" s="27">
        <v>1</v>
      </c>
      <c r="AG2328" s="27">
        <v>7.7012919999999996</v>
      </c>
      <c r="AI2328" s="27">
        <v>8.75</v>
      </c>
      <c r="AK2328" s="27">
        <v>24.559266999999998</v>
      </c>
      <c r="AM2328" s="27">
        <v>35.402453999999999</v>
      </c>
      <c r="AO2328" s="27">
        <v>6.7847559999999998</v>
      </c>
    </row>
    <row r="2329" spans="2:41" x14ac:dyDescent="0.25">
      <c r="B2329" s="21">
        <v>44618</v>
      </c>
      <c r="C2329" s="27">
        <v>20.6525</v>
      </c>
      <c r="E2329" s="27">
        <v>0.88723600000000002</v>
      </c>
      <c r="G2329" s="27">
        <v>107.452062</v>
      </c>
      <c r="I2329" s="27">
        <v>6.8659020000000002</v>
      </c>
      <c r="K2329" s="27">
        <v>5.1630000000000003</v>
      </c>
      <c r="M2329" s="27">
        <v>802.19</v>
      </c>
      <c r="O2329" s="27">
        <v>3913.6224999999999</v>
      </c>
      <c r="Q2329" s="27">
        <v>6928.3506559999996</v>
      </c>
      <c r="S2329" s="27">
        <v>1341.9300430000001</v>
      </c>
      <c r="U2329" s="27">
        <v>3.7676249999999998</v>
      </c>
      <c r="W2329" s="27">
        <v>42.237574000000002</v>
      </c>
      <c r="Y2329" s="27">
        <v>8.1808420000000002</v>
      </c>
      <c r="AA2329" s="27">
        <v>639.80977099999996</v>
      </c>
      <c r="AC2329" s="27">
        <v>54.895000000000003</v>
      </c>
      <c r="AE2329" s="27">
        <v>1</v>
      </c>
      <c r="AG2329" s="27">
        <v>7.7017259999999998</v>
      </c>
      <c r="AI2329" s="27">
        <v>8.75</v>
      </c>
      <c r="AK2329" s="27">
        <v>24.540600000000001</v>
      </c>
      <c r="AM2329" s="27">
        <v>35.45975</v>
      </c>
      <c r="AO2329" s="27">
        <v>6.7843819999999999</v>
      </c>
    </row>
    <row r="2330" spans="2:41" x14ac:dyDescent="0.25">
      <c r="B2330" s="21">
        <v>44619</v>
      </c>
      <c r="C2330" s="27">
        <v>20.6525</v>
      </c>
      <c r="E2330" s="27">
        <v>0.88787499999999997</v>
      </c>
      <c r="G2330" s="27">
        <v>107.459683</v>
      </c>
      <c r="I2330" s="27">
        <v>6.8658919999999997</v>
      </c>
      <c r="K2330" s="27">
        <v>5.1630000000000003</v>
      </c>
      <c r="M2330" s="27">
        <v>802.19</v>
      </c>
      <c r="O2330" s="27">
        <v>3913.6221660000001</v>
      </c>
      <c r="Q2330" s="27">
        <v>6928.3502209999997</v>
      </c>
      <c r="S2330" s="27">
        <v>1341.9299590000001</v>
      </c>
      <c r="U2330" s="27">
        <v>3.7675860000000001</v>
      </c>
      <c r="W2330" s="27">
        <v>42.237779000000003</v>
      </c>
      <c r="Y2330" s="27">
        <v>8.1808820000000004</v>
      </c>
      <c r="AA2330" s="27">
        <v>639.80996600000003</v>
      </c>
      <c r="AC2330" s="27">
        <v>54.895130000000002</v>
      </c>
      <c r="AE2330" s="27">
        <v>1</v>
      </c>
      <c r="AG2330" s="27">
        <v>7.701746</v>
      </c>
      <c r="AI2330" s="27">
        <v>8.75</v>
      </c>
      <c r="AK2330" s="27">
        <v>24.540711999999999</v>
      </c>
      <c r="AM2330" s="27">
        <v>35.459403999999999</v>
      </c>
      <c r="AO2330" s="27">
        <v>6.7843920000000004</v>
      </c>
    </row>
    <row r="2331" spans="2:41" x14ac:dyDescent="0.25">
      <c r="B2331" s="21">
        <v>44620</v>
      </c>
      <c r="C2331" s="27">
        <v>20.4465</v>
      </c>
      <c r="E2331" s="27">
        <v>0.89344599999999996</v>
      </c>
      <c r="G2331" s="27">
        <v>107.44713900000001</v>
      </c>
      <c r="I2331" s="27">
        <v>6.8815179999999998</v>
      </c>
      <c r="K2331" s="27">
        <v>5.1634289999999998</v>
      </c>
      <c r="M2331" s="27">
        <v>802.03456900000003</v>
      </c>
      <c r="O2331" s="27">
        <v>3918.674055</v>
      </c>
      <c r="Q2331" s="27">
        <v>6961.7691139999997</v>
      </c>
      <c r="S2331" s="27">
        <v>1348.291084</v>
      </c>
      <c r="U2331" s="27">
        <v>3.7788659999999998</v>
      </c>
      <c r="W2331" s="27">
        <v>42.361752000000003</v>
      </c>
      <c r="Y2331" s="27">
        <v>8.2042140000000003</v>
      </c>
      <c r="AA2331" s="27">
        <v>641.08619699999997</v>
      </c>
      <c r="AC2331" s="27">
        <v>55.150486000000001</v>
      </c>
      <c r="AE2331" s="27">
        <v>1</v>
      </c>
      <c r="AG2331" s="27">
        <v>7.7192119999999997</v>
      </c>
      <c r="AI2331" s="27">
        <v>8.75</v>
      </c>
      <c r="AK2331" s="27">
        <v>24.57836</v>
      </c>
      <c r="AM2331" s="27">
        <v>35.476334000000001</v>
      </c>
      <c r="AO2331" s="27">
        <v>6.7901999999999996</v>
      </c>
    </row>
    <row r="2332" spans="2:41" ht="13" x14ac:dyDescent="0.3">
      <c r="B2332" s="25" t="s">
        <v>202</v>
      </c>
      <c r="C2332" s="19">
        <v>20.4696</v>
      </c>
      <c r="E2332" s="19">
        <v>0.88170000000000004</v>
      </c>
      <c r="G2332" s="19">
        <v>106.33750000000001</v>
      </c>
      <c r="I2332" s="19">
        <v>6.8841000000000001</v>
      </c>
      <c r="K2332" s="19">
        <v>5.2035</v>
      </c>
      <c r="M2332" s="19">
        <v>808.28660000000002</v>
      </c>
      <c r="O2332" s="19">
        <v>3936.1007</v>
      </c>
      <c r="Q2332" s="19">
        <v>6977.6280999999999</v>
      </c>
      <c r="S2332" s="19">
        <v>1341.1777</v>
      </c>
      <c r="U2332" s="19">
        <v>3.7913000000000001</v>
      </c>
      <c r="W2332" s="19">
        <v>43.232799999999997</v>
      </c>
      <c r="Y2332" s="19">
        <v>8.3093000000000004</v>
      </c>
      <c r="AA2332" s="19">
        <v>641.57460000000003</v>
      </c>
      <c r="AC2332" s="19">
        <v>56.847700000000003</v>
      </c>
      <c r="AE2332" s="19">
        <v>1</v>
      </c>
      <c r="AG2332" s="19">
        <v>7.6981000000000002</v>
      </c>
      <c r="AI2332" s="19">
        <v>8.75</v>
      </c>
      <c r="AK2332" s="19">
        <v>24.601500000000001</v>
      </c>
      <c r="AM2332" s="19">
        <v>35.490600000000001</v>
      </c>
      <c r="AO2332" s="19">
        <v>6.7855999999999996</v>
      </c>
    </row>
    <row r="2333" spans="2:41" x14ac:dyDescent="0.25">
      <c r="B2333" s="21">
        <v>44621</v>
      </c>
      <c r="C2333" s="27">
        <v>20.425699999999999</v>
      </c>
      <c r="E2333" s="27">
        <v>0.89552600000000004</v>
      </c>
      <c r="G2333" s="27">
        <v>107.39814699999999</v>
      </c>
      <c r="I2333" s="27">
        <v>6.881596</v>
      </c>
      <c r="K2333" s="27">
        <v>5.1603019999999997</v>
      </c>
      <c r="M2333" s="27">
        <v>802.20612000000006</v>
      </c>
      <c r="O2333" s="27">
        <v>3917.1428540000002</v>
      </c>
      <c r="Q2333" s="27">
        <v>6986.2992519999998</v>
      </c>
      <c r="S2333" s="27">
        <v>1353.8625380000001</v>
      </c>
      <c r="U2333" s="27">
        <v>3.7892939999999999</v>
      </c>
      <c r="W2333" s="27">
        <v>42.487611999999999</v>
      </c>
      <c r="Y2333" s="27">
        <v>8.2335820000000002</v>
      </c>
      <c r="AA2333" s="27">
        <v>641.67188199999998</v>
      </c>
      <c r="AC2333" s="27">
        <v>54.721628000000003</v>
      </c>
      <c r="AE2333" s="27">
        <v>1</v>
      </c>
      <c r="AG2333" s="27">
        <v>7.7223639999999998</v>
      </c>
      <c r="AI2333" s="27">
        <v>8.75</v>
      </c>
      <c r="AK2333" s="27">
        <v>24.585329999999999</v>
      </c>
      <c r="AM2333" s="27">
        <v>35.610928999999999</v>
      </c>
      <c r="AO2333" s="27">
        <v>6.7820179999999999</v>
      </c>
    </row>
    <row r="2334" spans="2:41" x14ac:dyDescent="0.25">
      <c r="B2334" s="21">
        <v>44622</v>
      </c>
      <c r="C2334" s="27">
        <v>20.527200000000001</v>
      </c>
      <c r="E2334" s="27">
        <v>0.90026200000000001</v>
      </c>
      <c r="G2334" s="27">
        <v>107.63586599999999</v>
      </c>
      <c r="I2334" s="27">
        <v>6.8787260000000003</v>
      </c>
      <c r="K2334" s="27">
        <v>5.1467479999999997</v>
      </c>
      <c r="M2334" s="27">
        <v>806.32759099999998</v>
      </c>
      <c r="O2334" s="27">
        <v>3873.1667699999998</v>
      </c>
      <c r="Q2334" s="27">
        <v>6991.6213100000004</v>
      </c>
      <c r="S2334" s="27">
        <v>1358.46282</v>
      </c>
      <c r="U2334" s="27">
        <v>3.7772459999999999</v>
      </c>
      <c r="W2334" s="27">
        <v>42.536751000000002</v>
      </c>
      <c r="Y2334" s="27">
        <v>8.2648130000000002</v>
      </c>
      <c r="AA2334" s="27">
        <v>641.93348900000001</v>
      </c>
      <c r="AC2334" s="27">
        <v>54.512813999999999</v>
      </c>
      <c r="AE2334" s="27">
        <v>1</v>
      </c>
      <c r="AG2334" s="27">
        <v>7.7186750000000002</v>
      </c>
      <c r="AI2334" s="27">
        <v>8.75</v>
      </c>
      <c r="AK2334" s="27">
        <v>24.603695999999999</v>
      </c>
      <c r="AM2334" s="27">
        <v>35.705275999999998</v>
      </c>
      <c r="AO2334" s="27">
        <v>6.7783860000000002</v>
      </c>
    </row>
    <row r="2335" spans="2:41" x14ac:dyDescent="0.25">
      <c r="B2335" s="21">
        <v>44623</v>
      </c>
      <c r="C2335" s="27">
        <v>20.7193</v>
      </c>
      <c r="E2335" s="27">
        <v>0.90242</v>
      </c>
      <c r="G2335" s="27">
        <v>107.957482</v>
      </c>
      <c r="I2335" s="27">
        <v>6.8779849999999998</v>
      </c>
      <c r="K2335" s="27">
        <v>5.0703940000000003</v>
      </c>
      <c r="M2335" s="27">
        <v>801.61290699999995</v>
      </c>
      <c r="O2335" s="27">
        <v>3815.4486830000001</v>
      </c>
      <c r="Q2335" s="27">
        <v>6979.6634080000003</v>
      </c>
      <c r="S2335" s="27">
        <v>1376.560504</v>
      </c>
      <c r="U2335" s="27">
        <v>3.7494960000000002</v>
      </c>
      <c r="W2335" s="27">
        <v>42.571449000000001</v>
      </c>
      <c r="Y2335" s="27">
        <v>8.3961120000000005</v>
      </c>
      <c r="AA2335" s="27">
        <v>641.88176699999997</v>
      </c>
      <c r="AC2335" s="27">
        <v>54.575505999999997</v>
      </c>
      <c r="AE2335" s="27">
        <v>1</v>
      </c>
      <c r="AG2335" s="27">
        <v>7.7136339999999999</v>
      </c>
      <c r="AI2335" s="27">
        <v>8.75</v>
      </c>
      <c r="AK2335" s="27">
        <v>24.588108999999999</v>
      </c>
      <c r="AM2335" s="27">
        <v>35.664079999999998</v>
      </c>
      <c r="AO2335" s="27">
        <v>6.7788409999999999</v>
      </c>
    </row>
    <row r="2336" spans="2:41" x14ac:dyDescent="0.25">
      <c r="B2336" s="21">
        <v>44624</v>
      </c>
      <c r="C2336" s="27">
        <v>20.703299999999999</v>
      </c>
      <c r="E2336" s="27">
        <v>0.91123600000000005</v>
      </c>
      <c r="G2336" s="27">
        <v>108.078847</v>
      </c>
      <c r="I2336" s="27">
        <v>6.8934139999999999</v>
      </c>
      <c r="K2336" s="27">
        <v>5.0514659999999996</v>
      </c>
      <c r="M2336" s="27">
        <v>801.65571499999999</v>
      </c>
      <c r="O2336" s="27">
        <v>3795.6338799999999</v>
      </c>
      <c r="Q2336" s="27">
        <v>6984.624288</v>
      </c>
      <c r="S2336" s="27">
        <v>1382.7015260000001</v>
      </c>
      <c r="U2336" s="27">
        <v>3.7563140000000002</v>
      </c>
      <c r="W2336" s="27">
        <v>42.743513999999998</v>
      </c>
      <c r="Y2336" s="27">
        <v>8.4616380000000007</v>
      </c>
      <c r="AA2336" s="27">
        <v>644.27667399999996</v>
      </c>
      <c r="AC2336" s="27">
        <v>54.823562000000003</v>
      </c>
      <c r="AE2336" s="27">
        <v>1</v>
      </c>
      <c r="AG2336" s="27">
        <v>7.7310239999999997</v>
      </c>
      <c r="AI2336" s="27">
        <v>8.75</v>
      </c>
      <c r="AK2336" s="27">
        <v>24.685254</v>
      </c>
      <c r="AM2336" s="27">
        <v>35.829436999999999</v>
      </c>
      <c r="AO2336" s="27">
        <v>6.7994729999999999</v>
      </c>
    </row>
    <row r="2337" spans="2:41" x14ac:dyDescent="0.25">
      <c r="B2337" s="21">
        <v>44625</v>
      </c>
      <c r="C2337" s="27">
        <v>20.703299999999999</v>
      </c>
      <c r="E2337" s="27">
        <v>0.91427800000000004</v>
      </c>
      <c r="G2337" s="27">
        <v>108.056152</v>
      </c>
      <c r="I2337" s="27">
        <v>6.903816</v>
      </c>
      <c r="K2337" s="27">
        <v>5.0611870000000003</v>
      </c>
      <c r="M2337" s="27">
        <v>807.16</v>
      </c>
      <c r="O2337" s="27">
        <v>3818.2975000000001</v>
      </c>
      <c r="Q2337" s="27">
        <v>6995.2584660000002</v>
      </c>
      <c r="S2337" s="27">
        <v>1382.1529379999999</v>
      </c>
      <c r="U2337" s="27">
        <v>3.748192</v>
      </c>
      <c r="W2337" s="27">
        <v>42.938609999999997</v>
      </c>
      <c r="Y2337" s="27">
        <v>8.4839529999999996</v>
      </c>
      <c r="AA2337" s="27">
        <v>645.89241800000002</v>
      </c>
      <c r="AC2337" s="27">
        <v>55.093409999999999</v>
      </c>
      <c r="AE2337" s="27">
        <v>1</v>
      </c>
      <c r="AG2337" s="27">
        <v>7.7424220000000004</v>
      </c>
      <c r="AI2337" s="27">
        <v>8.75</v>
      </c>
      <c r="AK2337" s="27">
        <v>24.741066</v>
      </c>
      <c r="AM2337" s="27">
        <v>35.924235000000003</v>
      </c>
      <c r="AO2337" s="27">
        <v>6.8148629999999999</v>
      </c>
    </row>
    <row r="2338" spans="2:41" x14ac:dyDescent="0.25">
      <c r="B2338" s="21">
        <v>44626</v>
      </c>
      <c r="C2338" s="27">
        <v>20.703299999999999</v>
      </c>
      <c r="E2338" s="27">
        <v>0.91451499999999997</v>
      </c>
      <c r="G2338" s="27">
        <v>108.113584</v>
      </c>
      <c r="I2338" s="27">
        <v>6.9039820000000001</v>
      </c>
      <c r="K2338" s="27">
        <v>5.061261</v>
      </c>
      <c r="M2338" s="27">
        <v>807.14921800000002</v>
      </c>
      <c r="O2338" s="27">
        <v>3817.3758459999999</v>
      </c>
      <c r="Q2338" s="27">
        <v>6995.2984889999998</v>
      </c>
      <c r="S2338" s="27">
        <v>1382.1401820000001</v>
      </c>
      <c r="U2338" s="27">
        <v>3.748367</v>
      </c>
      <c r="W2338" s="27">
        <v>42.937953999999998</v>
      </c>
      <c r="Y2338" s="27">
        <v>8.4836989999999997</v>
      </c>
      <c r="AA2338" s="27">
        <v>645.91969200000005</v>
      </c>
      <c r="AC2338" s="27">
        <v>55.093429999999998</v>
      </c>
      <c r="AE2338" s="27">
        <v>1</v>
      </c>
      <c r="AG2338" s="27">
        <v>7.7425879999999996</v>
      </c>
      <c r="AI2338" s="27">
        <v>8.75</v>
      </c>
      <c r="AK2338" s="27">
        <v>24.741095000000001</v>
      </c>
      <c r="AM2338" s="27">
        <v>35.924332</v>
      </c>
      <c r="AO2338" s="27">
        <v>6.8150680000000001</v>
      </c>
    </row>
    <row r="2339" spans="2:41" x14ac:dyDescent="0.25">
      <c r="B2339" s="21">
        <v>44627</v>
      </c>
      <c r="C2339" s="27">
        <v>20.926200000000001</v>
      </c>
      <c r="E2339" s="27">
        <v>0.92013500000000004</v>
      </c>
      <c r="G2339" s="27">
        <v>108.569446</v>
      </c>
      <c r="I2339" s="27">
        <v>6.8919160000000002</v>
      </c>
      <c r="K2339" s="27">
        <v>5.0721800000000004</v>
      </c>
      <c r="M2339" s="27">
        <v>809.88199999999995</v>
      </c>
      <c r="O2339" s="27">
        <v>3822.1696229999998</v>
      </c>
      <c r="Q2339" s="27">
        <v>6998.9871080000003</v>
      </c>
      <c r="S2339" s="27">
        <v>1379.887862</v>
      </c>
      <c r="U2339" s="27">
        <v>3.7460089999999999</v>
      </c>
      <c r="W2339" s="27">
        <v>42.783065999999998</v>
      </c>
      <c r="Y2339" s="27">
        <v>8.4348840000000003</v>
      </c>
      <c r="AA2339" s="27">
        <v>646.11587299999997</v>
      </c>
      <c r="AC2339" s="27">
        <v>55.166204</v>
      </c>
      <c r="AE2339" s="27">
        <v>1</v>
      </c>
      <c r="AG2339" s="27">
        <v>7.7316039999999999</v>
      </c>
      <c r="AI2339" s="27">
        <v>8.75</v>
      </c>
      <c r="AK2339" s="27">
        <v>24.661663999999998</v>
      </c>
      <c r="AM2339" s="27">
        <v>36.000450000000001</v>
      </c>
      <c r="AO2339" s="27">
        <v>6.7903099999999998</v>
      </c>
    </row>
    <row r="2340" spans="2:41" x14ac:dyDescent="0.25">
      <c r="B2340" s="21">
        <v>44628</v>
      </c>
      <c r="C2340" s="27">
        <v>21.194700000000001</v>
      </c>
      <c r="E2340" s="27">
        <v>0.918354</v>
      </c>
      <c r="G2340" s="27">
        <v>108.494811</v>
      </c>
      <c r="I2340" s="27">
        <v>6.8754939999999998</v>
      </c>
      <c r="K2340" s="27">
        <v>5.0915439999999998</v>
      </c>
      <c r="M2340" s="27">
        <v>811.66233699999998</v>
      </c>
      <c r="O2340" s="27">
        <v>3796.4642480000002</v>
      </c>
      <c r="Q2340" s="27">
        <v>6974.3957520000004</v>
      </c>
      <c r="S2340" s="27">
        <v>1369.8085719999999</v>
      </c>
      <c r="U2340" s="27">
        <v>3.7377799999999999</v>
      </c>
      <c r="W2340" s="27">
        <v>42.642330000000001</v>
      </c>
      <c r="Y2340" s="27">
        <v>8.3751580000000008</v>
      </c>
      <c r="AA2340" s="27">
        <v>643.65315399999997</v>
      </c>
      <c r="AC2340" s="27">
        <v>55.053033999999997</v>
      </c>
      <c r="AE2340" s="27">
        <v>1</v>
      </c>
      <c r="AG2340" s="27">
        <v>7.7000219999999997</v>
      </c>
      <c r="AI2340" s="27">
        <v>8.75</v>
      </c>
      <c r="AK2340" s="27">
        <v>24.532253000000001</v>
      </c>
      <c r="AM2340" s="27">
        <v>35.979179999999999</v>
      </c>
      <c r="AO2340" s="27">
        <v>6.7504</v>
      </c>
    </row>
    <row r="2341" spans="2:41" x14ac:dyDescent="0.25">
      <c r="B2341" s="21">
        <v>44629</v>
      </c>
      <c r="C2341" s="27">
        <v>21.377500000000001</v>
      </c>
      <c r="E2341" s="27">
        <v>0.90984200000000004</v>
      </c>
      <c r="G2341" s="27">
        <v>108.61472999999999</v>
      </c>
      <c r="I2341" s="27">
        <v>6.8773999999999997</v>
      </c>
      <c r="K2341" s="27">
        <v>5.0345420000000001</v>
      </c>
      <c r="M2341" s="27">
        <v>806.87590899999998</v>
      </c>
      <c r="O2341" s="27">
        <v>3760.5839120000001</v>
      </c>
      <c r="Q2341" s="27">
        <v>6963.4096810000001</v>
      </c>
      <c r="S2341" s="27">
        <v>1383.1358439999999</v>
      </c>
      <c r="U2341" s="27">
        <v>3.7279960000000001</v>
      </c>
      <c r="W2341" s="27">
        <v>42.691032</v>
      </c>
      <c r="Y2341" s="27">
        <v>8.4796589999999998</v>
      </c>
      <c r="AA2341" s="27">
        <v>644.557321</v>
      </c>
      <c r="AC2341" s="27">
        <v>54.914250000000003</v>
      </c>
      <c r="AE2341" s="27">
        <v>1</v>
      </c>
      <c r="AG2341" s="27">
        <v>7.7001020000000002</v>
      </c>
      <c r="AI2341" s="27">
        <v>8.75</v>
      </c>
      <c r="AK2341" s="27">
        <v>24.595168000000001</v>
      </c>
      <c r="AM2341" s="27">
        <v>35.775177999999997</v>
      </c>
      <c r="AO2341" s="27">
        <v>6.7805629999999999</v>
      </c>
    </row>
    <row r="2342" spans="2:41" x14ac:dyDescent="0.25">
      <c r="B2342" s="21">
        <v>44630</v>
      </c>
      <c r="C2342" s="27">
        <v>20.967700000000001</v>
      </c>
      <c r="E2342" s="27">
        <v>0.906582</v>
      </c>
      <c r="G2342" s="27">
        <v>108.733862</v>
      </c>
      <c r="I2342" s="27">
        <v>6.8684479999999999</v>
      </c>
      <c r="K2342" s="27">
        <v>5.0233660000000002</v>
      </c>
      <c r="M2342" s="27">
        <v>804.41176599999994</v>
      </c>
      <c r="O2342" s="27">
        <v>3767.6463189999999</v>
      </c>
      <c r="Q2342" s="27">
        <v>6952.9319500000001</v>
      </c>
      <c r="S2342" s="27">
        <v>1384.126798</v>
      </c>
      <c r="U2342" s="27">
        <v>3.7194590000000001</v>
      </c>
      <c r="W2342" s="27">
        <v>42.601551000000001</v>
      </c>
      <c r="Y2342" s="27">
        <v>8.4807100000000002</v>
      </c>
      <c r="AA2342" s="27">
        <v>646.64319699999999</v>
      </c>
      <c r="AC2342" s="27">
        <v>54.803691000000001</v>
      </c>
      <c r="AE2342" s="27">
        <v>1</v>
      </c>
      <c r="AG2342" s="27">
        <v>7.6847659999999998</v>
      </c>
      <c r="AI2342" s="27">
        <v>8.75</v>
      </c>
      <c r="AK2342" s="27">
        <v>24.578956999999999</v>
      </c>
      <c r="AM2342" s="27">
        <v>35.620784</v>
      </c>
      <c r="AO2342" s="27">
        <v>6.7714829999999999</v>
      </c>
    </row>
    <row r="2343" spans="2:41" x14ac:dyDescent="0.25">
      <c r="B2343" s="21">
        <v>44631</v>
      </c>
      <c r="C2343" s="27">
        <v>20.974299999999999</v>
      </c>
      <c r="E2343" s="27">
        <v>0.91175300000000004</v>
      </c>
      <c r="G2343" s="27">
        <v>108.819971</v>
      </c>
      <c r="I2343" s="27">
        <v>6.8873699999999998</v>
      </c>
      <c r="K2343" s="27">
        <v>5.0291269999999999</v>
      </c>
      <c r="M2343" s="27">
        <v>803.10258799999997</v>
      </c>
      <c r="O2343" s="27">
        <v>3819.5346</v>
      </c>
      <c r="Q2343" s="27">
        <v>6976.7524800000001</v>
      </c>
      <c r="S2343" s="27">
        <v>1387.2776260000001</v>
      </c>
      <c r="U2343" s="27">
        <v>3.7283840000000001</v>
      </c>
      <c r="W2343" s="27">
        <v>42.734602000000002</v>
      </c>
      <c r="Y2343" s="27">
        <v>8.4974480000000003</v>
      </c>
      <c r="AA2343" s="27">
        <v>649.18263000000002</v>
      </c>
      <c r="AC2343" s="27">
        <v>54.961987000000001</v>
      </c>
      <c r="AE2343" s="27">
        <v>1</v>
      </c>
      <c r="AG2343" s="27">
        <v>7.7073</v>
      </c>
      <c r="AI2343" s="27">
        <v>8.75</v>
      </c>
      <c r="AK2343" s="27">
        <v>24.650268000000001</v>
      </c>
      <c r="AM2343" s="27">
        <v>35.817365000000002</v>
      </c>
      <c r="AO2343" s="27">
        <v>6.7937539999999998</v>
      </c>
    </row>
    <row r="2344" spans="2:41" x14ac:dyDescent="0.25">
      <c r="B2344" s="21">
        <v>44632</v>
      </c>
      <c r="C2344" s="27">
        <v>20.974299999999999</v>
      </c>
      <c r="E2344" s="27">
        <v>0.91639300000000001</v>
      </c>
      <c r="G2344" s="27">
        <v>108.828952</v>
      </c>
      <c r="I2344" s="27">
        <v>6.8756329999999997</v>
      </c>
      <c r="K2344" s="27">
        <v>5.0749000000000004</v>
      </c>
      <c r="M2344" s="27">
        <v>805.85249999999996</v>
      </c>
      <c r="O2344" s="27">
        <v>3819.1624999999999</v>
      </c>
      <c r="Q2344" s="27">
        <v>6962.8138230000004</v>
      </c>
      <c r="S2344" s="27">
        <v>1372.0170619999999</v>
      </c>
      <c r="U2344" s="27">
        <v>3.702725</v>
      </c>
      <c r="W2344" s="27">
        <v>42.552078999999999</v>
      </c>
      <c r="Y2344" s="27">
        <v>8.3848350000000007</v>
      </c>
      <c r="AA2344" s="27">
        <v>648.31260699999996</v>
      </c>
      <c r="AC2344" s="27">
        <v>54.917499999999997</v>
      </c>
      <c r="AE2344" s="27">
        <v>1</v>
      </c>
      <c r="AG2344" s="27">
        <v>7.6957230000000001</v>
      </c>
      <c r="AI2344" s="27">
        <v>8.75</v>
      </c>
      <c r="AK2344" s="27">
        <v>24.519974999999999</v>
      </c>
      <c r="AM2344" s="27">
        <v>35.733576999999997</v>
      </c>
      <c r="AO2344" s="27">
        <v>6.7818120000000004</v>
      </c>
    </row>
    <row r="2345" spans="2:41" x14ac:dyDescent="0.25">
      <c r="B2345" s="21">
        <v>44633</v>
      </c>
      <c r="C2345" s="27">
        <v>20.974299999999999</v>
      </c>
      <c r="E2345" s="27">
        <v>0.916238</v>
      </c>
      <c r="G2345" s="27">
        <v>108.814426</v>
      </c>
      <c r="I2345" s="27">
        <v>6.8752430000000002</v>
      </c>
      <c r="K2345" s="27">
        <v>5.0749120000000003</v>
      </c>
      <c r="M2345" s="27">
        <v>805.856088</v>
      </c>
      <c r="O2345" s="27">
        <v>3819.1836589999998</v>
      </c>
      <c r="Q2345" s="27">
        <v>6962.4664160000002</v>
      </c>
      <c r="S2345" s="27">
        <v>1371.9454370000001</v>
      </c>
      <c r="U2345" s="27">
        <v>3.7027230000000002</v>
      </c>
      <c r="W2345" s="27">
        <v>42.551369999999999</v>
      </c>
      <c r="Y2345" s="27">
        <v>8.3846760000000007</v>
      </c>
      <c r="AA2345" s="27">
        <v>648.31380999999999</v>
      </c>
      <c r="AC2345" s="27">
        <v>54.917276999999999</v>
      </c>
      <c r="AE2345" s="27">
        <v>1</v>
      </c>
      <c r="AG2345" s="27">
        <v>7.6957259999999996</v>
      </c>
      <c r="AI2345" s="27">
        <v>8.75</v>
      </c>
      <c r="AK2345" s="27">
        <v>24.520688</v>
      </c>
      <c r="AM2345" s="27">
        <v>35.733576999999997</v>
      </c>
      <c r="AO2345" s="27">
        <v>6.7818740000000002</v>
      </c>
    </row>
    <row r="2346" spans="2:41" x14ac:dyDescent="0.25">
      <c r="B2346" s="21">
        <v>44634</v>
      </c>
      <c r="C2346" s="27">
        <v>20.9695</v>
      </c>
      <c r="E2346" s="27">
        <v>0.91371999999999998</v>
      </c>
      <c r="G2346" s="27">
        <v>108.999075</v>
      </c>
      <c r="I2346" s="27">
        <v>6.8856820000000001</v>
      </c>
      <c r="K2346" s="27">
        <v>5.0870119999999996</v>
      </c>
      <c r="M2346" s="27">
        <v>808.46956599999999</v>
      </c>
      <c r="O2346" s="27">
        <v>3809.010135</v>
      </c>
      <c r="Q2346" s="27">
        <v>6979.8806610000001</v>
      </c>
      <c r="S2346" s="27">
        <v>1372.106123</v>
      </c>
      <c r="U2346" s="27">
        <v>3.71468</v>
      </c>
      <c r="W2346" s="27">
        <v>42.742220000000003</v>
      </c>
      <c r="Y2346" s="27">
        <v>8.4022539999999992</v>
      </c>
      <c r="AA2346" s="27">
        <v>649.47295399999996</v>
      </c>
      <c r="AC2346" s="27">
        <v>54.996265000000001</v>
      </c>
      <c r="AE2346" s="27">
        <v>1</v>
      </c>
      <c r="AG2346" s="27">
        <v>7.718572</v>
      </c>
      <c r="AI2346" s="27">
        <v>8.75</v>
      </c>
      <c r="AK2346" s="27">
        <v>24.65203</v>
      </c>
      <c r="AM2346" s="27">
        <v>36.447237999999999</v>
      </c>
      <c r="AO2346" s="27">
        <v>6.8025080000000004</v>
      </c>
    </row>
    <row r="2347" spans="2:41" x14ac:dyDescent="0.25">
      <c r="B2347" s="21">
        <v>44635</v>
      </c>
      <c r="C2347" s="27">
        <v>20.890799999999999</v>
      </c>
      <c r="E2347" s="27">
        <v>0.91148799999999996</v>
      </c>
      <c r="G2347" s="27">
        <v>109.23817</v>
      </c>
      <c r="I2347" s="27">
        <v>6.8676579999999996</v>
      </c>
      <c r="K2347" s="27">
        <v>5.1351899999999997</v>
      </c>
      <c r="M2347" s="27">
        <v>812.83275800000001</v>
      </c>
      <c r="O2347" s="27">
        <v>3813.255858</v>
      </c>
      <c r="Q2347" s="27">
        <v>6963.9826759999996</v>
      </c>
      <c r="S2347" s="27">
        <v>1356.1374619999999</v>
      </c>
      <c r="U2347" s="27">
        <v>3.7136529999999999</v>
      </c>
      <c r="W2347" s="27">
        <v>42.614258</v>
      </c>
      <c r="Y2347" s="27">
        <v>8.2985059999999997</v>
      </c>
      <c r="AA2347" s="27">
        <v>646.73654599999998</v>
      </c>
      <c r="AC2347" s="27">
        <v>54.907859999999999</v>
      </c>
      <c r="AE2347" s="27">
        <v>1</v>
      </c>
      <c r="AG2347" s="27">
        <v>7.7053390000000004</v>
      </c>
      <c r="AI2347" s="27">
        <v>8.75</v>
      </c>
      <c r="AK2347" s="27">
        <v>24.537655999999998</v>
      </c>
      <c r="AM2347" s="27">
        <v>35.914118000000002</v>
      </c>
      <c r="AO2347" s="27">
        <v>6.7899719999999997</v>
      </c>
    </row>
    <row r="2348" spans="2:41" x14ac:dyDescent="0.25">
      <c r="B2348" s="21">
        <v>44636</v>
      </c>
      <c r="C2348" s="27">
        <v>20.874300000000002</v>
      </c>
      <c r="E2348" s="27">
        <v>0.90964199999999995</v>
      </c>
      <c r="G2348" s="27">
        <v>109.339224</v>
      </c>
      <c r="I2348" s="27">
        <v>6.8787159999999998</v>
      </c>
      <c r="K2348" s="27">
        <v>5.13558</v>
      </c>
      <c r="M2348" s="27">
        <v>805.15423799999996</v>
      </c>
      <c r="O2348" s="27">
        <v>3832.5682109999998</v>
      </c>
      <c r="Q2348" s="27">
        <v>6974.4023399999996</v>
      </c>
      <c r="S2348" s="27">
        <v>1358.06376</v>
      </c>
      <c r="U2348" s="27">
        <v>3.7352400000000001</v>
      </c>
      <c r="W2348" s="27">
        <v>42.724732000000003</v>
      </c>
      <c r="Y2348" s="27">
        <v>8.319388</v>
      </c>
      <c r="AA2348" s="27">
        <v>644.339204</v>
      </c>
      <c r="AC2348" s="27">
        <v>54.936895999999997</v>
      </c>
      <c r="AE2348" s="27">
        <v>1</v>
      </c>
      <c r="AG2348" s="27">
        <v>7.715903</v>
      </c>
      <c r="AI2348" s="27">
        <v>8.75</v>
      </c>
      <c r="AK2348" s="27">
        <v>24.522030000000001</v>
      </c>
      <c r="AM2348" s="27">
        <v>35.774742000000003</v>
      </c>
      <c r="AO2348" s="27">
        <v>6.7969499999999998</v>
      </c>
    </row>
    <row r="2349" spans="2:41" x14ac:dyDescent="0.25">
      <c r="B2349" s="21">
        <v>44637</v>
      </c>
      <c r="C2349" s="27">
        <v>20.703499999999998</v>
      </c>
      <c r="E2349" s="27">
        <v>0.90371800000000002</v>
      </c>
      <c r="G2349" s="27">
        <v>109.461474</v>
      </c>
      <c r="I2349" s="27">
        <v>6.8713740000000003</v>
      </c>
      <c r="K2349" s="27">
        <v>5.0659099999999997</v>
      </c>
      <c r="M2349" s="27">
        <v>798.54674599999998</v>
      </c>
      <c r="O2349" s="27">
        <v>3821.8741599999998</v>
      </c>
      <c r="Q2349" s="27">
        <v>6960.823504</v>
      </c>
      <c r="S2349" s="27">
        <v>1374.0603940000001</v>
      </c>
      <c r="U2349" s="27">
        <v>3.7286619999999999</v>
      </c>
      <c r="W2349" s="27">
        <v>42.635007999999999</v>
      </c>
      <c r="Y2349" s="27">
        <v>8.4160920000000008</v>
      </c>
      <c r="AA2349" s="27">
        <v>642.31852400000002</v>
      </c>
      <c r="AC2349" s="27">
        <v>54.836544000000004</v>
      </c>
      <c r="AE2349" s="27">
        <v>1</v>
      </c>
      <c r="AG2349" s="27">
        <v>7.7013049999999996</v>
      </c>
      <c r="AI2349" s="27">
        <v>8.75</v>
      </c>
      <c r="AK2349" s="27">
        <v>24.460560000000001</v>
      </c>
      <c r="AM2349" s="27">
        <v>35.702675999999997</v>
      </c>
      <c r="AO2349" s="27">
        <v>6.7824600000000004</v>
      </c>
    </row>
    <row r="2350" spans="2:41" x14ac:dyDescent="0.25">
      <c r="B2350" s="21">
        <v>44638</v>
      </c>
      <c r="C2350" s="27">
        <v>20.558499999999999</v>
      </c>
      <c r="E2350" s="27">
        <v>0.90412599999999999</v>
      </c>
      <c r="G2350" s="27">
        <v>109.581638</v>
      </c>
      <c r="I2350" s="27">
        <v>6.8659730000000003</v>
      </c>
      <c r="K2350" s="27">
        <v>5.0336119999999998</v>
      </c>
      <c r="M2350" s="27">
        <v>801.28010500000005</v>
      </c>
      <c r="O2350" s="27">
        <v>3820.0440960000001</v>
      </c>
      <c r="Q2350" s="27">
        <v>6953.6493799999998</v>
      </c>
      <c r="S2350" s="27">
        <v>1381.4519700000001</v>
      </c>
      <c r="U2350" s="27">
        <v>3.7322389999999999</v>
      </c>
      <c r="W2350" s="27">
        <v>42.587836000000003</v>
      </c>
      <c r="Y2350" s="27">
        <v>8.4607240000000008</v>
      </c>
      <c r="AA2350" s="27">
        <v>641.65328199999999</v>
      </c>
      <c r="AC2350" s="27">
        <v>54.843504000000003</v>
      </c>
      <c r="AE2350" s="27">
        <v>1</v>
      </c>
      <c r="AG2350" s="27">
        <v>7.6948080000000001</v>
      </c>
      <c r="AI2350" s="27">
        <v>8.75</v>
      </c>
      <c r="AK2350" s="27">
        <v>24.465214</v>
      </c>
      <c r="AM2350" s="27">
        <v>35.692880000000002</v>
      </c>
      <c r="AO2350" s="27">
        <v>6.7765250000000004</v>
      </c>
    </row>
    <row r="2351" spans="2:41" x14ac:dyDescent="0.25">
      <c r="B2351" s="21">
        <v>44639</v>
      </c>
      <c r="C2351" s="27">
        <v>20.558499999999999</v>
      </c>
      <c r="E2351" s="27">
        <v>0.90486999999999995</v>
      </c>
      <c r="G2351" s="27">
        <v>109.677334</v>
      </c>
      <c r="I2351" s="27">
        <v>6.8720540000000003</v>
      </c>
      <c r="K2351" s="27">
        <v>5.0217999999999998</v>
      </c>
      <c r="M2351" s="27">
        <v>803.51</v>
      </c>
      <c r="O2351" s="27">
        <v>3819.5275000000001</v>
      </c>
      <c r="Q2351" s="27">
        <v>6963.8418240000001</v>
      </c>
      <c r="S2351" s="27">
        <v>1386.7293850000001</v>
      </c>
      <c r="U2351" s="27">
        <v>3.7562250000000001</v>
      </c>
      <c r="W2351" s="27">
        <v>42.633004</v>
      </c>
      <c r="Y2351" s="27">
        <v>8.4896180000000001</v>
      </c>
      <c r="AA2351" s="27">
        <v>641.22036600000001</v>
      </c>
      <c r="AC2351" s="27">
        <v>54.952500000000001</v>
      </c>
      <c r="AE2351" s="27">
        <v>1</v>
      </c>
      <c r="AG2351" s="27">
        <v>7.7015960000000003</v>
      </c>
      <c r="AI2351" s="27">
        <v>8.75</v>
      </c>
      <c r="AK2351" s="27">
        <v>24.404975</v>
      </c>
      <c r="AM2351" s="27">
        <v>35.719749999999998</v>
      </c>
      <c r="AO2351" s="27">
        <v>6.782521</v>
      </c>
    </row>
    <row r="2352" spans="2:41" x14ac:dyDescent="0.25">
      <c r="B2352" s="21">
        <v>44640</v>
      </c>
      <c r="C2352" s="27">
        <v>20.558499999999999</v>
      </c>
      <c r="E2352" s="27">
        <v>0.90487899999999999</v>
      </c>
      <c r="G2352" s="27">
        <v>109.685236</v>
      </c>
      <c r="I2352" s="27">
        <v>6.8720540000000003</v>
      </c>
      <c r="K2352" s="27">
        <v>5.0216320000000003</v>
      </c>
      <c r="M2352" s="27">
        <v>803.51</v>
      </c>
      <c r="O2352" s="27">
        <v>3819.5275000000001</v>
      </c>
      <c r="Q2352" s="27">
        <v>6963.8418240000001</v>
      </c>
      <c r="S2352" s="27">
        <v>1386.776345</v>
      </c>
      <c r="U2352" s="27">
        <v>3.7562250000000001</v>
      </c>
      <c r="W2352" s="27">
        <v>42.633004</v>
      </c>
      <c r="Y2352" s="27">
        <v>8.4899039999999992</v>
      </c>
      <c r="AA2352" s="27">
        <v>641.22036600000001</v>
      </c>
      <c r="AC2352" s="27">
        <v>54.952500000000001</v>
      </c>
      <c r="AE2352" s="27">
        <v>1</v>
      </c>
      <c r="AG2352" s="27">
        <v>7.7015779999999996</v>
      </c>
      <c r="AI2352" s="27">
        <v>8.75</v>
      </c>
      <c r="AK2352" s="27">
        <v>24.404975</v>
      </c>
      <c r="AM2352" s="27">
        <v>35.719749999999998</v>
      </c>
      <c r="AO2352" s="27">
        <v>6.782521</v>
      </c>
    </row>
    <row r="2353" spans="2:41" x14ac:dyDescent="0.25">
      <c r="B2353" s="21">
        <v>44641</v>
      </c>
      <c r="C2353" s="27">
        <v>20.558499999999999</v>
      </c>
      <c r="E2353" s="27">
        <v>0.90599200000000002</v>
      </c>
      <c r="G2353" s="27">
        <v>109.74697399999999</v>
      </c>
      <c r="I2353" s="27">
        <v>6.8727369999999999</v>
      </c>
      <c r="K2353" s="27">
        <v>4.9883639999999998</v>
      </c>
      <c r="M2353" s="27">
        <v>800.00525000000005</v>
      </c>
      <c r="O2353" s="27">
        <v>3817.0023430000001</v>
      </c>
      <c r="Q2353" s="27">
        <v>6958.2143550000001</v>
      </c>
      <c r="S2353" s="27">
        <v>1394.8978340000001</v>
      </c>
      <c r="U2353" s="27">
        <v>3.748704</v>
      </c>
      <c r="W2353" s="27">
        <v>42.573774</v>
      </c>
      <c r="Y2353" s="27">
        <v>8.5346519999999995</v>
      </c>
      <c r="AA2353" s="27">
        <v>641.487482</v>
      </c>
      <c r="AC2353" s="27">
        <v>54.867657999999999</v>
      </c>
      <c r="AE2353" s="27">
        <v>1</v>
      </c>
      <c r="AG2353" s="27">
        <v>7.6980199999999996</v>
      </c>
      <c r="AI2353" s="27">
        <v>8.75</v>
      </c>
      <c r="AK2353" s="27">
        <v>24.462474</v>
      </c>
      <c r="AM2353" s="27">
        <v>35.721502000000001</v>
      </c>
      <c r="AO2353" s="27">
        <v>6.7786359999999997</v>
      </c>
    </row>
    <row r="2354" spans="2:41" x14ac:dyDescent="0.25">
      <c r="B2354" s="21">
        <v>44642</v>
      </c>
      <c r="C2354" s="27">
        <v>20.4145</v>
      </c>
      <c r="E2354" s="27">
        <v>0.908246</v>
      </c>
      <c r="G2354" s="27">
        <v>110.016158</v>
      </c>
      <c r="I2354" s="27">
        <v>6.8798300000000001</v>
      </c>
      <c r="K2354" s="27">
        <v>4.929189</v>
      </c>
      <c r="M2354" s="27">
        <v>793.41890899999999</v>
      </c>
      <c r="O2354" s="27">
        <v>3789.708752</v>
      </c>
      <c r="Q2354" s="27">
        <v>6965.5714200000002</v>
      </c>
      <c r="S2354" s="27">
        <v>1413.136</v>
      </c>
      <c r="U2354" s="27">
        <v>3.7761279999999999</v>
      </c>
      <c r="W2354" s="27">
        <v>42.576452000000003</v>
      </c>
      <c r="Y2354" s="27">
        <v>8.6376519999999992</v>
      </c>
      <c r="AA2354" s="27">
        <v>644.01282400000002</v>
      </c>
      <c r="AC2354" s="27">
        <v>54.943714</v>
      </c>
      <c r="AE2354" s="27">
        <v>1</v>
      </c>
      <c r="AG2354" s="27">
        <v>7.7034390000000004</v>
      </c>
      <c r="AI2354" s="27">
        <v>8.75</v>
      </c>
      <c r="AK2354" s="27">
        <v>24.490848</v>
      </c>
      <c r="AM2354" s="27">
        <v>35.782499999999999</v>
      </c>
      <c r="AO2354" s="27">
        <v>6.7874850000000002</v>
      </c>
    </row>
    <row r="2355" spans="2:41" x14ac:dyDescent="0.25">
      <c r="B2355" s="21">
        <v>44643</v>
      </c>
      <c r="C2355" s="27">
        <v>20.278199999999998</v>
      </c>
      <c r="E2355" s="27">
        <v>0.90829099999999996</v>
      </c>
      <c r="G2355" s="27">
        <v>110.123357</v>
      </c>
      <c r="I2355" s="27">
        <v>6.8701699999999999</v>
      </c>
      <c r="K2355" s="27">
        <v>4.8812550000000003</v>
      </c>
      <c r="M2355" s="27">
        <v>793.12734599999999</v>
      </c>
      <c r="O2355" s="27">
        <v>3764.3224</v>
      </c>
      <c r="Q2355" s="27">
        <v>6959.4303120000004</v>
      </c>
      <c r="S2355" s="27">
        <v>1425.7548099999999</v>
      </c>
      <c r="U2355" s="27">
        <v>3.7741739999999999</v>
      </c>
      <c r="W2355" s="27">
        <v>42.482427999999999</v>
      </c>
      <c r="Y2355" s="27">
        <v>8.7032080000000001</v>
      </c>
      <c r="AA2355" s="27">
        <v>646.06240200000002</v>
      </c>
      <c r="AC2355" s="27">
        <v>54.905982000000002</v>
      </c>
      <c r="AE2355" s="27">
        <v>1</v>
      </c>
      <c r="AG2355" s="27">
        <v>7.6905299999999999</v>
      </c>
      <c r="AI2355" s="27">
        <v>8.75</v>
      </c>
      <c r="AK2355" s="27">
        <v>24.454955000000002</v>
      </c>
      <c r="AM2355" s="27">
        <v>35.704166999999998</v>
      </c>
      <c r="AO2355" s="27">
        <v>6.78193</v>
      </c>
    </row>
    <row r="2356" spans="2:41" x14ac:dyDescent="0.25">
      <c r="B2356" s="21">
        <v>44644</v>
      </c>
      <c r="C2356" s="27">
        <v>20.18</v>
      </c>
      <c r="E2356" s="27">
        <v>0.909806</v>
      </c>
      <c r="G2356" s="27">
        <v>110.186905</v>
      </c>
      <c r="I2356" s="27">
        <v>6.8735160000000004</v>
      </c>
      <c r="K2356" s="27">
        <v>4.8247270000000002</v>
      </c>
      <c r="M2356" s="27">
        <v>790.83431800000005</v>
      </c>
      <c r="O2356" s="27">
        <v>3779.6340070000001</v>
      </c>
      <c r="Q2356" s="27">
        <v>6961.7090889999999</v>
      </c>
      <c r="S2356" s="27">
        <v>1442.932742</v>
      </c>
      <c r="U2356" s="27">
        <v>3.7597580000000002</v>
      </c>
      <c r="W2356" s="27">
        <v>42.294846</v>
      </c>
      <c r="Y2356" s="27">
        <v>8.7663039999999999</v>
      </c>
      <c r="AA2356" s="27">
        <v>648.52411800000004</v>
      </c>
      <c r="AC2356" s="27">
        <v>54.896962000000002</v>
      </c>
      <c r="AE2356" s="27">
        <v>1</v>
      </c>
      <c r="AG2356" s="27">
        <v>7.6891689999999997</v>
      </c>
      <c r="AI2356" s="27">
        <v>8.75</v>
      </c>
      <c r="AK2356" s="27">
        <v>24.458116</v>
      </c>
      <c r="AM2356" s="27">
        <v>35.700232</v>
      </c>
      <c r="AO2356" s="27">
        <v>6.7863540000000002</v>
      </c>
    </row>
    <row r="2357" spans="2:41" x14ac:dyDescent="0.25">
      <c r="B2357" s="21">
        <v>44645</v>
      </c>
      <c r="C2357" s="27">
        <v>20.1313</v>
      </c>
      <c r="E2357" s="27">
        <v>0.90847500000000003</v>
      </c>
      <c r="G2357" s="27">
        <v>110.517026</v>
      </c>
      <c r="I2357" s="27">
        <v>6.8781239999999997</v>
      </c>
      <c r="K2357" s="27">
        <v>4.7943470000000001</v>
      </c>
      <c r="M2357" s="27">
        <v>785.16574400000002</v>
      </c>
      <c r="O2357" s="27">
        <v>3788.8759140000002</v>
      </c>
      <c r="Q2357" s="27">
        <v>6967.7543649999998</v>
      </c>
      <c r="S2357" s="27">
        <v>1453.3368359999999</v>
      </c>
      <c r="U2357" s="27">
        <v>3.737698</v>
      </c>
      <c r="W2357" s="27">
        <v>42.173144000000001</v>
      </c>
      <c r="Y2357" s="27">
        <v>8.7964640000000003</v>
      </c>
      <c r="AA2357" s="27">
        <v>649.89355599999999</v>
      </c>
      <c r="AC2357" s="27">
        <v>55.009518</v>
      </c>
      <c r="AE2357" s="27">
        <v>1</v>
      </c>
      <c r="AG2357" s="27">
        <v>7.6942170000000001</v>
      </c>
      <c r="AI2357" s="27">
        <v>8.75</v>
      </c>
      <c r="AK2357" s="27">
        <v>24.415755999999998</v>
      </c>
      <c r="AM2357" s="27">
        <v>35.727409999999999</v>
      </c>
      <c r="AO2357" s="27">
        <v>6.7989639999999998</v>
      </c>
    </row>
    <row r="2358" spans="2:41" x14ac:dyDescent="0.25">
      <c r="B2358" s="21">
        <v>44646</v>
      </c>
      <c r="C2358" s="27">
        <v>20.1313</v>
      </c>
      <c r="E2358" s="27">
        <v>0.91035699999999997</v>
      </c>
      <c r="G2358" s="27">
        <v>110.38184</v>
      </c>
      <c r="I2358" s="27">
        <v>6.8779469999999998</v>
      </c>
      <c r="K2358" s="27">
        <v>4.74125</v>
      </c>
      <c r="M2358" s="27">
        <v>778.01</v>
      </c>
      <c r="O2358" s="27">
        <v>3792.2024999999999</v>
      </c>
      <c r="Q2358" s="27">
        <v>6964.7731279999998</v>
      </c>
      <c r="S2358" s="27">
        <v>1468.9853499999999</v>
      </c>
      <c r="U2358" s="27">
        <v>3.732475</v>
      </c>
      <c r="W2358" s="27">
        <v>42.082768000000002</v>
      </c>
      <c r="Y2358" s="27">
        <v>8.8759200000000007</v>
      </c>
      <c r="AA2358" s="27">
        <v>649.64766799999995</v>
      </c>
      <c r="AC2358" s="27">
        <v>54.972499999999997</v>
      </c>
      <c r="AE2358" s="27">
        <v>1</v>
      </c>
      <c r="AG2358" s="27">
        <v>7.6940400000000002</v>
      </c>
      <c r="AI2358" s="27">
        <v>8.75</v>
      </c>
      <c r="AK2358" s="27">
        <v>24.389975</v>
      </c>
      <c r="AM2358" s="27">
        <v>35.714750000000002</v>
      </c>
      <c r="AO2358" s="27">
        <v>6.801412</v>
      </c>
    </row>
    <row r="2359" spans="2:41" x14ac:dyDescent="0.25">
      <c r="B2359" s="21">
        <v>44647</v>
      </c>
      <c r="C2359" s="27">
        <v>20.1313</v>
      </c>
      <c r="E2359" s="27">
        <v>0.91037199999999996</v>
      </c>
      <c r="G2359" s="27">
        <v>110.456136</v>
      </c>
      <c r="I2359" s="27">
        <v>6.878374</v>
      </c>
      <c r="K2359" s="27">
        <v>4.7413980000000002</v>
      </c>
      <c r="M2359" s="27">
        <v>778.01126999999997</v>
      </c>
      <c r="O2359" s="27">
        <v>3792.3388679999998</v>
      </c>
      <c r="Q2359" s="27">
        <v>6965.2513799999997</v>
      </c>
      <c r="S2359" s="27">
        <v>1469.04026</v>
      </c>
      <c r="U2359" s="27">
        <v>3.7329819999999998</v>
      </c>
      <c r="W2359" s="27">
        <v>42.088161999999997</v>
      </c>
      <c r="Y2359" s="27">
        <v>8.8767800000000001</v>
      </c>
      <c r="AA2359" s="27">
        <v>649.61469399999999</v>
      </c>
      <c r="AC2359" s="27">
        <v>54.97316</v>
      </c>
      <c r="AE2359" s="27">
        <v>1</v>
      </c>
      <c r="AG2359" s="27">
        <v>7.6945269999999999</v>
      </c>
      <c r="AI2359" s="27">
        <v>8.75</v>
      </c>
      <c r="AK2359" s="27">
        <v>24.394884000000001</v>
      </c>
      <c r="AM2359" s="27">
        <v>35.724431000000003</v>
      </c>
      <c r="AO2359" s="27">
        <v>6.8018530000000004</v>
      </c>
    </row>
    <row r="2360" spans="2:41" x14ac:dyDescent="0.25">
      <c r="B2360" s="21">
        <v>44648</v>
      </c>
      <c r="C2360" s="27">
        <v>19.957699999999999</v>
      </c>
      <c r="E2360" s="27">
        <v>0.91136899999999998</v>
      </c>
      <c r="G2360" s="27">
        <v>110.72192699999999</v>
      </c>
      <c r="I2360" s="27">
        <v>6.8774110000000004</v>
      </c>
      <c r="K2360" s="27">
        <v>4.7599799999999997</v>
      </c>
      <c r="M2360" s="27">
        <v>778.25673800000004</v>
      </c>
      <c r="O2360" s="27">
        <v>3790.1906009999998</v>
      </c>
      <c r="Q2360" s="27">
        <v>6975.3466870000002</v>
      </c>
      <c r="S2360" s="27">
        <v>1465.425438</v>
      </c>
      <c r="U2360" s="27">
        <v>3.7341799999999998</v>
      </c>
      <c r="W2360" s="27">
        <v>41.844507999999998</v>
      </c>
      <c r="Y2360" s="27">
        <v>8.7909360000000003</v>
      </c>
      <c r="AA2360" s="27">
        <v>652.65432199999998</v>
      </c>
      <c r="AC2360" s="27">
        <v>54.998212000000002</v>
      </c>
      <c r="AE2360" s="27">
        <v>1</v>
      </c>
      <c r="AG2360" s="27">
        <v>7.6952259999999999</v>
      </c>
      <c r="AI2360" s="27">
        <v>8.75</v>
      </c>
      <c r="AK2360" s="27">
        <v>24.514275000000001</v>
      </c>
      <c r="AM2360" s="27">
        <v>35.814540999999998</v>
      </c>
      <c r="AO2360" s="27">
        <v>6.8048219999999997</v>
      </c>
    </row>
    <row r="2361" spans="2:41" x14ac:dyDescent="0.25">
      <c r="B2361" s="21">
        <v>44649</v>
      </c>
      <c r="C2361" s="27">
        <v>20.119499999999999</v>
      </c>
      <c r="E2361" s="27">
        <v>0.90500800000000003</v>
      </c>
      <c r="G2361" s="27">
        <v>110.73983699999999</v>
      </c>
      <c r="I2361" s="27">
        <v>6.8745029999999998</v>
      </c>
      <c r="K2361" s="27">
        <v>4.7612819999999996</v>
      </c>
      <c r="M2361" s="27">
        <v>778.65181600000005</v>
      </c>
      <c r="O2361" s="27">
        <v>3775.2675170000002</v>
      </c>
      <c r="Q2361" s="27">
        <v>6972.8998060000004</v>
      </c>
      <c r="S2361" s="27">
        <v>1464.5096040000001</v>
      </c>
      <c r="U2361" s="27">
        <v>3.732316</v>
      </c>
      <c r="W2361" s="27">
        <v>41.639678000000004</v>
      </c>
      <c r="Y2361" s="27">
        <v>8.7455099999999995</v>
      </c>
      <c r="AA2361" s="27">
        <v>655.02021000000002</v>
      </c>
      <c r="AC2361" s="27">
        <v>54.999454</v>
      </c>
      <c r="AE2361" s="27">
        <v>1</v>
      </c>
      <c r="AG2361" s="27">
        <v>7.6907800000000002</v>
      </c>
      <c r="AI2361" s="27">
        <v>8.75</v>
      </c>
      <c r="AK2361" s="27">
        <v>24.517644000000001</v>
      </c>
      <c r="AM2361" s="27">
        <v>35.759554000000001</v>
      </c>
      <c r="AO2361" s="27">
        <v>6.8008459999999999</v>
      </c>
    </row>
    <row r="2362" spans="2:41" x14ac:dyDescent="0.25">
      <c r="B2362" s="21">
        <v>44650</v>
      </c>
      <c r="C2362" s="27">
        <v>19.994199999999999</v>
      </c>
      <c r="E2362" s="27">
        <v>0.89793699999999999</v>
      </c>
      <c r="G2362" s="27">
        <v>110.85129999999999</v>
      </c>
      <c r="I2362" s="27">
        <v>6.8654260000000003</v>
      </c>
      <c r="K2362" s="27">
        <v>4.7629460000000003</v>
      </c>
      <c r="M2362" s="27">
        <v>784.38133600000003</v>
      </c>
      <c r="O2362" s="27">
        <v>3757.022082</v>
      </c>
      <c r="Q2362" s="27">
        <v>6957.0189119999995</v>
      </c>
      <c r="S2362" s="27">
        <v>1460.6637900000001</v>
      </c>
      <c r="U2362" s="27">
        <v>3.7206809999999999</v>
      </c>
      <c r="W2362" s="27">
        <v>41.316614000000001</v>
      </c>
      <c r="Y2362" s="27">
        <v>8.6746259999999999</v>
      </c>
      <c r="AA2362" s="27">
        <v>654.14993600000003</v>
      </c>
      <c r="AC2362" s="27">
        <v>54.838541999999997</v>
      </c>
      <c r="AE2362" s="27">
        <v>1</v>
      </c>
      <c r="AG2362" s="27">
        <v>7.6790570000000002</v>
      </c>
      <c r="AI2362" s="27">
        <v>8.75</v>
      </c>
      <c r="AK2362" s="27">
        <v>24.453509</v>
      </c>
      <c r="AM2362" s="27">
        <v>35.690510000000003</v>
      </c>
      <c r="AO2362" s="27">
        <v>6.7893759999999999</v>
      </c>
    </row>
    <row r="2363" spans="2:41" x14ac:dyDescent="0.25">
      <c r="B2363" s="21">
        <v>44651</v>
      </c>
      <c r="C2363" s="27">
        <v>19.863199999999999</v>
      </c>
      <c r="E2363" s="27">
        <v>0.899698</v>
      </c>
      <c r="G2363" s="27">
        <v>110.93463</v>
      </c>
      <c r="I2363" s="27">
        <v>6.8630839999999997</v>
      </c>
      <c r="K2363" s="27">
        <v>4.7585769999999998</v>
      </c>
      <c r="M2363" s="27">
        <v>788.10731699999997</v>
      </c>
      <c r="O2363" s="27">
        <v>3755.793447</v>
      </c>
      <c r="Q2363" s="27">
        <v>6948.0465139999997</v>
      </c>
      <c r="S2363" s="27">
        <v>1460.1193270000001</v>
      </c>
      <c r="U2363" s="27">
        <v>3.715468</v>
      </c>
      <c r="W2363" s="27">
        <v>41.205350000000003</v>
      </c>
      <c r="Y2363" s="27">
        <v>8.6592070000000003</v>
      </c>
      <c r="AA2363" s="27">
        <v>654.08029999999997</v>
      </c>
      <c r="AC2363" s="27">
        <v>54.884866000000002</v>
      </c>
      <c r="AE2363" s="27">
        <v>1</v>
      </c>
      <c r="AG2363" s="27">
        <v>7.6727309999999997</v>
      </c>
      <c r="AI2363" s="27">
        <v>8.75</v>
      </c>
      <c r="AK2363" s="27">
        <v>24.451236000000002</v>
      </c>
      <c r="AM2363" s="27">
        <v>35.693429999999999</v>
      </c>
      <c r="AO2363" s="27">
        <v>6.7844660000000001</v>
      </c>
    </row>
    <row r="2364" spans="2:41" ht="13" x14ac:dyDescent="0.3">
      <c r="B2364" s="25" t="s">
        <v>203</v>
      </c>
      <c r="C2364" s="19">
        <v>20.582100000000001</v>
      </c>
      <c r="E2364" s="19">
        <v>0.90859999999999996</v>
      </c>
      <c r="G2364" s="19">
        <v>109.31529999999999</v>
      </c>
      <c r="I2364" s="19">
        <v>6.8779000000000003</v>
      </c>
      <c r="K2364" s="19">
        <v>4.9805000000000001</v>
      </c>
      <c r="M2364" s="19">
        <v>798.54930000000002</v>
      </c>
      <c r="O2364" s="19">
        <v>3805.8056999999999</v>
      </c>
      <c r="Q2364" s="19">
        <v>6970.3536000000004</v>
      </c>
      <c r="S2364" s="19">
        <v>1400.5872999999999</v>
      </c>
      <c r="U2364" s="19">
        <v>3.7399</v>
      </c>
      <c r="W2364" s="19">
        <v>42.439300000000003</v>
      </c>
      <c r="Y2364" s="19">
        <v>8.5258000000000003</v>
      </c>
      <c r="AA2364" s="19">
        <v>646.46659999999997</v>
      </c>
      <c r="AC2364" s="19">
        <v>54.911999999999999</v>
      </c>
      <c r="AE2364" s="19">
        <v>1</v>
      </c>
      <c r="AG2364" s="19">
        <v>7.7041000000000004</v>
      </c>
      <c r="AI2364" s="19">
        <v>8.75</v>
      </c>
      <c r="AK2364" s="19">
        <v>24.530799999999999</v>
      </c>
      <c r="AM2364" s="19">
        <v>35.784599999999998</v>
      </c>
      <c r="AO2364" s="19">
        <v>6.7887000000000004</v>
      </c>
    </row>
    <row r="2365" spans="2:41" x14ac:dyDescent="0.25">
      <c r="B2365" s="21">
        <v>44652</v>
      </c>
      <c r="C2365" s="27">
        <v>19.911200000000001</v>
      </c>
      <c r="E2365" s="27">
        <v>0.90468800000000005</v>
      </c>
      <c r="G2365" s="27">
        <v>111.06258800000001</v>
      </c>
      <c r="I2365" s="27">
        <v>6.8849960000000001</v>
      </c>
      <c r="K2365" s="27">
        <v>4.7113060000000004</v>
      </c>
      <c r="M2365" s="27">
        <v>784.87575400000003</v>
      </c>
      <c r="O2365" s="27">
        <v>3764.761634</v>
      </c>
      <c r="Q2365" s="27">
        <v>6949.2688600000001</v>
      </c>
      <c r="S2365" s="27">
        <v>1475.0296619999999</v>
      </c>
      <c r="U2365" s="27">
        <v>3.7239949999999999</v>
      </c>
      <c r="W2365" s="27">
        <v>41.200802000000003</v>
      </c>
      <c r="Y2365" s="27">
        <v>8.7451299999999996</v>
      </c>
      <c r="AA2365" s="27">
        <v>655.89496199999996</v>
      </c>
      <c r="AC2365" s="27">
        <v>55.085352</v>
      </c>
      <c r="AE2365" s="27">
        <v>1</v>
      </c>
      <c r="AG2365" s="27">
        <v>7.6925679999999996</v>
      </c>
      <c r="AI2365" s="27">
        <v>8.75</v>
      </c>
      <c r="AK2365" s="27">
        <v>24.524217</v>
      </c>
      <c r="AM2365" s="27">
        <v>35.799778000000003</v>
      </c>
      <c r="AO2365" s="27">
        <v>6.8007400000000002</v>
      </c>
    </row>
    <row r="2366" spans="2:41" x14ac:dyDescent="0.25">
      <c r="B2366" s="21">
        <v>44653</v>
      </c>
      <c r="C2366" s="27">
        <v>19.911200000000001</v>
      </c>
      <c r="E2366" s="27">
        <v>0.905026</v>
      </c>
      <c r="G2366" s="27">
        <v>111.147127</v>
      </c>
      <c r="I2366" s="27">
        <v>6.8851620000000002</v>
      </c>
      <c r="K2366" s="27">
        <v>4.6590499999999997</v>
      </c>
      <c r="M2366" s="27">
        <v>783</v>
      </c>
      <c r="O2366" s="27">
        <v>3753.8325</v>
      </c>
      <c r="Q2366" s="27">
        <v>6937.5765369999999</v>
      </c>
      <c r="S2366" s="27">
        <v>1489.0661580000001</v>
      </c>
      <c r="U2366" s="27">
        <v>3.7229749999999999</v>
      </c>
      <c r="W2366" s="27">
        <v>41.118377000000002</v>
      </c>
      <c r="Y2366" s="27">
        <v>8.8255400000000002</v>
      </c>
      <c r="AA2366" s="27">
        <v>655.60483599999998</v>
      </c>
      <c r="AC2366" s="27">
        <v>55.027500000000003</v>
      </c>
      <c r="AE2366" s="27">
        <v>1</v>
      </c>
      <c r="AG2366" s="27">
        <v>7.6885219999999999</v>
      </c>
      <c r="AI2366" s="27">
        <v>8.75</v>
      </c>
      <c r="AK2366" s="27">
        <v>24.419975000000001</v>
      </c>
      <c r="AM2366" s="27">
        <v>35.70975</v>
      </c>
      <c r="AO2366" s="27">
        <v>6.7966040000000003</v>
      </c>
    </row>
    <row r="2367" spans="2:41" x14ac:dyDescent="0.25">
      <c r="B2367" s="21">
        <v>44654</v>
      </c>
      <c r="C2367" s="27">
        <v>19.911200000000001</v>
      </c>
      <c r="E2367" s="27">
        <v>0.90510100000000004</v>
      </c>
      <c r="G2367" s="27">
        <v>111.161154</v>
      </c>
      <c r="I2367" s="27">
        <v>6.8853720000000003</v>
      </c>
      <c r="K2367" s="27">
        <v>4.6591829999999996</v>
      </c>
      <c r="M2367" s="27">
        <v>783.00713199999996</v>
      </c>
      <c r="O2367" s="27">
        <v>3754.2243920000001</v>
      </c>
      <c r="Q2367" s="27">
        <v>6937.7990719999998</v>
      </c>
      <c r="S2367" s="27">
        <v>1489.071858</v>
      </c>
      <c r="U2367" s="27">
        <v>3.7190840000000001</v>
      </c>
      <c r="W2367" s="27">
        <v>41.124304000000002</v>
      </c>
      <c r="Y2367" s="27">
        <v>8.8265609999999999</v>
      </c>
      <c r="AA2367" s="27">
        <v>655.63240299999995</v>
      </c>
      <c r="AC2367" s="27">
        <v>55.033341999999998</v>
      </c>
      <c r="AE2367" s="27">
        <v>1</v>
      </c>
      <c r="AG2367" s="27">
        <v>7.6887559999999997</v>
      </c>
      <c r="AI2367" s="27">
        <v>8.75</v>
      </c>
      <c r="AK2367" s="27">
        <v>24.429493999999998</v>
      </c>
      <c r="AM2367" s="27">
        <v>35.720129</v>
      </c>
      <c r="AO2367" s="27">
        <v>6.7968060000000001</v>
      </c>
    </row>
    <row r="2368" spans="2:41" x14ac:dyDescent="0.25">
      <c r="B2368" s="21">
        <v>44655</v>
      </c>
      <c r="C2368" s="27">
        <v>19.8432</v>
      </c>
      <c r="E2368" s="27">
        <v>0.90841400000000005</v>
      </c>
      <c r="G2368" s="27">
        <v>111.33825400000001</v>
      </c>
      <c r="I2368" s="27">
        <v>6.8817279999999998</v>
      </c>
      <c r="K2368" s="27">
        <v>4.6354600000000001</v>
      </c>
      <c r="M2368" s="27">
        <v>781.22023999999999</v>
      </c>
      <c r="O2368" s="27">
        <v>3730.8522189999999</v>
      </c>
      <c r="Q2368" s="27">
        <v>6934.3202590000001</v>
      </c>
      <c r="S2368" s="27">
        <v>1495.938586</v>
      </c>
      <c r="U2368" s="27">
        <v>3.6483620000000001</v>
      </c>
      <c r="W2368" s="27">
        <v>41.115938999999997</v>
      </c>
      <c r="Y2368" s="27">
        <v>8.8699060000000003</v>
      </c>
      <c r="AA2368" s="27">
        <v>658.09874300000001</v>
      </c>
      <c r="AC2368" s="27">
        <v>55.059167000000002</v>
      </c>
      <c r="AE2368" s="27">
        <v>1</v>
      </c>
      <c r="AG2368" s="27">
        <v>7.6876610000000003</v>
      </c>
      <c r="AI2368" s="27">
        <v>8.75</v>
      </c>
      <c r="AK2368" s="27">
        <v>24.548128999999999</v>
      </c>
      <c r="AM2368" s="27">
        <v>35.813360000000003</v>
      </c>
      <c r="AO2368" s="27">
        <v>6.7947559999999996</v>
      </c>
    </row>
    <row r="2369" spans="2:41" x14ac:dyDescent="0.25">
      <c r="B2369" s="21">
        <v>44656</v>
      </c>
      <c r="C2369" s="27">
        <v>19.744299999999999</v>
      </c>
      <c r="E2369" s="27">
        <v>0.91345299999999996</v>
      </c>
      <c r="G2369" s="27">
        <v>111.63266900000001</v>
      </c>
      <c r="I2369" s="27">
        <v>6.8802669999999999</v>
      </c>
      <c r="K2369" s="27">
        <v>4.6223919999999996</v>
      </c>
      <c r="M2369" s="27">
        <v>782.15521100000001</v>
      </c>
      <c r="O2369" s="27">
        <v>3715.3573769999998</v>
      </c>
      <c r="Q2369" s="27">
        <v>6930.0145259999999</v>
      </c>
      <c r="S2369" s="27">
        <v>1499.23702</v>
      </c>
      <c r="U2369" s="27">
        <v>3.6536170000000001</v>
      </c>
      <c r="W2369" s="27">
        <v>41.233572000000002</v>
      </c>
      <c r="Y2369" s="27">
        <v>8.9204329999999992</v>
      </c>
      <c r="AA2369" s="27">
        <v>660.34804599999995</v>
      </c>
      <c r="AC2369" s="27">
        <v>55.079872000000002</v>
      </c>
      <c r="AE2369" s="27">
        <v>1</v>
      </c>
      <c r="AG2369" s="27">
        <v>7.6895749999999996</v>
      </c>
      <c r="AI2369" s="27">
        <v>8.75</v>
      </c>
      <c r="AK2369" s="27">
        <v>24.531486000000001</v>
      </c>
      <c r="AM2369" s="27">
        <v>35.793241000000002</v>
      </c>
      <c r="AO2369" s="27">
        <v>6.7880580000000004</v>
      </c>
    </row>
    <row r="2370" spans="2:41" x14ac:dyDescent="0.25">
      <c r="B2370" s="21">
        <v>44657</v>
      </c>
      <c r="C2370" s="27">
        <v>19.901199999999999</v>
      </c>
      <c r="E2370" s="27">
        <v>0.91718599999999995</v>
      </c>
      <c r="G2370" s="27">
        <v>111.76252599999999</v>
      </c>
      <c r="I2370" s="27">
        <v>6.8965800000000002</v>
      </c>
      <c r="K2370" s="27">
        <v>4.6781319999999997</v>
      </c>
      <c r="M2370" s="27">
        <v>792.33581000000004</v>
      </c>
      <c r="O2370" s="27">
        <v>3739.3071580000001</v>
      </c>
      <c r="Q2370" s="27">
        <v>6931.5247660000005</v>
      </c>
      <c r="S2370" s="27">
        <v>1481.6963949999999</v>
      </c>
      <c r="U2370" s="27">
        <v>3.6901739999999998</v>
      </c>
      <c r="W2370" s="27">
        <v>41.416276000000003</v>
      </c>
      <c r="Y2370" s="27">
        <v>8.8532010000000003</v>
      </c>
      <c r="AA2370" s="27">
        <v>660.88987399999996</v>
      </c>
      <c r="AC2370" s="27">
        <v>55.175718000000003</v>
      </c>
      <c r="AE2370" s="27">
        <v>1</v>
      </c>
      <c r="AG2370" s="27">
        <v>7.6959200000000001</v>
      </c>
      <c r="AI2370" s="27">
        <v>8.75</v>
      </c>
      <c r="AK2370" s="27">
        <v>24.529014</v>
      </c>
      <c r="AM2370" s="27">
        <v>35.813436000000003</v>
      </c>
      <c r="AO2370" s="27">
        <v>6.7957340000000004</v>
      </c>
    </row>
    <row r="2371" spans="2:41" x14ac:dyDescent="0.25">
      <c r="B2371" s="21">
        <v>44658</v>
      </c>
      <c r="C2371" s="27">
        <v>20.066500000000001</v>
      </c>
      <c r="E2371" s="27">
        <v>0.91769400000000001</v>
      </c>
      <c r="G2371" s="27">
        <v>111.897445</v>
      </c>
      <c r="I2371" s="27">
        <v>6.8818580000000003</v>
      </c>
      <c r="K2371" s="27">
        <v>4.7319959999999996</v>
      </c>
      <c r="M2371" s="27">
        <v>802.95005800000001</v>
      </c>
      <c r="O2371" s="27">
        <v>3753.074611</v>
      </c>
      <c r="Q2371" s="27">
        <v>6904.4041180000004</v>
      </c>
      <c r="S2371" s="27">
        <v>1459.0986519999999</v>
      </c>
      <c r="U2371" s="27">
        <v>3.7098179999999998</v>
      </c>
      <c r="W2371" s="27">
        <v>41.511425000000003</v>
      </c>
      <c r="Y2371" s="27">
        <v>8.7725340000000003</v>
      </c>
      <c r="AA2371" s="27">
        <v>658.713618</v>
      </c>
      <c r="AC2371" s="27">
        <v>55.008018</v>
      </c>
      <c r="AE2371" s="27">
        <v>1</v>
      </c>
      <c r="AG2371" s="27">
        <v>7.6833929999999997</v>
      </c>
      <c r="AI2371" s="27">
        <v>8.75</v>
      </c>
      <c r="AK2371" s="27">
        <v>24.519079999999999</v>
      </c>
      <c r="AM2371" s="27">
        <v>35.784472000000001</v>
      </c>
      <c r="AO2371" s="27">
        <v>6.7890100000000002</v>
      </c>
    </row>
    <row r="2372" spans="2:41" x14ac:dyDescent="0.25">
      <c r="B2372" s="21">
        <v>44659</v>
      </c>
      <c r="C2372" s="27">
        <v>20.160499999999999</v>
      </c>
      <c r="E2372" s="27">
        <v>0.92018100000000003</v>
      </c>
      <c r="G2372" s="27">
        <v>112.051914</v>
      </c>
      <c r="I2372" s="27">
        <v>6.8858329999999999</v>
      </c>
      <c r="K2372" s="27">
        <v>4.7399500000000003</v>
      </c>
      <c r="M2372" s="27">
        <v>810.08715400000006</v>
      </c>
      <c r="O2372" s="27">
        <v>3764.6587479999998</v>
      </c>
      <c r="Q2372" s="27">
        <v>6900.4861739999997</v>
      </c>
      <c r="S2372" s="27">
        <v>1455.8240539999999</v>
      </c>
      <c r="U2372" s="27">
        <v>3.7091379999999998</v>
      </c>
      <c r="W2372" s="27">
        <v>41.740662</v>
      </c>
      <c r="Y2372" s="27">
        <v>8.8061779999999992</v>
      </c>
      <c r="AA2372" s="27">
        <v>657.62311199999999</v>
      </c>
      <c r="AC2372" s="27">
        <v>55.088110999999998</v>
      </c>
      <c r="AE2372" s="27">
        <v>1</v>
      </c>
      <c r="AG2372" s="27">
        <v>7.6918119999999996</v>
      </c>
      <c r="AI2372" s="27">
        <v>8.75</v>
      </c>
      <c r="AK2372" s="27">
        <v>24.55584</v>
      </c>
      <c r="AM2372" s="27">
        <v>35.821840000000002</v>
      </c>
      <c r="AO2372" s="27">
        <v>6.7945840000000004</v>
      </c>
    </row>
    <row r="2373" spans="2:41" x14ac:dyDescent="0.25">
      <c r="B2373" s="21">
        <v>44660</v>
      </c>
      <c r="C2373" s="27">
        <v>20.160499999999999</v>
      </c>
      <c r="E2373" s="27">
        <v>0.91943399999999997</v>
      </c>
      <c r="G2373" s="27">
        <v>112.15638199999999</v>
      </c>
      <c r="I2373" s="27">
        <v>6.8802240000000001</v>
      </c>
      <c r="K2373" s="27">
        <v>4.6997999999999998</v>
      </c>
      <c r="M2373" s="27">
        <v>815.14750000000004</v>
      </c>
      <c r="O2373" s="27">
        <v>3763.8074999999999</v>
      </c>
      <c r="Q2373" s="27">
        <v>6890.91291</v>
      </c>
      <c r="S2373" s="27">
        <v>1466.222305</v>
      </c>
      <c r="U2373" s="27">
        <v>3.713225</v>
      </c>
      <c r="W2373" s="27">
        <v>41.788766000000003</v>
      </c>
      <c r="Y2373" s="27">
        <v>8.8916419999999992</v>
      </c>
      <c r="AA2373" s="27">
        <v>657.07474000000002</v>
      </c>
      <c r="AC2373" s="27">
        <v>55.022500000000001</v>
      </c>
      <c r="AE2373" s="27">
        <v>1</v>
      </c>
      <c r="AG2373" s="27">
        <v>7.6855979999999997</v>
      </c>
      <c r="AI2373" s="27">
        <v>8.75</v>
      </c>
      <c r="AK2373" s="27">
        <v>24.505375000000001</v>
      </c>
      <c r="AM2373" s="27">
        <v>35.757249999999999</v>
      </c>
      <c r="AO2373" s="27">
        <v>6.7875079999999999</v>
      </c>
    </row>
    <row r="2374" spans="2:41" x14ac:dyDescent="0.25">
      <c r="B2374" s="21">
        <v>44661</v>
      </c>
      <c r="C2374" s="27">
        <v>20.160499999999999</v>
      </c>
      <c r="E2374" s="27">
        <v>0.91921200000000003</v>
      </c>
      <c r="G2374" s="27">
        <v>112.12992800000001</v>
      </c>
      <c r="I2374" s="27">
        <v>6.8802240000000001</v>
      </c>
      <c r="K2374" s="27">
        <v>4.6997450000000001</v>
      </c>
      <c r="M2374" s="27">
        <v>815.14658299999996</v>
      </c>
      <c r="O2374" s="27">
        <v>3763.7065659999998</v>
      </c>
      <c r="Q2374" s="27">
        <v>6891.0706419999997</v>
      </c>
      <c r="S2374" s="27">
        <v>1466.274142</v>
      </c>
      <c r="U2374" s="27">
        <v>3.713225</v>
      </c>
      <c r="W2374" s="27">
        <v>41.788766000000003</v>
      </c>
      <c r="Y2374" s="27">
        <v>8.8917509999999993</v>
      </c>
      <c r="AA2374" s="27">
        <v>657.07474000000002</v>
      </c>
      <c r="AC2374" s="27">
        <v>55.022500000000001</v>
      </c>
      <c r="AE2374" s="27">
        <v>1</v>
      </c>
      <c r="AG2374" s="27">
        <v>7.6856400000000002</v>
      </c>
      <c r="AI2374" s="27">
        <v>8.75</v>
      </c>
      <c r="AK2374" s="27">
        <v>24.505375000000001</v>
      </c>
      <c r="AM2374" s="27">
        <v>35.757249999999999</v>
      </c>
      <c r="AO2374" s="27">
        <v>6.7875079999999999</v>
      </c>
    </row>
    <row r="2375" spans="2:41" x14ac:dyDescent="0.25">
      <c r="B2375" s="21">
        <v>44662</v>
      </c>
      <c r="C2375" s="27">
        <v>20.12</v>
      </c>
      <c r="E2375" s="27">
        <v>0.91822999999999999</v>
      </c>
      <c r="G2375" s="27">
        <v>112.306376</v>
      </c>
      <c r="I2375" s="27">
        <v>6.8796359999999996</v>
      </c>
      <c r="K2375" s="27">
        <v>4.69963</v>
      </c>
      <c r="M2375" s="27">
        <v>816.32829100000004</v>
      </c>
      <c r="O2375" s="27">
        <v>3751.7651620000001</v>
      </c>
      <c r="Q2375" s="27">
        <v>6881.3603450000001</v>
      </c>
      <c r="S2375" s="27">
        <v>1464.244848</v>
      </c>
      <c r="U2375" s="27">
        <v>3.70878</v>
      </c>
      <c r="W2375" s="27">
        <v>41.961801000000001</v>
      </c>
      <c r="Y2375" s="27">
        <v>8.9287860000000006</v>
      </c>
      <c r="AA2375" s="27">
        <v>656.75041599999997</v>
      </c>
      <c r="AC2375" s="27">
        <v>55.029712000000004</v>
      </c>
      <c r="AE2375" s="27">
        <v>1</v>
      </c>
      <c r="AG2375" s="27">
        <v>7.6830660000000002</v>
      </c>
      <c r="AI2375" s="27">
        <v>8.75</v>
      </c>
      <c r="AK2375" s="27">
        <v>24.508222</v>
      </c>
      <c r="AM2375" s="27">
        <v>35.769004000000002</v>
      </c>
      <c r="AO2375" s="27">
        <v>6.7900780000000003</v>
      </c>
    </row>
    <row r="2376" spans="2:41" x14ac:dyDescent="0.25">
      <c r="B2376" s="21">
        <v>44663</v>
      </c>
      <c r="C2376" s="27">
        <v>20.0093</v>
      </c>
      <c r="E2376" s="27">
        <v>0.92099399999999998</v>
      </c>
      <c r="G2376" s="27">
        <v>112.62714</v>
      </c>
      <c r="I2376" s="27">
        <v>6.8898130000000002</v>
      </c>
      <c r="K2376" s="27">
        <v>4.6827319999999997</v>
      </c>
      <c r="M2376" s="27">
        <v>812.05818199999999</v>
      </c>
      <c r="O2376" s="27">
        <v>3743.8629099999998</v>
      </c>
      <c r="Q2376" s="27">
        <v>6875.536795</v>
      </c>
      <c r="S2376" s="27">
        <v>1468.2841989999999</v>
      </c>
      <c r="U2376" s="27">
        <v>3.7162709999999999</v>
      </c>
      <c r="W2376" s="27">
        <v>41.747084000000001</v>
      </c>
      <c r="Y2376" s="27">
        <v>8.9151500000000006</v>
      </c>
      <c r="AA2376" s="27">
        <v>656.94957599999998</v>
      </c>
      <c r="AC2376" s="27">
        <v>55.084538000000002</v>
      </c>
      <c r="AE2376" s="27">
        <v>1</v>
      </c>
      <c r="AG2376" s="27">
        <v>7.6878479999999998</v>
      </c>
      <c r="AI2376" s="27">
        <v>8.75</v>
      </c>
      <c r="AK2376" s="27">
        <v>24.509126999999999</v>
      </c>
      <c r="AM2376" s="27">
        <v>35.829255000000003</v>
      </c>
      <c r="AO2376" s="27">
        <v>6.800999</v>
      </c>
    </row>
    <row r="2377" spans="2:41" x14ac:dyDescent="0.25">
      <c r="B2377" s="21">
        <v>44664</v>
      </c>
      <c r="C2377" s="27">
        <v>19.840699999999998</v>
      </c>
      <c r="E2377" s="27">
        <v>0.92164199999999996</v>
      </c>
      <c r="G2377" s="27">
        <v>112.81666199999999</v>
      </c>
      <c r="I2377" s="27">
        <v>6.8903100000000004</v>
      </c>
      <c r="K2377" s="27">
        <v>4.6798359999999999</v>
      </c>
      <c r="M2377" s="27">
        <v>805.67925200000002</v>
      </c>
      <c r="O2377" s="27">
        <v>3741.8292719999999</v>
      </c>
      <c r="Q2377" s="27">
        <v>6874.5485939999999</v>
      </c>
      <c r="S2377" s="27">
        <v>1468.9817989999999</v>
      </c>
      <c r="U2377" s="27">
        <v>3.7291880000000002</v>
      </c>
      <c r="W2377" s="27">
        <v>41.591884</v>
      </c>
      <c r="Y2377" s="27">
        <v>8.8875039999999998</v>
      </c>
      <c r="AA2377" s="27">
        <v>656.18004299999996</v>
      </c>
      <c r="AC2377" s="27">
        <v>55.107464</v>
      </c>
      <c r="AE2377" s="27">
        <v>1</v>
      </c>
      <c r="AG2377" s="27">
        <v>7.6850959999999997</v>
      </c>
      <c r="AI2377" s="27">
        <v>8.75</v>
      </c>
      <c r="AK2377" s="27">
        <v>24.544889999999999</v>
      </c>
      <c r="AM2377" s="27">
        <v>35.845790000000001</v>
      </c>
      <c r="AO2377" s="27">
        <v>6.8029659999999996</v>
      </c>
    </row>
    <row r="2378" spans="2:41" x14ac:dyDescent="0.25">
      <c r="B2378" s="21">
        <v>44665</v>
      </c>
      <c r="C2378" s="27">
        <v>19.840699999999998</v>
      </c>
      <c r="E2378" s="27">
        <v>0.92046799999999995</v>
      </c>
      <c r="G2378" s="27">
        <v>112.93521800000001</v>
      </c>
      <c r="I2378" s="27">
        <v>6.87338</v>
      </c>
      <c r="K2378" s="27">
        <v>4.6993859999999996</v>
      </c>
      <c r="M2378" s="27">
        <v>810.29719799999998</v>
      </c>
      <c r="O2378" s="27">
        <v>3729.4653280000002</v>
      </c>
      <c r="Q2378" s="27">
        <v>6871.6733539999996</v>
      </c>
      <c r="S2378" s="27">
        <v>1462.258429</v>
      </c>
      <c r="U2378" s="27">
        <v>3.7229040000000002</v>
      </c>
      <c r="W2378" s="27">
        <v>41.282961999999998</v>
      </c>
      <c r="Y2378" s="27">
        <v>8.7847880000000007</v>
      </c>
      <c r="AA2378" s="27">
        <v>653.74030200000004</v>
      </c>
      <c r="AC2378" s="27">
        <v>54.861773999999997</v>
      </c>
      <c r="AE2378" s="27">
        <v>1</v>
      </c>
      <c r="AG2378" s="27">
        <v>7.66059</v>
      </c>
      <c r="AI2378" s="27">
        <v>8.75</v>
      </c>
      <c r="AK2378" s="27">
        <v>24.461326</v>
      </c>
      <c r="AM2378" s="27">
        <v>35.691313999999998</v>
      </c>
      <c r="AO2378" s="27">
        <v>6.7854159999999997</v>
      </c>
    </row>
    <row r="2379" spans="2:41" x14ac:dyDescent="0.25">
      <c r="B2379" s="21">
        <v>44666</v>
      </c>
      <c r="C2379" s="27">
        <v>19.840699999999998</v>
      </c>
      <c r="E2379" s="27">
        <v>0.92502600000000001</v>
      </c>
      <c r="G2379" s="27">
        <v>113.915408</v>
      </c>
      <c r="I2379" s="27">
        <v>6.9151749999999996</v>
      </c>
      <c r="K2379" s="27">
        <v>4.7023029999999997</v>
      </c>
      <c r="M2379" s="27">
        <v>815.05956400000002</v>
      </c>
      <c r="O2379" s="27">
        <v>3738.655006</v>
      </c>
      <c r="Q2379" s="27">
        <v>6917.0695139999998</v>
      </c>
      <c r="S2379" s="27">
        <v>1471.00614</v>
      </c>
      <c r="U2379" s="27">
        <v>3.7421060000000002</v>
      </c>
      <c r="W2379" s="27">
        <v>41.667369999999998</v>
      </c>
      <c r="Y2379" s="27">
        <v>8.8610900000000008</v>
      </c>
      <c r="AA2379" s="27">
        <v>657.58771400000001</v>
      </c>
      <c r="AC2379" s="27">
        <v>55.152085</v>
      </c>
      <c r="AE2379" s="27">
        <v>1</v>
      </c>
      <c r="AG2379" s="27">
        <v>7.6971160000000003</v>
      </c>
      <c r="AI2379" s="27">
        <v>8.75</v>
      </c>
      <c r="AK2379" s="27">
        <v>24.577209</v>
      </c>
      <c r="AM2379" s="27">
        <v>35.844042000000002</v>
      </c>
      <c r="AO2379" s="27">
        <v>6.8225239999999996</v>
      </c>
    </row>
    <row r="2380" spans="2:41" x14ac:dyDescent="0.25">
      <c r="B2380" s="21">
        <v>44667</v>
      </c>
      <c r="C2380" s="27">
        <v>19.840699999999998</v>
      </c>
      <c r="E2380" s="27">
        <v>0.92464999999999997</v>
      </c>
      <c r="G2380" s="27">
        <v>113.914423</v>
      </c>
      <c r="I2380" s="27">
        <v>6.913837</v>
      </c>
      <c r="K2380" s="27">
        <v>4.7022000000000004</v>
      </c>
      <c r="M2380" s="27">
        <v>814.86249999999995</v>
      </c>
      <c r="O2380" s="27">
        <v>3733.6675</v>
      </c>
      <c r="Q2380" s="27">
        <v>6918.1752040000001</v>
      </c>
      <c r="S2380" s="27">
        <v>1471.2717339999999</v>
      </c>
      <c r="U2380" s="27">
        <v>3.7312249999999998</v>
      </c>
      <c r="W2380" s="27">
        <v>41.683574</v>
      </c>
      <c r="Y2380" s="27">
        <v>8.8647240000000007</v>
      </c>
      <c r="AA2380" s="27">
        <v>657.69927199999995</v>
      </c>
      <c r="AC2380" s="27">
        <v>55.022500000000001</v>
      </c>
      <c r="AE2380" s="27">
        <v>1</v>
      </c>
      <c r="AG2380" s="27">
        <v>7.6976599999999999</v>
      </c>
      <c r="AI2380" s="27">
        <v>8.75</v>
      </c>
      <c r="AK2380" s="27">
        <v>24.499974999999999</v>
      </c>
      <c r="AM2380" s="27">
        <v>35.72475</v>
      </c>
      <c r="AO2380" s="27">
        <v>6.8213140000000001</v>
      </c>
    </row>
    <row r="2381" spans="2:41" x14ac:dyDescent="0.25">
      <c r="B2381" s="21">
        <v>44668</v>
      </c>
      <c r="C2381" s="27">
        <v>19.840699999999998</v>
      </c>
      <c r="E2381" s="27">
        <v>0.924682</v>
      </c>
      <c r="G2381" s="27">
        <v>113.917252</v>
      </c>
      <c r="I2381" s="27">
        <v>6.9140379999999997</v>
      </c>
      <c r="K2381" s="27">
        <v>4.7021959999999998</v>
      </c>
      <c r="M2381" s="27">
        <v>814.86341800000002</v>
      </c>
      <c r="O2381" s="27">
        <v>3733.4751190000002</v>
      </c>
      <c r="Q2381" s="27">
        <v>6918.1499400000002</v>
      </c>
      <c r="S2381" s="27">
        <v>1471.2675819999999</v>
      </c>
      <c r="U2381" s="27">
        <v>3.7312249999999998</v>
      </c>
      <c r="W2381" s="27">
        <v>41.683574999999998</v>
      </c>
      <c r="Y2381" s="27">
        <v>8.8647320000000001</v>
      </c>
      <c r="AA2381" s="27">
        <v>657.69969600000002</v>
      </c>
      <c r="AC2381" s="27">
        <v>55.022500000000001</v>
      </c>
      <c r="AE2381" s="27">
        <v>1</v>
      </c>
      <c r="AG2381" s="27">
        <v>7.6973380000000002</v>
      </c>
      <c r="AI2381" s="27">
        <v>8.75</v>
      </c>
      <c r="AK2381" s="27">
        <v>24.499974999999999</v>
      </c>
      <c r="AM2381" s="27">
        <v>35.72475</v>
      </c>
      <c r="AO2381" s="27">
        <v>6.8215050000000002</v>
      </c>
    </row>
    <row r="2382" spans="2:41" x14ac:dyDescent="0.25">
      <c r="B2382" s="21">
        <v>44669</v>
      </c>
      <c r="C2382" s="27">
        <v>19.796700000000001</v>
      </c>
      <c r="E2382" s="27">
        <v>0.92659400000000003</v>
      </c>
      <c r="G2382" s="27">
        <v>114.145112</v>
      </c>
      <c r="I2382" s="27">
        <v>6.9202519999999996</v>
      </c>
      <c r="K2382" s="27">
        <v>4.6840320000000002</v>
      </c>
      <c r="M2382" s="27">
        <v>816.04148799999996</v>
      </c>
      <c r="O2382" s="27">
        <v>3726.9164040000001</v>
      </c>
      <c r="Q2382" s="27">
        <v>6920.9639900000002</v>
      </c>
      <c r="S2382" s="27">
        <v>1477.5746449999999</v>
      </c>
      <c r="U2382" s="27">
        <v>3.7442880000000001</v>
      </c>
      <c r="W2382" s="27">
        <v>41.717748999999998</v>
      </c>
      <c r="Y2382" s="27">
        <v>8.9064060000000005</v>
      </c>
      <c r="AA2382" s="27">
        <v>657.95863399999996</v>
      </c>
      <c r="AC2382" s="27">
        <v>55.276054000000002</v>
      </c>
      <c r="AE2382" s="27">
        <v>1</v>
      </c>
      <c r="AG2382" s="27">
        <v>7.7011820000000002</v>
      </c>
      <c r="AI2382" s="27">
        <v>8.75</v>
      </c>
      <c r="AK2382" s="27">
        <v>24.622408</v>
      </c>
      <c r="AM2382" s="27">
        <v>35.887472000000002</v>
      </c>
      <c r="AO2382" s="27">
        <v>6.8276589999999997</v>
      </c>
    </row>
    <row r="2383" spans="2:41" x14ac:dyDescent="0.25">
      <c r="B2383" s="21">
        <v>44670</v>
      </c>
      <c r="C2383" s="27">
        <v>19.9377</v>
      </c>
      <c r="E2383" s="27">
        <v>0.92698800000000003</v>
      </c>
      <c r="G2383" s="27">
        <v>113.885036</v>
      </c>
      <c r="I2383" s="27">
        <v>6.8988589999999999</v>
      </c>
      <c r="K2383" s="27">
        <v>4.6607719999999997</v>
      </c>
      <c r="M2383" s="27">
        <v>817.61636799999997</v>
      </c>
      <c r="O2383" s="27">
        <v>3741.188674</v>
      </c>
      <c r="Q2383" s="27">
        <v>6906.1077580000001</v>
      </c>
      <c r="S2383" s="27">
        <v>1481.761978</v>
      </c>
      <c r="U2383" s="27">
        <v>3.7618510000000001</v>
      </c>
      <c r="W2383" s="27">
        <v>41.433495999999998</v>
      </c>
      <c r="Y2383" s="27">
        <v>8.8898759999999992</v>
      </c>
      <c r="AA2383" s="27">
        <v>655.43405600000006</v>
      </c>
      <c r="AC2383" s="27">
        <v>55.471989000000001</v>
      </c>
      <c r="AE2383" s="27">
        <v>1</v>
      </c>
      <c r="AG2383" s="27">
        <v>7.6924510000000001</v>
      </c>
      <c r="AI2383" s="27">
        <v>8.75</v>
      </c>
      <c r="AK2383" s="27">
        <v>24.738076</v>
      </c>
      <c r="AM2383" s="27">
        <v>36.084116000000002</v>
      </c>
      <c r="AO2383" s="27">
        <v>6.817266</v>
      </c>
    </row>
    <row r="2384" spans="2:41" x14ac:dyDescent="0.25">
      <c r="B2384" s="21">
        <v>44671</v>
      </c>
      <c r="C2384" s="27">
        <v>20.044699999999999</v>
      </c>
      <c r="E2384" s="27">
        <v>0.92306999999999995</v>
      </c>
      <c r="G2384" s="27">
        <v>113.859437</v>
      </c>
      <c r="I2384" s="27">
        <v>6.8707560000000001</v>
      </c>
      <c r="K2384" s="27">
        <v>4.6474849999999996</v>
      </c>
      <c r="M2384" s="27">
        <v>817.68325800000002</v>
      </c>
      <c r="O2384" s="27">
        <v>3753.1434429999999</v>
      </c>
      <c r="Q2384" s="27">
        <v>6858.5078290000001</v>
      </c>
      <c r="S2384" s="27">
        <v>1475.756468</v>
      </c>
      <c r="U2384" s="27">
        <v>3.7242519999999999</v>
      </c>
      <c r="W2384" s="27">
        <v>41.240544</v>
      </c>
      <c r="Y2384" s="27">
        <v>8.8737700000000004</v>
      </c>
      <c r="AA2384" s="27">
        <v>652.80829000000006</v>
      </c>
      <c r="AC2384" s="27">
        <v>55.145876000000001</v>
      </c>
      <c r="AE2384" s="27">
        <v>1</v>
      </c>
      <c r="AG2384" s="27">
        <v>7.6626279999999998</v>
      </c>
      <c r="AI2384" s="27">
        <v>8.75</v>
      </c>
      <c r="AK2384" s="27">
        <v>24.522068000000001</v>
      </c>
      <c r="AM2384" s="27">
        <v>35.825142999999997</v>
      </c>
      <c r="AO2384" s="27">
        <v>6.7895200000000004</v>
      </c>
    </row>
    <row r="2385" spans="2:41" x14ac:dyDescent="0.25">
      <c r="B2385" s="21">
        <v>44672</v>
      </c>
      <c r="C2385" s="27">
        <v>20.0383</v>
      </c>
      <c r="E2385" s="27">
        <v>0.92080399999999996</v>
      </c>
      <c r="G2385" s="27">
        <v>114.021728</v>
      </c>
      <c r="I2385" s="27">
        <v>6.8847860000000001</v>
      </c>
      <c r="K2385" s="27">
        <v>4.622484</v>
      </c>
      <c r="M2385" s="27">
        <v>818.28277700000001</v>
      </c>
      <c r="O2385" s="27">
        <v>3762.9612040000002</v>
      </c>
      <c r="Q2385" s="27">
        <v>6865.0078999999996</v>
      </c>
      <c r="S2385" s="27">
        <v>1485.1445779999999</v>
      </c>
      <c r="U2385" s="27">
        <v>3.7210299999999998</v>
      </c>
      <c r="W2385" s="27">
        <v>41.205255000000001</v>
      </c>
      <c r="Y2385" s="27">
        <v>8.9141309999999994</v>
      </c>
      <c r="AA2385" s="27">
        <v>653.93568800000003</v>
      </c>
      <c r="AC2385" s="27">
        <v>55.094673999999998</v>
      </c>
      <c r="AE2385" s="27">
        <v>1</v>
      </c>
      <c r="AG2385" s="27">
        <v>7.673832</v>
      </c>
      <c r="AI2385" s="27">
        <v>8.75</v>
      </c>
      <c r="AK2385" s="27">
        <v>24.543286999999999</v>
      </c>
      <c r="AM2385" s="27">
        <v>35.828868</v>
      </c>
      <c r="AO2385" s="27">
        <v>6.7993889999999997</v>
      </c>
    </row>
    <row r="2386" spans="2:41" x14ac:dyDescent="0.25">
      <c r="B2386" s="21">
        <v>44673</v>
      </c>
      <c r="C2386" s="27">
        <v>20.180199999999999</v>
      </c>
      <c r="E2386" s="27">
        <v>0.92488400000000004</v>
      </c>
      <c r="G2386" s="27">
        <v>114.145788</v>
      </c>
      <c r="I2386" s="27">
        <v>6.8900959999999998</v>
      </c>
      <c r="K2386" s="27">
        <v>4.6971100000000003</v>
      </c>
      <c r="M2386" s="27">
        <v>829.081638</v>
      </c>
      <c r="O2386" s="27">
        <v>3800.5710709999998</v>
      </c>
      <c r="Q2386" s="27">
        <v>6867.9197100000001</v>
      </c>
      <c r="S2386" s="27">
        <v>1462.168574</v>
      </c>
      <c r="U2386" s="27">
        <v>3.7450779999999999</v>
      </c>
      <c r="W2386" s="27">
        <v>40.947941999999998</v>
      </c>
      <c r="Y2386" s="27">
        <v>8.717727</v>
      </c>
      <c r="AA2386" s="27">
        <v>656.30986700000005</v>
      </c>
      <c r="AC2386" s="27">
        <v>55.217596999999998</v>
      </c>
      <c r="AE2386" s="27">
        <v>1</v>
      </c>
      <c r="AG2386" s="27">
        <v>7.6781480000000002</v>
      </c>
      <c r="AI2386" s="27">
        <v>8.75</v>
      </c>
      <c r="AK2386" s="27">
        <v>24.610296999999999</v>
      </c>
      <c r="AM2386" s="27">
        <v>35.910812</v>
      </c>
      <c r="AO2386" s="27">
        <v>6.8046540000000002</v>
      </c>
    </row>
    <row r="2387" spans="2:41" x14ac:dyDescent="0.25">
      <c r="B2387" s="21">
        <v>44674</v>
      </c>
      <c r="C2387" s="27">
        <v>20.180199999999999</v>
      </c>
      <c r="E2387" s="27">
        <v>0.926153</v>
      </c>
      <c r="G2387" s="27">
        <v>114.1815</v>
      </c>
      <c r="I2387" s="27">
        <v>6.8757780000000004</v>
      </c>
      <c r="K2387" s="27">
        <v>4.7962999999999996</v>
      </c>
      <c r="M2387" s="27">
        <v>837.15750000000003</v>
      </c>
      <c r="O2387" s="27">
        <v>3841.0025000000001</v>
      </c>
      <c r="Q2387" s="27">
        <v>6851.5684680000004</v>
      </c>
      <c r="S2387" s="27">
        <v>1428.5192099999999</v>
      </c>
      <c r="U2387" s="27">
        <v>3.7632249999999998</v>
      </c>
      <c r="W2387" s="27">
        <v>40.467888000000002</v>
      </c>
      <c r="Y2387" s="27">
        <v>8.4373489999999993</v>
      </c>
      <c r="AA2387" s="27">
        <v>656.65896599999996</v>
      </c>
      <c r="AC2387" s="27">
        <v>55.172499999999999</v>
      </c>
      <c r="AE2387" s="27">
        <v>1</v>
      </c>
      <c r="AG2387" s="27">
        <v>7.6615979999999997</v>
      </c>
      <c r="AI2387" s="27">
        <v>8.75</v>
      </c>
      <c r="AK2387" s="27">
        <v>24.557908000000001</v>
      </c>
      <c r="AM2387" s="27">
        <v>35.789749999999998</v>
      </c>
      <c r="AO2387" s="27">
        <v>6.7890759999999997</v>
      </c>
    </row>
    <row r="2388" spans="2:41" x14ac:dyDescent="0.25">
      <c r="B2388" s="21">
        <v>44675</v>
      </c>
      <c r="C2388" s="27">
        <v>20.180199999999999</v>
      </c>
      <c r="E2388" s="27">
        <v>0.926068</v>
      </c>
      <c r="G2388" s="27">
        <v>114.18301700000001</v>
      </c>
      <c r="I2388" s="27">
        <v>6.8757780000000004</v>
      </c>
      <c r="K2388" s="27">
        <v>4.796106</v>
      </c>
      <c r="M2388" s="27">
        <v>837.15924399999994</v>
      </c>
      <c r="O2388" s="27">
        <v>3841.1573579999999</v>
      </c>
      <c r="Q2388" s="27">
        <v>6851.774915</v>
      </c>
      <c r="S2388" s="27">
        <v>1428.6212029999999</v>
      </c>
      <c r="U2388" s="27">
        <v>3.7632249999999998</v>
      </c>
      <c r="W2388" s="27">
        <v>40.467888000000002</v>
      </c>
      <c r="Y2388" s="27">
        <v>8.4376960000000008</v>
      </c>
      <c r="AA2388" s="27">
        <v>656.65896599999996</v>
      </c>
      <c r="AC2388" s="27">
        <v>55.172499999999999</v>
      </c>
      <c r="AE2388" s="27">
        <v>1</v>
      </c>
      <c r="AG2388" s="27">
        <v>7.662744</v>
      </c>
      <c r="AI2388" s="27">
        <v>8.75</v>
      </c>
      <c r="AK2388" s="27">
        <v>24.558622</v>
      </c>
      <c r="AM2388" s="27">
        <v>35.789749999999998</v>
      </c>
      <c r="AO2388" s="27">
        <v>6.7890759999999997</v>
      </c>
    </row>
    <row r="2389" spans="2:41" x14ac:dyDescent="0.25">
      <c r="B2389" s="21">
        <v>44676</v>
      </c>
      <c r="C2389" s="27">
        <v>20.318300000000001</v>
      </c>
      <c r="E2389" s="27">
        <v>0.93115999999999999</v>
      </c>
      <c r="G2389" s="27">
        <v>114.441836</v>
      </c>
      <c r="I2389" s="27">
        <v>6.8781040000000004</v>
      </c>
      <c r="K2389" s="27">
        <v>4.8383690000000001</v>
      </c>
      <c r="M2389" s="27">
        <v>842.19830300000001</v>
      </c>
      <c r="O2389" s="27">
        <v>3869.9541979999999</v>
      </c>
      <c r="Q2389" s="27">
        <v>6836.6399549999996</v>
      </c>
      <c r="S2389" s="27">
        <v>1413.0146050000001</v>
      </c>
      <c r="U2389" s="27">
        <v>3.757018</v>
      </c>
      <c r="W2389" s="27">
        <v>40.359496999999998</v>
      </c>
      <c r="Y2389" s="27">
        <v>8.3415850000000002</v>
      </c>
      <c r="AA2389" s="27">
        <v>657.85853199999997</v>
      </c>
      <c r="AC2389" s="27">
        <v>55.082878000000001</v>
      </c>
      <c r="AE2389" s="27">
        <v>1</v>
      </c>
      <c r="AG2389" s="27">
        <v>7.6681160000000004</v>
      </c>
      <c r="AI2389" s="27">
        <v>8.75</v>
      </c>
      <c r="AK2389" s="27">
        <v>24.54842</v>
      </c>
      <c r="AM2389" s="27">
        <v>35.827902999999999</v>
      </c>
      <c r="AO2389" s="27">
        <v>6.794988</v>
      </c>
    </row>
    <row r="2390" spans="2:41" x14ac:dyDescent="0.25">
      <c r="B2390" s="21">
        <v>44677</v>
      </c>
      <c r="C2390" s="27">
        <v>20.299199999999999</v>
      </c>
      <c r="E2390" s="27">
        <v>0.93618199999999996</v>
      </c>
      <c r="G2390" s="27">
        <v>114.75639200000001</v>
      </c>
      <c r="I2390" s="27">
        <v>6.8759920000000001</v>
      </c>
      <c r="K2390" s="27">
        <v>4.9264520000000003</v>
      </c>
      <c r="M2390" s="27">
        <v>845.66294300000004</v>
      </c>
      <c r="O2390" s="27">
        <v>3921.4962420000002</v>
      </c>
      <c r="Q2390" s="27">
        <v>6833.6891809999997</v>
      </c>
      <c r="S2390" s="27">
        <v>1387.1513050000001</v>
      </c>
      <c r="U2390" s="27">
        <v>3.7684519999999999</v>
      </c>
      <c r="W2390" s="27">
        <v>40.256082999999997</v>
      </c>
      <c r="Y2390" s="27">
        <v>8.1714500000000001</v>
      </c>
      <c r="AA2390" s="27">
        <v>658.88151400000004</v>
      </c>
      <c r="AC2390" s="27">
        <v>55.100881999999999</v>
      </c>
      <c r="AE2390" s="27">
        <v>1</v>
      </c>
      <c r="AG2390" s="27">
        <v>7.6646720000000004</v>
      </c>
      <c r="AI2390" s="27">
        <v>8.75</v>
      </c>
      <c r="AK2390" s="27">
        <v>24.519798000000002</v>
      </c>
      <c r="AM2390" s="27">
        <v>35.797398999999999</v>
      </c>
      <c r="AO2390" s="27">
        <v>6.7980939999999999</v>
      </c>
    </row>
    <row r="2391" spans="2:41" x14ac:dyDescent="0.25">
      <c r="B2391" s="21">
        <v>44678</v>
      </c>
      <c r="C2391" s="27">
        <v>20.356000000000002</v>
      </c>
      <c r="E2391" s="27">
        <v>0.94416199999999995</v>
      </c>
      <c r="G2391" s="27">
        <v>114.922746</v>
      </c>
      <c r="I2391" s="27">
        <v>6.8942680000000003</v>
      </c>
      <c r="K2391" s="27">
        <v>4.9902519999999999</v>
      </c>
      <c r="M2391" s="27">
        <v>847.08769400000006</v>
      </c>
      <c r="O2391" s="27">
        <v>3952.4398959999999</v>
      </c>
      <c r="Q2391" s="27">
        <v>6846.597041</v>
      </c>
      <c r="S2391" s="27">
        <v>1372.003602</v>
      </c>
      <c r="U2391" s="27">
        <v>3.8108580000000001</v>
      </c>
      <c r="W2391" s="27">
        <v>40.570162000000003</v>
      </c>
      <c r="Y2391" s="27">
        <v>8.1299159999999997</v>
      </c>
      <c r="AA2391" s="27">
        <v>661.91820299999995</v>
      </c>
      <c r="AC2391" s="27">
        <v>55.191966999999998</v>
      </c>
      <c r="AE2391" s="27">
        <v>1</v>
      </c>
      <c r="AG2391" s="27">
        <v>7.6766379999999996</v>
      </c>
      <c r="AI2391" s="27">
        <v>8.75</v>
      </c>
      <c r="AK2391" s="27">
        <v>24.581672000000001</v>
      </c>
      <c r="AM2391" s="27">
        <v>35.873055999999998</v>
      </c>
      <c r="AO2391" s="27">
        <v>6.8113919999999997</v>
      </c>
    </row>
    <row r="2392" spans="2:41" x14ac:dyDescent="0.25">
      <c r="B2392" s="21">
        <v>44679</v>
      </c>
      <c r="C2392" s="27">
        <v>20.470700000000001</v>
      </c>
      <c r="E2392" s="27">
        <v>0.95105399999999995</v>
      </c>
      <c r="G2392" s="27">
        <v>115.100032</v>
      </c>
      <c r="I2392" s="27">
        <v>6.892754</v>
      </c>
      <c r="K2392" s="27">
        <v>4.9695070000000001</v>
      </c>
      <c r="M2392" s="27">
        <v>851.85469000000001</v>
      </c>
      <c r="O2392" s="27">
        <v>3966.598344</v>
      </c>
      <c r="Q2392" s="27">
        <v>6848.0038169999998</v>
      </c>
      <c r="S2392" s="27">
        <v>1378.0138790000001</v>
      </c>
      <c r="U2392" s="27">
        <v>3.8373219999999999</v>
      </c>
      <c r="W2392" s="27">
        <v>41.031973000000001</v>
      </c>
      <c r="Y2392" s="27">
        <v>8.2567839999999997</v>
      </c>
      <c r="AA2392" s="27">
        <v>663.498469</v>
      </c>
      <c r="AC2392" s="27">
        <v>55.223471000000004</v>
      </c>
      <c r="AE2392" s="27">
        <v>1</v>
      </c>
      <c r="AG2392" s="27">
        <v>7.6772980000000004</v>
      </c>
      <c r="AI2392" s="27">
        <v>8.75</v>
      </c>
      <c r="AK2392" s="27">
        <v>24.594515999999999</v>
      </c>
      <c r="AM2392" s="27">
        <v>35.914993000000003</v>
      </c>
      <c r="AO2392" s="27">
        <v>6.8068010000000001</v>
      </c>
    </row>
    <row r="2393" spans="2:41" x14ac:dyDescent="0.25">
      <c r="B2393" s="21">
        <v>44680</v>
      </c>
      <c r="C2393" s="27">
        <v>20.567</v>
      </c>
      <c r="E2393" s="27">
        <v>0.948492</v>
      </c>
      <c r="G2393" s="27">
        <v>115.242546</v>
      </c>
      <c r="I2393" s="27">
        <v>6.8743410000000003</v>
      </c>
      <c r="K2393" s="27">
        <v>4.9397349999999998</v>
      </c>
      <c r="M2393" s="27">
        <v>854.59709199999998</v>
      </c>
      <c r="O2393" s="27">
        <v>3968.699392</v>
      </c>
      <c r="Q2393" s="27">
        <v>6837.4417219999996</v>
      </c>
      <c r="S2393" s="27">
        <v>1384.1807329999999</v>
      </c>
      <c r="U2393" s="27">
        <v>3.8280240000000001</v>
      </c>
      <c r="W2393" s="27">
        <v>41.207270000000001</v>
      </c>
      <c r="Y2393" s="27">
        <v>8.3420330000000007</v>
      </c>
      <c r="AA2393" s="27">
        <v>661.60147099999995</v>
      </c>
      <c r="AC2393" s="27">
        <v>54.992628000000003</v>
      </c>
      <c r="AE2393" s="27">
        <v>1</v>
      </c>
      <c r="AG2393" s="27">
        <v>7.6581020000000004</v>
      </c>
      <c r="AI2393" s="27">
        <v>8.75</v>
      </c>
      <c r="AK2393" s="27">
        <v>24.503565999999999</v>
      </c>
      <c r="AM2393" s="27">
        <v>35.773316000000001</v>
      </c>
      <c r="AO2393" s="27">
        <v>6.7904600000000004</v>
      </c>
    </row>
    <row r="2394" spans="2:41" x14ac:dyDescent="0.25">
      <c r="B2394" s="21">
        <v>44681</v>
      </c>
      <c r="C2394" s="27">
        <v>20.567</v>
      </c>
      <c r="E2394" s="27">
        <v>0.94828999999999997</v>
      </c>
      <c r="G2394" s="27">
        <v>115.3145</v>
      </c>
      <c r="I2394" s="27">
        <v>6.8822369999999999</v>
      </c>
      <c r="K2394" s="27">
        <v>4.9737999999999998</v>
      </c>
      <c r="M2394" s="27">
        <v>852.51</v>
      </c>
      <c r="O2394" s="27">
        <v>3960.0174999999999</v>
      </c>
      <c r="Q2394" s="27">
        <v>6841.9255059999996</v>
      </c>
      <c r="S2394" s="27">
        <v>1375.6007649999999</v>
      </c>
      <c r="U2394" s="27">
        <v>3.8367249999999999</v>
      </c>
      <c r="W2394" s="27">
        <v>41.144491000000002</v>
      </c>
      <c r="Y2394" s="27">
        <v>8.272278</v>
      </c>
      <c r="AA2394" s="27">
        <v>661.97026800000003</v>
      </c>
      <c r="AC2394" s="27">
        <v>55.022500000000001</v>
      </c>
      <c r="AE2394" s="27">
        <v>1</v>
      </c>
      <c r="AG2394" s="27">
        <v>7.6619710000000003</v>
      </c>
      <c r="AI2394" s="27">
        <v>8.75</v>
      </c>
      <c r="AK2394" s="27">
        <v>24.517225</v>
      </c>
      <c r="AM2394" s="27">
        <v>35.77525</v>
      </c>
      <c r="AO2394" s="27">
        <v>6.7966860000000002</v>
      </c>
    </row>
    <row r="2395" spans="2:41" ht="13" x14ac:dyDescent="0.3">
      <c r="B2395" s="25" t="s">
        <v>204</v>
      </c>
      <c r="C2395" s="19">
        <v>20.068000000000001</v>
      </c>
      <c r="E2395" s="19">
        <v>0.92400000000000004</v>
      </c>
      <c r="G2395" s="19">
        <v>113.2324</v>
      </c>
      <c r="I2395" s="19">
        <v>6.8876999999999997</v>
      </c>
      <c r="K2395" s="19">
        <v>4.7416</v>
      </c>
      <c r="M2395" s="19">
        <v>816.86689999999999</v>
      </c>
      <c r="O2395" s="19">
        <v>3792.7483000000002</v>
      </c>
      <c r="Q2395" s="19">
        <v>6887.6679999999997</v>
      </c>
      <c r="S2395" s="19">
        <v>1453.4762000000001</v>
      </c>
      <c r="U2395" s="19">
        <v>3.7382</v>
      </c>
      <c r="W2395" s="19">
        <v>41.256900000000002</v>
      </c>
      <c r="Y2395" s="19">
        <v>8.7066999999999997</v>
      </c>
      <c r="AA2395" s="19">
        <v>657.63520000000005</v>
      </c>
      <c r="AC2395" s="19">
        <v>55.101599999999998</v>
      </c>
      <c r="AE2395" s="19">
        <v>1</v>
      </c>
      <c r="AG2395" s="19">
        <v>7.6813000000000002</v>
      </c>
      <c r="AI2395" s="19">
        <v>8.75</v>
      </c>
      <c r="AK2395" s="19">
        <v>24.536200000000001</v>
      </c>
      <c r="AM2395" s="19">
        <v>35.809199999999997</v>
      </c>
      <c r="AO2395" s="19">
        <v>6.7996999999999996</v>
      </c>
    </row>
    <row r="2396" spans="2:41" x14ac:dyDescent="0.25">
      <c r="B2396" s="21">
        <v>44682</v>
      </c>
      <c r="C2396" s="27">
        <v>20.567</v>
      </c>
      <c r="E2396" s="27">
        <v>0.94829600000000003</v>
      </c>
      <c r="G2396" s="27">
        <v>115.31088800000001</v>
      </c>
      <c r="I2396" s="27">
        <v>6.8822369999999999</v>
      </c>
      <c r="K2396" s="27">
        <v>4.9737660000000004</v>
      </c>
      <c r="M2396" s="27">
        <v>852.51077999999995</v>
      </c>
      <c r="O2396" s="27">
        <v>3959.9930549999999</v>
      </c>
      <c r="Q2396" s="27">
        <v>6841.9255059999996</v>
      </c>
      <c r="S2396" s="27">
        <v>1375.610099</v>
      </c>
      <c r="U2396" s="27">
        <v>3.8367249999999999</v>
      </c>
      <c r="W2396" s="27">
        <v>41.144491000000002</v>
      </c>
      <c r="Y2396" s="27">
        <v>8.2723340000000007</v>
      </c>
      <c r="AA2396" s="27">
        <v>661.97026800000003</v>
      </c>
      <c r="AC2396" s="27">
        <v>55.022500000000001</v>
      </c>
      <c r="AE2396" s="27">
        <v>1</v>
      </c>
      <c r="AG2396" s="27">
        <v>7.6620080000000002</v>
      </c>
      <c r="AI2396" s="27">
        <v>8.75</v>
      </c>
      <c r="AK2396" s="27">
        <v>24.517225</v>
      </c>
      <c r="AM2396" s="27">
        <v>35.77525</v>
      </c>
      <c r="AO2396" s="27">
        <v>6.7966860000000002</v>
      </c>
    </row>
    <row r="2397" spans="2:41" x14ac:dyDescent="0.25">
      <c r="B2397" s="21">
        <v>44683</v>
      </c>
      <c r="C2397" s="27">
        <v>20.372800000000002</v>
      </c>
      <c r="E2397" s="27">
        <v>0.95067599999999997</v>
      </c>
      <c r="G2397" s="27">
        <v>115.548456</v>
      </c>
      <c r="I2397" s="27">
        <v>6.8900509999999997</v>
      </c>
      <c r="K2397" s="27">
        <v>5.0135909999999999</v>
      </c>
      <c r="M2397" s="27">
        <v>856.28346399999998</v>
      </c>
      <c r="O2397" s="27">
        <v>3976.933466</v>
      </c>
      <c r="Q2397" s="27">
        <v>6842.6355119999998</v>
      </c>
      <c r="S2397" s="27">
        <v>1364.825818</v>
      </c>
      <c r="U2397" s="27">
        <v>3.8465310000000001</v>
      </c>
      <c r="W2397" s="27">
        <v>41.251356000000001</v>
      </c>
      <c r="Y2397" s="27">
        <v>8.2279400000000003</v>
      </c>
      <c r="AA2397" s="27">
        <v>662.65091500000005</v>
      </c>
      <c r="AC2397" s="27">
        <v>55.125058000000003</v>
      </c>
      <c r="AE2397" s="27">
        <v>1</v>
      </c>
      <c r="AG2397" s="27">
        <v>7.6666069999999999</v>
      </c>
      <c r="AI2397" s="27">
        <v>8.75</v>
      </c>
      <c r="AK2397" s="27">
        <v>24.569357</v>
      </c>
      <c r="AM2397" s="27">
        <v>35.847340000000003</v>
      </c>
      <c r="AO2397" s="27">
        <v>6.8035300000000003</v>
      </c>
    </row>
    <row r="2398" spans="2:41" x14ac:dyDescent="0.25">
      <c r="B2398" s="21">
        <v>44684</v>
      </c>
      <c r="C2398" s="27">
        <v>20.407499999999999</v>
      </c>
      <c r="E2398" s="27">
        <v>0.95033800000000002</v>
      </c>
      <c r="G2398" s="27">
        <v>115.794442</v>
      </c>
      <c r="I2398" s="27">
        <v>6.8680009999999996</v>
      </c>
      <c r="K2398" s="27">
        <v>5.0363920000000002</v>
      </c>
      <c r="M2398" s="27">
        <v>858.56505800000002</v>
      </c>
      <c r="O2398" s="27">
        <v>4012.433376</v>
      </c>
      <c r="Q2398" s="27">
        <v>6818.9022340000001</v>
      </c>
      <c r="S2398" s="27">
        <v>1353.9352200000001</v>
      </c>
      <c r="U2398" s="27">
        <v>3.834991</v>
      </c>
      <c r="W2398" s="27">
        <v>41.046844999999998</v>
      </c>
      <c r="Y2398" s="27">
        <v>8.1500819999999994</v>
      </c>
      <c r="AA2398" s="27">
        <v>662.62460599999997</v>
      </c>
      <c r="AC2398" s="27">
        <v>55.024430000000002</v>
      </c>
      <c r="AE2398" s="27">
        <v>1</v>
      </c>
      <c r="AG2398" s="27">
        <v>7.6559879999999998</v>
      </c>
      <c r="AI2398" s="27">
        <v>8.75</v>
      </c>
      <c r="AK2398" s="27">
        <v>24.509761999999998</v>
      </c>
      <c r="AM2398" s="27">
        <v>35.761325999999997</v>
      </c>
      <c r="AO2398" s="27">
        <v>6.7827840000000004</v>
      </c>
    </row>
    <row r="2399" spans="2:41" x14ac:dyDescent="0.25">
      <c r="B2399" s="21">
        <v>44685</v>
      </c>
      <c r="C2399" s="27">
        <v>20.335000000000001</v>
      </c>
      <c r="E2399" s="27">
        <v>0.94800799999999996</v>
      </c>
      <c r="G2399" s="27">
        <v>115.940117</v>
      </c>
      <c r="I2399" s="27">
        <v>6.8641220000000001</v>
      </c>
      <c r="K2399" s="27">
        <v>4.9622140000000003</v>
      </c>
      <c r="M2399" s="27">
        <v>856.22423200000003</v>
      </c>
      <c r="O2399" s="27">
        <v>4041.6332969999999</v>
      </c>
      <c r="Q2399" s="27">
        <v>6817.7390459999997</v>
      </c>
      <c r="S2399" s="27">
        <v>1373.9403400000001</v>
      </c>
      <c r="U2399" s="27">
        <v>3.8282820000000002</v>
      </c>
      <c r="W2399" s="27">
        <v>40.903607999999998</v>
      </c>
      <c r="Y2399" s="27">
        <v>8.2430509999999995</v>
      </c>
      <c r="AA2399" s="27">
        <v>664.40519200000006</v>
      </c>
      <c r="AC2399" s="27">
        <v>54.987347</v>
      </c>
      <c r="AE2399" s="27">
        <v>1</v>
      </c>
      <c r="AG2399" s="27">
        <v>7.6584139999999996</v>
      </c>
      <c r="AI2399" s="27">
        <v>8.75</v>
      </c>
      <c r="AK2399" s="27">
        <v>24.510760000000001</v>
      </c>
      <c r="AM2399" s="27">
        <v>35.753436000000001</v>
      </c>
      <c r="AO2399" s="27">
        <v>6.7838200000000004</v>
      </c>
    </row>
    <row r="2400" spans="2:41" x14ac:dyDescent="0.25">
      <c r="B2400" s="21">
        <v>44686</v>
      </c>
      <c r="C2400" s="27">
        <v>20.253499999999999</v>
      </c>
      <c r="E2400" s="27">
        <v>0.94606699999999999</v>
      </c>
      <c r="G2400" s="27">
        <v>116.076806</v>
      </c>
      <c r="I2400" s="27">
        <v>6.8615760000000003</v>
      </c>
      <c r="K2400" s="27">
        <v>4.9697370000000003</v>
      </c>
      <c r="M2400" s="27">
        <v>857.74013600000001</v>
      </c>
      <c r="O2400" s="27">
        <v>4078.0871739999998</v>
      </c>
      <c r="Q2400" s="27">
        <v>6816.781892</v>
      </c>
      <c r="S2400" s="27">
        <v>1371.6679180000001</v>
      </c>
      <c r="U2400" s="27">
        <v>3.7965369999999998</v>
      </c>
      <c r="W2400" s="27">
        <v>40.965677999999997</v>
      </c>
      <c r="Y2400" s="27">
        <v>8.2430620000000001</v>
      </c>
      <c r="AA2400" s="27">
        <v>663.94365300000004</v>
      </c>
      <c r="AC2400" s="27">
        <v>54.964875999999997</v>
      </c>
      <c r="AE2400" s="27">
        <v>1</v>
      </c>
      <c r="AG2400" s="27">
        <v>7.6586319999999999</v>
      </c>
      <c r="AI2400" s="27">
        <v>8.75</v>
      </c>
      <c r="AK2400" s="27">
        <v>24.438504999999999</v>
      </c>
      <c r="AM2400" s="27">
        <v>35.762456</v>
      </c>
      <c r="AO2400" s="27">
        <v>6.7840480000000003</v>
      </c>
    </row>
    <row r="2401" spans="2:41" x14ac:dyDescent="0.25">
      <c r="B2401" s="21">
        <v>44687</v>
      </c>
      <c r="C2401" s="27">
        <v>20.221800000000002</v>
      </c>
      <c r="E2401" s="27">
        <v>0.947847</v>
      </c>
      <c r="G2401" s="27">
        <v>116.20599799999999</v>
      </c>
      <c r="I2401" s="27">
        <v>6.8857439999999999</v>
      </c>
      <c r="K2401" s="27">
        <v>5.0507879999999998</v>
      </c>
      <c r="M2401" s="27">
        <v>860.14251999999999</v>
      </c>
      <c r="O2401" s="27">
        <v>4072.6207479999998</v>
      </c>
      <c r="Q2401" s="27">
        <v>6840.6801519999999</v>
      </c>
      <c r="S2401" s="27">
        <v>1354.3875579999999</v>
      </c>
      <c r="U2401" s="27">
        <v>3.7879299999999998</v>
      </c>
      <c r="W2401" s="27">
        <v>41.354979999999998</v>
      </c>
      <c r="Y2401" s="27">
        <v>8.1878620000000009</v>
      </c>
      <c r="AA2401" s="27">
        <v>665.78207799999996</v>
      </c>
      <c r="AC2401" s="27">
        <v>55.183064000000002</v>
      </c>
      <c r="AE2401" s="27">
        <v>1</v>
      </c>
      <c r="AG2401" s="27">
        <v>7.6856419999999996</v>
      </c>
      <c r="AI2401" s="27">
        <v>8.75</v>
      </c>
      <c r="AK2401" s="27">
        <v>24.587060000000001</v>
      </c>
      <c r="AM2401" s="27">
        <v>35.873005999999997</v>
      </c>
      <c r="AO2401" s="27">
        <v>6.8042619999999996</v>
      </c>
    </row>
    <row r="2402" spans="2:41" x14ac:dyDescent="0.25">
      <c r="B2402" s="21">
        <v>44688</v>
      </c>
      <c r="C2402" s="27">
        <v>20.221800000000002</v>
      </c>
      <c r="E2402" s="27">
        <v>0.94825000000000004</v>
      </c>
      <c r="G2402" s="27">
        <v>116.252892</v>
      </c>
      <c r="I2402" s="27">
        <v>6.8767880000000003</v>
      </c>
      <c r="K2402" s="27">
        <v>5.0819000000000001</v>
      </c>
      <c r="M2402" s="27">
        <v>858.99</v>
      </c>
      <c r="O2402" s="27">
        <v>4047.9025000000001</v>
      </c>
      <c r="Q2402" s="27">
        <v>6830.0605379999997</v>
      </c>
      <c r="S2402" s="27">
        <v>1344.004694</v>
      </c>
      <c r="U2402" s="27">
        <v>3.7867250000000001</v>
      </c>
      <c r="W2402" s="27">
        <v>41.423200000000001</v>
      </c>
      <c r="Y2402" s="27">
        <v>8.1511560000000003</v>
      </c>
      <c r="AA2402" s="27">
        <v>664.55373899999995</v>
      </c>
      <c r="AC2402" s="27">
        <v>55.172499999999999</v>
      </c>
      <c r="AE2402" s="27">
        <v>1</v>
      </c>
      <c r="AG2402" s="27">
        <v>7.6713639999999996</v>
      </c>
      <c r="AI2402" s="27">
        <v>8.75</v>
      </c>
      <c r="AK2402" s="27">
        <v>24.519324999999998</v>
      </c>
      <c r="AM2402" s="27">
        <v>35.769750000000002</v>
      </c>
      <c r="AO2402" s="27">
        <v>6.7885280000000003</v>
      </c>
    </row>
    <row r="2403" spans="2:41" x14ac:dyDescent="0.25">
      <c r="B2403" s="21">
        <v>44689</v>
      </c>
      <c r="C2403" s="27">
        <v>20.221800000000002</v>
      </c>
      <c r="E2403" s="27">
        <v>0.94833199999999995</v>
      </c>
      <c r="G2403" s="27">
        <v>116.27227600000001</v>
      </c>
      <c r="I2403" s="27">
        <v>6.8767880000000003</v>
      </c>
      <c r="K2403" s="27">
        <v>5.0818139999999996</v>
      </c>
      <c r="M2403" s="27">
        <v>858.99004600000001</v>
      </c>
      <c r="O2403" s="27">
        <v>4048.080422</v>
      </c>
      <c r="Q2403" s="27">
        <v>6830.0605379999997</v>
      </c>
      <c r="S2403" s="27">
        <v>1344.0285449999999</v>
      </c>
      <c r="U2403" s="27">
        <v>3.7867250000000001</v>
      </c>
      <c r="W2403" s="27">
        <v>41.423200000000001</v>
      </c>
      <c r="Y2403" s="27">
        <v>8.1513000000000009</v>
      </c>
      <c r="AA2403" s="27">
        <v>664.55373899999995</v>
      </c>
      <c r="AC2403" s="27">
        <v>55.172499999999999</v>
      </c>
      <c r="AE2403" s="27">
        <v>1</v>
      </c>
      <c r="AG2403" s="27">
        <v>7.671443</v>
      </c>
      <c r="AI2403" s="27">
        <v>8.75</v>
      </c>
      <c r="AK2403" s="27">
        <v>24.519324999999998</v>
      </c>
      <c r="AM2403" s="27">
        <v>35.769750000000002</v>
      </c>
      <c r="AO2403" s="27">
        <v>6.7885280000000003</v>
      </c>
    </row>
    <row r="2404" spans="2:41" x14ac:dyDescent="0.25">
      <c r="B2404" s="21">
        <v>44690</v>
      </c>
      <c r="C2404" s="27">
        <v>20.108499999999999</v>
      </c>
      <c r="E2404" s="27">
        <v>0.94901899999999995</v>
      </c>
      <c r="G2404" s="27">
        <v>116.64541</v>
      </c>
      <c r="I2404" s="27">
        <v>6.8954500000000003</v>
      </c>
      <c r="K2404" s="27">
        <v>5.1112029999999997</v>
      </c>
      <c r="M2404" s="27">
        <v>863.48256000000003</v>
      </c>
      <c r="O2404" s="27">
        <v>4070.0337359999999</v>
      </c>
      <c r="Q2404" s="27">
        <v>6856.8950619999996</v>
      </c>
      <c r="S2404" s="27">
        <v>1341.551324</v>
      </c>
      <c r="U2404" s="27">
        <v>3.80484</v>
      </c>
      <c r="W2404" s="27">
        <v>41.570638000000002</v>
      </c>
      <c r="Y2404" s="27">
        <v>8.1332740000000001</v>
      </c>
      <c r="AA2404" s="27">
        <v>666.84683600000005</v>
      </c>
      <c r="AC2404" s="27">
        <v>55.283679999999997</v>
      </c>
      <c r="AE2404" s="27">
        <v>1</v>
      </c>
      <c r="AG2404" s="27">
        <v>7.6950950000000002</v>
      </c>
      <c r="AI2404" s="27">
        <v>8.75</v>
      </c>
      <c r="AK2404" s="27">
        <v>24.565719999999999</v>
      </c>
      <c r="AM2404" s="27">
        <v>35.862870999999998</v>
      </c>
      <c r="AO2404" s="27">
        <v>6.8107879999999996</v>
      </c>
    </row>
    <row r="2405" spans="2:41" x14ac:dyDescent="0.25">
      <c r="B2405" s="21">
        <v>44691</v>
      </c>
      <c r="C2405" s="27">
        <v>20.3172</v>
      </c>
      <c r="E2405" s="27">
        <v>0.94774000000000003</v>
      </c>
      <c r="G2405" s="27">
        <v>116.83277</v>
      </c>
      <c r="I2405" s="27">
        <v>6.8679800000000002</v>
      </c>
      <c r="K2405" s="27">
        <v>5.1494010000000001</v>
      </c>
      <c r="M2405" s="27">
        <v>867.95664799999997</v>
      </c>
      <c r="O2405" s="27">
        <v>4085.3652320000001</v>
      </c>
      <c r="Q2405" s="27">
        <v>6844.7472360000002</v>
      </c>
      <c r="S2405" s="27">
        <v>1329.2402939999999</v>
      </c>
      <c r="U2405" s="27">
        <v>3.807045</v>
      </c>
      <c r="W2405" s="27">
        <v>41.555565000000001</v>
      </c>
      <c r="Y2405" s="27">
        <v>8.0700099999999999</v>
      </c>
      <c r="AA2405" s="27">
        <v>666.02665000000002</v>
      </c>
      <c r="AC2405" s="27">
        <v>55.192255000000003</v>
      </c>
      <c r="AE2405" s="27">
        <v>1</v>
      </c>
      <c r="AG2405" s="27">
        <v>7.665222</v>
      </c>
      <c r="AI2405" s="27">
        <v>8.75</v>
      </c>
      <c r="AK2405" s="27">
        <v>24.500229000000001</v>
      </c>
      <c r="AM2405" s="27">
        <v>35.771920000000001</v>
      </c>
      <c r="AO2405" s="27">
        <v>6.788958</v>
      </c>
    </row>
    <row r="2406" spans="2:41" x14ac:dyDescent="0.25">
      <c r="B2406" s="21">
        <v>44692</v>
      </c>
      <c r="C2406" s="27">
        <v>20.372</v>
      </c>
      <c r="E2406" s="27">
        <v>0.94897699999999996</v>
      </c>
      <c r="G2406" s="27">
        <v>117.005584</v>
      </c>
      <c r="I2406" s="27">
        <v>6.8746980000000004</v>
      </c>
      <c r="K2406" s="27">
        <v>5.1308559999999996</v>
      </c>
      <c r="M2406" s="27">
        <v>864.51906899999994</v>
      </c>
      <c r="O2406" s="27">
        <v>4081.0939739999999</v>
      </c>
      <c r="Q2406" s="27">
        <v>6863.3284659999999</v>
      </c>
      <c r="S2406" s="27">
        <v>1337.6663779999999</v>
      </c>
      <c r="U2406" s="27">
        <v>3.7988780000000002</v>
      </c>
      <c r="W2406" s="27">
        <v>41.714255000000001</v>
      </c>
      <c r="Y2406" s="27">
        <v>8.1301140000000007</v>
      </c>
      <c r="AA2406" s="27">
        <v>668.41069200000004</v>
      </c>
      <c r="AC2406" s="27">
        <v>55.176468999999997</v>
      </c>
      <c r="AE2406" s="27">
        <v>1</v>
      </c>
      <c r="AG2406" s="27">
        <v>7.6724019999999999</v>
      </c>
      <c r="AI2406" s="27">
        <v>8.75</v>
      </c>
      <c r="AK2406" s="27">
        <v>24.546842000000002</v>
      </c>
      <c r="AM2406" s="27">
        <v>35.824252000000001</v>
      </c>
      <c r="AO2406" s="27">
        <v>6.7991440000000001</v>
      </c>
    </row>
    <row r="2407" spans="2:41" x14ac:dyDescent="0.25">
      <c r="B2407" s="21">
        <v>44693</v>
      </c>
      <c r="C2407" s="27">
        <v>20.2592</v>
      </c>
      <c r="E2407" s="27">
        <v>0.95816800000000002</v>
      </c>
      <c r="G2407" s="27">
        <v>117.161179</v>
      </c>
      <c r="I2407" s="27">
        <v>6.8757529999999996</v>
      </c>
      <c r="K2407" s="27">
        <v>5.1401009999999996</v>
      </c>
      <c r="M2407" s="27">
        <v>864.48254599999996</v>
      </c>
      <c r="O2407" s="27">
        <v>4093.311068</v>
      </c>
      <c r="Q2407" s="27">
        <v>6871.2039050000003</v>
      </c>
      <c r="S2407" s="27">
        <v>1336.7928300000001</v>
      </c>
      <c r="U2407" s="27">
        <v>3.784926</v>
      </c>
      <c r="W2407" s="27">
        <v>41.750698</v>
      </c>
      <c r="Y2407" s="27">
        <v>8.1225780000000007</v>
      </c>
      <c r="AA2407" s="27">
        <v>669.12295099999994</v>
      </c>
      <c r="AC2407" s="27">
        <v>55.180388000000001</v>
      </c>
      <c r="AE2407" s="27">
        <v>1</v>
      </c>
      <c r="AG2407" s="27">
        <v>7.6743819999999996</v>
      </c>
      <c r="AI2407" s="27">
        <v>8.75</v>
      </c>
      <c r="AK2407" s="27">
        <v>24.551606</v>
      </c>
      <c r="AM2407" s="27">
        <v>35.828518000000003</v>
      </c>
      <c r="AO2407" s="27">
        <v>6.8002440000000002</v>
      </c>
    </row>
    <row r="2408" spans="2:41" x14ac:dyDescent="0.25">
      <c r="B2408" s="21">
        <v>44694</v>
      </c>
      <c r="C2408" s="27">
        <v>20.32</v>
      </c>
      <c r="E2408" s="27">
        <v>0.96200600000000003</v>
      </c>
      <c r="G2408" s="27">
        <v>117.32407000000001</v>
      </c>
      <c r="I2408" s="27">
        <v>6.8823059999999998</v>
      </c>
      <c r="K2408" s="27">
        <v>5.1064720000000001</v>
      </c>
      <c r="M2408" s="27">
        <v>863.13894200000004</v>
      </c>
      <c r="O2408" s="27">
        <v>4110.2150439999996</v>
      </c>
      <c r="Q2408" s="27">
        <v>6880.9432260000003</v>
      </c>
      <c r="S2408" s="27">
        <v>1347.5037259999999</v>
      </c>
      <c r="U2408" s="27">
        <v>3.7772139999999998</v>
      </c>
      <c r="W2408" s="27">
        <v>41.716813999999999</v>
      </c>
      <c r="Y2408" s="27">
        <v>8.1694340000000008</v>
      </c>
      <c r="AA2408" s="27">
        <v>669.87982199999999</v>
      </c>
      <c r="AC2408" s="27">
        <v>55.261806</v>
      </c>
      <c r="AE2408" s="27">
        <v>1</v>
      </c>
      <c r="AG2408" s="27">
        <v>7.6831319999999996</v>
      </c>
      <c r="AI2408" s="27">
        <v>8.75</v>
      </c>
      <c r="AK2408" s="27">
        <v>24.54907</v>
      </c>
      <c r="AM2408" s="27">
        <v>35.878213000000002</v>
      </c>
      <c r="AO2408" s="27">
        <v>6.8038809999999996</v>
      </c>
    </row>
    <row r="2409" spans="2:41" x14ac:dyDescent="0.25">
      <c r="B2409" s="21">
        <v>44695</v>
      </c>
      <c r="C2409" s="27">
        <v>20.32</v>
      </c>
      <c r="E2409" s="27">
        <v>0.96087299999999998</v>
      </c>
      <c r="G2409" s="27">
        <v>117.403154</v>
      </c>
      <c r="I2409" s="27">
        <v>6.8649639999999996</v>
      </c>
      <c r="K2409" s="27">
        <v>5.0597500000000002</v>
      </c>
      <c r="M2409" s="27">
        <v>860.4</v>
      </c>
      <c r="O2409" s="27">
        <v>4109.1225000000004</v>
      </c>
      <c r="Q2409" s="27">
        <v>6872.4755759999998</v>
      </c>
      <c r="S2409" s="27">
        <v>1358.2753190000001</v>
      </c>
      <c r="U2409" s="27">
        <v>3.7767249999999999</v>
      </c>
      <c r="W2409" s="27">
        <v>41.65314</v>
      </c>
      <c r="Y2409" s="27">
        <v>8.232291</v>
      </c>
      <c r="AA2409" s="27">
        <v>668.97962399999994</v>
      </c>
      <c r="AC2409" s="27">
        <v>55.172499999999999</v>
      </c>
      <c r="AE2409" s="27">
        <v>1</v>
      </c>
      <c r="AG2409" s="27">
        <v>7.6678959999999998</v>
      </c>
      <c r="AI2409" s="27">
        <v>8.75</v>
      </c>
      <c r="AK2409" s="27">
        <v>24.489975000000001</v>
      </c>
      <c r="AM2409" s="27">
        <v>35.764749999999999</v>
      </c>
      <c r="AO2409" s="27">
        <v>6.7873939999999999</v>
      </c>
    </row>
    <row r="2410" spans="2:41" x14ac:dyDescent="0.25">
      <c r="B2410" s="21">
        <v>44696</v>
      </c>
      <c r="C2410" s="27">
        <v>20.32</v>
      </c>
      <c r="E2410" s="27">
        <v>0.96091599999999999</v>
      </c>
      <c r="G2410" s="27">
        <v>117.418676</v>
      </c>
      <c r="I2410" s="27">
        <v>6.8650700000000002</v>
      </c>
      <c r="K2410" s="27">
        <v>5.0598000000000001</v>
      </c>
      <c r="M2410" s="27">
        <v>860.40810599999998</v>
      </c>
      <c r="O2410" s="27">
        <v>4109.1459800000002</v>
      </c>
      <c r="Q2410" s="27">
        <v>6872.6132710000002</v>
      </c>
      <c r="S2410" s="27">
        <v>1358.289726</v>
      </c>
      <c r="U2410" s="27">
        <v>3.7767179999999998</v>
      </c>
      <c r="W2410" s="27">
        <v>41.648390999999997</v>
      </c>
      <c r="Y2410" s="27">
        <v>8.2312750000000001</v>
      </c>
      <c r="AA2410" s="27">
        <v>669.02352599999995</v>
      </c>
      <c r="AC2410" s="27">
        <v>55.172767999999998</v>
      </c>
      <c r="AE2410" s="27">
        <v>1</v>
      </c>
      <c r="AG2410" s="27">
        <v>7.6680840000000003</v>
      </c>
      <c r="AI2410" s="27">
        <v>8.75</v>
      </c>
      <c r="AK2410" s="27">
        <v>24.489977</v>
      </c>
      <c r="AM2410" s="27">
        <v>35.765639</v>
      </c>
      <c r="AO2410" s="27">
        <v>6.7875379999999996</v>
      </c>
    </row>
    <row r="2411" spans="2:41" x14ac:dyDescent="0.25">
      <c r="B2411" s="21">
        <v>44697</v>
      </c>
      <c r="C2411" s="27">
        <v>20.144300000000001</v>
      </c>
      <c r="E2411" s="27">
        <v>0.95987199999999995</v>
      </c>
      <c r="G2411" s="27">
        <v>117.52873200000001</v>
      </c>
      <c r="I2411" s="27">
        <v>6.8702019999999999</v>
      </c>
      <c r="K2411" s="27">
        <v>5.0621039999999997</v>
      </c>
      <c r="M2411" s="27">
        <v>859.03021799999999</v>
      </c>
      <c r="O2411" s="27">
        <v>4089.7296299999998</v>
      </c>
      <c r="Q2411" s="27">
        <v>6872.3748679999999</v>
      </c>
      <c r="S2411" s="27">
        <v>1357.62267</v>
      </c>
      <c r="U2411" s="27">
        <v>3.769317</v>
      </c>
      <c r="W2411" s="27">
        <v>41.627688999999997</v>
      </c>
      <c r="Y2411" s="27">
        <v>8.2234400000000001</v>
      </c>
      <c r="AA2411" s="27">
        <v>669.77266399999996</v>
      </c>
      <c r="AC2411" s="27">
        <v>55.105069999999998</v>
      </c>
      <c r="AE2411" s="27">
        <v>1</v>
      </c>
      <c r="AG2411" s="27">
        <v>7.6652500000000003</v>
      </c>
      <c r="AI2411" s="27">
        <v>8.75</v>
      </c>
      <c r="AK2411" s="27">
        <v>24.474841999999999</v>
      </c>
      <c r="AM2411" s="27">
        <v>35.754975999999999</v>
      </c>
      <c r="AO2411" s="27">
        <v>6.7951180000000004</v>
      </c>
    </row>
    <row r="2412" spans="2:41" x14ac:dyDescent="0.25">
      <c r="B2412" s="21">
        <v>44698</v>
      </c>
      <c r="C2412" s="27">
        <v>20.078199999999999</v>
      </c>
      <c r="E2412" s="27">
        <v>0.95211000000000001</v>
      </c>
      <c r="G2412" s="27">
        <v>117.924334</v>
      </c>
      <c r="I2412" s="27">
        <v>6.8758540000000004</v>
      </c>
      <c r="K2412" s="27">
        <v>5.0079000000000002</v>
      </c>
      <c r="M2412" s="27">
        <v>854.17451800000003</v>
      </c>
      <c r="O2412" s="27">
        <v>4047.67551</v>
      </c>
      <c r="Q2412" s="27">
        <v>6863.8346840000004</v>
      </c>
      <c r="S2412" s="27">
        <v>1370.6117389999999</v>
      </c>
      <c r="U2412" s="27">
        <v>3.7642359999999999</v>
      </c>
      <c r="W2412" s="27">
        <v>41.607059999999997</v>
      </c>
      <c r="Y2412" s="27">
        <v>8.3083279999999995</v>
      </c>
      <c r="AA2412" s="27">
        <v>670.034898</v>
      </c>
      <c r="AC2412" s="27">
        <v>55.144263000000002</v>
      </c>
      <c r="AE2412" s="27">
        <v>1</v>
      </c>
      <c r="AG2412" s="27">
        <v>7.6681439999999998</v>
      </c>
      <c r="AI2412" s="27">
        <v>8.75</v>
      </c>
      <c r="AK2412" s="27">
        <v>24.482317999999999</v>
      </c>
      <c r="AM2412" s="27">
        <v>35.748182</v>
      </c>
      <c r="AO2412" s="27">
        <v>6.7970079999999999</v>
      </c>
    </row>
    <row r="2413" spans="2:41" x14ac:dyDescent="0.25">
      <c r="B2413" s="21">
        <v>44699</v>
      </c>
      <c r="C2413" s="27">
        <v>19.963699999999999</v>
      </c>
      <c r="E2413" s="27">
        <v>0.95164599999999999</v>
      </c>
      <c r="G2413" s="27">
        <v>118.043434</v>
      </c>
      <c r="I2413" s="27">
        <v>6.8762499999999998</v>
      </c>
      <c r="K2413" s="27">
        <v>4.9550349999999996</v>
      </c>
      <c r="M2413" s="27">
        <v>851.61663799999997</v>
      </c>
      <c r="O2413" s="27">
        <v>4046.0545339999999</v>
      </c>
      <c r="Q2413" s="27">
        <v>6852.9716609999996</v>
      </c>
      <c r="S2413" s="27">
        <v>1383.042273</v>
      </c>
      <c r="U2413" s="27">
        <v>3.7607179999999998</v>
      </c>
      <c r="W2413" s="27">
        <v>41.366202000000001</v>
      </c>
      <c r="Y2413" s="27">
        <v>8.3483579999999993</v>
      </c>
      <c r="AA2413" s="27">
        <v>669.05694100000005</v>
      </c>
      <c r="AC2413" s="27">
        <v>55.153736000000002</v>
      </c>
      <c r="AE2413" s="27">
        <v>1</v>
      </c>
      <c r="AG2413" s="27">
        <v>7.6677809999999997</v>
      </c>
      <c r="AI2413" s="27">
        <v>8.75</v>
      </c>
      <c r="AK2413" s="27">
        <v>24.504405999999999</v>
      </c>
      <c r="AM2413" s="27">
        <v>35.745004000000002</v>
      </c>
      <c r="AO2413" s="27">
        <v>6.7858400000000003</v>
      </c>
    </row>
    <row r="2414" spans="2:41" x14ac:dyDescent="0.25">
      <c r="B2414" s="21">
        <v>44700</v>
      </c>
      <c r="C2414" s="27">
        <v>19.9663</v>
      </c>
      <c r="E2414" s="27">
        <v>0.949071</v>
      </c>
      <c r="G2414" s="27">
        <v>118.166206</v>
      </c>
      <c r="I2414" s="27">
        <v>6.8798240000000002</v>
      </c>
      <c r="K2414" s="27">
        <v>4.9432960000000001</v>
      </c>
      <c r="M2414" s="27">
        <v>847.63890900000001</v>
      </c>
      <c r="O2414" s="27">
        <v>4060.81342</v>
      </c>
      <c r="Q2414" s="27">
        <v>6854.3919159999996</v>
      </c>
      <c r="S2414" s="27">
        <v>1386.6134199999999</v>
      </c>
      <c r="U2414" s="27">
        <v>3.7699419999999999</v>
      </c>
      <c r="W2414" s="27">
        <v>41.060397999999999</v>
      </c>
      <c r="Y2414" s="27">
        <v>8.3063219999999998</v>
      </c>
      <c r="AA2414" s="27">
        <v>669.26435400000003</v>
      </c>
      <c r="AC2414" s="27">
        <v>55.234484000000002</v>
      </c>
      <c r="AE2414" s="27">
        <v>1</v>
      </c>
      <c r="AG2414" s="27">
        <v>7.6733750000000001</v>
      </c>
      <c r="AI2414" s="27">
        <v>8.75</v>
      </c>
      <c r="AK2414" s="27">
        <v>24.490378</v>
      </c>
      <c r="AM2414" s="27">
        <v>35.814332</v>
      </c>
      <c r="AO2414" s="27">
        <v>6.7898009999999998</v>
      </c>
    </row>
    <row r="2415" spans="2:41" x14ac:dyDescent="0.25">
      <c r="B2415" s="21">
        <v>44701</v>
      </c>
      <c r="C2415" s="27">
        <v>19.9267</v>
      </c>
      <c r="E2415" s="27">
        <v>0.94644799999999996</v>
      </c>
      <c r="G2415" s="27">
        <v>118.407427</v>
      </c>
      <c r="I2415" s="27">
        <v>6.8826679999999998</v>
      </c>
      <c r="K2415" s="27">
        <v>4.9055470000000003</v>
      </c>
      <c r="M2415" s="27">
        <v>836.37943700000005</v>
      </c>
      <c r="O2415" s="27">
        <v>4022.0452559999999</v>
      </c>
      <c r="Q2415" s="27">
        <v>6851.7638999999999</v>
      </c>
      <c r="S2415" s="27">
        <v>1396.7476019999999</v>
      </c>
      <c r="U2415" s="27">
        <v>3.7441900000000001</v>
      </c>
      <c r="W2415" s="27">
        <v>40.720562999999999</v>
      </c>
      <c r="Y2415" s="27">
        <v>8.3009640000000005</v>
      </c>
      <c r="AA2415" s="27">
        <v>670.47373200000004</v>
      </c>
      <c r="AC2415" s="27">
        <v>55.289788000000001</v>
      </c>
      <c r="AE2415" s="27">
        <v>1</v>
      </c>
      <c r="AG2415" s="27">
        <v>7.6765359999999996</v>
      </c>
      <c r="AI2415" s="27">
        <v>8.75</v>
      </c>
      <c r="AK2415" s="27">
        <v>24.501131999999998</v>
      </c>
      <c r="AM2415" s="27">
        <v>35.800303999999997</v>
      </c>
      <c r="AO2415" s="27">
        <v>6.793774</v>
      </c>
    </row>
    <row r="2416" spans="2:41" x14ac:dyDescent="0.25">
      <c r="B2416" s="21">
        <v>44702</v>
      </c>
      <c r="C2416" s="27">
        <v>19.9267</v>
      </c>
      <c r="E2416" s="27">
        <v>0.94738199999999995</v>
      </c>
      <c r="G2416" s="27">
        <v>118.484078</v>
      </c>
      <c r="I2416" s="27">
        <v>6.8870100000000001</v>
      </c>
      <c r="K2416" s="27">
        <v>4.8808999999999996</v>
      </c>
      <c r="M2416" s="27">
        <v>836.5</v>
      </c>
      <c r="O2416" s="27">
        <v>3979.9025000000001</v>
      </c>
      <c r="Q2416" s="27">
        <v>6850.3530199999996</v>
      </c>
      <c r="S2416" s="27">
        <v>1403.5099299999999</v>
      </c>
      <c r="U2416" s="27">
        <v>3.7272479999999999</v>
      </c>
      <c r="W2416" s="27">
        <v>40.352820000000001</v>
      </c>
      <c r="Y2416" s="27">
        <v>8.2675300000000007</v>
      </c>
      <c r="AA2416" s="27">
        <v>671.31903299999999</v>
      </c>
      <c r="AC2416" s="27">
        <v>55.297499999999999</v>
      </c>
      <c r="AE2416" s="27">
        <v>1</v>
      </c>
      <c r="AG2416" s="27">
        <v>7.6771919999999998</v>
      </c>
      <c r="AI2416" s="27">
        <v>8.75</v>
      </c>
      <c r="AK2416" s="27">
        <v>24.484998000000001</v>
      </c>
      <c r="AM2416" s="27">
        <v>35.774749999999997</v>
      </c>
      <c r="AO2416" s="27">
        <v>6.7942900000000002</v>
      </c>
    </row>
    <row r="2417" spans="2:41" x14ac:dyDescent="0.25">
      <c r="B2417" s="21">
        <v>44703</v>
      </c>
      <c r="C2417" s="27">
        <v>19.9267</v>
      </c>
      <c r="E2417" s="27">
        <v>0.94722399999999995</v>
      </c>
      <c r="G2417" s="27">
        <v>118.473568</v>
      </c>
      <c r="I2417" s="27">
        <v>6.8869619999999996</v>
      </c>
      <c r="K2417" s="27">
        <v>4.8809129999999996</v>
      </c>
      <c r="M2417" s="27">
        <v>836.49976800000002</v>
      </c>
      <c r="O2417" s="27">
        <v>3979.8176469999999</v>
      </c>
      <c r="Q2417" s="27">
        <v>6850.2381820000001</v>
      </c>
      <c r="S2417" s="27">
        <v>1403.483144</v>
      </c>
      <c r="U2417" s="27">
        <v>3.7273040000000002</v>
      </c>
      <c r="W2417" s="27">
        <v>40.414566000000001</v>
      </c>
      <c r="Y2417" s="27">
        <v>8.2801609999999997</v>
      </c>
      <c r="AA2417" s="27">
        <v>671.31333400000005</v>
      </c>
      <c r="AC2417" s="27">
        <v>55.297469999999997</v>
      </c>
      <c r="AE2417" s="27">
        <v>1</v>
      </c>
      <c r="AG2417" s="27">
        <v>7.6771539999999998</v>
      </c>
      <c r="AI2417" s="27">
        <v>8.75</v>
      </c>
      <c r="AK2417" s="27">
        <v>24.485175999999999</v>
      </c>
      <c r="AM2417" s="27">
        <v>35.776234000000002</v>
      </c>
      <c r="AO2417" s="27">
        <v>6.7942799999999997</v>
      </c>
    </row>
    <row r="2418" spans="2:41" x14ac:dyDescent="0.25">
      <c r="B2418" s="21">
        <v>44704</v>
      </c>
      <c r="C2418" s="27">
        <v>19.8657</v>
      </c>
      <c r="E2418" s="27">
        <v>0.939307</v>
      </c>
      <c r="G2418" s="27">
        <v>118.643609</v>
      </c>
      <c r="I2418" s="27">
        <v>6.8804499999999997</v>
      </c>
      <c r="K2418" s="27">
        <v>4.8445989999999997</v>
      </c>
      <c r="M2418" s="27">
        <v>833.211231</v>
      </c>
      <c r="O2418" s="27">
        <v>3963.1144129999998</v>
      </c>
      <c r="Q2418" s="27">
        <v>6843.07348</v>
      </c>
      <c r="S2418" s="27">
        <v>1412.5257099999999</v>
      </c>
      <c r="U2418" s="27">
        <v>3.7329680000000001</v>
      </c>
      <c r="W2418" s="27">
        <v>40.560948000000003</v>
      </c>
      <c r="Y2418" s="27">
        <v>8.3724469999999993</v>
      </c>
      <c r="AA2418" s="27">
        <v>671.10683100000006</v>
      </c>
      <c r="AC2418" s="27">
        <v>55.239232999999999</v>
      </c>
      <c r="AE2418" s="27">
        <v>1</v>
      </c>
      <c r="AG2418" s="27">
        <v>7.674874</v>
      </c>
      <c r="AI2418" s="27">
        <v>8.75</v>
      </c>
      <c r="AK2418" s="27">
        <v>24.549213999999999</v>
      </c>
      <c r="AM2418" s="27">
        <v>35.814850999999997</v>
      </c>
      <c r="AO2418" s="27">
        <v>6.7906519999999997</v>
      </c>
    </row>
    <row r="2419" spans="2:41" x14ac:dyDescent="0.25">
      <c r="B2419" s="21">
        <v>44705</v>
      </c>
      <c r="C2419" s="27">
        <v>19.828199999999999</v>
      </c>
      <c r="E2419" s="27">
        <v>0.93377600000000005</v>
      </c>
      <c r="G2419" s="27">
        <v>118.982145</v>
      </c>
      <c r="I2419" s="27">
        <v>6.8823860000000003</v>
      </c>
      <c r="K2419" s="27">
        <v>4.8159679999999998</v>
      </c>
      <c r="M2419" s="27">
        <v>831.18802400000004</v>
      </c>
      <c r="O2419" s="27">
        <v>3970.3546339999998</v>
      </c>
      <c r="Q2419" s="27">
        <v>6849.4886859999997</v>
      </c>
      <c r="S2419" s="27">
        <v>1422.2552229999999</v>
      </c>
      <c r="U2419" s="27">
        <v>3.7257570000000002</v>
      </c>
      <c r="W2419" s="27">
        <v>40.248905000000001</v>
      </c>
      <c r="Y2419" s="27">
        <v>8.357424</v>
      </c>
      <c r="AA2419" s="27">
        <v>672.00737800000002</v>
      </c>
      <c r="AC2419" s="27">
        <v>55.225788000000001</v>
      </c>
      <c r="AE2419" s="27">
        <v>1</v>
      </c>
      <c r="AG2419" s="27">
        <v>7.6752510000000003</v>
      </c>
      <c r="AI2419" s="27">
        <v>8.75</v>
      </c>
      <c r="AK2419" s="27">
        <v>24.549543</v>
      </c>
      <c r="AM2419" s="27">
        <v>35.825341000000002</v>
      </c>
      <c r="AO2419" s="27">
        <v>6.7903159999999998</v>
      </c>
    </row>
    <row r="2420" spans="2:41" x14ac:dyDescent="0.25">
      <c r="B2420" s="21">
        <v>44706</v>
      </c>
      <c r="C2420" s="27">
        <v>19.887</v>
      </c>
      <c r="E2420" s="27">
        <v>0.93593199999999999</v>
      </c>
      <c r="G2420" s="27">
        <v>119.055572</v>
      </c>
      <c r="I2420" s="27">
        <v>6.8777660000000003</v>
      </c>
      <c r="K2420" s="27">
        <v>4.8264480000000001</v>
      </c>
      <c r="M2420" s="27">
        <v>832.222759</v>
      </c>
      <c r="O2420" s="27">
        <v>3964.7541879999999</v>
      </c>
      <c r="Q2420" s="27">
        <v>6853.8913839999996</v>
      </c>
      <c r="S2420" s="27">
        <v>1420.078923</v>
      </c>
      <c r="U2420" s="27">
        <v>3.7091759999999998</v>
      </c>
      <c r="W2420" s="27">
        <v>40.062542000000001</v>
      </c>
      <c r="Y2420" s="27">
        <v>8.3006600000000006</v>
      </c>
      <c r="AA2420" s="27">
        <v>672.34890800000005</v>
      </c>
      <c r="AC2420" s="27">
        <v>55.169970999999997</v>
      </c>
      <c r="AE2420" s="27">
        <v>1</v>
      </c>
      <c r="AG2420" s="27">
        <v>7.6695200000000003</v>
      </c>
      <c r="AI2420" s="27">
        <v>8.75</v>
      </c>
      <c r="AK2420" s="27">
        <v>24.510570000000001</v>
      </c>
      <c r="AM2420" s="27">
        <v>35.786129000000003</v>
      </c>
      <c r="AO2420" s="27">
        <v>6.7833420000000002</v>
      </c>
    </row>
    <row r="2421" spans="2:41" x14ac:dyDescent="0.25">
      <c r="B2421" s="21">
        <v>44707</v>
      </c>
      <c r="C2421" s="27">
        <v>19.837700000000002</v>
      </c>
      <c r="E2421" s="27">
        <v>0.93404299999999996</v>
      </c>
      <c r="G2421" s="27">
        <v>119.220911</v>
      </c>
      <c r="I2421" s="27">
        <v>6.8683439999999996</v>
      </c>
      <c r="K2421" s="27">
        <v>4.8029539999999997</v>
      </c>
      <c r="M2421" s="27">
        <v>829.56856200000004</v>
      </c>
      <c r="O2421" s="27">
        <v>3935.3106520000001</v>
      </c>
      <c r="Q2421" s="27">
        <v>6845.2068319999998</v>
      </c>
      <c r="S2421" s="27">
        <v>1425.2173620000001</v>
      </c>
      <c r="U2421" s="27">
        <v>3.6780040000000001</v>
      </c>
      <c r="W2421" s="27">
        <v>40.036074999999997</v>
      </c>
      <c r="Y2421" s="27">
        <v>8.3357580000000002</v>
      </c>
      <c r="AA2421" s="27">
        <v>672.10172299999999</v>
      </c>
      <c r="AC2421" s="27">
        <v>55.092587999999999</v>
      </c>
      <c r="AE2421" s="27">
        <v>1</v>
      </c>
      <c r="AG2421" s="27">
        <v>7.6657279999999997</v>
      </c>
      <c r="AI2421" s="27">
        <v>8.75</v>
      </c>
      <c r="AK2421" s="27">
        <v>24.497668000000001</v>
      </c>
      <c r="AM2421" s="27">
        <v>35.757168</v>
      </c>
      <c r="AO2421" s="27">
        <v>6.7770200000000003</v>
      </c>
    </row>
    <row r="2422" spans="2:41" x14ac:dyDescent="0.25">
      <c r="B2422" s="21">
        <v>44708</v>
      </c>
      <c r="C2422" s="27">
        <v>19.793299999999999</v>
      </c>
      <c r="E2422" s="27">
        <v>0.931786</v>
      </c>
      <c r="G2422" s="27">
        <v>119.47439</v>
      </c>
      <c r="I2422" s="27">
        <v>6.8728759999999998</v>
      </c>
      <c r="K2422" s="27">
        <v>4.7551620000000003</v>
      </c>
      <c r="M2422" s="27">
        <v>824.15320199999996</v>
      </c>
      <c r="O2422" s="27">
        <v>3921.928938</v>
      </c>
      <c r="Q2422" s="27">
        <v>6854.534842</v>
      </c>
      <c r="S2422" s="27">
        <v>1441.5031899999999</v>
      </c>
      <c r="U2422" s="27">
        <v>3.660342</v>
      </c>
      <c r="W2422" s="27">
        <v>40.026102000000002</v>
      </c>
      <c r="Y2422" s="27">
        <v>8.4174389999999999</v>
      </c>
      <c r="AA2422" s="27">
        <v>673.74982799999998</v>
      </c>
      <c r="AC2422" s="27">
        <v>55.226900999999998</v>
      </c>
      <c r="AE2422" s="27">
        <v>1</v>
      </c>
      <c r="AG2422" s="27">
        <v>7.673495</v>
      </c>
      <c r="AI2422" s="27">
        <v>8.75</v>
      </c>
      <c r="AK2422" s="27">
        <v>24.523289999999999</v>
      </c>
      <c r="AM2422" s="27">
        <v>35.789878000000002</v>
      </c>
      <c r="AO2422" s="27">
        <v>6.7837360000000002</v>
      </c>
    </row>
    <row r="2423" spans="2:41" x14ac:dyDescent="0.25">
      <c r="B2423" s="21">
        <v>44709</v>
      </c>
      <c r="C2423" s="27">
        <v>19.793299999999999</v>
      </c>
      <c r="E2423" s="27">
        <v>0.93168399999999996</v>
      </c>
      <c r="G2423" s="27">
        <v>119.55448699999999</v>
      </c>
      <c r="I2423" s="27">
        <v>6.8702569999999996</v>
      </c>
      <c r="K2423" s="27">
        <v>4.7313549999999998</v>
      </c>
      <c r="M2423" s="27">
        <v>826.5</v>
      </c>
      <c r="O2423" s="27">
        <v>3923.5524999999998</v>
      </c>
      <c r="Q2423" s="27">
        <v>6858.9969080000001</v>
      </c>
      <c r="S2423" s="27">
        <v>1449.700417</v>
      </c>
      <c r="U2423" s="27">
        <v>3.6622479999999999</v>
      </c>
      <c r="W2423" s="27">
        <v>39.968680999999997</v>
      </c>
      <c r="Y2423" s="27">
        <v>8.447654</v>
      </c>
      <c r="AA2423" s="27">
        <v>674.37917600000003</v>
      </c>
      <c r="AC2423" s="27">
        <v>55.262500000000003</v>
      </c>
      <c r="AE2423" s="27">
        <v>1</v>
      </c>
      <c r="AG2423" s="27">
        <v>7.6706060000000003</v>
      </c>
      <c r="AI2423" s="27">
        <v>8.75</v>
      </c>
      <c r="AK2423" s="27">
        <v>24.544998</v>
      </c>
      <c r="AM2423" s="27">
        <v>35.824750000000002</v>
      </c>
      <c r="AO2423" s="27">
        <v>6.781612</v>
      </c>
    </row>
    <row r="2424" spans="2:41" x14ac:dyDescent="0.25">
      <c r="B2424" s="21">
        <v>44710</v>
      </c>
      <c r="C2424" s="27">
        <v>19.793299999999999</v>
      </c>
      <c r="E2424" s="27">
        <v>0.93170399999999998</v>
      </c>
      <c r="G2424" s="27">
        <v>119.55106600000001</v>
      </c>
      <c r="I2424" s="27">
        <v>6.8702579999999998</v>
      </c>
      <c r="K2424" s="27">
        <v>4.7313539999999996</v>
      </c>
      <c r="M2424" s="27">
        <v>826.49976800000002</v>
      </c>
      <c r="O2424" s="27">
        <v>3923.6616119999999</v>
      </c>
      <c r="Q2424" s="27">
        <v>6858.9505479999998</v>
      </c>
      <c r="S2424" s="27">
        <v>1449.6908579999999</v>
      </c>
      <c r="U2424" s="27">
        <v>3.6622680000000001</v>
      </c>
      <c r="W2424" s="27">
        <v>39.978904</v>
      </c>
      <c r="Y2424" s="27">
        <v>8.4498180000000005</v>
      </c>
      <c r="AA2424" s="27">
        <v>674.37151200000005</v>
      </c>
      <c r="AC2424" s="27">
        <v>55.262529999999998</v>
      </c>
      <c r="AE2424" s="27">
        <v>1</v>
      </c>
      <c r="AG2424" s="27">
        <v>7.6706219999999998</v>
      </c>
      <c r="AI2424" s="27">
        <v>8.75</v>
      </c>
      <c r="AK2424" s="27">
        <v>24.544937999999998</v>
      </c>
      <c r="AM2424" s="27">
        <v>35.824449999999999</v>
      </c>
      <c r="AO2424" s="27">
        <v>6.7816200000000002</v>
      </c>
    </row>
    <row r="2425" spans="2:41" x14ac:dyDescent="0.25">
      <c r="B2425" s="21">
        <v>44711</v>
      </c>
      <c r="C2425" s="27">
        <v>19.596499999999999</v>
      </c>
      <c r="E2425" s="27">
        <v>0.92899200000000004</v>
      </c>
      <c r="G2425" s="27">
        <v>119.642404</v>
      </c>
      <c r="I2425" s="27">
        <v>6.872954</v>
      </c>
      <c r="K2425" s="27">
        <v>4.7341220000000002</v>
      </c>
      <c r="M2425" s="27">
        <v>827.30626199999995</v>
      </c>
      <c r="O2425" s="27">
        <v>3932.7444390000001</v>
      </c>
      <c r="Q2425" s="27">
        <v>6853.1418750000003</v>
      </c>
      <c r="S2425" s="27">
        <v>1447.6154280000001</v>
      </c>
      <c r="U2425" s="27">
        <v>3.6630590000000001</v>
      </c>
      <c r="W2425" s="27">
        <v>39.964267999999997</v>
      </c>
      <c r="Y2425" s="27">
        <v>8.4417880000000007</v>
      </c>
      <c r="AA2425" s="27">
        <v>674.36332800000002</v>
      </c>
      <c r="AC2425" s="27">
        <v>55.147911000000001</v>
      </c>
      <c r="AE2425" s="27">
        <v>1</v>
      </c>
      <c r="AG2425" s="27">
        <v>7.671246</v>
      </c>
      <c r="AI2425" s="27">
        <v>8.75</v>
      </c>
      <c r="AK2425" s="27">
        <v>24.531887999999999</v>
      </c>
      <c r="AM2425" s="27">
        <v>35.791432</v>
      </c>
      <c r="AO2425" s="27">
        <v>6.7707550000000003</v>
      </c>
    </row>
    <row r="2426" spans="2:41" x14ac:dyDescent="0.25">
      <c r="B2426" s="21">
        <v>44712</v>
      </c>
      <c r="C2426" s="27">
        <v>19.4953</v>
      </c>
      <c r="E2426" s="27">
        <v>0.93172200000000005</v>
      </c>
      <c r="G2426" s="27">
        <v>120.082774</v>
      </c>
      <c r="I2426" s="27">
        <v>6.8987949999999998</v>
      </c>
      <c r="K2426" s="27">
        <v>4.7455189999999998</v>
      </c>
      <c r="M2426" s="27">
        <v>827.570424</v>
      </c>
      <c r="O2426" s="27">
        <v>3936.8660140000002</v>
      </c>
      <c r="Q2426" s="27">
        <v>6878.3331690000005</v>
      </c>
      <c r="S2426" s="27">
        <v>1449.4481900000001</v>
      </c>
      <c r="U2426" s="27">
        <v>3.6813880000000001</v>
      </c>
      <c r="W2426" s="27">
        <v>39.944915999999999</v>
      </c>
      <c r="Y2426" s="27">
        <v>8.4174360000000004</v>
      </c>
      <c r="AA2426" s="27">
        <v>675.98453900000004</v>
      </c>
      <c r="AC2426" s="27">
        <v>55.187975999999999</v>
      </c>
      <c r="AE2426" s="27">
        <v>1</v>
      </c>
      <c r="AG2426" s="27">
        <v>7.6852720000000003</v>
      </c>
      <c r="AI2426" s="27">
        <v>8.75</v>
      </c>
      <c r="AK2426" s="27">
        <v>24.58764</v>
      </c>
      <c r="AM2426" s="27">
        <v>35.867345999999998</v>
      </c>
      <c r="AO2426" s="27">
        <v>6.7835179999999999</v>
      </c>
    </row>
    <row r="2427" spans="2:41" ht="13" x14ac:dyDescent="0.3">
      <c r="B2427" s="25" t="s">
        <v>205</v>
      </c>
      <c r="C2427" s="19">
        <v>20.078700000000001</v>
      </c>
      <c r="E2427" s="19">
        <v>0.94610000000000005</v>
      </c>
      <c r="G2427" s="19">
        <v>117.69119999999999</v>
      </c>
      <c r="I2427" s="19">
        <v>6.8769</v>
      </c>
      <c r="K2427" s="19">
        <v>4.9532999999999996</v>
      </c>
      <c r="M2427" s="19">
        <v>847.86749999999995</v>
      </c>
      <c r="O2427" s="19">
        <v>4019.1709000000001</v>
      </c>
      <c r="Q2427" s="19">
        <v>6851.3721999999998</v>
      </c>
      <c r="S2427" s="19">
        <v>1384.2383</v>
      </c>
      <c r="U2427" s="19">
        <v>3.7570999999999999</v>
      </c>
      <c r="W2427" s="19">
        <v>40.9375</v>
      </c>
      <c r="Y2427" s="19">
        <v>8.2675000000000001</v>
      </c>
      <c r="AA2427" s="19">
        <v>669.04589999999996</v>
      </c>
      <c r="AC2427" s="19">
        <v>55.175199999999997</v>
      </c>
      <c r="AE2427" s="19">
        <v>1</v>
      </c>
      <c r="AG2427" s="19">
        <v>7.6715999999999998</v>
      </c>
      <c r="AI2427" s="19">
        <v>8.75</v>
      </c>
      <c r="AK2427" s="19">
        <v>24.520199999999999</v>
      </c>
      <c r="AM2427" s="19">
        <v>35.796900000000001</v>
      </c>
      <c r="AO2427" s="19">
        <v>6.7904</v>
      </c>
    </row>
    <row r="2428" spans="2:41" x14ac:dyDescent="0.25">
      <c r="B2428" s="21">
        <v>44713</v>
      </c>
      <c r="C2428" s="27">
        <v>19.693999999999999</v>
      </c>
      <c r="E2428" s="27">
        <v>0.93535400000000002</v>
      </c>
      <c r="G2428" s="27">
        <v>120.25137100000001</v>
      </c>
      <c r="I2428" s="27">
        <v>6.881678</v>
      </c>
      <c r="K2428" s="27">
        <v>4.762956</v>
      </c>
      <c r="M2428" s="27">
        <v>824.38116400000001</v>
      </c>
      <c r="O2428" s="27">
        <v>3915.1250719999998</v>
      </c>
      <c r="Q2428" s="27">
        <v>6875.2665319999996</v>
      </c>
      <c r="S2428" s="27">
        <v>1443.497652</v>
      </c>
      <c r="U2428" s="27">
        <v>3.6806540000000001</v>
      </c>
      <c r="W2428" s="27">
        <v>39.861235000000001</v>
      </c>
      <c r="Y2428" s="27">
        <v>8.3690499999999997</v>
      </c>
      <c r="AA2428" s="27">
        <v>676.36851000000001</v>
      </c>
      <c r="AC2428" s="27">
        <v>55.074461999999997</v>
      </c>
      <c r="AE2428" s="27">
        <v>1</v>
      </c>
      <c r="AG2428" s="27">
        <v>7.6734819999999999</v>
      </c>
      <c r="AI2428" s="27">
        <v>8.75</v>
      </c>
      <c r="AK2428" s="27">
        <v>24.533684000000001</v>
      </c>
      <c r="AM2428" s="27">
        <v>35.790996</v>
      </c>
      <c r="AO2428" s="27">
        <v>6.7717640000000001</v>
      </c>
    </row>
    <row r="2429" spans="2:41" x14ac:dyDescent="0.25">
      <c r="B2429" s="21">
        <v>44714</v>
      </c>
      <c r="C2429" s="27">
        <v>19.738800000000001</v>
      </c>
      <c r="E2429" s="27">
        <v>0.93445699999999998</v>
      </c>
      <c r="G2429" s="27">
        <v>120.386481</v>
      </c>
      <c r="I2429" s="27">
        <v>6.8996050000000002</v>
      </c>
      <c r="K2429" s="27">
        <v>4.804411</v>
      </c>
      <c r="M2429" s="27">
        <v>819.00567000000001</v>
      </c>
      <c r="O2429" s="27">
        <v>3802.4789179999998</v>
      </c>
      <c r="Q2429" s="27">
        <v>6878.1736529999998</v>
      </c>
      <c r="S2429" s="27">
        <v>1431.646976</v>
      </c>
      <c r="U2429" s="27">
        <v>3.7098439999999999</v>
      </c>
      <c r="W2429" s="27">
        <v>40.036256000000002</v>
      </c>
      <c r="Y2429" s="27">
        <v>8.3332660000000001</v>
      </c>
      <c r="AA2429" s="27">
        <v>679.37325999999996</v>
      </c>
      <c r="AC2429" s="27">
        <v>55.271256000000001</v>
      </c>
      <c r="AE2429" s="27">
        <v>1</v>
      </c>
      <c r="AG2429" s="27">
        <v>7.7044569999999997</v>
      </c>
      <c r="AI2429" s="27">
        <v>8.75</v>
      </c>
      <c r="AK2429" s="27">
        <v>24.642605</v>
      </c>
      <c r="AM2429" s="27">
        <v>35.933736000000003</v>
      </c>
      <c r="AO2429" s="27">
        <v>6.7878379999999998</v>
      </c>
    </row>
    <row r="2430" spans="2:41" x14ac:dyDescent="0.25">
      <c r="B2430" s="21">
        <v>44715</v>
      </c>
      <c r="C2430" s="27">
        <v>19.558499999999999</v>
      </c>
      <c r="E2430" s="27">
        <v>0.93136399999999997</v>
      </c>
      <c r="G2430" s="27">
        <v>120.37862</v>
      </c>
      <c r="I2430" s="27">
        <v>6.8783820000000002</v>
      </c>
      <c r="K2430" s="27">
        <v>4.7921579999999997</v>
      </c>
      <c r="M2430" s="27">
        <v>813.02726600000005</v>
      </c>
      <c r="O2430" s="27">
        <v>3775.4058239999999</v>
      </c>
      <c r="Q2430" s="27">
        <v>6845.3213919999998</v>
      </c>
      <c r="S2430" s="27">
        <v>1428.452074</v>
      </c>
      <c r="U2430" s="27">
        <v>3.705892</v>
      </c>
      <c r="W2430" s="27">
        <v>39.943010000000001</v>
      </c>
      <c r="Y2430" s="27">
        <v>8.3351179999999996</v>
      </c>
      <c r="AA2430" s="27">
        <v>681.91712500000006</v>
      </c>
      <c r="AC2430" s="27">
        <v>55.093317999999996</v>
      </c>
      <c r="AE2430" s="27">
        <v>1</v>
      </c>
      <c r="AG2430" s="27">
        <v>7.6854940000000003</v>
      </c>
      <c r="AI2430" s="27">
        <v>8.75</v>
      </c>
      <c r="AK2430" s="27">
        <v>24.552398</v>
      </c>
      <c r="AM2430" s="27">
        <v>35.735118</v>
      </c>
      <c r="AO2430" s="27">
        <v>6.7714319999999999</v>
      </c>
    </row>
    <row r="2431" spans="2:41" x14ac:dyDescent="0.25">
      <c r="B2431" s="21">
        <v>44716</v>
      </c>
      <c r="C2431" s="27">
        <v>19.558499999999999</v>
      </c>
      <c r="E2431" s="27">
        <v>0.93289200000000005</v>
      </c>
      <c r="G2431" s="27">
        <v>120.663426</v>
      </c>
      <c r="I2431" s="27">
        <v>6.8874630000000003</v>
      </c>
      <c r="K2431" s="27">
        <v>4.7743900000000004</v>
      </c>
      <c r="M2431" s="27">
        <v>812.07749999999999</v>
      </c>
      <c r="O2431" s="27">
        <v>3772.6875</v>
      </c>
      <c r="Q2431" s="27">
        <v>6850.1208980000001</v>
      </c>
      <c r="S2431" s="27">
        <v>1434.7743459999999</v>
      </c>
      <c r="U2431" s="27">
        <v>3.7049979999999998</v>
      </c>
      <c r="W2431" s="27">
        <v>40.043886000000001</v>
      </c>
      <c r="Y2431" s="27">
        <v>8.3872730000000004</v>
      </c>
      <c r="AA2431" s="27">
        <v>683.03293499999995</v>
      </c>
      <c r="AC2431" s="27">
        <v>55.192500000000003</v>
      </c>
      <c r="AE2431" s="27">
        <v>1</v>
      </c>
      <c r="AG2431" s="27">
        <v>7.6975480000000003</v>
      </c>
      <c r="AI2431" s="27">
        <v>8.75</v>
      </c>
      <c r="AK2431" s="27">
        <v>24.571549999999998</v>
      </c>
      <c r="AM2431" s="27">
        <v>35.819749999999999</v>
      </c>
      <c r="AO2431" s="27">
        <v>6.7808260000000002</v>
      </c>
    </row>
    <row r="2432" spans="2:41" x14ac:dyDescent="0.25">
      <c r="B2432" s="21">
        <v>44717</v>
      </c>
      <c r="C2432" s="27">
        <v>19.558499999999999</v>
      </c>
      <c r="E2432" s="27">
        <v>0.93286000000000002</v>
      </c>
      <c r="G2432" s="27">
        <v>120.66118400000001</v>
      </c>
      <c r="I2432" s="27">
        <v>6.8878000000000004</v>
      </c>
      <c r="K2432" s="27">
        <v>4.774661</v>
      </c>
      <c r="M2432" s="27">
        <v>812.07740999999999</v>
      </c>
      <c r="O2432" s="27">
        <v>3773.15726</v>
      </c>
      <c r="Q2432" s="27">
        <v>6850.2872010000001</v>
      </c>
      <c r="S2432" s="27">
        <v>1434.727478</v>
      </c>
      <c r="U2432" s="27">
        <v>3.7054</v>
      </c>
      <c r="W2432" s="27">
        <v>40.044589999999999</v>
      </c>
      <c r="Y2432" s="27">
        <v>8.3869439999999997</v>
      </c>
      <c r="AA2432" s="27">
        <v>683.064842</v>
      </c>
      <c r="AC2432" s="27">
        <v>55.193838</v>
      </c>
      <c r="AE2432" s="27">
        <v>1</v>
      </c>
      <c r="AG2432" s="27">
        <v>7.6978569999999999</v>
      </c>
      <c r="AI2432" s="27">
        <v>8.75</v>
      </c>
      <c r="AK2432" s="27">
        <v>24.573581000000001</v>
      </c>
      <c r="AM2432" s="27">
        <v>35.824506</v>
      </c>
      <c r="AO2432" s="27">
        <v>6.7810920000000001</v>
      </c>
    </row>
    <row r="2433" spans="2:41" x14ac:dyDescent="0.25">
      <c r="B2433" s="21">
        <v>44718</v>
      </c>
      <c r="C2433" s="27">
        <v>19.574200000000001</v>
      </c>
      <c r="E2433" s="27">
        <v>0.93330999999999997</v>
      </c>
      <c r="G2433" s="27">
        <v>120.85704200000001</v>
      </c>
      <c r="I2433" s="27">
        <v>6.8886240000000001</v>
      </c>
      <c r="K2433" s="27">
        <v>4.783296</v>
      </c>
      <c r="M2433" s="27">
        <v>815.51516800000002</v>
      </c>
      <c r="O2433" s="27">
        <v>3787.358076</v>
      </c>
      <c r="Q2433" s="27">
        <v>6849.2933350000003</v>
      </c>
      <c r="S2433" s="27">
        <v>1431.928784</v>
      </c>
      <c r="U2433" s="27">
        <v>3.7194099999999999</v>
      </c>
      <c r="W2433" s="27">
        <v>40.037320999999999</v>
      </c>
      <c r="Y2433" s="27">
        <v>8.3702760000000005</v>
      </c>
      <c r="AA2433" s="27">
        <v>683.56884600000001</v>
      </c>
      <c r="AC2433" s="27">
        <v>55.194042000000003</v>
      </c>
      <c r="AE2433" s="27">
        <v>1</v>
      </c>
      <c r="AG2433" s="27">
        <v>7.7038019999999996</v>
      </c>
      <c r="AI2433" s="27">
        <v>8.75</v>
      </c>
      <c r="AK2433" s="27">
        <v>24.598922000000002</v>
      </c>
      <c r="AM2433" s="27">
        <v>35.880830000000003</v>
      </c>
      <c r="AO2433" s="27">
        <v>6.7879300000000002</v>
      </c>
    </row>
    <row r="2434" spans="2:41" x14ac:dyDescent="0.25">
      <c r="B2434" s="21">
        <v>44719</v>
      </c>
      <c r="C2434" s="27">
        <v>19.5547</v>
      </c>
      <c r="E2434" s="27">
        <v>0.93556499999999998</v>
      </c>
      <c r="G2434" s="27">
        <v>121.158204</v>
      </c>
      <c r="I2434" s="27">
        <v>6.892944</v>
      </c>
      <c r="K2434" s="27">
        <v>4.8354039999999996</v>
      </c>
      <c r="M2434" s="27">
        <v>825.06806800000004</v>
      </c>
      <c r="O2434" s="27">
        <v>3792.4276749999999</v>
      </c>
      <c r="Q2434" s="27">
        <v>6850.584597</v>
      </c>
      <c r="S2434" s="27">
        <v>1416.765484</v>
      </c>
      <c r="U2434" s="27">
        <v>3.7373989999999999</v>
      </c>
      <c r="W2434" s="27">
        <v>39.990614999999998</v>
      </c>
      <c r="Y2434" s="27">
        <v>8.2704140000000006</v>
      </c>
      <c r="AA2434" s="27">
        <v>684.66074600000002</v>
      </c>
      <c r="AC2434" s="27">
        <v>55.271951000000001</v>
      </c>
      <c r="AE2434" s="27">
        <v>1</v>
      </c>
      <c r="AG2434" s="27">
        <v>7.712726</v>
      </c>
      <c r="AI2434" s="27">
        <v>8.75</v>
      </c>
      <c r="AK2434" s="27">
        <v>24.61308</v>
      </c>
      <c r="AM2434" s="27">
        <v>35.900193000000002</v>
      </c>
      <c r="AO2434" s="27">
        <v>6.7949450000000002</v>
      </c>
    </row>
    <row r="2435" spans="2:41" x14ac:dyDescent="0.25">
      <c r="B2435" s="21">
        <v>44720</v>
      </c>
      <c r="C2435" s="27">
        <v>19.599799999999998</v>
      </c>
      <c r="E2435" s="27">
        <v>0.93370500000000001</v>
      </c>
      <c r="G2435" s="27">
        <v>121.359409</v>
      </c>
      <c r="I2435" s="27">
        <v>6.8774600000000001</v>
      </c>
      <c r="K2435" s="27">
        <v>4.8787219999999998</v>
      </c>
      <c r="M2435" s="27">
        <v>823.49992199999997</v>
      </c>
      <c r="O2435" s="27">
        <v>3790.553422</v>
      </c>
      <c r="Q2435" s="27">
        <v>6830.7635330000003</v>
      </c>
      <c r="S2435" s="27">
        <v>1400.123167</v>
      </c>
      <c r="U2435" s="27">
        <v>3.7428340000000002</v>
      </c>
      <c r="W2435" s="27">
        <v>39.743662</v>
      </c>
      <c r="Y2435" s="27">
        <v>8.1463640000000002</v>
      </c>
      <c r="AA2435" s="27">
        <v>682.86091299999998</v>
      </c>
      <c r="AC2435" s="27">
        <v>55.044944999999998</v>
      </c>
      <c r="AE2435" s="27">
        <v>1</v>
      </c>
      <c r="AG2435" s="27">
        <v>7.7000260000000003</v>
      </c>
      <c r="AI2435" s="27">
        <v>8.75</v>
      </c>
      <c r="AK2435" s="27">
        <v>24.546306000000001</v>
      </c>
      <c r="AM2435" s="27">
        <v>35.812710000000003</v>
      </c>
      <c r="AO2435" s="27">
        <v>6.7810040000000003</v>
      </c>
    </row>
    <row r="2436" spans="2:41" x14ac:dyDescent="0.25">
      <c r="B2436" s="21">
        <v>44721</v>
      </c>
      <c r="C2436" s="27">
        <v>19.59</v>
      </c>
      <c r="E2436" s="27">
        <v>0.93608599999999997</v>
      </c>
      <c r="G2436" s="27">
        <v>121.51921</v>
      </c>
      <c r="I2436" s="27">
        <v>6.8793259999999998</v>
      </c>
      <c r="K2436" s="27">
        <v>4.8988079999999998</v>
      </c>
      <c r="M2436" s="27">
        <v>824.01474099999996</v>
      </c>
      <c r="O2436" s="27">
        <v>3817.9635360000002</v>
      </c>
      <c r="Q2436" s="27">
        <v>6829.3614969999999</v>
      </c>
      <c r="S2436" s="27">
        <v>1394.096135</v>
      </c>
      <c r="U2436" s="27">
        <v>3.7540460000000002</v>
      </c>
      <c r="W2436" s="27">
        <v>39.659779999999998</v>
      </c>
      <c r="Y2436" s="27">
        <v>8.0958389999999998</v>
      </c>
      <c r="AA2436" s="27">
        <v>682.62288000000001</v>
      </c>
      <c r="AC2436" s="27">
        <v>55.125807000000002</v>
      </c>
      <c r="AE2436" s="27">
        <v>1</v>
      </c>
      <c r="AG2436" s="27">
        <v>7.713184</v>
      </c>
      <c r="AI2436" s="27">
        <v>8.75</v>
      </c>
      <c r="AK2436" s="27">
        <v>24.572519</v>
      </c>
      <c r="AM2436" s="27">
        <v>35.835748000000002</v>
      </c>
      <c r="AO2436" s="27">
        <v>6.7900479999999996</v>
      </c>
    </row>
    <row r="2437" spans="2:41" x14ac:dyDescent="0.25">
      <c r="B2437" s="21">
        <v>44722</v>
      </c>
      <c r="C2437" s="27">
        <v>19.6128</v>
      </c>
      <c r="E2437" s="27">
        <v>0.94589000000000001</v>
      </c>
      <c r="G2437" s="27">
        <v>121.68892200000001</v>
      </c>
      <c r="I2437" s="27">
        <v>6.8958979999999999</v>
      </c>
      <c r="K2437" s="27">
        <v>4.9428419999999997</v>
      </c>
      <c r="M2437" s="27">
        <v>833.56845299999998</v>
      </c>
      <c r="O2437" s="27">
        <v>3880.9329990000001</v>
      </c>
      <c r="Q2437" s="27">
        <v>6859.2395029999998</v>
      </c>
      <c r="S2437" s="27">
        <v>1387.7205059999999</v>
      </c>
      <c r="U2437" s="27">
        <v>3.7704330000000001</v>
      </c>
      <c r="W2437" s="27">
        <v>39.729517999999999</v>
      </c>
      <c r="Y2437" s="27">
        <v>8.0378260000000008</v>
      </c>
      <c r="AA2437" s="27">
        <v>686.08934399999998</v>
      </c>
      <c r="AC2437" s="27">
        <v>55.34301</v>
      </c>
      <c r="AE2437" s="27">
        <v>1</v>
      </c>
      <c r="AG2437" s="27">
        <v>7.7373329999999996</v>
      </c>
      <c r="AI2437" s="27">
        <v>8.75</v>
      </c>
      <c r="AK2437" s="27">
        <v>24.623363999999999</v>
      </c>
      <c r="AM2437" s="27">
        <v>35.889172000000002</v>
      </c>
      <c r="AO2437" s="27">
        <v>6.8082050000000001</v>
      </c>
    </row>
    <row r="2438" spans="2:41" x14ac:dyDescent="0.25">
      <c r="B2438" s="21">
        <v>44723</v>
      </c>
      <c r="C2438" s="27">
        <v>19.6128</v>
      </c>
      <c r="E2438" s="27">
        <v>0.95053399999999999</v>
      </c>
      <c r="G2438" s="27">
        <v>121.80427400000001</v>
      </c>
      <c r="I2438" s="27">
        <v>6.8880319999999999</v>
      </c>
      <c r="K2438" s="27">
        <v>4.9870000000000001</v>
      </c>
      <c r="M2438" s="27">
        <v>844.63</v>
      </c>
      <c r="O2438" s="27">
        <v>3932.5524999999998</v>
      </c>
      <c r="Q2438" s="27">
        <v>6863.4391960000003</v>
      </c>
      <c r="S2438" s="27">
        <v>1376.2736259999999</v>
      </c>
      <c r="U2438" s="27">
        <v>3.7734999999999999</v>
      </c>
      <c r="W2438" s="27">
        <v>39.458474000000002</v>
      </c>
      <c r="Y2438" s="27">
        <v>7.9123000000000001</v>
      </c>
      <c r="AA2438" s="27">
        <v>686.90973799999995</v>
      </c>
      <c r="AC2438" s="27">
        <v>55.147500000000001</v>
      </c>
      <c r="AE2438" s="27">
        <v>1</v>
      </c>
      <c r="AG2438" s="27">
        <v>7.7283520000000001</v>
      </c>
      <c r="AI2438" s="27">
        <v>8.75</v>
      </c>
      <c r="AK2438" s="27">
        <v>24.557497999999999</v>
      </c>
      <c r="AM2438" s="27">
        <v>35.789749999999998</v>
      </c>
      <c r="AO2438" s="27">
        <v>6.7992619999999997</v>
      </c>
    </row>
    <row r="2439" spans="2:41" x14ac:dyDescent="0.25">
      <c r="B2439" s="21">
        <v>44724</v>
      </c>
      <c r="C2439" s="27">
        <v>19.6128</v>
      </c>
      <c r="E2439" s="27">
        <v>0.95065999999999995</v>
      </c>
      <c r="G2439" s="27">
        <v>121.896829</v>
      </c>
      <c r="I2439" s="27">
        <v>6.8896860000000002</v>
      </c>
      <c r="K2439" s="27">
        <v>4.9869940000000001</v>
      </c>
      <c r="M2439" s="27">
        <v>844.63671799999997</v>
      </c>
      <c r="O2439" s="27">
        <v>3933.22955</v>
      </c>
      <c r="Q2439" s="27">
        <v>6865.0899600000002</v>
      </c>
      <c r="S2439" s="27">
        <v>1376.6068479999999</v>
      </c>
      <c r="U2439" s="27">
        <v>3.7741959999999999</v>
      </c>
      <c r="W2439" s="27">
        <v>39.476444000000001</v>
      </c>
      <c r="Y2439" s="27">
        <v>7.9159160000000002</v>
      </c>
      <c r="AA2439" s="27">
        <v>687.07480399999997</v>
      </c>
      <c r="AC2439" s="27">
        <v>55.159129</v>
      </c>
      <c r="AE2439" s="27">
        <v>1</v>
      </c>
      <c r="AG2439" s="27">
        <v>7.7311379999999996</v>
      </c>
      <c r="AI2439" s="27">
        <v>8.75</v>
      </c>
      <c r="AK2439" s="27">
        <v>24.566027999999999</v>
      </c>
      <c r="AM2439" s="27">
        <v>35.795350999999997</v>
      </c>
      <c r="AO2439" s="27">
        <v>6.8008959999999998</v>
      </c>
    </row>
    <row r="2440" spans="2:41" x14ac:dyDescent="0.25">
      <c r="B2440" s="21">
        <v>44725</v>
      </c>
      <c r="C2440" s="27">
        <v>19.9297</v>
      </c>
      <c r="E2440" s="27">
        <v>0.95650500000000005</v>
      </c>
      <c r="G2440" s="27">
        <v>122.26227400000001</v>
      </c>
      <c r="I2440" s="27">
        <v>6.9140480000000002</v>
      </c>
      <c r="K2440" s="27">
        <v>5.0455480000000001</v>
      </c>
      <c r="M2440" s="27">
        <v>853.58106599999996</v>
      </c>
      <c r="O2440" s="27">
        <v>3965.5245650000002</v>
      </c>
      <c r="Q2440" s="27">
        <v>6891.204667</v>
      </c>
      <c r="S2440" s="27">
        <v>1365.8083340000001</v>
      </c>
      <c r="U2440" s="27">
        <v>3.7799900000000002</v>
      </c>
      <c r="W2440" s="27">
        <v>39.632483999999998</v>
      </c>
      <c r="Y2440" s="27">
        <v>7.854978</v>
      </c>
      <c r="AA2440" s="27">
        <v>690.49122399999999</v>
      </c>
      <c r="AC2440" s="27">
        <v>55.313772</v>
      </c>
      <c r="AE2440" s="27">
        <v>1</v>
      </c>
      <c r="AG2440" s="27">
        <v>7.7644419999999998</v>
      </c>
      <c r="AI2440" s="27">
        <v>8.75</v>
      </c>
      <c r="AK2440" s="27">
        <v>24.729355999999999</v>
      </c>
      <c r="AM2440" s="27">
        <v>35.923774999999999</v>
      </c>
      <c r="AO2440" s="27">
        <v>6.8293460000000001</v>
      </c>
    </row>
    <row r="2441" spans="2:41" x14ac:dyDescent="0.25">
      <c r="B2441" s="21">
        <v>44726</v>
      </c>
      <c r="C2441" s="27">
        <v>20.4527</v>
      </c>
      <c r="E2441" s="27">
        <v>0.95882800000000001</v>
      </c>
      <c r="G2441" s="27">
        <v>122.386416</v>
      </c>
      <c r="I2441" s="27">
        <v>6.8972119999999997</v>
      </c>
      <c r="K2441" s="27">
        <v>5.118906</v>
      </c>
      <c r="M2441" s="27">
        <v>865.06449699999996</v>
      </c>
      <c r="O2441" s="27">
        <v>3980.0973800000002</v>
      </c>
      <c r="Q2441" s="27">
        <v>6880.4749169999996</v>
      </c>
      <c r="S2441" s="27">
        <v>1344.1389799999999</v>
      </c>
      <c r="U2441" s="27">
        <v>3.7810139999999999</v>
      </c>
      <c r="W2441" s="27">
        <v>39.673352000000001</v>
      </c>
      <c r="Y2441" s="27">
        <v>7.7503900000000003</v>
      </c>
      <c r="AA2441" s="27">
        <v>686.94608000000005</v>
      </c>
      <c r="AC2441" s="27">
        <v>55.351478</v>
      </c>
      <c r="AE2441" s="27">
        <v>1</v>
      </c>
      <c r="AG2441" s="27">
        <v>7.7479360000000002</v>
      </c>
      <c r="AI2441" s="27">
        <v>8.75</v>
      </c>
      <c r="AK2441" s="27">
        <v>24.625935999999999</v>
      </c>
      <c r="AM2441" s="27">
        <v>35.922345999999997</v>
      </c>
      <c r="AO2441" s="27">
        <v>6.8095280000000002</v>
      </c>
    </row>
    <row r="2442" spans="2:41" x14ac:dyDescent="0.25">
      <c r="B2442" s="21">
        <v>44727</v>
      </c>
      <c r="C2442" s="27">
        <v>20.658300000000001</v>
      </c>
      <c r="E2442" s="27">
        <v>0.95764099999999996</v>
      </c>
      <c r="G2442" s="27">
        <v>122.59134299999999</v>
      </c>
      <c r="I2442" s="27">
        <v>6.8933460000000002</v>
      </c>
      <c r="K2442" s="27">
        <v>5.1007230000000003</v>
      </c>
      <c r="M2442" s="27">
        <v>864.60502799999995</v>
      </c>
      <c r="O2442" s="27">
        <v>3943.4440020000002</v>
      </c>
      <c r="Q2442" s="27">
        <v>6877.9725859999999</v>
      </c>
      <c r="S2442" s="27">
        <v>1348.44011</v>
      </c>
      <c r="U2442" s="27">
        <v>3.7585600000000001</v>
      </c>
      <c r="W2442" s="27">
        <v>39.860411999999997</v>
      </c>
      <c r="Y2442" s="27">
        <v>7.8147000000000002</v>
      </c>
      <c r="AA2442" s="27">
        <v>685.74973599999998</v>
      </c>
      <c r="AC2442" s="27">
        <v>55.038752000000002</v>
      </c>
      <c r="AE2442" s="27">
        <v>1</v>
      </c>
      <c r="AG2442" s="27">
        <v>7.7362000000000002</v>
      </c>
      <c r="AI2442" s="27">
        <v>8.75</v>
      </c>
      <c r="AK2442" s="27">
        <v>24.559605000000001</v>
      </c>
      <c r="AM2442" s="27">
        <v>35.811802</v>
      </c>
      <c r="AO2442" s="27">
        <v>6.7963740000000001</v>
      </c>
    </row>
    <row r="2443" spans="2:41" x14ac:dyDescent="0.25">
      <c r="B2443" s="21">
        <v>44728</v>
      </c>
      <c r="C2443" s="27">
        <v>20.6675</v>
      </c>
      <c r="E2443" s="27">
        <v>0.95457999999999998</v>
      </c>
      <c r="G2443" s="27">
        <v>122.790063</v>
      </c>
      <c r="I2443" s="27">
        <v>6.8964730000000003</v>
      </c>
      <c r="K2443" s="27">
        <v>5.0538660000000002</v>
      </c>
      <c r="M2443" s="27">
        <v>862.22298899999998</v>
      </c>
      <c r="O2443" s="27">
        <v>3903.9586100000001</v>
      </c>
      <c r="Q2443" s="27">
        <v>6884.7580840000001</v>
      </c>
      <c r="S2443" s="27">
        <v>1362.284766</v>
      </c>
      <c r="U2443" s="27">
        <v>3.7543959999999998</v>
      </c>
      <c r="W2443" s="27">
        <v>40.016205999999997</v>
      </c>
      <c r="Y2443" s="27">
        <v>7.9179779999999997</v>
      </c>
      <c r="AA2443" s="27">
        <v>684.93969800000002</v>
      </c>
      <c r="AC2443" s="27">
        <v>54.893644000000002</v>
      </c>
      <c r="AE2443" s="27">
        <v>1</v>
      </c>
      <c r="AG2443" s="27">
        <v>7.7462720000000003</v>
      </c>
      <c r="AI2443" s="27">
        <v>8.75</v>
      </c>
      <c r="AK2443" s="27">
        <v>24.602204</v>
      </c>
      <c r="AM2443" s="27">
        <v>35.897765999999997</v>
      </c>
      <c r="AO2443" s="27">
        <v>6.805898</v>
      </c>
    </row>
    <row r="2444" spans="2:41" x14ac:dyDescent="0.25">
      <c r="B2444" s="21">
        <v>44729</v>
      </c>
      <c r="C2444" s="27">
        <v>20.572800000000001</v>
      </c>
      <c r="E2444" s="27">
        <v>0.95198799999999995</v>
      </c>
      <c r="G2444" s="27">
        <v>122.884186</v>
      </c>
      <c r="I2444" s="27">
        <v>6.8647340000000003</v>
      </c>
      <c r="K2444" s="27">
        <v>5.0961780000000001</v>
      </c>
      <c r="M2444" s="27">
        <v>871.15898800000002</v>
      </c>
      <c r="O2444" s="27">
        <v>3900.2416199999998</v>
      </c>
      <c r="Q2444" s="27">
        <v>6849.2727480000003</v>
      </c>
      <c r="S2444" s="27">
        <v>1344.0107969999999</v>
      </c>
      <c r="U2444" s="27">
        <v>3.7316180000000001</v>
      </c>
      <c r="W2444" s="27">
        <v>39.877848</v>
      </c>
      <c r="Y2444" s="27">
        <v>7.825088</v>
      </c>
      <c r="AA2444" s="27">
        <v>682.12860799999999</v>
      </c>
      <c r="AC2444" s="27">
        <v>54.746991999999999</v>
      </c>
      <c r="AE2444" s="27">
        <v>1</v>
      </c>
      <c r="AG2444" s="27">
        <v>7.7155100000000001</v>
      </c>
      <c r="AI2444" s="27">
        <v>8.75</v>
      </c>
      <c r="AK2444" s="27">
        <v>24.493483999999999</v>
      </c>
      <c r="AM2444" s="27">
        <v>35.743360000000003</v>
      </c>
      <c r="AO2444" s="27">
        <v>6.7779400000000001</v>
      </c>
    </row>
    <row r="2445" spans="2:41" x14ac:dyDescent="0.25">
      <c r="B2445" s="21">
        <v>44730</v>
      </c>
      <c r="C2445" s="27">
        <v>20.572800000000001</v>
      </c>
      <c r="E2445" s="27">
        <v>0.95294400000000001</v>
      </c>
      <c r="G2445" s="27">
        <v>122.849458</v>
      </c>
      <c r="I2445" s="27">
        <v>6.8841099999999997</v>
      </c>
      <c r="K2445" s="27">
        <v>5.1537499999999996</v>
      </c>
      <c r="M2445" s="27">
        <v>876.64750000000004</v>
      </c>
      <c r="O2445" s="27">
        <v>3901.5425</v>
      </c>
      <c r="Q2445" s="27">
        <v>6860.9364930000002</v>
      </c>
      <c r="S2445" s="27">
        <v>1331.2606000000001</v>
      </c>
      <c r="U2445" s="27">
        <v>3.7512219999999998</v>
      </c>
      <c r="W2445" s="27">
        <v>40.075139999999998</v>
      </c>
      <c r="Y2445" s="27">
        <v>7.7759590000000003</v>
      </c>
      <c r="AA2445" s="27">
        <v>683.65876000000003</v>
      </c>
      <c r="AC2445" s="27">
        <v>54.997500000000002</v>
      </c>
      <c r="AE2445" s="27">
        <v>1</v>
      </c>
      <c r="AG2445" s="27">
        <v>7.7338620000000002</v>
      </c>
      <c r="AI2445" s="27">
        <v>8.75</v>
      </c>
      <c r="AK2445" s="27">
        <v>24.527861999999999</v>
      </c>
      <c r="AM2445" s="27">
        <v>35.804749999999999</v>
      </c>
      <c r="AO2445" s="27">
        <v>6.7937830000000003</v>
      </c>
    </row>
    <row r="2446" spans="2:41" x14ac:dyDescent="0.25">
      <c r="B2446" s="21">
        <v>44731</v>
      </c>
      <c r="C2446" s="27">
        <v>20.572800000000001</v>
      </c>
      <c r="E2446" s="27">
        <v>0.95301000000000002</v>
      </c>
      <c r="G2446" s="27">
        <v>122.905699</v>
      </c>
      <c r="I2446" s="27">
        <v>6.8844700000000003</v>
      </c>
      <c r="K2446" s="27">
        <v>5.1537360000000003</v>
      </c>
      <c r="M2446" s="27">
        <v>876.64700400000004</v>
      </c>
      <c r="O2446" s="27">
        <v>3901.7840759999999</v>
      </c>
      <c r="Q2446" s="27">
        <v>6861.2055140000002</v>
      </c>
      <c r="S2446" s="27">
        <v>1331.31629</v>
      </c>
      <c r="U2446" s="27">
        <v>3.7494900000000002</v>
      </c>
      <c r="W2446" s="27">
        <v>40.075139999999998</v>
      </c>
      <c r="Y2446" s="27">
        <v>7.7759799999999997</v>
      </c>
      <c r="AA2446" s="27">
        <v>683.68429200000003</v>
      </c>
      <c r="AC2446" s="27">
        <v>54.990332000000002</v>
      </c>
      <c r="AE2446" s="27">
        <v>1</v>
      </c>
      <c r="AG2446" s="27">
        <v>7.7345329999999999</v>
      </c>
      <c r="AI2446" s="27">
        <v>8.75</v>
      </c>
      <c r="AK2446" s="27">
        <v>24.531673000000001</v>
      </c>
      <c r="AM2446" s="27">
        <v>35.811135999999998</v>
      </c>
      <c r="AO2446" s="27">
        <v>6.7941330000000004</v>
      </c>
    </row>
    <row r="2447" spans="2:41" x14ac:dyDescent="0.25">
      <c r="B2447" s="21">
        <v>44732</v>
      </c>
      <c r="C2447" s="27">
        <v>20.475999999999999</v>
      </c>
      <c r="E2447" s="27">
        <v>0.950739</v>
      </c>
      <c r="G2447" s="27">
        <v>122.90895999999999</v>
      </c>
      <c r="I2447" s="27">
        <v>6.8872619999999998</v>
      </c>
      <c r="K2447" s="27">
        <v>5.1627320000000001</v>
      </c>
      <c r="M2447" s="27">
        <v>879.17924000000005</v>
      </c>
      <c r="O2447" s="27">
        <v>3905.3717860000002</v>
      </c>
      <c r="Q2447" s="27">
        <v>6865.279552</v>
      </c>
      <c r="S2447" s="27">
        <v>1329.785265</v>
      </c>
      <c r="U2447" s="27">
        <v>3.7225350000000001</v>
      </c>
      <c r="W2447" s="27">
        <v>40.108296000000003</v>
      </c>
      <c r="Y2447" s="27">
        <v>7.7688470000000001</v>
      </c>
      <c r="AA2447" s="27">
        <v>685.197676</v>
      </c>
      <c r="AC2447" s="27">
        <v>54.855690000000003</v>
      </c>
      <c r="AE2447" s="27">
        <v>1</v>
      </c>
      <c r="AG2447" s="27">
        <v>7.7449880000000002</v>
      </c>
      <c r="AI2447" s="27">
        <v>8.75</v>
      </c>
      <c r="AK2447" s="27">
        <v>24.60247</v>
      </c>
      <c r="AM2447" s="27">
        <v>35.906177999999997</v>
      </c>
      <c r="AO2447" s="27">
        <v>6.7993459999999999</v>
      </c>
    </row>
    <row r="2448" spans="2:41" x14ac:dyDescent="0.25">
      <c r="B2448" s="21">
        <v>44733</v>
      </c>
      <c r="C2448" s="27">
        <v>20.244199999999999</v>
      </c>
      <c r="E2448" s="27">
        <v>0.94869599999999998</v>
      </c>
      <c r="G2448" s="27">
        <v>123.23169</v>
      </c>
      <c r="I2448" s="27">
        <v>6.8792759999999999</v>
      </c>
      <c r="K2448" s="27">
        <v>5.1642999999999999</v>
      </c>
      <c r="M2448" s="27">
        <v>880.53794800000003</v>
      </c>
      <c r="O2448" s="27">
        <v>3933.3632360000001</v>
      </c>
      <c r="Q2448" s="27">
        <v>6864.8198160000002</v>
      </c>
      <c r="S2448" s="27">
        <v>1329.292942</v>
      </c>
      <c r="U2448" s="27">
        <v>3.7230910000000002</v>
      </c>
      <c r="W2448" s="27">
        <v>40.034869999999998</v>
      </c>
      <c r="Y2448" s="27">
        <v>7.7522700000000002</v>
      </c>
      <c r="AA2448" s="27">
        <v>685.57580700000005</v>
      </c>
      <c r="AC2448" s="27">
        <v>54.767274</v>
      </c>
      <c r="AE2448" s="27">
        <v>1</v>
      </c>
      <c r="AG2448" s="27">
        <v>7.7419159999999998</v>
      </c>
      <c r="AI2448" s="27">
        <v>8.75</v>
      </c>
      <c r="AK2448" s="27">
        <v>24.566137000000001</v>
      </c>
      <c r="AM2448" s="27">
        <v>35.839087999999997</v>
      </c>
      <c r="AO2448" s="27">
        <v>6.7934089999999996</v>
      </c>
    </row>
    <row r="2449" spans="2:41" x14ac:dyDescent="0.25">
      <c r="B2449" s="21">
        <v>44734</v>
      </c>
      <c r="C2449" s="27">
        <v>20.196300000000001</v>
      </c>
      <c r="E2449" s="27">
        <v>0.94898199999999999</v>
      </c>
      <c r="G2449" s="27">
        <v>123.755718</v>
      </c>
      <c r="I2449" s="27">
        <v>6.8908319999999996</v>
      </c>
      <c r="K2449" s="27">
        <v>5.1465500000000004</v>
      </c>
      <c r="M2449" s="27">
        <v>881.01248999999996</v>
      </c>
      <c r="O2449" s="27">
        <v>4001.668318</v>
      </c>
      <c r="Q2449" s="27">
        <v>6880.791115</v>
      </c>
      <c r="S2449" s="27">
        <v>1336.980644</v>
      </c>
      <c r="U2449" s="27">
        <v>3.733358</v>
      </c>
      <c r="W2449" s="27">
        <v>40.070376000000003</v>
      </c>
      <c r="Y2449" s="27">
        <v>7.7859059999999998</v>
      </c>
      <c r="AA2449" s="27">
        <v>688.13587199999995</v>
      </c>
      <c r="AC2449" s="27">
        <v>54.786529999999999</v>
      </c>
      <c r="AE2449" s="27">
        <v>1</v>
      </c>
      <c r="AG2449" s="27">
        <v>7.7571190000000003</v>
      </c>
      <c r="AI2449" s="27">
        <v>8.75</v>
      </c>
      <c r="AK2449" s="27">
        <v>24.599342</v>
      </c>
      <c r="AM2449" s="27">
        <v>35.886156</v>
      </c>
      <c r="AO2449" s="27">
        <v>6.8021469999999997</v>
      </c>
    </row>
    <row r="2450" spans="2:41" x14ac:dyDescent="0.25">
      <c r="B2450" s="21">
        <v>44735</v>
      </c>
      <c r="C2450" s="27">
        <v>20.046500000000002</v>
      </c>
      <c r="E2450" s="27">
        <v>0.94948900000000003</v>
      </c>
      <c r="G2450" s="27">
        <v>123.94878199999999</v>
      </c>
      <c r="I2450" s="27">
        <v>6.879092</v>
      </c>
      <c r="K2450" s="27">
        <v>5.2051179999999997</v>
      </c>
      <c r="M2450" s="27">
        <v>895.67369599999995</v>
      </c>
      <c r="O2450" s="27">
        <v>4042.339305</v>
      </c>
      <c r="Q2450" s="27">
        <v>6869.7607289999996</v>
      </c>
      <c r="S2450" s="27">
        <v>1319.8177579999999</v>
      </c>
      <c r="U2450" s="27">
        <v>3.7287159999999999</v>
      </c>
      <c r="W2450" s="27">
        <v>39.846856000000002</v>
      </c>
      <c r="Y2450" s="27">
        <v>7.6553560000000003</v>
      </c>
      <c r="AA2450" s="27">
        <v>688.139004</v>
      </c>
      <c r="AC2450" s="27">
        <v>54.527855000000002</v>
      </c>
      <c r="AE2450" s="27">
        <v>1</v>
      </c>
      <c r="AG2450" s="27">
        <v>7.7394420000000004</v>
      </c>
      <c r="AI2450" s="27">
        <v>8.75</v>
      </c>
      <c r="AK2450" s="27">
        <v>24.52056</v>
      </c>
      <c r="AM2450" s="27">
        <v>35.766936999999999</v>
      </c>
      <c r="AO2450" s="27">
        <v>6.7893520000000001</v>
      </c>
    </row>
    <row r="2451" spans="2:41" x14ac:dyDescent="0.25">
      <c r="B2451" s="21">
        <v>44736</v>
      </c>
      <c r="C2451" s="27">
        <v>20.0365</v>
      </c>
      <c r="E2451" s="27">
        <v>0.94870200000000005</v>
      </c>
      <c r="G2451" s="27">
        <v>124.158635</v>
      </c>
      <c r="I2451" s="27">
        <v>6.8827980000000002</v>
      </c>
      <c r="K2451" s="27">
        <v>5.2399529999999999</v>
      </c>
      <c r="M2451" s="27">
        <v>909.29683</v>
      </c>
      <c r="O2451" s="27">
        <v>4103.8842670000004</v>
      </c>
      <c r="Q2451" s="27">
        <v>6878.8109189999996</v>
      </c>
      <c r="S2451" s="27">
        <v>1312.7705550000001</v>
      </c>
      <c r="U2451" s="27">
        <v>3.7394449999999999</v>
      </c>
      <c r="W2451" s="27">
        <v>39.810589999999998</v>
      </c>
      <c r="Y2451" s="27">
        <v>7.5975419999999998</v>
      </c>
      <c r="AA2451" s="27">
        <v>690.24877800000002</v>
      </c>
      <c r="AC2451" s="27">
        <v>54.550891</v>
      </c>
      <c r="AE2451" s="27">
        <v>1</v>
      </c>
      <c r="AG2451" s="27">
        <v>7.7475259999999997</v>
      </c>
      <c r="AI2451" s="27">
        <v>8.75</v>
      </c>
      <c r="AK2451" s="27">
        <v>24.543331999999999</v>
      </c>
      <c r="AM2451" s="27">
        <v>35.838365000000003</v>
      </c>
      <c r="AO2451" s="27">
        <v>6.7944820000000004</v>
      </c>
    </row>
    <row r="2452" spans="2:41" x14ac:dyDescent="0.25">
      <c r="B2452" s="21">
        <v>44737</v>
      </c>
      <c r="C2452" s="27">
        <v>20.0365</v>
      </c>
      <c r="E2452" s="27">
        <v>0.94729699999999994</v>
      </c>
      <c r="G2452" s="27">
        <v>124.221193</v>
      </c>
      <c r="I2452" s="27">
        <v>6.886298</v>
      </c>
      <c r="K2452" s="27">
        <v>5.2435700000000001</v>
      </c>
      <c r="M2452" s="27">
        <v>917.87</v>
      </c>
      <c r="O2452" s="27">
        <v>4137.9775</v>
      </c>
      <c r="Q2452" s="27">
        <v>6878.6421499999997</v>
      </c>
      <c r="S2452" s="27">
        <v>1311.8334930000001</v>
      </c>
      <c r="U2452" s="27">
        <v>3.7652480000000002</v>
      </c>
      <c r="W2452" s="27">
        <v>39.803607999999997</v>
      </c>
      <c r="Y2452" s="27">
        <v>7.5909779999999998</v>
      </c>
      <c r="AA2452" s="27">
        <v>690.80100800000002</v>
      </c>
      <c r="AC2452" s="27">
        <v>54.572499999999998</v>
      </c>
      <c r="AE2452" s="27">
        <v>1</v>
      </c>
      <c r="AG2452" s="27">
        <v>7.7515539999999996</v>
      </c>
      <c r="AI2452" s="27">
        <v>8.75</v>
      </c>
      <c r="AK2452" s="27">
        <v>24.534998000000002</v>
      </c>
      <c r="AM2452" s="27">
        <v>35.854750000000003</v>
      </c>
      <c r="AO2452" s="27">
        <v>6.7979599999999998</v>
      </c>
    </row>
    <row r="2453" spans="2:41" x14ac:dyDescent="0.25">
      <c r="B2453" s="21">
        <v>44738</v>
      </c>
      <c r="C2453" s="27">
        <v>20.0365</v>
      </c>
      <c r="E2453" s="27">
        <v>0.94725599999999999</v>
      </c>
      <c r="G2453" s="27">
        <v>124.21916</v>
      </c>
      <c r="I2453" s="27">
        <v>6.8862779999999999</v>
      </c>
      <c r="K2453" s="27">
        <v>5.2435660000000004</v>
      </c>
      <c r="M2453" s="27">
        <v>917.86810100000002</v>
      </c>
      <c r="O2453" s="27">
        <v>4138.005674</v>
      </c>
      <c r="Q2453" s="27">
        <v>6878.6178550000004</v>
      </c>
      <c r="S2453" s="27">
        <v>1311.8297110000001</v>
      </c>
      <c r="U2453" s="27">
        <v>3.7666719999999998</v>
      </c>
      <c r="W2453" s="27">
        <v>39.812286</v>
      </c>
      <c r="Y2453" s="27">
        <v>7.5926369999999999</v>
      </c>
      <c r="AA2453" s="27">
        <v>690.79058599999996</v>
      </c>
      <c r="AC2453" s="27">
        <v>54.572648000000001</v>
      </c>
      <c r="AE2453" s="27">
        <v>1</v>
      </c>
      <c r="AG2453" s="27">
        <v>7.7515219999999996</v>
      </c>
      <c r="AI2453" s="27">
        <v>8.75</v>
      </c>
      <c r="AK2453" s="27">
        <v>24.535056999999998</v>
      </c>
      <c r="AM2453" s="27">
        <v>35.854806000000004</v>
      </c>
      <c r="AO2453" s="27">
        <v>6.7979419999999999</v>
      </c>
    </row>
    <row r="2454" spans="2:41" x14ac:dyDescent="0.25">
      <c r="B2454" s="21">
        <v>44739</v>
      </c>
      <c r="C2454" s="27">
        <v>19.870699999999999</v>
      </c>
      <c r="E2454" s="27">
        <v>0.945465</v>
      </c>
      <c r="G2454" s="27">
        <v>124.35571</v>
      </c>
      <c r="I2454" s="27">
        <v>6.8762119999999998</v>
      </c>
      <c r="K2454" s="27">
        <v>5.2368959999999998</v>
      </c>
      <c r="M2454" s="27">
        <v>919.31921799999998</v>
      </c>
      <c r="O2454" s="27">
        <v>4136.6351240000004</v>
      </c>
      <c r="Q2454" s="27">
        <v>6869.686283</v>
      </c>
      <c r="S2454" s="27">
        <v>1311.794877</v>
      </c>
      <c r="U2454" s="27">
        <v>3.7774939999999999</v>
      </c>
      <c r="W2454" s="27">
        <v>39.754804999999998</v>
      </c>
      <c r="Y2454" s="27">
        <v>7.5913259999999996</v>
      </c>
      <c r="AA2454" s="27">
        <v>690.19268399999999</v>
      </c>
      <c r="AC2454" s="27">
        <v>54.509146999999999</v>
      </c>
      <c r="AE2454" s="27">
        <v>1</v>
      </c>
      <c r="AG2454" s="27">
        <v>7.7463170000000003</v>
      </c>
      <c r="AI2454" s="27">
        <v>8.75</v>
      </c>
      <c r="AK2454" s="27">
        <v>24.544152</v>
      </c>
      <c r="AM2454" s="27">
        <v>35.826858000000001</v>
      </c>
      <c r="AO2454" s="27">
        <v>6.7920600000000002</v>
      </c>
    </row>
    <row r="2455" spans="2:41" x14ac:dyDescent="0.25">
      <c r="B2455" s="21">
        <v>44740</v>
      </c>
      <c r="C2455" s="27">
        <v>19.8797</v>
      </c>
      <c r="E2455" s="27">
        <v>0.94745299999999999</v>
      </c>
      <c r="G2455" s="27">
        <v>124.76056</v>
      </c>
      <c r="I2455" s="27">
        <v>6.8824899999999998</v>
      </c>
      <c r="K2455" s="27">
        <v>5.243722</v>
      </c>
      <c r="M2455" s="27">
        <v>916.24741200000005</v>
      </c>
      <c r="O2455" s="27">
        <v>4121.6912039999997</v>
      </c>
      <c r="Q2455" s="27">
        <v>6871.5043299999998</v>
      </c>
      <c r="S2455" s="27">
        <v>1310.4334719999999</v>
      </c>
      <c r="U2455" s="27">
        <v>3.7813699999999999</v>
      </c>
      <c r="W2455" s="27">
        <v>39.684559999999998</v>
      </c>
      <c r="Y2455" s="27">
        <v>7.5680459999999998</v>
      </c>
      <c r="AA2455" s="27">
        <v>689.65605700000003</v>
      </c>
      <c r="AC2455" s="27">
        <v>54.502375000000001</v>
      </c>
      <c r="AE2455" s="27">
        <v>1</v>
      </c>
      <c r="AG2455" s="27">
        <v>7.7539639999999999</v>
      </c>
      <c r="AI2455" s="27">
        <v>8.75</v>
      </c>
      <c r="AK2455" s="27">
        <v>24.586286999999999</v>
      </c>
      <c r="AM2455" s="27">
        <v>35.87144</v>
      </c>
      <c r="AO2455" s="27">
        <v>6.7942200000000001</v>
      </c>
    </row>
    <row r="2456" spans="2:41" x14ac:dyDescent="0.25">
      <c r="B2456" s="21">
        <v>44741</v>
      </c>
      <c r="C2456" s="27">
        <v>19.9847</v>
      </c>
      <c r="E2456" s="27">
        <v>0.95330499999999996</v>
      </c>
      <c r="G2456" s="27">
        <v>124.95169799999999</v>
      </c>
      <c r="I2456" s="27">
        <v>6.8864409999999996</v>
      </c>
      <c r="K2456" s="27">
        <v>5.2388320000000004</v>
      </c>
      <c r="M2456" s="27">
        <v>916.750764</v>
      </c>
      <c r="O2456" s="27">
        <v>4109.25</v>
      </c>
      <c r="Q2456" s="27">
        <v>6875.211808</v>
      </c>
      <c r="S2456" s="27">
        <v>1312.364468</v>
      </c>
      <c r="U2456" s="27">
        <v>3.7901440000000002</v>
      </c>
      <c r="W2456" s="27">
        <v>39.599561999999999</v>
      </c>
      <c r="Y2456" s="27">
        <v>7.5588839999999999</v>
      </c>
      <c r="AA2456" s="27">
        <v>689.80197799999996</v>
      </c>
      <c r="AC2456" s="27">
        <v>54.638928</v>
      </c>
      <c r="AE2456" s="27">
        <v>1</v>
      </c>
      <c r="AG2456" s="27">
        <v>7.759036</v>
      </c>
      <c r="AI2456" s="27">
        <v>8.75</v>
      </c>
      <c r="AK2456" s="27">
        <v>24.625450000000001</v>
      </c>
      <c r="AM2456" s="27">
        <v>35.926107999999999</v>
      </c>
      <c r="AO2456" s="27">
        <v>6.8028979999999999</v>
      </c>
    </row>
    <row r="2457" spans="2:41" x14ac:dyDescent="0.25">
      <c r="B2457" s="21">
        <v>44742</v>
      </c>
      <c r="C2457" s="27">
        <v>20.144300000000001</v>
      </c>
      <c r="E2457" s="27">
        <v>0.95690900000000001</v>
      </c>
      <c r="G2457" s="27">
        <v>125.124568</v>
      </c>
      <c r="I2457" s="27">
        <v>6.9043659999999996</v>
      </c>
      <c r="K2457" s="27">
        <v>5.2077499999999999</v>
      </c>
      <c r="M2457" s="27">
        <v>925.56342600000005</v>
      </c>
      <c r="O2457" s="27">
        <v>4129.3889380000001</v>
      </c>
      <c r="Q2457" s="27">
        <v>6879.7941620000001</v>
      </c>
      <c r="S2457" s="27">
        <v>1321.0774960000001</v>
      </c>
      <c r="U2457" s="27">
        <v>3.7936909999999999</v>
      </c>
      <c r="W2457" s="27">
        <v>39.514372000000002</v>
      </c>
      <c r="Y2457" s="27">
        <v>7.5876479999999997</v>
      </c>
      <c r="AA2457" s="27">
        <v>689.056194</v>
      </c>
      <c r="AC2457" s="27">
        <v>54.714350000000003</v>
      </c>
      <c r="AE2457" s="27">
        <v>1</v>
      </c>
      <c r="AG2457" s="27">
        <v>7.7736720000000004</v>
      </c>
      <c r="AI2457" s="27">
        <v>8.75</v>
      </c>
      <c r="AK2457" s="27">
        <v>24.629898000000001</v>
      </c>
      <c r="AM2457" s="27">
        <v>35.935429999999997</v>
      </c>
      <c r="AO2457" s="27">
        <v>6.8065449999999998</v>
      </c>
    </row>
    <row r="2458" spans="2:41" ht="13" x14ac:dyDescent="0.3">
      <c r="B2458" s="25" t="s">
        <v>206</v>
      </c>
      <c r="C2458" s="19">
        <v>19.988099999999999</v>
      </c>
      <c r="E2458" s="19">
        <v>0.94610000000000005</v>
      </c>
      <c r="G2458" s="19">
        <v>122.56440000000001</v>
      </c>
      <c r="I2458" s="19">
        <v>6.8874000000000004</v>
      </c>
      <c r="K2458" s="19">
        <v>5.0426000000000002</v>
      </c>
      <c r="M2458" s="19">
        <v>864.0249</v>
      </c>
      <c r="O2458" s="19">
        <v>3941.0012999999999</v>
      </c>
      <c r="Q2458" s="19">
        <v>6865.5227999999997</v>
      </c>
      <c r="S2458" s="19">
        <v>1363.0617999999999</v>
      </c>
      <c r="U2458" s="19">
        <v>3.7469000000000001</v>
      </c>
      <c r="W2458" s="19">
        <v>39.842500000000001</v>
      </c>
      <c r="Y2458" s="19">
        <v>7.9108000000000001</v>
      </c>
      <c r="AA2458" s="19">
        <v>685.75789999999995</v>
      </c>
      <c r="AC2458" s="19">
        <v>54.948099999999997</v>
      </c>
      <c r="AE2458" s="19">
        <v>1</v>
      </c>
      <c r="AG2458" s="19">
        <v>7.7309999999999999</v>
      </c>
      <c r="AI2458" s="19">
        <v>8.75</v>
      </c>
      <c r="AK2458" s="19">
        <v>24.577000000000002</v>
      </c>
      <c r="AM2458" s="19">
        <v>35.8476</v>
      </c>
      <c r="AO2458" s="19">
        <v>6.7944000000000004</v>
      </c>
    </row>
    <row r="2459" spans="2:41" x14ac:dyDescent="0.25">
      <c r="B2459" s="21">
        <v>44743</v>
      </c>
      <c r="C2459" s="27">
        <v>20.133500000000002</v>
      </c>
      <c r="E2459" s="27">
        <v>0.95814600000000005</v>
      </c>
      <c r="G2459" s="27">
        <v>125.31974099999999</v>
      </c>
      <c r="I2459" s="27">
        <v>6.8719039999999998</v>
      </c>
      <c r="K2459" s="27">
        <v>5.2856370000000004</v>
      </c>
      <c r="M2459" s="27">
        <v>924.89108599999997</v>
      </c>
      <c r="O2459" s="27">
        <v>4173.8948220000002</v>
      </c>
      <c r="Q2459" s="27">
        <v>6841.2187299999996</v>
      </c>
      <c r="S2459" s="27">
        <v>1294.3130960000001</v>
      </c>
      <c r="U2459" s="27">
        <v>3.8070059999999999</v>
      </c>
      <c r="W2459" s="27">
        <v>39.420020000000001</v>
      </c>
      <c r="Y2459" s="27">
        <v>7.4579899999999997</v>
      </c>
      <c r="AA2459" s="27">
        <v>685.43580399999996</v>
      </c>
      <c r="AC2459" s="27">
        <v>54.638295999999997</v>
      </c>
      <c r="AE2459" s="27">
        <v>1</v>
      </c>
      <c r="AG2459" s="27">
        <v>7.7437959999999997</v>
      </c>
      <c r="AI2459" s="27">
        <v>8.75</v>
      </c>
      <c r="AK2459" s="27">
        <v>24.552223999999999</v>
      </c>
      <c r="AM2459" s="27">
        <v>35.814694000000003</v>
      </c>
      <c r="AO2459" s="27">
        <v>6.7847540000000004</v>
      </c>
    </row>
    <row r="2460" spans="2:41" x14ac:dyDescent="0.25">
      <c r="B2460" s="21">
        <v>44744</v>
      </c>
      <c r="C2460" s="27">
        <v>20.133500000000002</v>
      </c>
      <c r="E2460" s="27">
        <v>0.95907600000000004</v>
      </c>
      <c r="G2460" s="27">
        <v>125.458662</v>
      </c>
      <c r="I2460" s="27">
        <v>6.8749909999999996</v>
      </c>
      <c r="K2460" s="27">
        <v>5.332268</v>
      </c>
      <c r="M2460" s="27">
        <v>932.46749999999997</v>
      </c>
      <c r="O2460" s="27">
        <v>4203.5225</v>
      </c>
      <c r="Q2460" s="27">
        <v>6844.6153940000004</v>
      </c>
      <c r="S2460" s="27">
        <v>1283.636884</v>
      </c>
      <c r="U2460" s="27">
        <v>3.836741</v>
      </c>
      <c r="W2460" s="27">
        <v>39.624707000000001</v>
      </c>
      <c r="Y2460" s="27">
        <v>7.4311829999999999</v>
      </c>
      <c r="AA2460" s="27">
        <v>685.85338000000002</v>
      </c>
      <c r="AC2460" s="27">
        <v>54.737786</v>
      </c>
      <c r="AE2460" s="27">
        <v>1</v>
      </c>
      <c r="AG2460" s="27">
        <v>7.7511039999999998</v>
      </c>
      <c r="AI2460" s="27">
        <v>8.75</v>
      </c>
      <c r="AK2460" s="27">
        <v>24.576865000000002</v>
      </c>
      <c r="AM2460" s="27">
        <v>35.849162</v>
      </c>
      <c r="AO2460" s="27">
        <v>6.7918580000000004</v>
      </c>
    </row>
    <row r="2461" spans="2:41" x14ac:dyDescent="0.25">
      <c r="B2461" s="21">
        <v>44745</v>
      </c>
      <c r="C2461" s="27">
        <v>20.133500000000002</v>
      </c>
      <c r="E2461" s="27">
        <v>0.95903499999999997</v>
      </c>
      <c r="G2461" s="27">
        <v>125.457583</v>
      </c>
      <c r="I2461" s="27">
        <v>6.8750770000000001</v>
      </c>
      <c r="K2461" s="27">
        <v>5.3322560000000001</v>
      </c>
      <c r="M2461" s="27">
        <v>932.46664099999998</v>
      </c>
      <c r="O2461" s="27">
        <v>4203.5172659999998</v>
      </c>
      <c r="Q2461" s="27">
        <v>6844.9417700000004</v>
      </c>
      <c r="S2461" s="27">
        <v>1283.700816</v>
      </c>
      <c r="U2461" s="27">
        <v>3.8354910000000002</v>
      </c>
      <c r="W2461" s="27">
        <v>39.607911999999999</v>
      </c>
      <c r="Y2461" s="27">
        <v>7.4280499999999998</v>
      </c>
      <c r="AA2461" s="27">
        <v>685.90324599999997</v>
      </c>
      <c r="AC2461" s="27">
        <v>54.736980000000003</v>
      </c>
      <c r="AE2461" s="27">
        <v>1</v>
      </c>
      <c r="AG2461" s="27">
        <v>7.751214</v>
      </c>
      <c r="AI2461" s="27">
        <v>8.75</v>
      </c>
      <c r="AK2461" s="27">
        <v>24.577262999999999</v>
      </c>
      <c r="AM2461" s="27">
        <v>35.849797000000002</v>
      </c>
      <c r="AO2461" s="27">
        <v>6.791938</v>
      </c>
    </row>
    <row r="2462" spans="2:41" x14ac:dyDescent="0.25">
      <c r="B2462" s="21">
        <v>44746</v>
      </c>
      <c r="C2462" s="27">
        <v>20.381699999999999</v>
      </c>
      <c r="E2462" s="27">
        <v>0.95849200000000001</v>
      </c>
      <c r="G2462" s="27">
        <v>125.692429</v>
      </c>
      <c r="I2462" s="27">
        <v>6.8835839999999999</v>
      </c>
      <c r="K2462" s="27">
        <v>5.3241649999999998</v>
      </c>
      <c r="M2462" s="27">
        <v>930.24165800000003</v>
      </c>
      <c r="O2462" s="27">
        <v>4204.2298199999996</v>
      </c>
      <c r="Q2462" s="27">
        <v>6849.7144580000004</v>
      </c>
      <c r="S2462" s="27">
        <v>1286.5418420000001</v>
      </c>
      <c r="U2462" s="27">
        <v>3.8399719999999999</v>
      </c>
      <c r="W2462" s="27">
        <v>39.494660000000003</v>
      </c>
      <c r="Y2462" s="27">
        <v>7.4180330000000003</v>
      </c>
      <c r="AA2462" s="27">
        <v>686.83136000000002</v>
      </c>
      <c r="AC2462" s="27">
        <v>54.792338999999998</v>
      </c>
      <c r="AE2462" s="27">
        <v>1</v>
      </c>
      <c r="AG2462" s="27">
        <v>7.7563620000000002</v>
      </c>
      <c r="AI2462" s="27">
        <v>8.75</v>
      </c>
      <c r="AK2462" s="27">
        <v>24.593235</v>
      </c>
      <c r="AM2462" s="27">
        <v>35.87435</v>
      </c>
      <c r="AO2462" s="27">
        <v>6.7949830000000002</v>
      </c>
    </row>
    <row r="2463" spans="2:41" x14ac:dyDescent="0.25">
      <c r="B2463" s="21">
        <v>44747</v>
      </c>
      <c r="C2463" s="27">
        <v>20.287700000000001</v>
      </c>
      <c r="E2463" s="27">
        <v>0.96843000000000001</v>
      </c>
      <c r="G2463" s="27">
        <v>126.06130400000001</v>
      </c>
      <c r="I2463" s="27">
        <v>6.8879380000000001</v>
      </c>
      <c r="K2463" s="27">
        <v>5.3592170000000001</v>
      </c>
      <c r="M2463" s="27">
        <v>939.06133</v>
      </c>
      <c r="O2463" s="27">
        <v>4225.7365300000001</v>
      </c>
      <c r="Q2463" s="27">
        <v>6853.9016760000004</v>
      </c>
      <c r="S2463" s="27">
        <v>1278.9083390000001</v>
      </c>
      <c r="U2463" s="27">
        <v>3.8215479999999999</v>
      </c>
      <c r="W2463" s="27">
        <v>39.597154000000003</v>
      </c>
      <c r="Y2463" s="27">
        <v>7.3886399999999997</v>
      </c>
      <c r="AA2463" s="27">
        <v>687.36901699999999</v>
      </c>
      <c r="AC2463" s="27">
        <v>54.782082000000003</v>
      </c>
      <c r="AE2463" s="27">
        <v>1</v>
      </c>
      <c r="AG2463" s="27">
        <v>7.7570740000000002</v>
      </c>
      <c r="AI2463" s="27">
        <v>8.75</v>
      </c>
      <c r="AK2463" s="27">
        <v>24.595275999999998</v>
      </c>
      <c r="AM2463" s="27">
        <v>35.876873000000003</v>
      </c>
      <c r="AO2463" s="27">
        <v>6.794022</v>
      </c>
    </row>
    <row r="2464" spans="2:41" x14ac:dyDescent="0.25">
      <c r="B2464" s="21">
        <v>44748</v>
      </c>
      <c r="C2464" s="27">
        <v>20.559799999999999</v>
      </c>
      <c r="E2464" s="27">
        <v>0.97897800000000001</v>
      </c>
      <c r="G2464" s="27">
        <v>126.271636</v>
      </c>
      <c r="I2464" s="27">
        <v>6.8886820000000002</v>
      </c>
      <c r="K2464" s="27">
        <v>5.4078210000000002</v>
      </c>
      <c r="M2464" s="27">
        <v>961.06297600000005</v>
      </c>
      <c r="O2464" s="27">
        <v>4291.8113499999999</v>
      </c>
      <c r="Q2464" s="27">
        <v>6862.7613270000002</v>
      </c>
      <c r="S2464" s="27">
        <v>1269.0521859999999</v>
      </c>
      <c r="U2464" s="27">
        <v>3.8406259999999999</v>
      </c>
      <c r="W2464" s="27">
        <v>39.826754000000001</v>
      </c>
      <c r="Y2464" s="27">
        <v>7.3646900000000004</v>
      </c>
      <c r="AA2464" s="27">
        <v>687.85735199999999</v>
      </c>
      <c r="AC2464" s="27">
        <v>54.805723999999998</v>
      </c>
      <c r="AE2464" s="27">
        <v>1</v>
      </c>
      <c r="AG2464" s="27">
        <v>7.7622419999999996</v>
      </c>
      <c r="AI2464" s="27">
        <v>8.75</v>
      </c>
      <c r="AK2464" s="27">
        <v>24.613240000000001</v>
      </c>
      <c r="AM2464" s="27">
        <v>35.900160999999997</v>
      </c>
      <c r="AO2464" s="27">
        <v>6.7963680000000002</v>
      </c>
    </row>
    <row r="2465" spans="2:41" x14ac:dyDescent="0.25">
      <c r="B2465" s="21">
        <v>44749</v>
      </c>
      <c r="C2465" s="27">
        <v>20.722799999999999</v>
      </c>
      <c r="E2465" s="27">
        <v>0.98216400000000004</v>
      </c>
      <c r="G2465" s="27">
        <v>126.447686</v>
      </c>
      <c r="I2465" s="27">
        <v>6.8819229999999996</v>
      </c>
      <c r="K2465" s="27">
        <v>5.3904459999999998</v>
      </c>
      <c r="M2465" s="27">
        <v>962.96962199999996</v>
      </c>
      <c r="O2465" s="27">
        <v>4351.1750700000002</v>
      </c>
      <c r="Q2465" s="27">
        <v>6857.0963259999999</v>
      </c>
      <c r="S2465" s="27">
        <v>1272.0920180000001</v>
      </c>
      <c r="U2465" s="27">
        <v>3.8559060000000001</v>
      </c>
      <c r="W2465" s="27">
        <v>39.956055999999997</v>
      </c>
      <c r="Y2465" s="27">
        <v>7.4124210000000001</v>
      </c>
      <c r="AA2465" s="27">
        <v>687.16329800000005</v>
      </c>
      <c r="AC2465" s="27">
        <v>54.771557000000001</v>
      </c>
      <c r="AE2465" s="27">
        <v>1</v>
      </c>
      <c r="AG2465" s="27">
        <v>7.7531220000000003</v>
      </c>
      <c r="AI2465" s="27">
        <v>8.75</v>
      </c>
      <c r="AK2465" s="27">
        <v>24.588574999999999</v>
      </c>
      <c r="AM2465" s="27">
        <v>35.862507999999998</v>
      </c>
      <c r="AO2465" s="27">
        <v>6.789517</v>
      </c>
    </row>
    <row r="2466" spans="2:41" x14ac:dyDescent="0.25">
      <c r="B2466" s="21">
        <v>44750</v>
      </c>
      <c r="C2466" s="27">
        <v>20.6022</v>
      </c>
      <c r="E2466" s="27">
        <v>0.98422799999999999</v>
      </c>
      <c r="G2466" s="27">
        <v>126.62076399999999</v>
      </c>
      <c r="I2466" s="27">
        <v>6.8745060000000002</v>
      </c>
      <c r="K2466" s="27">
        <v>5.3142519999999998</v>
      </c>
      <c r="M2466" s="27">
        <v>960.72362399999997</v>
      </c>
      <c r="O2466" s="27">
        <v>4393.8371770000003</v>
      </c>
      <c r="Q2466" s="27">
        <v>6857.3422780000001</v>
      </c>
      <c r="S2466" s="27">
        <v>1290.3768319999999</v>
      </c>
      <c r="U2466" s="27">
        <v>3.8596360000000001</v>
      </c>
      <c r="W2466" s="27">
        <v>40.045962000000003</v>
      </c>
      <c r="Y2466" s="27">
        <v>7.5356120000000004</v>
      </c>
      <c r="AA2466" s="27">
        <v>686.51611000000003</v>
      </c>
      <c r="AC2466" s="27">
        <v>54.722864999999999</v>
      </c>
      <c r="AE2466" s="27">
        <v>1</v>
      </c>
      <c r="AG2466" s="27">
        <v>7.7441420000000001</v>
      </c>
      <c r="AI2466" s="27">
        <v>8.75</v>
      </c>
      <c r="AK2466" s="27">
        <v>24.563866000000001</v>
      </c>
      <c r="AM2466" s="27">
        <v>35.826425999999998</v>
      </c>
      <c r="AO2466" s="27">
        <v>6.7833810000000003</v>
      </c>
    </row>
    <row r="2467" spans="2:41" x14ac:dyDescent="0.25">
      <c r="B2467" s="21">
        <v>44751</v>
      </c>
      <c r="C2467" s="27">
        <v>20.6022</v>
      </c>
      <c r="E2467" s="27">
        <v>0.98180199999999995</v>
      </c>
      <c r="G2467" s="27">
        <v>126.748024</v>
      </c>
      <c r="I2467" s="27">
        <v>6.8575910000000002</v>
      </c>
      <c r="K2467" s="27">
        <v>5.2558999999999996</v>
      </c>
      <c r="M2467" s="27">
        <v>974.21249999999998</v>
      </c>
      <c r="O2467" s="27">
        <v>4420.3975</v>
      </c>
      <c r="Q2467" s="27">
        <v>6850.0790340000003</v>
      </c>
      <c r="S2467" s="27">
        <v>1303.3193000000001</v>
      </c>
      <c r="U2467" s="27">
        <v>3.8535720000000002</v>
      </c>
      <c r="W2467" s="27">
        <v>40.094168000000003</v>
      </c>
      <c r="Y2467" s="27">
        <v>7.6284349999999996</v>
      </c>
      <c r="AA2467" s="27">
        <v>685.18605600000001</v>
      </c>
      <c r="AC2467" s="27">
        <v>54.618445999999999</v>
      </c>
      <c r="AE2467" s="27">
        <v>1</v>
      </c>
      <c r="AG2467" s="27">
        <v>7.7288399999999999</v>
      </c>
      <c r="AI2467" s="27">
        <v>8.75</v>
      </c>
      <c r="AK2467" s="27">
        <v>24.515388000000002</v>
      </c>
      <c r="AM2467" s="27">
        <v>35.756008000000001</v>
      </c>
      <c r="AO2467" s="27">
        <v>6.7686060000000001</v>
      </c>
    </row>
    <row r="2468" spans="2:41" x14ac:dyDescent="0.25">
      <c r="B2468" s="21">
        <v>44752</v>
      </c>
      <c r="C2468" s="27">
        <v>20.6022</v>
      </c>
      <c r="E2468" s="27">
        <v>0.98191200000000001</v>
      </c>
      <c r="G2468" s="27">
        <v>126.659126</v>
      </c>
      <c r="I2468" s="27">
        <v>6.8574549999999999</v>
      </c>
      <c r="K2468" s="27">
        <v>5.2559339999999999</v>
      </c>
      <c r="M2468" s="27">
        <v>974.21161600000005</v>
      </c>
      <c r="O2468" s="27">
        <v>4418.2977000000001</v>
      </c>
      <c r="Q2468" s="27">
        <v>6849.9716200000003</v>
      </c>
      <c r="S2468" s="27">
        <v>1303.29107</v>
      </c>
      <c r="U2468" s="27">
        <v>3.8569640000000001</v>
      </c>
      <c r="W2468" s="27">
        <v>40.094168000000003</v>
      </c>
      <c r="Y2468" s="27">
        <v>7.6283880000000002</v>
      </c>
      <c r="AA2468" s="27">
        <v>685.17438500000003</v>
      </c>
      <c r="AC2468" s="27">
        <v>54.617213999999997</v>
      </c>
      <c r="AE2468" s="27">
        <v>1</v>
      </c>
      <c r="AG2468" s="27">
        <v>7.7286299999999999</v>
      </c>
      <c r="AI2468" s="27">
        <v>8.75</v>
      </c>
      <c r="AK2468" s="27">
        <v>24.514958</v>
      </c>
      <c r="AM2468" s="27">
        <v>35.755347</v>
      </c>
      <c r="AO2468" s="27">
        <v>6.7684769999999999</v>
      </c>
    </row>
    <row r="2469" spans="2:41" x14ac:dyDescent="0.25">
      <c r="B2469" s="21">
        <v>44753</v>
      </c>
      <c r="C2469" s="27">
        <v>20.442299999999999</v>
      </c>
      <c r="E2469" s="27">
        <v>0.99036100000000005</v>
      </c>
      <c r="G2469" s="27">
        <v>126.93237000000001</v>
      </c>
      <c r="I2469" s="27">
        <v>6.8785499999999997</v>
      </c>
      <c r="K2469" s="27">
        <v>5.3078940000000001</v>
      </c>
      <c r="M2469" s="27">
        <v>983.15221399999996</v>
      </c>
      <c r="O2469" s="27">
        <v>4467.1788509999997</v>
      </c>
      <c r="Q2469" s="27">
        <v>6870.6668879999997</v>
      </c>
      <c r="S2469" s="27">
        <v>1294.4330769999999</v>
      </c>
      <c r="U2469" s="27">
        <v>3.9037280000000001</v>
      </c>
      <c r="W2469" s="27">
        <v>40.281585999999997</v>
      </c>
      <c r="Y2469" s="27">
        <v>7.5890300000000002</v>
      </c>
      <c r="AA2469" s="27">
        <v>687.02474400000006</v>
      </c>
      <c r="AC2469" s="27">
        <v>54.740935999999998</v>
      </c>
      <c r="AE2469" s="27">
        <v>1</v>
      </c>
      <c r="AG2469" s="27">
        <v>7.7484200000000003</v>
      </c>
      <c r="AI2469" s="27">
        <v>8.75</v>
      </c>
      <c r="AK2469" s="27">
        <v>24.581095999999999</v>
      </c>
      <c r="AM2469" s="27">
        <v>35.850313</v>
      </c>
      <c r="AO2469" s="27">
        <v>6.7903339999999996</v>
      </c>
    </row>
    <row r="2470" spans="2:41" x14ac:dyDescent="0.25">
      <c r="B2470" s="21">
        <v>44754</v>
      </c>
      <c r="C2470" s="27">
        <v>20.747299999999999</v>
      </c>
      <c r="E2470" s="27">
        <v>0.99666399999999999</v>
      </c>
      <c r="G2470" s="27">
        <v>127.457888</v>
      </c>
      <c r="I2470" s="27">
        <v>6.8919180000000004</v>
      </c>
      <c r="K2470" s="27">
        <v>5.4013359999999997</v>
      </c>
      <c r="M2470" s="27">
        <v>1003.072374</v>
      </c>
      <c r="O2470" s="27">
        <v>4592.3181119999999</v>
      </c>
      <c r="Q2470" s="27">
        <v>6886.2136829999999</v>
      </c>
      <c r="S2470" s="27">
        <v>1274.918253</v>
      </c>
      <c r="U2470" s="27">
        <v>3.9295949999999999</v>
      </c>
      <c r="W2470" s="27">
        <v>40.405023999999997</v>
      </c>
      <c r="Y2470" s="27">
        <v>7.4805919999999997</v>
      </c>
      <c r="AA2470" s="27">
        <v>688.89865599999996</v>
      </c>
      <c r="AC2470" s="27">
        <v>54.873769000000003</v>
      </c>
      <c r="AE2470" s="27">
        <v>1</v>
      </c>
      <c r="AG2470" s="27">
        <v>7.769298</v>
      </c>
      <c r="AI2470" s="27">
        <v>8.75</v>
      </c>
      <c r="AK2470" s="27">
        <v>24.648098000000001</v>
      </c>
      <c r="AM2470" s="27">
        <v>35.949359999999999</v>
      </c>
      <c r="AO2470" s="27">
        <v>6.8038169999999996</v>
      </c>
    </row>
    <row r="2471" spans="2:41" x14ac:dyDescent="0.25">
      <c r="B2471" s="21">
        <v>44755</v>
      </c>
      <c r="C2471" s="27">
        <v>20.7882</v>
      </c>
      <c r="E2471" s="27">
        <v>0.99514499999999995</v>
      </c>
      <c r="G2471" s="27">
        <v>127.68683799999999</v>
      </c>
      <c r="I2471" s="27">
        <v>6.871124</v>
      </c>
      <c r="K2471" s="27">
        <v>5.4166629999999998</v>
      </c>
      <c r="M2471" s="27">
        <v>1015.52988</v>
      </c>
      <c r="O2471" s="27">
        <v>4584.5044779999998</v>
      </c>
      <c r="Q2471" s="27">
        <v>6860.4801100000004</v>
      </c>
      <c r="S2471" s="27">
        <v>1266.559818</v>
      </c>
      <c r="U2471" s="27">
        <v>3.936572</v>
      </c>
      <c r="W2471" s="27">
        <v>40.440860999999998</v>
      </c>
      <c r="Y2471" s="27">
        <v>7.4660440000000001</v>
      </c>
      <c r="AA2471" s="27">
        <v>687.05112799999995</v>
      </c>
      <c r="AC2471" s="27">
        <v>54.732474000000003</v>
      </c>
      <c r="AE2471" s="27">
        <v>1</v>
      </c>
      <c r="AG2471" s="27">
        <v>7.7472700000000003</v>
      </c>
      <c r="AI2471" s="27">
        <v>8.75</v>
      </c>
      <c r="AK2471" s="27">
        <v>24.582101999999999</v>
      </c>
      <c r="AM2471" s="27">
        <v>35.852212000000002</v>
      </c>
      <c r="AO2471" s="27">
        <v>6.7904559999999998</v>
      </c>
    </row>
    <row r="2472" spans="2:41" x14ac:dyDescent="0.25">
      <c r="B2472" s="21">
        <v>44756</v>
      </c>
      <c r="C2472" s="27">
        <v>20.761299999999999</v>
      </c>
      <c r="E2472" s="27">
        <v>0.99823399999999995</v>
      </c>
      <c r="G2472" s="27">
        <v>127.909198</v>
      </c>
      <c r="I2472" s="27">
        <v>6.8865439999999998</v>
      </c>
      <c r="K2472" s="27">
        <v>5.4155420000000003</v>
      </c>
      <c r="M2472" s="27">
        <v>1019.349378</v>
      </c>
      <c r="O2472" s="27">
        <v>4518.2101469999998</v>
      </c>
      <c r="Q2472" s="27">
        <v>6870.1525739999997</v>
      </c>
      <c r="S2472" s="27">
        <v>1268.6080999999999</v>
      </c>
      <c r="U2472" s="27">
        <v>3.9404849999999998</v>
      </c>
      <c r="W2472" s="27">
        <v>40.753166</v>
      </c>
      <c r="Y2472" s="27">
        <v>7.5252619999999997</v>
      </c>
      <c r="AA2472" s="27">
        <v>687.538996</v>
      </c>
      <c r="AC2472" s="27">
        <v>54.768639</v>
      </c>
      <c r="AE2472" s="27">
        <v>1</v>
      </c>
      <c r="AG2472" s="27">
        <v>7.7568080000000004</v>
      </c>
      <c r="AI2472" s="27">
        <v>8.75</v>
      </c>
      <c r="AK2472" s="27">
        <v>24.623505999999999</v>
      </c>
      <c r="AM2472" s="27">
        <v>35.911731000000003</v>
      </c>
      <c r="AO2472" s="27">
        <v>6.7949060000000001</v>
      </c>
    </row>
    <row r="2473" spans="2:41" x14ac:dyDescent="0.25">
      <c r="B2473" s="21">
        <v>44757</v>
      </c>
      <c r="C2473" s="27">
        <v>20.941500000000001</v>
      </c>
      <c r="E2473" s="27">
        <v>0.99451400000000001</v>
      </c>
      <c r="G2473" s="27">
        <v>128.10767100000001</v>
      </c>
      <c r="I2473" s="27">
        <v>6.8808049999999996</v>
      </c>
      <c r="K2473" s="27">
        <v>5.4146799999999997</v>
      </c>
      <c r="M2473" s="27">
        <v>1023.0149</v>
      </c>
      <c r="O2473" s="27">
        <v>4458.1528859999999</v>
      </c>
      <c r="Q2473" s="27">
        <v>6863.0014309999997</v>
      </c>
      <c r="S2473" s="27">
        <v>1267.48981</v>
      </c>
      <c r="U2473" s="27">
        <v>3.9397739999999999</v>
      </c>
      <c r="W2473" s="27">
        <v>40.802495</v>
      </c>
      <c r="Y2473" s="27">
        <v>7.5355740000000004</v>
      </c>
      <c r="AA2473" s="27">
        <v>685.27114600000004</v>
      </c>
      <c r="AC2473" s="27">
        <v>54.637070000000001</v>
      </c>
      <c r="AE2473" s="27">
        <v>1</v>
      </c>
      <c r="AG2473" s="27">
        <v>7.7437279999999999</v>
      </c>
      <c r="AI2473" s="27">
        <v>8.75</v>
      </c>
      <c r="AK2473" s="27">
        <v>24.590917000000001</v>
      </c>
      <c r="AM2473" s="27">
        <v>35.864282000000003</v>
      </c>
      <c r="AO2473" s="27">
        <v>6.7857599999999998</v>
      </c>
    </row>
    <row r="2474" spans="2:41" x14ac:dyDescent="0.25">
      <c r="B2474" s="21">
        <v>44758</v>
      </c>
      <c r="C2474" s="27">
        <v>20.941500000000001</v>
      </c>
      <c r="E2474" s="27">
        <v>0.99130200000000002</v>
      </c>
      <c r="G2474" s="27">
        <v>128.226258</v>
      </c>
      <c r="I2474" s="27">
        <v>6.8789290000000003</v>
      </c>
      <c r="K2474" s="27">
        <v>5.4078980000000003</v>
      </c>
      <c r="M2474" s="27">
        <v>1012.13</v>
      </c>
      <c r="O2474" s="27">
        <v>4404.2224999999999</v>
      </c>
      <c r="Q2474" s="27">
        <v>6864.1508739999999</v>
      </c>
      <c r="S2474" s="27">
        <v>1269.2949699999999</v>
      </c>
      <c r="U2474" s="27">
        <v>3.92869</v>
      </c>
      <c r="W2474" s="27">
        <v>40.756346000000001</v>
      </c>
      <c r="Y2474" s="27">
        <v>7.5365060000000001</v>
      </c>
      <c r="AA2474" s="27">
        <v>684.78839200000004</v>
      </c>
      <c r="AC2474" s="27">
        <v>54.644506</v>
      </c>
      <c r="AE2474" s="27">
        <v>1</v>
      </c>
      <c r="AG2474" s="27">
        <v>7.7453820000000002</v>
      </c>
      <c r="AI2474" s="27">
        <v>8.75</v>
      </c>
      <c r="AK2474" s="27">
        <v>24.59676</v>
      </c>
      <c r="AM2474" s="27">
        <v>35.872826000000003</v>
      </c>
      <c r="AO2474" s="27">
        <v>6.794645</v>
      </c>
    </row>
    <row r="2475" spans="2:41" x14ac:dyDescent="0.25">
      <c r="B2475" s="21">
        <v>44759</v>
      </c>
      <c r="C2475" s="27">
        <v>20.941500000000001</v>
      </c>
      <c r="E2475" s="27">
        <v>0.99131800000000003</v>
      </c>
      <c r="G2475" s="27">
        <v>128.155227</v>
      </c>
      <c r="I2475" s="27">
        <v>6.878628</v>
      </c>
      <c r="K2475" s="27">
        <v>5.4080680000000001</v>
      </c>
      <c r="M2475" s="27">
        <v>1015.08588</v>
      </c>
      <c r="O2475" s="27">
        <v>4403.7588009999999</v>
      </c>
      <c r="Q2475" s="27">
        <v>6863.8284679999997</v>
      </c>
      <c r="S2475" s="27">
        <v>1269.19542</v>
      </c>
      <c r="U2475" s="27">
        <v>3.9287740000000002</v>
      </c>
      <c r="W2475" s="27">
        <v>40.756346000000001</v>
      </c>
      <c r="Y2475" s="27">
        <v>7.5362689999999999</v>
      </c>
      <c r="AA2475" s="27">
        <v>684.79846399999997</v>
      </c>
      <c r="AC2475" s="27">
        <v>54.642074000000001</v>
      </c>
      <c r="AE2475" s="27">
        <v>1</v>
      </c>
      <c r="AG2475" s="27">
        <v>7.7450479999999997</v>
      </c>
      <c r="AI2475" s="27">
        <v>8.75</v>
      </c>
      <c r="AK2475" s="27">
        <v>24.595661</v>
      </c>
      <c r="AM2475" s="27">
        <v>35.871270000000003</v>
      </c>
      <c r="AO2475" s="27">
        <v>6.7943410000000002</v>
      </c>
    </row>
    <row r="2476" spans="2:41" x14ac:dyDescent="0.25">
      <c r="B2476" s="21">
        <v>44760</v>
      </c>
      <c r="C2476" s="27">
        <v>20.611000000000001</v>
      </c>
      <c r="E2476" s="27">
        <v>0.98661699999999997</v>
      </c>
      <c r="G2476" s="27">
        <v>128.35075900000001</v>
      </c>
      <c r="I2476" s="27">
        <v>6.8635529999999996</v>
      </c>
      <c r="K2476" s="27">
        <v>5.4058039999999998</v>
      </c>
      <c r="M2476" s="27">
        <v>1050.7550000000001</v>
      </c>
      <c r="O2476" s="27">
        <v>4346.3281219999999</v>
      </c>
      <c r="Q2476" s="27">
        <v>6853.5753260000001</v>
      </c>
      <c r="S2476" s="27">
        <v>1267.826002</v>
      </c>
      <c r="U2476" s="27">
        <v>3.9232520000000002</v>
      </c>
      <c r="W2476" s="27">
        <v>41.034106000000001</v>
      </c>
      <c r="Y2476" s="27">
        <v>7.5907780000000002</v>
      </c>
      <c r="AA2476" s="27">
        <v>683.50900200000001</v>
      </c>
      <c r="AC2476" s="27">
        <v>54.485838000000001</v>
      </c>
      <c r="AE2476" s="27">
        <v>1</v>
      </c>
      <c r="AG2476" s="27">
        <v>7.7315250000000004</v>
      </c>
      <c r="AI2476" s="27">
        <v>8.75</v>
      </c>
      <c r="AK2476" s="27">
        <v>24.55939</v>
      </c>
      <c r="AM2476" s="27">
        <v>35.816332000000003</v>
      </c>
      <c r="AO2476" s="27">
        <v>6.7828150000000003</v>
      </c>
    </row>
    <row r="2477" spans="2:41" x14ac:dyDescent="0.25">
      <c r="B2477" s="21">
        <v>44761</v>
      </c>
      <c r="C2477" s="27">
        <v>20.395700000000001</v>
      </c>
      <c r="E2477" s="27">
        <v>0.97966900000000001</v>
      </c>
      <c r="G2477" s="27">
        <v>128.97218599999999</v>
      </c>
      <c r="I2477" s="27">
        <v>6.8773540000000004</v>
      </c>
      <c r="K2477" s="27">
        <v>5.419581</v>
      </c>
      <c r="M2477" s="27">
        <v>1050.7588920000001</v>
      </c>
      <c r="O2477" s="27">
        <v>4315.1501459999999</v>
      </c>
      <c r="Q2477" s="27">
        <v>6871.2518010000003</v>
      </c>
      <c r="S2477" s="27">
        <v>1267.865372</v>
      </c>
      <c r="U2477" s="27">
        <v>3.9120949999999999</v>
      </c>
      <c r="W2477" s="27">
        <v>41.702407000000001</v>
      </c>
      <c r="Y2477" s="27">
        <v>7.6947970000000003</v>
      </c>
      <c r="AA2477" s="27">
        <v>684.00620200000003</v>
      </c>
      <c r="AC2477" s="27">
        <v>54.534059999999997</v>
      </c>
      <c r="AE2477" s="27">
        <v>1</v>
      </c>
      <c r="AG2477" s="27">
        <v>7.7457529999999997</v>
      </c>
      <c r="AI2477" s="27">
        <v>8.75</v>
      </c>
      <c r="AK2477" s="27">
        <v>24.610779000000001</v>
      </c>
      <c r="AM2477" s="27">
        <v>35.888309999999997</v>
      </c>
      <c r="AO2477" s="27">
        <v>6.7945700000000002</v>
      </c>
    </row>
    <row r="2478" spans="2:41" x14ac:dyDescent="0.25">
      <c r="B2478" s="21">
        <v>44762</v>
      </c>
      <c r="C2478" s="27">
        <v>20.4407</v>
      </c>
      <c r="E2478" s="27">
        <v>0.97913600000000001</v>
      </c>
      <c r="G2478" s="27">
        <v>129.256158</v>
      </c>
      <c r="I2478" s="27">
        <v>6.8721889999999997</v>
      </c>
      <c r="K2478" s="27">
        <v>5.4319240000000004</v>
      </c>
      <c r="M2478" s="27">
        <v>1002.888472</v>
      </c>
      <c r="O2478" s="27">
        <v>4326.0670019999998</v>
      </c>
      <c r="Q2478" s="27">
        <v>6867.7479860000003</v>
      </c>
      <c r="S2478" s="27">
        <v>1264.3394209999999</v>
      </c>
      <c r="U2478" s="27">
        <v>3.900436</v>
      </c>
      <c r="W2478" s="27">
        <v>42.024875999999999</v>
      </c>
      <c r="Y2478" s="27">
        <v>7.7366780000000004</v>
      </c>
      <c r="AA2478" s="27">
        <v>682.90590799999995</v>
      </c>
      <c r="AC2478" s="27">
        <v>54.450766000000002</v>
      </c>
      <c r="AE2478" s="27">
        <v>1</v>
      </c>
      <c r="AG2478" s="27">
        <v>7.7394170000000004</v>
      </c>
      <c r="AI2478" s="27">
        <v>8.75</v>
      </c>
      <c r="AK2478" s="27">
        <v>24.594058</v>
      </c>
      <c r="AM2478" s="27">
        <v>35.862870000000001</v>
      </c>
      <c r="AO2478" s="27">
        <v>6.7889419999999996</v>
      </c>
    </row>
    <row r="2479" spans="2:41" x14ac:dyDescent="0.25">
      <c r="B2479" s="21">
        <v>44763</v>
      </c>
      <c r="C2479" s="27">
        <v>20.491299999999999</v>
      </c>
      <c r="E2479" s="27">
        <v>0.98010399999999998</v>
      </c>
      <c r="G2479" s="27">
        <v>129.48595</v>
      </c>
      <c r="I2479" s="27">
        <v>6.871537</v>
      </c>
      <c r="K2479" s="27">
        <v>5.4816880000000001</v>
      </c>
      <c r="M2479" s="27">
        <v>927.69234800000004</v>
      </c>
      <c r="O2479" s="27">
        <v>4365.5081220000002</v>
      </c>
      <c r="Q2479" s="27">
        <v>6859.5225730000002</v>
      </c>
      <c r="S2479" s="27">
        <v>1251.360496</v>
      </c>
      <c r="U2479" s="27">
        <v>3.8870550000000001</v>
      </c>
      <c r="W2479" s="27">
        <v>42.043706</v>
      </c>
      <c r="Y2479" s="27">
        <v>7.6698760000000004</v>
      </c>
      <c r="AA2479" s="27">
        <v>679.78701599999999</v>
      </c>
      <c r="AC2479" s="27">
        <v>54.391606000000003</v>
      </c>
      <c r="AE2479" s="27">
        <v>1</v>
      </c>
      <c r="AG2479" s="27">
        <v>7.7386559999999998</v>
      </c>
      <c r="AI2479" s="27">
        <v>8.75</v>
      </c>
      <c r="AK2479" s="27">
        <v>24.593729</v>
      </c>
      <c r="AM2479" s="27">
        <v>35.859839000000001</v>
      </c>
      <c r="AO2479" s="27">
        <v>6.7912860000000004</v>
      </c>
    </row>
    <row r="2480" spans="2:41" x14ac:dyDescent="0.25">
      <c r="B2480" s="21">
        <v>44764</v>
      </c>
      <c r="C2480" s="27">
        <v>20.656199999999998</v>
      </c>
      <c r="E2480" s="27">
        <v>0.98069399999999995</v>
      </c>
      <c r="G2480" s="27">
        <v>129.66396599999999</v>
      </c>
      <c r="I2480" s="27">
        <v>6.8684200000000004</v>
      </c>
      <c r="K2480" s="27">
        <v>5.4888260000000004</v>
      </c>
      <c r="M2480" s="27">
        <v>935.58035099999995</v>
      </c>
      <c r="O2480" s="27">
        <v>4422.3005620000004</v>
      </c>
      <c r="Q2480" s="27">
        <v>6854.5681679999998</v>
      </c>
      <c r="S2480" s="27">
        <v>1248.830258</v>
      </c>
      <c r="U2480" s="27">
        <v>3.8960379999999999</v>
      </c>
      <c r="W2480" s="27">
        <v>41.903995000000002</v>
      </c>
      <c r="Y2480" s="27">
        <v>7.6344479999999999</v>
      </c>
      <c r="AA2480" s="27">
        <v>674.72443999999996</v>
      </c>
      <c r="AC2480" s="27">
        <v>54.361784</v>
      </c>
      <c r="AE2480" s="27">
        <v>1</v>
      </c>
      <c r="AG2480" s="27">
        <v>7.7349600000000001</v>
      </c>
      <c r="AI2480" s="27">
        <v>8.75</v>
      </c>
      <c r="AK2480" s="27">
        <v>24.587074000000001</v>
      </c>
      <c r="AM2480" s="27">
        <v>35.847473999999998</v>
      </c>
      <c r="AO2480" s="27">
        <v>6.791747</v>
      </c>
    </row>
    <row r="2481" spans="2:41" x14ac:dyDescent="0.25">
      <c r="B2481" s="21">
        <v>44765</v>
      </c>
      <c r="C2481" s="27">
        <v>20.656199999999998</v>
      </c>
      <c r="E2481" s="27">
        <v>0.97894300000000001</v>
      </c>
      <c r="G2481" s="27">
        <v>129.73754600000001</v>
      </c>
      <c r="I2481" s="27">
        <v>6.8703269999999996</v>
      </c>
      <c r="K2481" s="27">
        <v>5.4970999999999997</v>
      </c>
      <c r="M2481" s="27">
        <v>952.43</v>
      </c>
      <c r="O2481" s="27">
        <v>4453.9624999999996</v>
      </c>
      <c r="Q2481" s="27">
        <v>6862.4056700000001</v>
      </c>
      <c r="S2481" s="27">
        <v>1248.3747940000001</v>
      </c>
      <c r="U2481" s="27">
        <v>3.904023</v>
      </c>
      <c r="W2481" s="27">
        <v>41.853748000000003</v>
      </c>
      <c r="Y2481" s="27">
        <v>7.6138149999999998</v>
      </c>
      <c r="AA2481" s="27">
        <v>672.75528199999997</v>
      </c>
      <c r="AC2481" s="27">
        <v>54.411363999999999</v>
      </c>
      <c r="AE2481" s="27">
        <v>1</v>
      </c>
      <c r="AG2481" s="27">
        <v>7.7401960000000001</v>
      </c>
      <c r="AI2481" s="27">
        <v>8.75</v>
      </c>
      <c r="AK2481" s="27">
        <v>24.606887</v>
      </c>
      <c r="AM2481" s="27">
        <v>35.877319999999997</v>
      </c>
      <c r="AO2481" s="27">
        <v>6.7972349999999997</v>
      </c>
    </row>
    <row r="2482" spans="2:41" x14ac:dyDescent="0.25">
      <c r="B2482" s="21">
        <v>44766</v>
      </c>
      <c r="C2482" s="27">
        <v>20.656199999999998</v>
      </c>
      <c r="E2482" s="27">
        <v>0.97898399999999997</v>
      </c>
      <c r="G2482" s="27">
        <v>129.65742800000001</v>
      </c>
      <c r="I2482" s="27">
        <v>6.8694100000000002</v>
      </c>
      <c r="K2482" s="27">
        <v>5.4971410000000001</v>
      </c>
      <c r="M2482" s="27">
        <v>952.42995399999995</v>
      </c>
      <c r="O2482" s="27">
        <v>4454.1618319999998</v>
      </c>
      <c r="Q2482" s="27">
        <v>6861.4931420000003</v>
      </c>
      <c r="S2482" s="27">
        <v>1248.1999049999999</v>
      </c>
      <c r="U2482" s="27">
        <v>3.904334</v>
      </c>
      <c r="W2482" s="27">
        <v>41.853264000000003</v>
      </c>
      <c r="Y2482" s="27">
        <v>7.6136720000000002</v>
      </c>
      <c r="AA2482" s="27">
        <v>672.62804600000004</v>
      </c>
      <c r="AC2482" s="27">
        <v>54.403495999999997</v>
      </c>
      <c r="AE2482" s="27">
        <v>1</v>
      </c>
      <c r="AG2482" s="27">
        <v>7.7386460000000001</v>
      </c>
      <c r="AI2482" s="27">
        <v>8.75</v>
      </c>
      <c r="AK2482" s="27">
        <v>24.603657999999999</v>
      </c>
      <c r="AM2482" s="27">
        <v>35.872503999999999</v>
      </c>
      <c r="AO2482" s="27">
        <v>6.7963399999999998</v>
      </c>
    </row>
    <row r="2483" spans="2:41" x14ac:dyDescent="0.25">
      <c r="B2483" s="21">
        <v>44767</v>
      </c>
      <c r="C2483" s="27">
        <v>20.515000000000001</v>
      </c>
      <c r="E2483" s="27">
        <v>0.97872199999999998</v>
      </c>
      <c r="G2483" s="27">
        <v>129.91749799999999</v>
      </c>
      <c r="I2483" s="27">
        <v>6.8651419999999996</v>
      </c>
      <c r="K2483" s="27">
        <v>5.4452160000000003</v>
      </c>
      <c r="M2483" s="27">
        <v>945.98096999999996</v>
      </c>
      <c r="O2483" s="27">
        <v>4464.383562</v>
      </c>
      <c r="Q2483" s="27">
        <v>6865.9020099999998</v>
      </c>
      <c r="S2483" s="27">
        <v>1260.9133409999999</v>
      </c>
      <c r="U2483" s="27">
        <v>3.9102869999999998</v>
      </c>
      <c r="W2483" s="27">
        <v>41.808143999999999</v>
      </c>
      <c r="Y2483" s="27">
        <v>7.6779890000000002</v>
      </c>
      <c r="AA2483" s="27">
        <v>671.33594000000005</v>
      </c>
      <c r="AC2483" s="27">
        <v>54.329321999999998</v>
      </c>
      <c r="AE2483" s="27">
        <v>1</v>
      </c>
      <c r="AG2483" s="27">
        <v>7.7299239999999996</v>
      </c>
      <c r="AI2483" s="27">
        <v>8.75</v>
      </c>
      <c r="AK2483" s="27">
        <v>24.57715</v>
      </c>
      <c r="AM2483" s="27">
        <v>35.829666000000003</v>
      </c>
      <c r="AO2483" s="27">
        <v>6.7914890000000003</v>
      </c>
    </row>
    <row r="2484" spans="2:41" x14ac:dyDescent="0.25">
      <c r="B2484" s="21">
        <v>44768</v>
      </c>
      <c r="C2484" s="27">
        <v>20.465199999999999</v>
      </c>
      <c r="E2484" s="27">
        <v>0.98343000000000003</v>
      </c>
      <c r="G2484" s="27">
        <v>130.50286800000001</v>
      </c>
      <c r="I2484" s="27">
        <v>6.8765859999999996</v>
      </c>
      <c r="K2484" s="27">
        <v>5.3575410000000003</v>
      </c>
      <c r="M2484" s="27">
        <v>930.13565800000003</v>
      </c>
      <c r="O2484" s="27">
        <v>4460.6135359999998</v>
      </c>
      <c r="Q2484" s="27">
        <v>6884.163528</v>
      </c>
      <c r="S2484" s="27">
        <v>1284.9569670000001</v>
      </c>
      <c r="U2484" s="27">
        <v>3.9132539999999998</v>
      </c>
      <c r="W2484" s="27">
        <v>41.793644</v>
      </c>
      <c r="Y2484" s="27">
        <v>7.8009320000000004</v>
      </c>
      <c r="AA2484" s="27">
        <v>671.64974600000005</v>
      </c>
      <c r="AC2484" s="27">
        <v>54.338591999999998</v>
      </c>
      <c r="AE2484" s="27">
        <v>1</v>
      </c>
      <c r="AG2484" s="27">
        <v>7.7342459999999997</v>
      </c>
      <c r="AI2484" s="27">
        <v>8.75</v>
      </c>
      <c r="AK2484" s="27">
        <v>24.594743999999999</v>
      </c>
      <c r="AM2484" s="27">
        <v>35.871653999999999</v>
      </c>
      <c r="AO2484" s="27">
        <v>6.7926780000000004</v>
      </c>
    </row>
    <row r="2485" spans="2:41" x14ac:dyDescent="0.25">
      <c r="B2485" s="21">
        <v>44769</v>
      </c>
      <c r="C2485" s="27">
        <v>20.433</v>
      </c>
      <c r="E2485" s="27">
        <v>0.98492999999999997</v>
      </c>
      <c r="G2485" s="27">
        <v>130.74680799999999</v>
      </c>
      <c r="I2485" s="27">
        <v>6.8750119999999999</v>
      </c>
      <c r="K2485" s="27">
        <v>5.3169199999999996</v>
      </c>
      <c r="M2485" s="27">
        <v>920.83950700000003</v>
      </c>
      <c r="O2485" s="27">
        <v>4440.3528040000001</v>
      </c>
      <c r="Q2485" s="27">
        <v>6883.1834500000004</v>
      </c>
      <c r="S2485" s="27">
        <v>1294.5894020000001</v>
      </c>
      <c r="U2485" s="27">
        <v>3.9182769999999998</v>
      </c>
      <c r="W2485" s="27">
        <v>41.735886000000001</v>
      </c>
      <c r="Y2485" s="27">
        <v>7.849666</v>
      </c>
      <c r="AA2485" s="27">
        <v>671.00512800000001</v>
      </c>
      <c r="AC2485" s="27">
        <v>54.388869999999997</v>
      </c>
      <c r="AE2485" s="27">
        <v>1</v>
      </c>
      <c r="AG2485" s="27">
        <v>7.7318009999999999</v>
      </c>
      <c r="AI2485" s="27">
        <v>8.75</v>
      </c>
      <c r="AK2485" s="27">
        <v>24.593640000000001</v>
      </c>
      <c r="AM2485" s="27">
        <v>35.880634000000001</v>
      </c>
      <c r="AO2485" s="27">
        <v>6.787166</v>
      </c>
    </row>
    <row r="2486" spans="2:41" x14ac:dyDescent="0.25">
      <c r="B2486" s="21">
        <v>44770</v>
      </c>
      <c r="C2486" s="27">
        <v>20.512</v>
      </c>
      <c r="E2486" s="27">
        <v>0.982128</v>
      </c>
      <c r="G2486" s="27">
        <v>131.00072399999999</v>
      </c>
      <c r="I2486" s="27">
        <v>6.8655559999999998</v>
      </c>
      <c r="K2486" s="27">
        <v>5.220396</v>
      </c>
      <c r="M2486" s="27">
        <v>910.81961000000001</v>
      </c>
      <c r="O2486" s="27">
        <v>4405.8253260000001</v>
      </c>
      <c r="Q2486" s="27">
        <v>6885.6379809999999</v>
      </c>
      <c r="S2486" s="27">
        <v>1318.9961249999999</v>
      </c>
      <c r="U2486" s="27">
        <v>3.9166829999999999</v>
      </c>
      <c r="W2486" s="27">
        <v>41.598261000000001</v>
      </c>
      <c r="Y2486" s="27">
        <v>7.968439</v>
      </c>
      <c r="AA2486" s="27">
        <v>669.14687800000002</v>
      </c>
      <c r="AC2486" s="27">
        <v>54.353659999999998</v>
      </c>
      <c r="AE2486" s="27">
        <v>1</v>
      </c>
      <c r="AG2486" s="27">
        <v>7.7248840000000003</v>
      </c>
      <c r="AI2486" s="27">
        <v>8.75</v>
      </c>
      <c r="AK2486" s="27">
        <v>24.550599999999999</v>
      </c>
      <c r="AM2486" s="27">
        <v>35.851782</v>
      </c>
      <c r="AO2486" s="27">
        <v>6.7825990000000003</v>
      </c>
    </row>
    <row r="2487" spans="2:41" x14ac:dyDescent="0.25">
      <c r="B2487" s="21">
        <v>44771</v>
      </c>
      <c r="C2487" s="27">
        <v>20.377800000000001</v>
      </c>
      <c r="E2487" s="27">
        <v>0.97958800000000001</v>
      </c>
      <c r="G2487" s="27">
        <v>131.18550200000001</v>
      </c>
      <c r="I2487" s="27">
        <v>6.8579309999999998</v>
      </c>
      <c r="K2487" s="27">
        <v>5.1827490000000003</v>
      </c>
      <c r="M2487" s="27">
        <v>906.16124600000001</v>
      </c>
      <c r="O2487" s="27">
        <v>4340.6516270000002</v>
      </c>
      <c r="Q2487" s="27">
        <v>6886.6474470000003</v>
      </c>
      <c r="S2487" s="27">
        <v>1328.7728910000001</v>
      </c>
      <c r="U2487" s="27">
        <v>3.9209719999999999</v>
      </c>
      <c r="W2487" s="27">
        <v>41.385440000000003</v>
      </c>
      <c r="Y2487" s="27">
        <v>7.9852619999999996</v>
      </c>
      <c r="AA2487" s="27">
        <v>668.63323400000002</v>
      </c>
      <c r="AC2487" s="27">
        <v>54.358311999999998</v>
      </c>
      <c r="AE2487" s="27">
        <v>1</v>
      </c>
      <c r="AG2487" s="27">
        <v>7.7312500000000002</v>
      </c>
      <c r="AI2487" s="27">
        <v>8.75</v>
      </c>
      <c r="AK2487" s="27">
        <v>24.522646999999999</v>
      </c>
      <c r="AM2487" s="27">
        <v>35.886389000000001</v>
      </c>
      <c r="AO2487" s="27">
        <v>6.7806179999999996</v>
      </c>
    </row>
    <row r="2488" spans="2:41" x14ac:dyDescent="0.25">
      <c r="B2488" s="21">
        <v>44772</v>
      </c>
      <c r="C2488" s="27">
        <v>20.377800000000001</v>
      </c>
      <c r="E2488" s="27">
        <v>0.97784700000000002</v>
      </c>
      <c r="G2488" s="27">
        <v>131.288364</v>
      </c>
      <c r="I2488" s="27">
        <v>6.8715200000000003</v>
      </c>
      <c r="K2488" s="27">
        <v>5.1734479999999996</v>
      </c>
      <c r="M2488" s="27">
        <v>901.79</v>
      </c>
      <c r="O2488" s="27">
        <v>4291.5775000000003</v>
      </c>
      <c r="Q2488" s="27">
        <v>6900.3979069999996</v>
      </c>
      <c r="S2488" s="27">
        <v>1333.8216420000001</v>
      </c>
      <c r="U2488" s="27">
        <v>3.92855</v>
      </c>
      <c r="W2488" s="27">
        <v>41.246214000000002</v>
      </c>
      <c r="Y2488" s="27">
        <v>7.9727119999999996</v>
      </c>
      <c r="AA2488" s="27">
        <v>669.78722800000003</v>
      </c>
      <c r="AC2488" s="27">
        <v>54.607500000000002</v>
      </c>
      <c r="AE2488" s="27">
        <v>1</v>
      </c>
      <c r="AG2488" s="27">
        <v>7.7490500000000004</v>
      </c>
      <c r="AI2488" s="27">
        <v>8.75</v>
      </c>
      <c r="AK2488" s="27">
        <v>24.569997999999998</v>
      </c>
      <c r="AM2488" s="27">
        <v>35.919750000000001</v>
      </c>
      <c r="AO2488" s="27">
        <v>6.7982250000000004</v>
      </c>
    </row>
    <row r="2489" spans="2:41" x14ac:dyDescent="0.25">
      <c r="B2489" s="21">
        <v>44773</v>
      </c>
      <c r="C2489" s="27">
        <v>20.377800000000001</v>
      </c>
      <c r="E2489" s="27">
        <v>0.97797500000000004</v>
      </c>
      <c r="G2489" s="27">
        <v>131.29306</v>
      </c>
      <c r="I2489" s="27">
        <v>6.8712359999999997</v>
      </c>
      <c r="K2489" s="27">
        <v>5.1733960000000003</v>
      </c>
      <c r="M2489" s="27">
        <v>901.84784200000001</v>
      </c>
      <c r="O2489" s="27">
        <v>4291.5128560000003</v>
      </c>
      <c r="Q2489" s="27">
        <v>6900.3325009999999</v>
      </c>
      <c r="S2489" s="27">
        <v>1333.8218899999999</v>
      </c>
      <c r="U2489" s="27">
        <v>3.92855</v>
      </c>
      <c r="W2489" s="27">
        <v>41.277712999999999</v>
      </c>
      <c r="Y2489" s="27">
        <v>7.9788800000000002</v>
      </c>
      <c r="AA2489" s="27">
        <v>669.78720199999998</v>
      </c>
      <c r="AC2489" s="27">
        <v>54.607588999999997</v>
      </c>
      <c r="AE2489" s="27">
        <v>1</v>
      </c>
      <c r="AG2489" s="27">
        <v>7.7490500000000004</v>
      </c>
      <c r="AI2489" s="27">
        <v>8.75</v>
      </c>
      <c r="AK2489" s="27">
        <v>24.570115999999999</v>
      </c>
      <c r="AM2489" s="27">
        <v>35.915346</v>
      </c>
      <c r="AO2489" s="27">
        <v>6.7981780000000001</v>
      </c>
    </row>
    <row r="2490" spans="2:41" ht="13" x14ac:dyDescent="0.3">
      <c r="B2490" s="25" t="s">
        <v>207</v>
      </c>
      <c r="C2490" s="19">
        <v>20.5383</v>
      </c>
      <c r="E2490" s="19">
        <v>0.98060000000000003</v>
      </c>
      <c r="G2490" s="19">
        <v>128.26679999999999</v>
      </c>
      <c r="I2490" s="19">
        <v>6.8741000000000003</v>
      </c>
      <c r="K2490" s="19">
        <v>5.3587999999999996</v>
      </c>
      <c r="M2490" s="19">
        <v>963.02430000000004</v>
      </c>
      <c r="O2490" s="19">
        <v>4377.1986999999999</v>
      </c>
      <c r="Q2490" s="19">
        <v>6865.3860000000004</v>
      </c>
      <c r="S2490" s="19">
        <v>1281.5613000000001</v>
      </c>
      <c r="U2490" s="19">
        <v>3.8929</v>
      </c>
      <c r="W2490" s="19">
        <v>40.813499999999998</v>
      </c>
      <c r="Y2490" s="19">
        <v>7.6177999999999999</v>
      </c>
      <c r="AA2490" s="19">
        <v>680.97820000000002</v>
      </c>
      <c r="AC2490" s="19">
        <v>54.5899</v>
      </c>
      <c r="AE2490" s="19">
        <v>1</v>
      </c>
      <c r="AG2490" s="19">
        <v>7.7435999999999998</v>
      </c>
      <c r="AI2490" s="19">
        <v>8.75</v>
      </c>
      <c r="AK2490" s="19">
        <v>24.582000000000001</v>
      </c>
      <c r="AM2490" s="19">
        <v>35.861800000000002</v>
      </c>
      <c r="AO2490" s="19">
        <v>6.7900999999999998</v>
      </c>
    </row>
    <row r="2491" spans="2:41" x14ac:dyDescent="0.25">
      <c r="B2491" s="21">
        <v>44774</v>
      </c>
      <c r="C2491" s="27">
        <v>20.348500000000001</v>
      </c>
      <c r="E2491" s="27">
        <v>0.97590600000000005</v>
      </c>
      <c r="G2491" s="27">
        <v>131.55649600000001</v>
      </c>
      <c r="I2491" s="27">
        <v>6.8876309999999998</v>
      </c>
      <c r="K2491" s="27">
        <v>5.1749619999999998</v>
      </c>
      <c r="M2491" s="27">
        <v>896.90776400000004</v>
      </c>
      <c r="O2491" s="27">
        <v>4271.4598539999997</v>
      </c>
      <c r="Q2491" s="27">
        <v>6896.825202</v>
      </c>
      <c r="S2491" s="27">
        <v>1332.7411999999999</v>
      </c>
      <c r="U2491" s="27">
        <v>3.9258519999999999</v>
      </c>
      <c r="W2491" s="27">
        <v>41.195480000000003</v>
      </c>
      <c r="Y2491" s="27">
        <v>7.9605870000000003</v>
      </c>
      <c r="AA2491" s="27">
        <v>669.34230400000001</v>
      </c>
      <c r="AC2491" s="27">
        <v>54.512422000000001</v>
      </c>
      <c r="AE2491" s="27">
        <v>1</v>
      </c>
      <c r="AG2491" s="27">
        <v>7.7469400000000004</v>
      </c>
      <c r="AI2491" s="27">
        <v>8.75</v>
      </c>
      <c r="AK2491" s="27">
        <v>24.624596</v>
      </c>
      <c r="AM2491" s="27">
        <v>35.931297999999998</v>
      </c>
      <c r="AO2491" s="27">
        <v>6.796869</v>
      </c>
    </row>
    <row r="2492" spans="2:41" x14ac:dyDescent="0.25">
      <c r="B2492" s="21">
        <v>44775</v>
      </c>
      <c r="C2492" s="27">
        <v>20.263300000000001</v>
      </c>
      <c r="E2492" s="27">
        <v>0.97843800000000003</v>
      </c>
      <c r="G2492" s="27">
        <v>132.021038</v>
      </c>
      <c r="I2492" s="27">
        <v>6.862266</v>
      </c>
      <c r="K2492" s="27">
        <v>5.2198729999999998</v>
      </c>
      <c r="M2492" s="27">
        <v>897.49328800000001</v>
      </c>
      <c r="O2492" s="27">
        <v>4280.5584140000001</v>
      </c>
      <c r="Q2492" s="27">
        <v>6860.446062</v>
      </c>
      <c r="S2492" s="27">
        <v>1314.303711</v>
      </c>
      <c r="U2492" s="27">
        <v>3.9034490000000002</v>
      </c>
      <c r="W2492" s="27">
        <v>40.997630999999998</v>
      </c>
      <c r="Y2492" s="27">
        <v>7.8541819999999998</v>
      </c>
      <c r="AA2492" s="27">
        <v>667.39123400000005</v>
      </c>
      <c r="AC2492" s="27">
        <v>54.393258000000003</v>
      </c>
      <c r="AE2492" s="27">
        <v>1</v>
      </c>
      <c r="AG2492" s="27">
        <v>7.7258680000000002</v>
      </c>
      <c r="AI2492" s="27">
        <v>8.75</v>
      </c>
      <c r="AK2492" s="27">
        <v>24.549825999999999</v>
      </c>
      <c r="AM2492" s="27">
        <v>35.835016000000003</v>
      </c>
      <c r="AO2492" s="27">
        <v>6.7768660000000001</v>
      </c>
    </row>
    <row r="2493" spans="2:41" x14ac:dyDescent="0.25">
      <c r="B2493" s="21">
        <v>44776</v>
      </c>
      <c r="C2493" s="27">
        <v>20.5152</v>
      </c>
      <c r="E2493" s="27">
        <v>0.98332699999999995</v>
      </c>
      <c r="G2493" s="27">
        <v>132.26206400000001</v>
      </c>
      <c r="I2493" s="27">
        <v>6.8850809999999996</v>
      </c>
      <c r="K2493" s="27">
        <v>5.2792260000000004</v>
      </c>
      <c r="M2493" s="27">
        <v>909.42872199999999</v>
      </c>
      <c r="O2493" s="27">
        <v>4313.8741280000004</v>
      </c>
      <c r="Q2493" s="27">
        <v>6875.7688040000003</v>
      </c>
      <c r="S2493" s="27">
        <v>1302.4292700000001</v>
      </c>
      <c r="U2493" s="27">
        <v>3.9177550000000001</v>
      </c>
      <c r="W2493" s="27">
        <v>40.978833000000002</v>
      </c>
      <c r="Y2493" s="27">
        <v>7.7623160000000002</v>
      </c>
      <c r="AA2493" s="27">
        <v>669.03851399999996</v>
      </c>
      <c r="AC2493" s="27">
        <v>54.648035</v>
      </c>
      <c r="AE2493" s="27">
        <v>1</v>
      </c>
      <c r="AG2493" s="27">
        <v>7.743741</v>
      </c>
      <c r="AI2493" s="27">
        <v>8.75</v>
      </c>
      <c r="AK2493" s="27">
        <v>24.617571999999999</v>
      </c>
      <c r="AM2493" s="27">
        <v>35.993834</v>
      </c>
      <c r="AO2493" s="27">
        <v>6.793927</v>
      </c>
    </row>
    <row r="2494" spans="2:41" x14ac:dyDescent="0.25">
      <c r="B2494" s="21">
        <v>44777</v>
      </c>
      <c r="C2494" s="27">
        <v>20.630500000000001</v>
      </c>
      <c r="E2494" s="27">
        <v>0.98036000000000001</v>
      </c>
      <c r="G2494" s="27">
        <v>132.51638299999999</v>
      </c>
      <c r="I2494" s="27">
        <v>6.8795000000000002</v>
      </c>
      <c r="K2494" s="27">
        <v>5.2547980000000001</v>
      </c>
      <c r="M2494" s="27">
        <v>907.67860199999996</v>
      </c>
      <c r="O2494" s="27">
        <v>4305.2610699999996</v>
      </c>
      <c r="Q2494" s="27">
        <v>6873.6890780000003</v>
      </c>
      <c r="S2494" s="27">
        <v>1308.088096</v>
      </c>
      <c r="U2494" s="27">
        <v>3.923384</v>
      </c>
      <c r="W2494" s="27">
        <v>40.963962000000002</v>
      </c>
      <c r="Y2494" s="27">
        <v>7.7955740000000002</v>
      </c>
      <c r="AA2494" s="27">
        <v>669.16446199999996</v>
      </c>
      <c r="AC2494" s="27">
        <v>54.545042000000002</v>
      </c>
      <c r="AE2494" s="27">
        <v>1</v>
      </c>
      <c r="AG2494" s="27">
        <v>7.7455080000000001</v>
      </c>
      <c r="AI2494" s="27">
        <v>8.75</v>
      </c>
      <c r="AK2494" s="27">
        <v>24.639793999999998</v>
      </c>
      <c r="AM2494" s="27">
        <v>35.949745</v>
      </c>
      <c r="AO2494" s="27">
        <v>6.7914859999999999</v>
      </c>
    </row>
    <row r="2495" spans="2:41" x14ac:dyDescent="0.25">
      <c r="B2495" s="21">
        <v>44778</v>
      </c>
      <c r="C2495" s="27">
        <v>20.335799999999999</v>
      </c>
      <c r="E2495" s="27">
        <v>0.97989599999999999</v>
      </c>
      <c r="G2495" s="27">
        <v>132.754762</v>
      </c>
      <c r="I2495" s="27">
        <v>6.868938</v>
      </c>
      <c r="K2495" s="27">
        <v>5.2011149999999997</v>
      </c>
      <c r="M2495" s="27">
        <v>909.14199799999994</v>
      </c>
      <c r="O2495" s="27">
        <v>4316.866078</v>
      </c>
      <c r="Q2495" s="27">
        <v>6854.7487270000001</v>
      </c>
      <c r="S2495" s="27">
        <v>1317.947457</v>
      </c>
      <c r="U2495" s="27">
        <v>3.8976899999999999</v>
      </c>
      <c r="W2495" s="27">
        <v>40.838209999999997</v>
      </c>
      <c r="Y2495" s="27">
        <v>7.8518509999999999</v>
      </c>
      <c r="AA2495" s="27">
        <v>667.56773199999998</v>
      </c>
      <c r="AC2495" s="27">
        <v>54.335166000000001</v>
      </c>
      <c r="AE2495" s="27">
        <v>1</v>
      </c>
      <c r="AG2495" s="27">
        <v>7.7282500000000001</v>
      </c>
      <c r="AI2495" s="27">
        <v>8.75</v>
      </c>
      <c r="AK2495" s="27">
        <v>24.544712000000001</v>
      </c>
      <c r="AM2495" s="27">
        <v>35.812275999999997</v>
      </c>
      <c r="AO2495" s="27">
        <v>6.7823089999999997</v>
      </c>
    </row>
    <row r="2496" spans="2:41" x14ac:dyDescent="0.25">
      <c r="B2496" s="21">
        <v>44779</v>
      </c>
      <c r="C2496" s="27">
        <v>20.335799999999999</v>
      </c>
      <c r="E2496" s="27">
        <v>0.98218799999999995</v>
      </c>
      <c r="G2496" s="27">
        <v>132.873681</v>
      </c>
      <c r="I2496" s="27">
        <v>6.8779070000000004</v>
      </c>
      <c r="K2496" s="27">
        <v>5.1646999999999998</v>
      </c>
      <c r="M2496" s="27">
        <v>918.26250000000005</v>
      </c>
      <c r="O2496" s="27">
        <v>4336.5825000000004</v>
      </c>
      <c r="Q2496" s="27">
        <v>6861.8082629999999</v>
      </c>
      <c r="S2496" s="27">
        <v>1328.604912</v>
      </c>
      <c r="U2496" s="27">
        <v>3.9012479999999998</v>
      </c>
      <c r="W2496" s="27">
        <v>40.765984000000003</v>
      </c>
      <c r="Y2496" s="27">
        <v>7.8932260000000003</v>
      </c>
      <c r="AA2496" s="27">
        <v>668.40398800000003</v>
      </c>
      <c r="AC2496" s="27">
        <v>54.372500000000002</v>
      </c>
      <c r="AE2496" s="27">
        <v>1</v>
      </c>
      <c r="AG2496" s="27">
        <v>7.7392719999999997</v>
      </c>
      <c r="AI2496" s="27">
        <v>8.75</v>
      </c>
      <c r="AK2496" s="27">
        <v>24.554998000000001</v>
      </c>
      <c r="AM2496" s="27">
        <v>35.847250000000003</v>
      </c>
      <c r="AO2496" s="27">
        <v>6.7923799999999996</v>
      </c>
    </row>
    <row r="2497" spans="2:41" x14ac:dyDescent="0.25">
      <c r="B2497" s="21">
        <v>44780</v>
      </c>
      <c r="C2497" s="27">
        <v>20.335799999999999</v>
      </c>
      <c r="E2497" s="27">
        <v>0.982267</v>
      </c>
      <c r="G2497" s="27">
        <v>132.94565299999999</v>
      </c>
      <c r="I2497" s="27">
        <v>6.8799109999999999</v>
      </c>
      <c r="K2497" s="27">
        <v>5.1646900000000002</v>
      </c>
      <c r="M2497" s="27">
        <v>918.252793</v>
      </c>
      <c r="O2497" s="27">
        <v>4336.7885640000004</v>
      </c>
      <c r="Q2497" s="27">
        <v>6863.4214979999997</v>
      </c>
      <c r="S2497" s="27">
        <v>1328.919686</v>
      </c>
      <c r="U2497" s="27">
        <v>3.9019200000000001</v>
      </c>
      <c r="W2497" s="27">
        <v>40.770496000000001</v>
      </c>
      <c r="Y2497" s="27">
        <v>7.8941140000000001</v>
      </c>
      <c r="AA2497" s="27">
        <v>668.587042</v>
      </c>
      <c r="AC2497" s="27">
        <v>54.390622999999998</v>
      </c>
      <c r="AE2497" s="27">
        <v>1</v>
      </c>
      <c r="AG2497" s="27">
        <v>7.7418170000000002</v>
      </c>
      <c r="AI2497" s="27">
        <v>8.75</v>
      </c>
      <c r="AK2497" s="27">
        <v>24.565452000000001</v>
      </c>
      <c r="AM2497" s="27">
        <v>35.859634</v>
      </c>
      <c r="AO2497" s="27">
        <v>6.7944529999999999</v>
      </c>
    </row>
    <row r="2498" spans="2:41" x14ac:dyDescent="0.25">
      <c r="B2498" s="21">
        <v>44781</v>
      </c>
      <c r="C2498" s="27">
        <v>20.401</v>
      </c>
      <c r="E2498" s="27">
        <v>0.98129500000000003</v>
      </c>
      <c r="G2498" s="27">
        <v>133.30435499999999</v>
      </c>
      <c r="I2498" s="27">
        <v>6.9003750000000004</v>
      </c>
      <c r="K2498" s="27">
        <v>5.1416519999999997</v>
      </c>
      <c r="M2498" s="27">
        <v>912.51798199999996</v>
      </c>
      <c r="O2498" s="27">
        <v>4330.02873</v>
      </c>
      <c r="Q2498" s="27">
        <v>6883.4784319999999</v>
      </c>
      <c r="S2498" s="27">
        <v>1338.77583</v>
      </c>
      <c r="U2498" s="27">
        <v>3.9063620000000001</v>
      </c>
      <c r="W2498" s="27">
        <v>40.709493999999999</v>
      </c>
      <c r="Y2498" s="27">
        <v>7.9176169999999999</v>
      </c>
      <c r="AA2498" s="27">
        <v>670.79375800000003</v>
      </c>
      <c r="AC2498" s="27">
        <v>54.553927999999999</v>
      </c>
      <c r="AE2498" s="27">
        <v>1</v>
      </c>
      <c r="AG2498" s="27">
        <v>7.7665480000000002</v>
      </c>
      <c r="AI2498" s="27">
        <v>8.75</v>
      </c>
      <c r="AK2498" s="27">
        <v>24.697123999999999</v>
      </c>
      <c r="AM2498" s="27">
        <v>36.003712</v>
      </c>
      <c r="AO2498" s="27">
        <v>6.8126819999999997</v>
      </c>
    </row>
    <row r="2499" spans="2:41" x14ac:dyDescent="0.25">
      <c r="B2499" s="21">
        <v>44782</v>
      </c>
      <c r="C2499" s="27">
        <v>20.2789</v>
      </c>
      <c r="E2499" s="27">
        <v>0.979078</v>
      </c>
      <c r="G2499" s="27">
        <v>133.68004099999999</v>
      </c>
      <c r="I2499" s="27">
        <v>6.8842530000000002</v>
      </c>
      <c r="K2499" s="27">
        <v>5.1194420000000003</v>
      </c>
      <c r="M2499" s="27">
        <v>904.18177000000003</v>
      </c>
      <c r="O2499" s="27">
        <v>4318.7523359999996</v>
      </c>
      <c r="Q2499" s="27">
        <v>6863.6227859999999</v>
      </c>
      <c r="S2499" s="27">
        <v>1340.706686</v>
      </c>
      <c r="U2499" s="27">
        <v>3.914066</v>
      </c>
      <c r="W2499" s="27">
        <v>40.646500000000003</v>
      </c>
      <c r="Y2499" s="27">
        <v>7.9396740000000001</v>
      </c>
      <c r="AA2499" s="27">
        <v>668.69649400000003</v>
      </c>
      <c r="AC2499" s="27">
        <v>54.399282999999997</v>
      </c>
      <c r="AE2499" s="27">
        <v>1</v>
      </c>
      <c r="AG2499" s="27">
        <v>7.7426060000000003</v>
      </c>
      <c r="AI2499" s="27">
        <v>8.75</v>
      </c>
      <c r="AK2499" s="27">
        <v>24.594334</v>
      </c>
      <c r="AM2499" s="27">
        <v>35.885798999999999</v>
      </c>
      <c r="AO2499" s="27">
        <v>6.7993810000000003</v>
      </c>
    </row>
    <row r="2500" spans="2:41" x14ac:dyDescent="0.25">
      <c r="B2500" s="21">
        <v>44783</v>
      </c>
      <c r="C2500" s="27">
        <v>20.2715</v>
      </c>
      <c r="E2500" s="27">
        <v>0.97417399999999998</v>
      </c>
      <c r="G2500" s="27">
        <v>133.91932800000001</v>
      </c>
      <c r="I2500" s="27">
        <v>6.8870550000000001</v>
      </c>
      <c r="K2500" s="27">
        <v>5.1001830000000004</v>
      </c>
      <c r="M2500" s="27">
        <v>896.24012400000004</v>
      </c>
      <c r="O2500" s="27">
        <v>4311.7089319999995</v>
      </c>
      <c r="Q2500" s="27">
        <v>6876.6254250000002</v>
      </c>
      <c r="S2500" s="27">
        <v>1348.3186370000001</v>
      </c>
      <c r="U2500" s="27">
        <v>3.926628</v>
      </c>
      <c r="W2500" s="27">
        <v>40.389513999999998</v>
      </c>
      <c r="Y2500" s="27">
        <v>7.9192590000000003</v>
      </c>
      <c r="AA2500" s="27">
        <v>669.08900600000004</v>
      </c>
      <c r="AC2500" s="27">
        <v>54.245206000000003</v>
      </c>
      <c r="AE2500" s="27">
        <v>1</v>
      </c>
      <c r="AG2500" s="27">
        <v>7.7433199999999998</v>
      </c>
      <c r="AI2500" s="27">
        <v>8.75</v>
      </c>
      <c r="AK2500" s="27">
        <v>24.616226999999999</v>
      </c>
      <c r="AM2500" s="27">
        <v>35.947237000000001</v>
      </c>
      <c r="AO2500" s="27">
        <v>6.8028740000000001</v>
      </c>
    </row>
    <row r="2501" spans="2:41" x14ac:dyDescent="0.25">
      <c r="B2501" s="21">
        <v>44784</v>
      </c>
      <c r="C2501" s="27">
        <v>19.956199999999999</v>
      </c>
      <c r="E2501" s="27">
        <v>0.96921900000000005</v>
      </c>
      <c r="G2501" s="27">
        <v>134.110871</v>
      </c>
      <c r="I2501" s="27">
        <v>6.8903800000000004</v>
      </c>
      <c r="K2501" s="27">
        <v>5.1162159999999997</v>
      </c>
      <c r="M2501" s="27">
        <v>885.56152199999997</v>
      </c>
      <c r="O2501" s="27">
        <v>4255.3885399999999</v>
      </c>
      <c r="Q2501" s="27">
        <v>6867.8707119999999</v>
      </c>
      <c r="S2501" s="27">
        <v>1342.3820459999999</v>
      </c>
      <c r="U2501" s="27">
        <v>3.8958930000000001</v>
      </c>
      <c r="W2501" s="27">
        <v>40.167174000000003</v>
      </c>
      <c r="Y2501" s="27">
        <v>7.8509890000000002</v>
      </c>
      <c r="AA2501" s="27">
        <v>668.02229199999999</v>
      </c>
      <c r="AC2501" s="27">
        <v>54.00047</v>
      </c>
      <c r="AE2501" s="27">
        <v>1</v>
      </c>
      <c r="AG2501" s="27">
        <v>7.7214400000000003</v>
      </c>
      <c r="AI2501" s="27">
        <v>8.75</v>
      </c>
      <c r="AK2501" s="27">
        <v>24.530273000000001</v>
      </c>
      <c r="AM2501" s="27">
        <v>35.976784000000002</v>
      </c>
      <c r="AO2501" s="27">
        <v>6.7787360000000003</v>
      </c>
    </row>
    <row r="2502" spans="2:41" x14ac:dyDescent="0.25">
      <c r="B2502" s="21">
        <v>44785</v>
      </c>
      <c r="C2502" s="27">
        <v>19.959499999999998</v>
      </c>
      <c r="E2502" s="27">
        <v>0.97232399999999997</v>
      </c>
      <c r="G2502" s="27">
        <v>134.39311000000001</v>
      </c>
      <c r="I2502" s="27">
        <v>6.9131970000000003</v>
      </c>
      <c r="K2502" s="27">
        <v>5.1240600000000001</v>
      </c>
      <c r="M2502" s="27">
        <v>882.18723799999998</v>
      </c>
      <c r="O2502" s="27">
        <v>4208.4455120000002</v>
      </c>
      <c r="Q2502" s="27">
        <v>6887.9056300000002</v>
      </c>
      <c r="S2502" s="27">
        <v>1344.2377570000001</v>
      </c>
      <c r="U2502" s="27">
        <v>3.8847700000000001</v>
      </c>
      <c r="W2502" s="27">
        <v>40.122509000000001</v>
      </c>
      <c r="Y2502" s="27">
        <v>7.830254</v>
      </c>
      <c r="AA2502" s="27">
        <v>669.44858799999997</v>
      </c>
      <c r="AC2502" s="27">
        <v>54.132455</v>
      </c>
      <c r="AE2502" s="27">
        <v>1</v>
      </c>
      <c r="AG2502" s="27">
        <v>7.7434399999999997</v>
      </c>
      <c r="AI2502" s="27">
        <v>8.75</v>
      </c>
      <c r="AK2502" s="27">
        <v>24.619958</v>
      </c>
      <c r="AM2502" s="27">
        <v>36.025635999999999</v>
      </c>
      <c r="AO2502" s="27">
        <v>6.7928220000000001</v>
      </c>
    </row>
    <row r="2503" spans="2:41" x14ac:dyDescent="0.25">
      <c r="B2503" s="21">
        <v>44786</v>
      </c>
      <c r="C2503" s="27">
        <v>19.959499999999998</v>
      </c>
      <c r="E2503" s="27">
        <v>0.97474400000000005</v>
      </c>
      <c r="G2503" s="27">
        <v>134.58416199999999</v>
      </c>
      <c r="I2503" s="27">
        <v>6.9058760000000001</v>
      </c>
      <c r="K2503" s="27">
        <v>5.0763480000000003</v>
      </c>
      <c r="M2503" s="27">
        <v>875.73249999999996</v>
      </c>
      <c r="O2503" s="27">
        <v>4167.5375000000004</v>
      </c>
      <c r="Q2503" s="27">
        <v>6882.4695099999999</v>
      </c>
      <c r="S2503" s="27">
        <v>1355.8021879999999</v>
      </c>
      <c r="U2503" s="27">
        <v>3.871248</v>
      </c>
      <c r="W2503" s="27">
        <v>40.150880000000001</v>
      </c>
      <c r="Y2503" s="27">
        <v>7.9094490000000004</v>
      </c>
      <c r="AA2503" s="27">
        <v>669.00613899999996</v>
      </c>
      <c r="AC2503" s="27">
        <v>54.047499999999999</v>
      </c>
      <c r="AE2503" s="27">
        <v>1</v>
      </c>
      <c r="AG2503" s="27">
        <v>7.7378020000000003</v>
      </c>
      <c r="AI2503" s="27">
        <v>8.75</v>
      </c>
      <c r="AK2503" s="27">
        <v>24.591028000000001</v>
      </c>
      <c r="AM2503" s="27">
        <v>36.080249999999999</v>
      </c>
      <c r="AO2503" s="27">
        <v>6.7876609999999999</v>
      </c>
    </row>
    <row r="2504" spans="2:41" x14ac:dyDescent="0.25">
      <c r="B2504" s="21">
        <v>44787</v>
      </c>
      <c r="C2504" s="27">
        <v>19.959499999999998</v>
      </c>
      <c r="E2504" s="27">
        <v>0.974742</v>
      </c>
      <c r="G2504" s="27">
        <v>134.58544599999999</v>
      </c>
      <c r="I2504" s="27">
        <v>6.9050450000000003</v>
      </c>
      <c r="K2504" s="27">
        <v>5.0761779999999996</v>
      </c>
      <c r="M2504" s="27">
        <v>875.73460399999999</v>
      </c>
      <c r="O2504" s="27">
        <v>4167.2291519999999</v>
      </c>
      <c r="Q2504" s="27">
        <v>6882.2763930000001</v>
      </c>
      <c r="S2504" s="27">
        <v>1355.8090520000001</v>
      </c>
      <c r="U2504" s="27">
        <v>3.8714979999999999</v>
      </c>
      <c r="W2504" s="27">
        <v>40.151845999999999</v>
      </c>
      <c r="Y2504" s="27">
        <v>7.9099000000000004</v>
      </c>
      <c r="AA2504" s="27">
        <v>668.98916199999996</v>
      </c>
      <c r="AC2504" s="27">
        <v>54.047455999999997</v>
      </c>
      <c r="AE2504" s="27">
        <v>1</v>
      </c>
      <c r="AG2504" s="27">
        <v>7.7379429999999996</v>
      </c>
      <c r="AI2504" s="27">
        <v>8.75</v>
      </c>
      <c r="AK2504" s="27">
        <v>24.591403</v>
      </c>
      <c r="AM2504" s="27">
        <v>36.082165000000003</v>
      </c>
      <c r="AO2504" s="27">
        <v>6.7878540000000003</v>
      </c>
    </row>
    <row r="2505" spans="2:41" x14ac:dyDescent="0.25">
      <c r="B2505" s="21">
        <v>44788</v>
      </c>
      <c r="C2505" s="27">
        <v>19.873999999999999</v>
      </c>
      <c r="E2505" s="27">
        <v>0.97994599999999998</v>
      </c>
      <c r="G2505" s="27">
        <v>134.595225</v>
      </c>
      <c r="I2505" s="27">
        <v>6.9144889999999997</v>
      </c>
      <c r="K2505" s="27">
        <v>5.0859120000000004</v>
      </c>
      <c r="M2505" s="27">
        <v>877.75938299999996</v>
      </c>
      <c r="O2505" s="27">
        <v>4162.0190469999998</v>
      </c>
      <c r="Q2505" s="27">
        <v>6888.2396879999997</v>
      </c>
      <c r="S2505" s="27">
        <v>1354.3844529999999</v>
      </c>
      <c r="U2505" s="27">
        <v>3.8735339999999998</v>
      </c>
      <c r="W2505" s="27">
        <v>40.191237999999998</v>
      </c>
      <c r="Y2505" s="27">
        <v>7.9024910000000004</v>
      </c>
      <c r="AA2505" s="27">
        <v>668.825828</v>
      </c>
      <c r="AC2505" s="27">
        <v>54.116900000000001</v>
      </c>
      <c r="AE2505" s="27">
        <v>1</v>
      </c>
      <c r="AG2505" s="27">
        <v>7.745844</v>
      </c>
      <c r="AI2505" s="27">
        <v>8.75</v>
      </c>
      <c r="AK2505" s="27">
        <v>24.624534000000001</v>
      </c>
      <c r="AM2505" s="27">
        <v>35.964173000000002</v>
      </c>
      <c r="AO2505" s="27">
        <v>6.7966829999999998</v>
      </c>
    </row>
    <row r="2506" spans="2:41" x14ac:dyDescent="0.25">
      <c r="B2506" s="21">
        <v>44789</v>
      </c>
      <c r="C2506" s="27">
        <v>19.861799999999999</v>
      </c>
      <c r="E2506" s="27">
        <v>0.98432600000000003</v>
      </c>
      <c r="G2506" s="27">
        <v>134.903155</v>
      </c>
      <c r="I2506" s="27">
        <v>6.9223629999999998</v>
      </c>
      <c r="K2506" s="27">
        <v>5.1191700000000004</v>
      </c>
      <c r="M2506" s="27">
        <v>881.41938200000004</v>
      </c>
      <c r="O2506" s="27">
        <v>4189.6669540000003</v>
      </c>
      <c r="Q2506" s="27">
        <v>6891.8707199999999</v>
      </c>
      <c r="S2506" s="27">
        <v>1346.295944</v>
      </c>
      <c r="U2506" s="27">
        <v>3.8711099999999998</v>
      </c>
      <c r="W2506" s="27">
        <v>40.245818</v>
      </c>
      <c r="Y2506" s="27">
        <v>7.8618199999999998</v>
      </c>
      <c r="AA2506" s="27">
        <v>668.53776600000003</v>
      </c>
      <c r="AC2506" s="27">
        <v>54.152253999999999</v>
      </c>
      <c r="AE2506" s="27">
        <v>1</v>
      </c>
      <c r="AG2506" s="27">
        <v>7.7523419999999996</v>
      </c>
      <c r="AI2506" s="27">
        <v>8.75</v>
      </c>
      <c r="AK2506" s="27">
        <v>24.652747999999999</v>
      </c>
      <c r="AM2506" s="27">
        <v>35.979303999999999</v>
      </c>
      <c r="AO2506" s="27">
        <v>6.8044010000000004</v>
      </c>
    </row>
    <row r="2507" spans="2:41" x14ac:dyDescent="0.25">
      <c r="B2507" s="21">
        <v>44790</v>
      </c>
      <c r="C2507" s="27">
        <v>19.930299999999999</v>
      </c>
      <c r="E2507" s="27">
        <v>0.98304000000000002</v>
      </c>
      <c r="G2507" s="27">
        <v>135.39926</v>
      </c>
      <c r="I2507" s="27">
        <v>6.9070809999999998</v>
      </c>
      <c r="K2507" s="27">
        <v>5.159821</v>
      </c>
      <c r="M2507" s="27">
        <v>888.89504699999998</v>
      </c>
      <c r="O2507" s="27">
        <v>4275.5366119999999</v>
      </c>
      <c r="Q2507" s="27">
        <v>6873.0508730000001</v>
      </c>
      <c r="S2507" s="27">
        <v>1332.0416789999999</v>
      </c>
      <c r="U2507" s="27">
        <v>3.844916</v>
      </c>
      <c r="W2507" s="27">
        <v>40.097375</v>
      </c>
      <c r="Y2507" s="27">
        <v>7.7711110000000003</v>
      </c>
      <c r="AA2507" s="27">
        <v>665.95157600000005</v>
      </c>
      <c r="AC2507" s="27">
        <v>53.868518999999999</v>
      </c>
      <c r="AE2507" s="27">
        <v>1</v>
      </c>
      <c r="AG2507" s="27">
        <v>7.7319089999999999</v>
      </c>
      <c r="AI2507" s="27">
        <v>8.75</v>
      </c>
      <c r="AK2507" s="27">
        <v>24.566576000000001</v>
      </c>
      <c r="AM2507" s="27">
        <v>35.868842000000001</v>
      </c>
      <c r="AO2507" s="27">
        <v>6.7836100000000004</v>
      </c>
    </row>
    <row r="2508" spans="2:41" x14ac:dyDescent="0.25">
      <c r="B2508" s="21">
        <v>44791</v>
      </c>
      <c r="C2508" s="27">
        <v>20.038699999999999</v>
      </c>
      <c r="E2508" s="27">
        <v>0.98614599999999997</v>
      </c>
      <c r="G2508" s="27">
        <v>135.64708099999999</v>
      </c>
      <c r="I2508" s="27">
        <v>6.9096279999999997</v>
      </c>
      <c r="K2508" s="27">
        <v>5.1714099999999998</v>
      </c>
      <c r="M2508" s="27">
        <v>910.05241599999999</v>
      </c>
      <c r="O2508" s="27">
        <v>4369.1031569999996</v>
      </c>
      <c r="Q2508" s="27">
        <v>6874.2907089999999</v>
      </c>
      <c r="S2508" s="27">
        <v>1329.296394</v>
      </c>
      <c r="U2508" s="27">
        <v>3.8373400000000002</v>
      </c>
      <c r="W2508" s="27">
        <v>40.176212</v>
      </c>
      <c r="Y2508" s="27">
        <v>7.7689409999999999</v>
      </c>
      <c r="AA2508" s="27">
        <v>664.07295999999997</v>
      </c>
      <c r="AC2508" s="27">
        <v>53.876649999999998</v>
      </c>
      <c r="AE2508" s="27">
        <v>1</v>
      </c>
      <c r="AG2508" s="27">
        <v>7.7357120000000004</v>
      </c>
      <c r="AI2508" s="27">
        <v>8.75</v>
      </c>
      <c r="AK2508" s="27">
        <v>24.581398</v>
      </c>
      <c r="AM2508" s="27">
        <v>35.910426000000001</v>
      </c>
      <c r="AO2508" s="27">
        <v>6.7799560000000003</v>
      </c>
    </row>
    <row r="2509" spans="2:41" x14ac:dyDescent="0.25">
      <c r="B2509" s="21">
        <v>44792</v>
      </c>
      <c r="C2509" s="27">
        <v>20.083500000000001</v>
      </c>
      <c r="E2509" s="27">
        <v>0.99399999999999999</v>
      </c>
      <c r="G2509" s="27">
        <v>135.93945400000001</v>
      </c>
      <c r="I2509" s="27">
        <v>6.9275289999999998</v>
      </c>
      <c r="K2509" s="27">
        <v>5.1760619999999999</v>
      </c>
      <c r="M2509" s="27">
        <v>936.91330200000004</v>
      </c>
      <c r="O2509" s="27">
        <v>4395.1312479999997</v>
      </c>
      <c r="Q2509" s="27">
        <v>6891.8867579999996</v>
      </c>
      <c r="S2509" s="27">
        <v>1331.5013019999999</v>
      </c>
      <c r="U2509" s="27">
        <v>3.8509099999999998</v>
      </c>
      <c r="W2509" s="27">
        <v>40.465352000000003</v>
      </c>
      <c r="Y2509" s="27">
        <v>7.8178200000000002</v>
      </c>
      <c r="AA2509" s="27">
        <v>663.21287299999995</v>
      </c>
      <c r="AC2509" s="27">
        <v>53.996963999999998</v>
      </c>
      <c r="AE2509" s="27">
        <v>1</v>
      </c>
      <c r="AG2509" s="27">
        <v>7.7560460000000004</v>
      </c>
      <c r="AI2509" s="27">
        <v>8.75</v>
      </c>
      <c r="AK2509" s="27">
        <v>24.663917000000001</v>
      </c>
      <c r="AM2509" s="27">
        <v>36.011443999999997</v>
      </c>
      <c r="AO2509" s="27">
        <v>6.7946059999999999</v>
      </c>
    </row>
    <row r="2510" spans="2:41" x14ac:dyDescent="0.25">
      <c r="B2510" s="21">
        <v>44793</v>
      </c>
      <c r="C2510" s="27">
        <v>20.083500000000001</v>
      </c>
      <c r="E2510" s="27">
        <v>0.99585800000000002</v>
      </c>
      <c r="G2510" s="27">
        <v>136.15294</v>
      </c>
      <c r="I2510" s="27">
        <v>6.9168260000000004</v>
      </c>
      <c r="K2510" s="27">
        <v>5.1696</v>
      </c>
      <c r="M2510" s="27">
        <v>944.49749999999995</v>
      </c>
      <c r="O2510" s="27">
        <v>4387.3824999999997</v>
      </c>
      <c r="Q2510" s="27">
        <v>6880.2776960000001</v>
      </c>
      <c r="S2510" s="27">
        <v>1330.918406</v>
      </c>
      <c r="U2510" s="27">
        <v>3.8469980000000001</v>
      </c>
      <c r="W2510" s="27">
        <v>40.422595999999999</v>
      </c>
      <c r="Y2510" s="27">
        <v>7.8193200000000003</v>
      </c>
      <c r="AA2510" s="27">
        <v>660.66973800000005</v>
      </c>
      <c r="AC2510" s="27">
        <v>53.702500000000001</v>
      </c>
      <c r="AE2510" s="27">
        <v>1</v>
      </c>
      <c r="AG2510" s="27">
        <v>7.7419060000000002</v>
      </c>
      <c r="AI2510" s="27">
        <v>8.75</v>
      </c>
      <c r="AK2510" s="27">
        <v>24.636997999999998</v>
      </c>
      <c r="AM2510" s="27">
        <v>35.95355</v>
      </c>
      <c r="AO2510" s="27">
        <v>6.7827630000000001</v>
      </c>
    </row>
    <row r="2511" spans="2:41" x14ac:dyDescent="0.25">
      <c r="B2511" s="21">
        <v>44794</v>
      </c>
      <c r="C2511" s="27">
        <v>20.083500000000001</v>
      </c>
      <c r="E2511" s="27">
        <v>0.99590999999999996</v>
      </c>
      <c r="G2511" s="27">
        <v>136.144126</v>
      </c>
      <c r="I2511" s="27">
        <v>6.9171300000000002</v>
      </c>
      <c r="K2511" s="27">
        <v>5.1695219999999997</v>
      </c>
      <c r="M2511" s="27">
        <v>944.49769200000003</v>
      </c>
      <c r="O2511" s="27">
        <v>4387.5470340000002</v>
      </c>
      <c r="Q2511" s="27">
        <v>6880.5825109999996</v>
      </c>
      <c r="S2511" s="27">
        <v>1330.9981379999999</v>
      </c>
      <c r="U2511" s="27">
        <v>3.847569</v>
      </c>
      <c r="W2511" s="27">
        <v>40.418937999999997</v>
      </c>
      <c r="Y2511" s="27">
        <v>7.8187340000000001</v>
      </c>
      <c r="AA2511" s="27">
        <v>660.771748</v>
      </c>
      <c r="AC2511" s="27">
        <v>53.708359000000002</v>
      </c>
      <c r="AE2511" s="27">
        <v>1</v>
      </c>
      <c r="AG2511" s="27">
        <v>7.7424569999999999</v>
      </c>
      <c r="AI2511" s="27">
        <v>8.75</v>
      </c>
      <c r="AK2511" s="27">
        <v>24.636230999999999</v>
      </c>
      <c r="AM2511" s="27">
        <v>35.954912</v>
      </c>
      <c r="AO2511" s="27">
        <v>6.783131</v>
      </c>
    </row>
    <row r="2512" spans="2:41" x14ac:dyDescent="0.25">
      <c r="B2512" s="21">
        <v>44795</v>
      </c>
      <c r="C2512" s="27">
        <v>20.195699999999999</v>
      </c>
      <c r="E2512" s="27">
        <v>1.001234</v>
      </c>
      <c r="G2512" s="27">
        <v>136.38509999999999</v>
      </c>
      <c r="I2512" s="27">
        <v>6.9216879999999996</v>
      </c>
      <c r="K2512" s="27">
        <v>5.1687750000000001</v>
      </c>
      <c r="M2512" s="27">
        <v>943.78285100000005</v>
      </c>
      <c r="O2512" s="27">
        <v>4387.3159949999999</v>
      </c>
      <c r="Q2512" s="27">
        <v>6888.5650939999996</v>
      </c>
      <c r="S2512" s="27">
        <v>1332.7361679999999</v>
      </c>
      <c r="U2512" s="27">
        <v>3.8611369999999998</v>
      </c>
      <c r="W2512" s="27">
        <v>40.505408000000003</v>
      </c>
      <c r="Y2512" s="27">
        <v>7.8365960000000001</v>
      </c>
      <c r="AA2512" s="27">
        <v>658.43883100000005</v>
      </c>
      <c r="AC2512" s="27">
        <v>53.711302000000003</v>
      </c>
      <c r="AE2512" s="27">
        <v>1</v>
      </c>
      <c r="AG2512" s="27">
        <v>7.7486980000000001</v>
      </c>
      <c r="AI2512" s="27">
        <v>8.75</v>
      </c>
      <c r="AK2512" s="27">
        <v>24.628404</v>
      </c>
      <c r="AM2512" s="27">
        <v>35.983733999999998</v>
      </c>
      <c r="AO2512" s="27">
        <v>6.7905480000000003</v>
      </c>
    </row>
    <row r="2513" spans="2:41" x14ac:dyDescent="0.25">
      <c r="B2513" s="21">
        <v>44796</v>
      </c>
      <c r="C2513" s="27">
        <v>20.159800000000001</v>
      </c>
      <c r="E2513" s="27">
        <v>1.005112</v>
      </c>
      <c r="G2513" s="27">
        <v>136.76856799999999</v>
      </c>
      <c r="I2513" s="27">
        <v>6.9300050000000004</v>
      </c>
      <c r="K2513" s="27">
        <v>5.130674</v>
      </c>
      <c r="M2513" s="27">
        <v>930.32733599999995</v>
      </c>
      <c r="O2513" s="27">
        <v>4386.9501200000004</v>
      </c>
      <c r="Q2513" s="27">
        <v>6902.6014800000003</v>
      </c>
      <c r="S2513" s="27">
        <v>1345.369234</v>
      </c>
      <c r="U2513" s="27">
        <v>3.8763139999999998</v>
      </c>
      <c r="W2513" s="27">
        <v>40.620544000000002</v>
      </c>
      <c r="Y2513" s="27">
        <v>7.91723</v>
      </c>
      <c r="AA2513" s="27">
        <v>653.46276599999999</v>
      </c>
      <c r="AC2513" s="27">
        <v>53.516022</v>
      </c>
      <c r="AE2513" s="27">
        <v>1</v>
      </c>
      <c r="AG2513" s="27">
        <v>7.7594269999999996</v>
      </c>
      <c r="AI2513" s="27">
        <v>8.75</v>
      </c>
      <c r="AK2513" s="27">
        <v>24.647808000000001</v>
      </c>
      <c r="AM2513" s="27">
        <v>36.059086000000001</v>
      </c>
      <c r="AO2513" s="27">
        <v>6.8034439999999998</v>
      </c>
    </row>
    <row r="2514" spans="2:41" x14ac:dyDescent="0.25">
      <c r="B2514" s="21">
        <v>44797</v>
      </c>
      <c r="C2514" s="27">
        <v>19.998200000000001</v>
      </c>
      <c r="E2514" s="27">
        <v>1.0047759999999999</v>
      </c>
      <c r="G2514" s="27">
        <v>137.03609700000001</v>
      </c>
      <c r="I2514" s="27">
        <v>6.9046120000000002</v>
      </c>
      <c r="K2514" s="27">
        <v>5.1069329999999997</v>
      </c>
      <c r="M2514" s="27">
        <v>917.892064</v>
      </c>
      <c r="O2514" s="27">
        <v>4372.2075489999997</v>
      </c>
      <c r="Q2514" s="27">
        <v>6876.8517039999997</v>
      </c>
      <c r="S2514" s="27">
        <v>1346.5808979999999</v>
      </c>
      <c r="U2514" s="27">
        <v>3.8664939999999999</v>
      </c>
      <c r="W2514" s="27">
        <v>40.403264</v>
      </c>
      <c r="Y2514" s="27">
        <v>7.9114849999999999</v>
      </c>
      <c r="AA2514" s="27">
        <v>649.14779599999997</v>
      </c>
      <c r="AC2514" s="27">
        <v>53.233542</v>
      </c>
      <c r="AE2514" s="27">
        <v>1</v>
      </c>
      <c r="AG2514" s="27">
        <v>7.7313700000000001</v>
      </c>
      <c r="AI2514" s="27">
        <v>8.75</v>
      </c>
      <c r="AK2514" s="27">
        <v>24.536376000000001</v>
      </c>
      <c r="AM2514" s="27">
        <v>35.900008</v>
      </c>
      <c r="AO2514" s="27">
        <v>6.7852439999999996</v>
      </c>
    </row>
    <row r="2515" spans="2:41" x14ac:dyDescent="0.25">
      <c r="B2515" s="21">
        <v>44798</v>
      </c>
      <c r="C2515" s="27">
        <v>19.919799999999999</v>
      </c>
      <c r="E2515" s="27">
        <v>1.0017910000000001</v>
      </c>
      <c r="G2515" s="27">
        <v>137.25225599999999</v>
      </c>
      <c r="I2515" s="27">
        <v>6.8994819999999999</v>
      </c>
      <c r="K2515" s="27">
        <v>5.1135619999999999</v>
      </c>
      <c r="M2515" s="27">
        <v>913.29058699999996</v>
      </c>
      <c r="O2515" s="27">
        <v>4396.0222229999999</v>
      </c>
      <c r="Q2515" s="27">
        <v>6860.3543630000004</v>
      </c>
      <c r="S2515" s="27">
        <v>1341.609344</v>
      </c>
      <c r="U2515" s="27">
        <v>3.8521359999999998</v>
      </c>
      <c r="W2515" s="27">
        <v>40.304245999999999</v>
      </c>
      <c r="Y2515" s="27">
        <v>7.8818659999999996</v>
      </c>
      <c r="AA2515" s="27">
        <v>645.79244400000005</v>
      </c>
      <c r="AC2515" s="27">
        <v>53.053455999999997</v>
      </c>
      <c r="AE2515" s="27">
        <v>1</v>
      </c>
      <c r="AG2515" s="27">
        <v>7.7255120000000002</v>
      </c>
      <c r="AI2515" s="27">
        <v>8.75</v>
      </c>
      <c r="AK2515" s="27">
        <v>24.514626</v>
      </c>
      <c r="AM2515" s="27">
        <v>35.851852000000001</v>
      </c>
      <c r="AO2515" s="27">
        <v>6.7768329999999999</v>
      </c>
    </row>
    <row r="2516" spans="2:41" x14ac:dyDescent="0.25">
      <c r="B2516" s="21">
        <v>44799</v>
      </c>
      <c r="C2516" s="27">
        <v>19.9437</v>
      </c>
      <c r="E2516" s="27">
        <v>1.001795</v>
      </c>
      <c r="G2516" s="27">
        <v>137.52305799999999</v>
      </c>
      <c r="I2516" s="27">
        <v>6.9220420000000003</v>
      </c>
      <c r="K2516" s="27">
        <v>5.0952549999999999</v>
      </c>
      <c r="M2516" s="27">
        <v>896.95846300000005</v>
      </c>
      <c r="O2516" s="27">
        <v>4394.1252690000001</v>
      </c>
      <c r="Q2516" s="27">
        <v>6871.2530740000002</v>
      </c>
      <c r="S2516" s="27">
        <v>1348.5686720000001</v>
      </c>
      <c r="U2516" s="27">
        <v>3.8595440000000001</v>
      </c>
      <c r="W2516" s="27">
        <v>40.438724000000001</v>
      </c>
      <c r="Y2516" s="27">
        <v>7.9365800000000002</v>
      </c>
      <c r="AA2516" s="27">
        <v>644.85244499999999</v>
      </c>
      <c r="AC2516" s="27">
        <v>53.190862000000003</v>
      </c>
      <c r="AE2516" s="27">
        <v>1</v>
      </c>
      <c r="AG2516" s="27">
        <v>7.7439119999999999</v>
      </c>
      <c r="AI2516" s="27">
        <v>8.75</v>
      </c>
      <c r="AK2516" s="27">
        <v>24.611138</v>
      </c>
      <c r="AM2516" s="27">
        <v>35.980142000000001</v>
      </c>
      <c r="AO2516" s="27">
        <v>6.7959500000000004</v>
      </c>
    </row>
    <row r="2517" spans="2:41" x14ac:dyDescent="0.25">
      <c r="B2517" s="21">
        <v>44800</v>
      </c>
      <c r="C2517" s="27">
        <v>19.9437</v>
      </c>
      <c r="E2517" s="27">
        <v>1.003714</v>
      </c>
      <c r="G2517" s="27">
        <v>137.72761499999999</v>
      </c>
      <c r="I2517" s="27">
        <v>6.9261100000000004</v>
      </c>
      <c r="K2517" s="27">
        <v>5.0641999999999996</v>
      </c>
      <c r="M2517" s="27">
        <v>893.15750000000003</v>
      </c>
      <c r="O2517" s="27">
        <v>4397.6075000000001</v>
      </c>
      <c r="Q2517" s="27">
        <v>6872.218922</v>
      </c>
      <c r="S2517" s="27">
        <v>1357.0273769999999</v>
      </c>
      <c r="U2517" s="27">
        <v>3.8339979999999998</v>
      </c>
      <c r="W2517" s="27">
        <v>40.430422</v>
      </c>
      <c r="Y2517" s="27">
        <v>7.9836080000000003</v>
      </c>
      <c r="AA2517" s="27">
        <v>643.96566800000005</v>
      </c>
      <c r="AC2517" s="27">
        <v>53.147500000000001</v>
      </c>
      <c r="AE2517" s="27">
        <v>1</v>
      </c>
      <c r="AG2517" s="27">
        <v>7.7424460000000002</v>
      </c>
      <c r="AI2517" s="27">
        <v>8.75</v>
      </c>
      <c r="AK2517" s="27">
        <v>24.609313</v>
      </c>
      <c r="AM2517" s="27">
        <v>35.970272999999999</v>
      </c>
      <c r="AO2517" s="27">
        <v>6.7948009999999996</v>
      </c>
    </row>
    <row r="2518" spans="2:41" x14ac:dyDescent="0.25">
      <c r="B2518" s="21">
        <v>44801</v>
      </c>
      <c r="C2518" s="27">
        <v>19.9437</v>
      </c>
      <c r="E2518" s="27">
        <v>1.003851</v>
      </c>
      <c r="G2518" s="27">
        <v>137.78735</v>
      </c>
      <c r="I2518" s="27">
        <v>6.9260590000000004</v>
      </c>
      <c r="K2518" s="27">
        <v>5.0641299999999996</v>
      </c>
      <c r="M2518" s="27">
        <v>893.156926</v>
      </c>
      <c r="O2518" s="27">
        <v>4398.4271319999998</v>
      </c>
      <c r="Q2518" s="27">
        <v>6872.9300979999998</v>
      </c>
      <c r="S2518" s="27">
        <v>1357.1875219999999</v>
      </c>
      <c r="U2518" s="27">
        <v>3.833558</v>
      </c>
      <c r="W2518" s="27">
        <v>40.436402000000001</v>
      </c>
      <c r="Y2518" s="27">
        <v>7.9849040000000002</v>
      </c>
      <c r="AA2518" s="27">
        <v>644.15487099999996</v>
      </c>
      <c r="AC2518" s="27">
        <v>53.157701000000003</v>
      </c>
      <c r="AE2518" s="27">
        <v>1</v>
      </c>
      <c r="AG2518" s="27">
        <v>7.7436439999999997</v>
      </c>
      <c r="AI2518" s="27">
        <v>8.75</v>
      </c>
      <c r="AK2518" s="27">
        <v>24.612393999999998</v>
      </c>
      <c r="AM2518" s="27">
        <v>35.975118000000002</v>
      </c>
      <c r="AO2518" s="27">
        <v>6.7955249999999996</v>
      </c>
    </row>
    <row r="2519" spans="2:41" x14ac:dyDescent="0.25">
      <c r="B2519" s="21">
        <v>44802</v>
      </c>
      <c r="C2519" s="27">
        <v>19.9268</v>
      </c>
      <c r="E2519" s="27">
        <v>1.0029060000000001</v>
      </c>
      <c r="G2519" s="27">
        <v>138.07135600000001</v>
      </c>
      <c r="I2519" s="27">
        <v>6.9356299999999997</v>
      </c>
      <c r="K2519" s="27">
        <v>5.0486700000000004</v>
      </c>
      <c r="M2519" s="27">
        <v>890.33097999999995</v>
      </c>
      <c r="O2519" s="27">
        <v>4393.2816149999999</v>
      </c>
      <c r="Q2519" s="27">
        <v>6900.3177459999997</v>
      </c>
      <c r="S2519" s="27">
        <v>1366.769845</v>
      </c>
      <c r="U2519" s="27">
        <v>3.8417539999999999</v>
      </c>
      <c r="W2519" s="27">
        <v>40.537066000000003</v>
      </c>
      <c r="Y2519" s="27">
        <v>8.0292940000000002</v>
      </c>
      <c r="AA2519" s="27">
        <v>645.66682100000003</v>
      </c>
      <c r="AC2519" s="27">
        <v>53.367139999999999</v>
      </c>
      <c r="AE2519" s="27">
        <v>1</v>
      </c>
      <c r="AG2519" s="27">
        <v>7.775048</v>
      </c>
      <c r="AI2519" s="27">
        <v>8.75</v>
      </c>
      <c r="AK2519" s="27">
        <v>24.714126</v>
      </c>
      <c r="AM2519" s="27">
        <v>36.105815</v>
      </c>
      <c r="AO2519" s="27">
        <v>6.8217739999999996</v>
      </c>
    </row>
    <row r="2520" spans="2:41" x14ac:dyDescent="0.25">
      <c r="B2520" s="21">
        <v>44803</v>
      </c>
      <c r="C2520" s="27">
        <v>19.994499999999999</v>
      </c>
      <c r="E2520" s="27">
        <v>0.99851999999999996</v>
      </c>
      <c r="G2520" s="27">
        <v>138.436184</v>
      </c>
      <c r="I2520" s="27">
        <v>6.9070470000000004</v>
      </c>
      <c r="K2520" s="27">
        <v>5.060721</v>
      </c>
      <c r="M2520" s="27">
        <v>883.90689799999996</v>
      </c>
      <c r="O2520" s="27">
        <v>4388.8420679999999</v>
      </c>
      <c r="Q2520" s="27">
        <v>6877.2101279999997</v>
      </c>
      <c r="S2520" s="27">
        <v>1358.9491089999999</v>
      </c>
      <c r="U2520" s="27">
        <v>3.826079</v>
      </c>
      <c r="W2520" s="27">
        <v>40.417561999999997</v>
      </c>
      <c r="Y2520" s="27">
        <v>7.9865589999999997</v>
      </c>
      <c r="AA2520" s="27">
        <v>635.084292</v>
      </c>
      <c r="AC2520" s="27">
        <v>53.137853</v>
      </c>
      <c r="AE2520" s="27">
        <v>1</v>
      </c>
      <c r="AG2520" s="27">
        <v>7.7363119999999999</v>
      </c>
      <c r="AI2520" s="27">
        <v>8.75</v>
      </c>
      <c r="AK2520" s="27">
        <v>24.569571</v>
      </c>
      <c r="AM2520" s="27">
        <v>35.903272000000001</v>
      </c>
      <c r="AO2520" s="27">
        <v>6.778397</v>
      </c>
    </row>
    <row r="2521" spans="2:41" x14ac:dyDescent="0.25">
      <c r="B2521" s="21">
        <v>44804</v>
      </c>
      <c r="C2521" s="27">
        <v>20.1465</v>
      </c>
      <c r="E2521" s="27">
        <v>0.99714700000000001</v>
      </c>
      <c r="G2521" s="27">
        <v>138.658896</v>
      </c>
      <c r="I2521" s="27">
        <v>6.9104599999999996</v>
      </c>
      <c r="K2521" s="27">
        <v>5.1528479999999997</v>
      </c>
      <c r="M2521" s="27">
        <v>893.769002</v>
      </c>
      <c r="O2521" s="27">
        <v>4417.3079639999996</v>
      </c>
      <c r="Q2521" s="27">
        <v>6888.2356559999998</v>
      </c>
      <c r="S2521" s="27">
        <v>1336.7920409999999</v>
      </c>
      <c r="U2521" s="27">
        <v>3.8226779999999998</v>
      </c>
      <c r="W2521" s="27">
        <v>40.588042999999999</v>
      </c>
      <c r="Y2521" s="27">
        <v>7.8768510000000003</v>
      </c>
      <c r="AA2521" s="27">
        <v>636.56168700000001</v>
      </c>
      <c r="AC2521" s="27">
        <v>52.986266000000001</v>
      </c>
      <c r="AE2521" s="27">
        <v>1</v>
      </c>
      <c r="AG2521" s="27">
        <v>7.7398499999999997</v>
      </c>
      <c r="AI2521" s="27">
        <v>8.75</v>
      </c>
      <c r="AK2521" s="27">
        <v>24.59254</v>
      </c>
      <c r="AM2521" s="27">
        <v>35.958128000000002</v>
      </c>
      <c r="AO2521" s="27">
        <v>6.7771780000000001</v>
      </c>
    </row>
    <row r="2522" spans="2:41" ht="13" x14ac:dyDescent="0.3">
      <c r="B2522" s="25" t="s">
        <v>208</v>
      </c>
      <c r="C2522" s="19">
        <v>20.1187</v>
      </c>
      <c r="E2522" s="19">
        <v>0.98799999999999999</v>
      </c>
      <c r="G2522" s="19">
        <v>135.1592</v>
      </c>
      <c r="I2522" s="19">
        <v>6.9040999999999997</v>
      </c>
      <c r="K2522" s="19">
        <v>5.1378000000000004</v>
      </c>
      <c r="M2522" s="19">
        <v>904.19119999999998</v>
      </c>
      <c r="O2522" s="19">
        <v>4323.1921000000002</v>
      </c>
      <c r="Q2522" s="19">
        <v>6878.1192000000001</v>
      </c>
      <c r="S2522" s="19">
        <v>1338.9061999999999</v>
      </c>
      <c r="U2522" s="19">
        <v>3.8738000000000001</v>
      </c>
      <c r="W2522" s="19">
        <v>40.5015</v>
      </c>
      <c r="Y2522" s="19">
        <v>7.8837000000000002</v>
      </c>
      <c r="AA2522" s="19">
        <v>660.41</v>
      </c>
      <c r="AC2522" s="19">
        <v>53.888599999999997</v>
      </c>
      <c r="AE2522" s="19">
        <v>1</v>
      </c>
      <c r="AG2522" s="19">
        <v>7.7424999999999997</v>
      </c>
      <c r="AI2522" s="19">
        <v>8.75</v>
      </c>
      <c r="AK2522" s="19">
        <v>24.604399999999998</v>
      </c>
      <c r="AM2522" s="19">
        <v>35.953600000000002</v>
      </c>
      <c r="AO2522" s="19">
        <v>6.7915000000000001</v>
      </c>
    </row>
    <row r="2523" spans="2:41" x14ac:dyDescent="0.25">
      <c r="B2523" s="21">
        <v>44805</v>
      </c>
      <c r="C2523" s="27">
        <v>20.0962</v>
      </c>
      <c r="E2523" s="27">
        <v>1.0011920000000001</v>
      </c>
      <c r="G2523" s="27">
        <v>138.87700000000001</v>
      </c>
      <c r="I2523" s="27">
        <v>6.9016320000000002</v>
      </c>
      <c r="K2523" s="27">
        <v>5.2039400000000002</v>
      </c>
      <c r="M2523" s="27">
        <v>897.48953400000005</v>
      </c>
      <c r="O2523" s="27">
        <v>4445.3061049999997</v>
      </c>
      <c r="Q2523" s="27">
        <v>6879.9565060000004</v>
      </c>
      <c r="S2523" s="27">
        <v>1322.075758</v>
      </c>
      <c r="U2523" s="27">
        <v>3.8208139999999999</v>
      </c>
      <c r="W2523" s="27">
        <v>40.718206000000002</v>
      </c>
      <c r="Y2523" s="27">
        <v>7.8245290000000001</v>
      </c>
      <c r="AA2523" s="27">
        <v>639.81604200000004</v>
      </c>
      <c r="AC2523" s="27">
        <v>52.860742999999999</v>
      </c>
      <c r="AE2523" s="27">
        <v>1</v>
      </c>
      <c r="AG2523" s="27">
        <v>7.7297570000000002</v>
      </c>
      <c r="AI2523" s="27">
        <v>8.75</v>
      </c>
      <c r="AK2523" s="27">
        <v>24.540953999999999</v>
      </c>
      <c r="AM2523" s="27">
        <v>35.878562000000002</v>
      </c>
      <c r="AO2523" s="27">
        <v>6.7709739999999998</v>
      </c>
    </row>
    <row r="2524" spans="2:41" x14ac:dyDescent="0.25">
      <c r="B2524" s="21">
        <v>44806</v>
      </c>
      <c r="C2524" s="27">
        <v>20.247299999999999</v>
      </c>
      <c r="E2524" s="27">
        <v>1.002413</v>
      </c>
      <c r="G2524" s="27">
        <v>139.152568</v>
      </c>
      <c r="I2524" s="27">
        <v>6.9261200000000001</v>
      </c>
      <c r="K2524" s="27">
        <v>5.212726</v>
      </c>
      <c r="M2524" s="27">
        <v>890.03511100000003</v>
      </c>
      <c r="O2524" s="27">
        <v>4483.5427099999997</v>
      </c>
      <c r="Q2524" s="27">
        <v>6909.4512539999996</v>
      </c>
      <c r="S2524" s="27">
        <v>1325.505384</v>
      </c>
      <c r="U2524" s="27">
        <v>3.8660839999999999</v>
      </c>
      <c r="W2524" s="27">
        <v>40.847363000000001</v>
      </c>
      <c r="Y2524" s="27">
        <v>7.8361219999999996</v>
      </c>
      <c r="AA2524" s="27">
        <v>643.84410200000002</v>
      </c>
      <c r="AC2524" s="27">
        <v>53.147492999999997</v>
      </c>
      <c r="AE2524" s="27">
        <v>1</v>
      </c>
      <c r="AG2524" s="27">
        <v>7.7522820000000001</v>
      </c>
      <c r="AI2524" s="27">
        <v>8.75</v>
      </c>
      <c r="AK2524" s="27">
        <v>24.617488000000002</v>
      </c>
      <c r="AM2524" s="27">
        <v>36.061563</v>
      </c>
      <c r="AO2524" s="27">
        <v>6.7926310000000001</v>
      </c>
    </row>
    <row r="2525" spans="2:41" x14ac:dyDescent="0.25">
      <c r="B2525" s="21">
        <v>44807</v>
      </c>
      <c r="C2525" s="27">
        <v>20.247299999999999</v>
      </c>
      <c r="E2525" s="27">
        <v>1.0043800000000001</v>
      </c>
      <c r="G2525" s="27">
        <v>139.15799999999999</v>
      </c>
      <c r="I2525" s="27">
        <v>6.9128850000000002</v>
      </c>
      <c r="K2525" s="27">
        <v>5.1708999999999996</v>
      </c>
      <c r="M2525" s="27">
        <v>878.72</v>
      </c>
      <c r="O2525" s="27">
        <v>4491.7974999999997</v>
      </c>
      <c r="Q2525" s="27">
        <v>6908.165078</v>
      </c>
      <c r="S2525" s="27">
        <v>1335.9769839999999</v>
      </c>
      <c r="U2525" s="27">
        <v>3.873748</v>
      </c>
      <c r="W2525" s="27">
        <v>40.897426000000003</v>
      </c>
      <c r="Y2525" s="27">
        <v>7.9091820000000004</v>
      </c>
      <c r="AA2525" s="27">
        <v>643.67707600000006</v>
      </c>
      <c r="AC2525" s="27">
        <v>53.042499999999997</v>
      </c>
      <c r="AE2525" s="27">
        <v>1</v>
      </c>
      <c r="AG2525" s="27">
        <v>7.7429079999999999</v>
      </c>
      <c r="AI2525" s="27">
        <v>8.75</v>
      </c>
      <c r="AK2525" s="27">
        <v>24.544998</v>
      </c>
      <c r="AM2525" s="27">
        <v>35.977249999999998</v>
      </c>
      <c r="AO2525" s="27">
        <v>6.7775340000000002</v>
      </c>
    </row>
    <row r="2526" spans="2:41" x14ac:dyDescent="0.25">
      <c r="B2526" s="21">
        <v>44808</v>
      </c>
      <c r="C2526" s="27">
        <v>20.247299999999999</v>
      </c>
      <c r="E2526" s="27">
        <v>1.00481</v>
      </c>
      <c r="G2526" s="27">
        <v>139.20640900000001</v>
      </c>
      <c r="I2526" s="27">
        <v>6.9128999999999996</v>
      </c>
      <c r="K2526" s="27">
        <v>5.1709639999999997</v>
      </c>
      <c r="M2526" s="27">
        <v>878.72115699999995</v>
      </c>
      <c r="O2526" s="27">
        <v>4491.7358830000003</v>
      </c>
      <c r="Q2526" s="27">
        <v>6908.1030360000004</v>
      </c>
      <c r="S2526" s="27">
        <v>1335.9488819999999</v>
      </c>
      <c r="U2526" s="27">
        <v>3.8737029999999999</v>
      </c>
      <c r="W2526" s="27">
        <v>40.882205999999996</v>
      </c>
      <c r="Y2526" s="27">
        <v>7.9061430000000001</v>
      </c>
      <c r="AA2526" s="27">
        <v>643.59793999999999</v>
      </c>
      <c r="AC2526" s="27">
        <v>53.042409999999997</v>
      </c>
      <c r="AE2526" s="27">
        <v>1</v>
      </c>
      <c r="AG2526" s="27">
        <v>7.7429259999999998</v>
      </c>
      <c r="AI2526" s="27">
        <v>8.75</v>
      </c>
      <c r="AK2526" s="27">
        <v>24.545176000000001</v>
      </c>
      <c r="AM2526" s="27">
        <v>35.977277000000001</v>
      </c>
      <c r="AO2526" s="27">
        <v>6.7775660000000002</v>
      </c>
    </row>
    <row r="2527" spans="2:41" x14ac:dyDescent="0.25">
      <c r="B2527" s="21">
        <v>44809</v>
      </c>
      <c r="C2527" s="27">
        <v>19.975300000000001</v>
      </c>
      <c r="E2527" s="27">
        <v>1.007895</v>
      </c>
      <c r="G2527" s="27">
        <v>139.71798799999999</v>
      </c>
      <c r="I2527" s="27">
        <v>6.9233739999999999</v>
      </c>
      <c r="K2527" s="27">
        <v>5.1652240000000003</v>
      </c>
      <c r="M2527" s="27">
        <v>876.89817000000005</v>
      </c>
      <c r="O2527" s="27">
        <v>4479.6712790000001</v>
      </c>
      <c r="Q2527" s="27">
        <v>6920.6041679999998</v>
      </c>
      <c r="S2527" s="27">
        <v>1339.8559299999999</v>
      </c>
      <c r="U2527" s="27">
        <v>3.8829820000000002</v>
      </c>
      <c r="W2527" s="27">
        <v>40.934671999999999</v>
      </c>
      <c r="Y2527" s="27">
        <v>7.9250920000000002</v>
      </c>
      <c r="AA2527" s="27">
        <v>646.96053600000005</v>
      </c>
      <c r="AC2527" s="27">
        <v>53.236403000000003</v>
      </c>
      <c r="AE2527" s="27">
        <v>1</v>
      </c>
      <c r="AG2527" s="27">
        <v>7.7592030000000003</v>
      </c>
      <c r="AI2527" s="27">
        <v>8.75</v>
      </c>
      <c r="AK2527" s="27">
        <v>24.641041000000001</v>
      </c>
      <c r="AM2527" s="27">
        <v>36.031824</v>
      </c>
      <c r="AO2527" s="27">
        <v>6.7876240000000001</v>
      </c>
    </row>
    <row r="2528" spans="2:41" x14ac:dyDescent="0.25">
      <c r="B2528" s="21">
        <v>44810</v>
      </c>
      <c r="C2528" s="27">
        <v>19.962</v>
      </c>
      <c r="E2528" s="27">
        <v>1.007158</v>
      </c>
      <c r="G2528" s="27">
        <v>140.34755799999999</v>
      </c>
      <c r="I2528" s="27">
        <v>6.903651</v>
      </c>
      <c r="K2528" s="27">
        <v>5.1940920000000004</v>
      </c>
      <c r="M2528" s="27">
        <v>885.81099400000005</v>
      </c>
      <c r="O2528" s="27">
        <v>4478.1466680000003</v>
      </c>
      <c r="Q2528" s="27">
        <v>6902.8607869999996</v>
      </c>
      <c r="S2528" s="27">
        <v>1328.9922019999999</v>
      </c>
      <c r="U2528" s="27">
        <v>3.8767580000000001</v>
      </c>
      <c r="W2528" s="27">
        <v>40.748576</v>
      </c>
      <c r="Y2528" s="27">
        <v>7.8452089999999997</v>
      </c>
      <c r="AA2528" s="27">
        <v>647.24271999999996</v>
      </c>
      <c r="AC2528" s="27">
        <v>53.089568999999997</v>
      </c>
      <c r="AE2528" s="27">
        <v>1</v>
      </c>
      <c r="AG2528" s="27">
        <v>7.7395440000000004</v>
      </c>
      <c r="AI2528" s="27">
        <v>8.75</v>
      </c>
      <c r="AK2528" s="27">
        <v>24.569044999999999</v>
      </c>
      <c r="AM2528" s="27">
        <v>35.892930999999997</v>
      </c>
      <c r="AO2528" s="27">
        <v>6.7677160000000001</v>
      </c>
    </row>
    <row r="2529" spans="2:41" x14ac:dyDescent="0.25">
      <c r="B2529" s="21">
        <v>44811</v>
      </c>
      <c r="C2529" s="27">
        <v>20.138000000000002</v>
      </c>
      <c r="E2529" s="27">
        <v>1.006823</v>
      </c>
      <c r="G2529" s="27">
        <v>140.662948</v>
      </c>
      <c r="I2529" s="27">
        <v>6.9204600000000003</v>
      </c>
      <c r="K2529" s="27">
        <v>5.2484659999999996</v>
      </c>
      <c r="M2529" s="27">
        <v>889.64116999999999</v>
      </c>
      <c r="O2529" s="27">
        <v>4453.4059139999999</v>
      </c>
      <c r="Q2529" s="27">
        <v>6917.0772619999998</v>
      </c>
      <c r="S2529" s="27">
        <v>1317.9321460000001</v>
      </c>
      <c r="U2529" s="27">
        <v>3.8736269999999999</v>
      </c>
      <c r="W2529" s="27">
        <v>40.856476000000001</v>
      </c>
      <c r="Y2529" s="27">
        <v>7.7844899999999999</v>
      </c>
      <c r="AA2529" s="27">
        <v>647.89804600000002</v>
      </c>
      <c r="AC2529" s="27">
        <v>53.141658</v>
      </c>
      <c r="AE2529" s="27">
        <v>1</v>
      </c>
      <c r="AG2529" s="27">
        <v>7.7643279999999999</v>
      </c>
      <c r="AI2529" s="27">
        <v>8.75</v>
      </c>
      <c r="AK2529" s="27">
        <v>24.638953999999998</v>
      </c>
      <c r="AM2529" s="27">
        <v>35.994903999999998</v>
      </c>
      <c r="AO2529" s="27">
        <v>6.7839020000000003</v>
      </c>
    </row>
    <row r="2530" spans="2:41" x14ac:dyDescent="0.25">
      <c r="B2530" s="21">
        <v>44812</v>
      </c>
      <c r="C2530" s="27">
        <v>20.029699999999998</v>
      </c>
      <c r="E2530" s="27">
        <v>1.0009300000000001</v>
      </c>
      <c r="G2530" s="27">
        <v>140.926526</v>
      </c>
      <c r="I2530" s="27">
        <v>6.8978950000000001</v>
      </c>
      <c r="K2530" s="27">
        <v>5.2310660000000002</v>
      </c>
      <c r="M2530" s="27">
        <v>883.06352300000003</v>
      </c>
      <c r="O2530" s="27">
        <v>4399.5028679999996</v>
      </c>
      <c r="Q2530" s="27">
        <v>6892.6267319999997</v>
      </c>
      <c r="S2530" s="27">
        <v>1317.641987</v>
      </c>
      <c r="U2530" s="27">
        <v>3.8834780000000002</v>
      </c>
      <c r="W2530" s="27">
        <v>40.635809000000002</v>
      </c>
      <c r="Y2530" s="27">
        <v>7.7681979999999999</v>
      </c>
      <c r="AA2530" s="27">
        <v>653.94411200000002</v>
      </c>
      <c r="AC2530" s="27">
        <v>52.876654000000002</v>
      </c>
      <c r="AE2530" s="27">
        <v>1</v>
      </c>
      <c r="AG2530" s="27">
        <v>7.744624</v>
      </c>
      <c r="AI2530" s="27">
        <v>8.75</v>
      </c>
      <c r="AK2530" s="27">
        <v>24.522088</v>
      </c>
      <c r="AM2530" s="27">
        <v>35.814292000000002</v>
      </c>
      <c r="AO2530" s="27">
        <v>6.7659750000000001</v>
      </c>
    </row>
    <row r="2531" spans="2:41" x14ac:dyDescent="0.25">
      <c r="B2531" s="21">
        <v>44813</v>
      </c>
      <c r="C2531" s="27">
        <v>20.020299999999999</v>
      </c>
      <c r="E2531" s="27">
        <v>0.99418899999999999</v>
      </c>
      <c r="G2531" s="27">
        <v>141.243236</v>
      </c>
      <c r="I2531" s="27">
        <v>6.9046399999999997</v>
      </c>
      <c r="K2531" s="27">
        <v>5.1864780000000001</v>
      </c>
      <c r="M2531" s="27">
        <v>888.53509299999996</v>
      </c>
      <c r="O2531" s="27">
        <v>4379.4320299999999</v>
      </c>
      <c r="Q2531" s="27">
        <v>6909.8227200000001</v>
      </c>
      <c r="S2531" s="27">
        <v>1332.2864480000001</v>
      </c>
      <c r="U2531" s="27">
        <v>3.8883700000000001</v>
      </c>
      <c r="W2531" s="27">
        <v>40.847824000000003</v>
      </c>
      <c r="Y2531" s="27">
        <v>7.8758679999999996</v>
      </c>
      <c r="AA2531" s="27">
        <v>653.38541099999998</v>
      </c>
      <c r="AC2531" s="27">
        <v>53.027853999999998</v>
      </c>
      <c r="AE2531" s="27">
        <v>1</v>
      </c>
      <c r="AG2531" s="27">
        <v>7.7632019999999997</v>
      </c>
      <c r="AI2531" s="27">
        <v>8.75</v>
      </c>
      <c r="AK2531" s="27">
        <v>24.614812000000001</v>
      </c>
      <c r="AM2531" s="27">
        <v>35.896385000000002</v>
      </c>
      <c r="AO2531" s="27">
        <v>6.780748</v>
      </c>
    </row>
    <row r="2532" spans="2:41" x14ac:dyDescent="0.25">
      <c r="B2532" s="21">
        <v>44814</v>
      </c>
      <c r="C2532" s="27">
        <v>20.020299999999999</v>
      </c>
      <c r="E2532" s="27">
        <v>0.99535200000000001</v>
      </c>
      <c r="G2532" s="27">
        <v>141.406634</v>
      </c>
      <c r="I2532" s="27">
        <v>6.9144819999999996</v>
      </c>
      <c r="K2532" s="27">
        <v>5.1484480000000001</v>
      </c>
      <c r="M2532" s="27">
        <v>905.54750000000001</v>
      </c>
      <c r="O2532" s="27">
        <v>4352.2624999999998</v>
      </c>
      <c r="Q2532" s="27">
        <v>6927.3526350000002</v>
      </c>
      <c r="S2532" s="27">
        <v>1345.534584</v>
      </c>
      <c r="U2532" s="27">
        <v>3.8865639999999999</v>
      </c>
      <c r="W2532" s="27">
        <v>40.890141999999997</v>
      </c>
      <c r="Y2532" s="27">
        <v>7.9422779999999999</v>
      </c>
      <c r="AA2532" s="27">
        <v>652.95904800000005</v>
      </c>
      <c r="AC2532" s="27">
        <v>53.222499999999997</v>
      </c>
      <c r="AE2532" s="27">
        <v>1</v>
      </c>
      <c r="AG2532" s="27">
        <v>7.7830620000000001</v>
      </c>
      <c r="AI2532" s="27">
        <v>8.75</v>
      </c>
      <c r="AK2532" s="27">
        <v>24.661828</v>
      </c>
      <c r="AM2532" s="27">
        <v>35.97475</v>
      </c>
      <c r="AO2532" s="27">
        <v>6.7943110000000004</v>
      </c>
    </row>
    <row r="2533" spans="2:41" x14ac:dyDescent="0.25">
      <c r="B2533" s="21">
        <v>44815</v>
      </c>
      <c r="C2533" s="27">
        <v>20.020299999999999</v>
      </c>
      <c r="E2533" s="27">
        <v>0.99497899999999995</v>
      </c>
      <c r="G2533" s="27">
        <v>141.364746</v>
      </c>
      <c r="I2533" s="27">
        <v>6.9144540000000001</v>
      </c>
      <c r="K2533" s="27">
        <v>5.1483660000000002</v>
      </c>
      <c r="M2533" s="27">
        <v>905.54210999999998</v>
      </c>
      <c r="O2533" s="27">
        <v>4352.323684</v>
      </c>
      <c r="Q2533" s="27">
        <v>6925.6145399999996</v>
      </c>
      <c r="S2533" s="27">
        <v>1345.217686</v>
      </c>
      <c r="U2533" s="27">
        <v>3.88625</v>
      </c>
      <c r="W2533" s="27">
        <v>40.883679999999998</v>
      </c>
      <c r="Y2533" s="27">
        <v>7.941147</v>
      </c>
      <c r="AA2533" s="27">
        <v>652.97494099999994</v>
      </c>
      <c r="AC2533" s="27">
        <v>53.222009999999997</v>
      </c>
      <c r="AE2533" s="27">
        <v>1</v>
      </c>
      <c r="AG2533" s="27">
        <v>7.7801929999999997</v>
      </c>
      <c r="AI2533" s="27">
        <v>8.75</v>
      </c>
      <c r="AK2533" s="27">
        <v>24.65531</v>
      </c>
      <c r="AM2533" s="27">
        <v>35.970460000000003</v>
      </c>
      <c r="AO2533" s="27">
        <v>6.7926200000000003</v>
      </c>
    </row>
    <row r="2534" spans="2:41" x14ac:dyDescent="0.25">
      <c r="B2534" s="21">
        <v>44816</v>
      </c>
      <c r="C2534" s="27">
        <v>19.902699999999999</v>
      </c>
      <c r="E2534" s="27">
        <v>0.98803600000000003</v>
      </c>
      <c r="G2534" s="27">
        <v>141.70371</v>
      </c>
      <c r="I2534" s="27">
        <v>6.9082520000000001</v>
      </c>
      <c r="K2534" s="27">
        <v>5.1269819999999999</v>
      </c>
      <c r="M2534" s="27">
        <v>902.035034</v>
      </c>
      <c r="O2534" s="27">
        <v>4354.4407380000002</v>
      </c>
      <c r="Q2534" s="27">
        <v>6909.3556760000001</v>
      </c>
      <c r="S2534" s="27">
        <v>1347.656041</v>
      </c>
      <c r="U2534" s="27">
        <v>3.8839519999999998</v>
      </c>
      <c r="W2534" s="27">
        <v>40.824001000000003</v>
      </c>
      <c r="Y2534" s="27">
        <v>7.9626200000000003</v>
      </c>
      <c r="AA2534" s="27">
        <v>650.25148300000001</v>
      </c>
      <c r="AC2534" s="27">
        <v>53.185132000000003</v>
      </c>
      <c r="AE2534" s="27">
        <v>1</v>
      </c>
      <c r="AG2534" s="27">
        <v>7.7649210000000002</v>
      </c>
      <c r="AI2534" s="27">
        <v>8.75</v>
      </c>
      <c r="AK2534" s="27">
        <v>24.611518</v>
      </c>
      <c r="AM2534" s="27">
        <v>35.869475999999999</v>
      </c>
      <c r="AO2534" s="27">
        <v>6.7745540000000002</v>
      </c>
    </row>
    <row r="2535" spans="2:41" x14ac:dyDescent="0.25">
      <c r="B2535" s="21">
        <v>44817</v>
      </c>
      <c r="C2535" s="27">
        <v>19.7957</v>
      </c>
      <c r="E2535" s="27">
        <v>0.99281900000000001</v>
      </c>
      <c r="G2535" s="27">
        <v>142.40975599999999</v>
      </c>
      <c r="I2535" s="27">
        <v>6.9065149999999997</v>
      </c>
      <c r="K2535" s="27">
        <v>5.1355890000000004</v>
      </c>
      <c r="M2535" s="27">
        <v>906.46184600000004</v>
      </c>
      <c r="O2535" s="27">
        <v>4383.2431040000001</v>
      </c>
      <c r="Q2535" s="27">
        <v>6915.5666650000003</v>
      </c>
      <c r="S2535" s="27">
        <v>1346.606491</v>
      </c>
      <c r="U2535" s="27">
        <v>3.8839260000000002</v>
      </c>
      <c r="W2535" s="27">
        <v>40.759028000000001</v>
      </c>
      <c r="Y2535" s="27">
        <v>7.9366180000000002</v>
      </c>
      <c r="AA2535" s="27">
        <v>646.38750000000005</v>
      </c>
      <c r="AC2535" s="27">
        <v>53.326664000000001</v>
      </c>
      <c r="AE2535" s="27">
        <v>1</v>
      </c>
      <c r="AG2535" s="27">
        <v>7.7752090000000003</v>
      </c>
      <c r="AI2535" s="27">
        <v>8.75</v>
      </c>
      <c r="AK2535" s="27">
        <v>24.657167999999999</v>
      </c>
      <c r="AM2535" s="27">
        <v>35.942214</v>
      </c>
      <c r="AO2535" s="27">
        <v>6.7854720000000004</v>
      </c>
    </row>
    <row r="2536" spans="2:41" x14ac:dyDescent="0.25">
      <c r="B2536" s="21">
        <v>44818</v>
      </c>
      <c r="C2536" s="27">
        <v>20.055</v>
      </c>
      <c r="E2536" s="27">
        <v>1.0011650000000001</v>
      </c>
      <c r="G2536" s="27">
        <v>142.71032199999999</v>
      </c>
      <c r="I2536" s="27">
        <v>6.9344239999999999</v>
      </c>
      <c r="K2536" s="27">
        <v>5.1824589999999997</v>
      </c>
      <c r="M2536" s="27">
        <v>918.68363699999998</v>
      </c>
      <c r="O2536" s="27">
        <v>4402.7119860000003</v>
      </c>
      <c r="Q2536" s="27">
        <v>6963.189112</v>
      </c>
      <c r="S2536" s="27">
        <v>1343.6167840000001</v>
      </c>
      <c r="U2536" s="27">
        <v>3.8677419999999998</v>
      </c>
      <c r="W2536" s="27">
        <v>41.074137999999998</v>
      </c>
      <c r="Y2536" s="27">
        <v>7.9256409999999997</v>
      </c>
      <c r="AA2536" s="27">
        <v>643.775802</v>
      </c>
      <c r="AC2536" s="27">
        <v>53.897593999999998</v>
      </c>
      <c r="AE2536" s="27">
        <v>1</v>
      </c>
      <c r="AG2536" s="27">
        <v>7.8220489999999998</v>
      </c>
      <c r="AI2536" s="27">
        <v>8.75</v>
      </c>
      <c r="AK2536" s="27">
        <v>24.879957999999998</v>
      </c>
      <c r="AM2536" s="27">
        <v>36.279144000000002</v>
      </c>
      <c r="AO2536" s="27">
        <v>6.8155939999999999</v>
      </c>
    </row>
    <row r="2537" spans="2:41" x14ac:dyDescent="0.25">
      <c r="B2537" s="21">
        <v>44819</v>
      </c>
      <c r="C2537" s="27">
        <v>19.976800000000001</v>
      </c>
      <c r="E2537" s="27">
        <v>1.001412</v>
      </c>
      <c r="G2537" s="27">
        <v>143.01604</v>
      </c>
      <c r="I2537" s="27">
        <v>6.9151670000000003</v>
      </c>
      <c r="K2537" s="27">
        <v>5.1980320000000004</v>
      </c>
      <c r="M2537" s="27">
        <v>922.19832199999996</v>
      </c>
      <c r="O2537" s="27">
        <v>4401.7399450000003</v>
      </c>
      <c r="Q2537" s="27">
        <v>6961.3232420000004</v>
      </c>
      <c r="S2537" s="27">
        <v>1339.2325510000001</v>
      </c>
      <c r="U2537" s="27">
        <v>3.8635609999999998</v>
      </c>
      <c r="W2537" s="27">
        <v>40.795569999999998</v>
      </c>
      <c r="Y2537" s="27">
        <v>7.848306</v>
      </c>
      <c r="AA2537" s="27">
        <v>637.63175999999999</v>
      </c>
      <c r="AC2537" s="27">
        <v>53.560538000000001</v>
      </c>
      <c r="AE2537" s="27">
        <v>1</v>
      </c>
      <c r="AG2537" s="27">
        <v>7.8060349999999996</v>
      </c>
      <c r="AI2537" s="27">
        <v>8.75</v>
      </c>
      <c r="AK2537" s="27">
        <v>24.793293999999999</v>
      </c>
      <c r="AM2537" s="27">
        <v>36.144615000000002</v>
      </c>
      <c r="AO2537" s="27">
        <v>6.7960349999999998</v>
      </c>
    </row>
    <row r="2538" spans="2:41" x14ac:dyDescent="0.25">
      <c r="B2538" s="21">
        <v>44820</v>
      </c>
      <c r="C2538" s="27">
        <v>19.976800000000001</v>
      </c>
      <c r="E2538" s="27">
        <v>1.000577</v>
      </c>
      <c r="G2538" s="27">
        <v>143.33143200000001</v>
      </c>
      <c r="I2538" s="27">
        <v>6.9054979999999997</v>
      </c>
      <c r="K2538" s="27">
        <v>5.25875</v>
      </c>
      <c r="M2538" s="27">
        <v>923.22429299999999</v>
      </c>
      <c r="O2538" s="27">
        <v>4425.8594679999997</v>
      </c>
      <c r="Q2538" s="27">
        <v>6960.992722</v>
      </c>
      <c r="S2538" s="27">
        <v>1323.706488</v>
      </c>
      <c r="U2538" s="27">
        <v>3.874298</v>
      </c>
      <c r="W2538" s="27">
        <v>40.725268</v>
      </c>
      <c r="Y2538" s="27">
        <v>7.7443200000000001</v>
      </c>
      <c r="AA2538" s="27">
        <v>630.53786700000001</v>
      </c>
      <c r="AC2538" s="27">
        <v>53.353157000000003</v>
      </c>
      <c r="AE2538" s="27">
        <v>1</v>
      </c>
      <c r="AG2538" s="27">
        <v>7.7950020000000002</v>
      </c>
      <c r="AI2538" s="27">
        <v>8.75</v>
      </c>
      <c r="AK2538" s="27">
        <v>24.642737</v>
      </c>
      <c r="AM2538" s="27">
        <v>35.956229999999998</v>
      </c>
      <c r="AO2538" s="27">
        <v>6.7873419999999998</v>
      </c>
    </row>
    <row r="2539" spans="2:41" x14ac:dyDescent="0.25">
      <c r="B2539" s="21">
        <v>44821</v>
      </c>
      <c r="C2539" s="27">
        <v>19.976800000000001</v>
      </c>
      <c r="E2539" s="27">
        <v>0.99830300000000005</v>
      </c>
      <c r="G2539" s="27">
        <v>143.52063000000001</v>
      </c>
      <c r="I2539" s="27">
        <v>6.9100840000000003</v>
      </c>
      <c r="K2539" s="27">
        <v>5.2526000000000002</v>
      </c>
      <c r="M2539" s="27">
        <v>922.37</v>
      </c>
      <c r="O2539" s="27">
        <v>4435.0825000000004</v>
      </c>
      <c r="Q2539" s="27">
        <v>6968.4534080000003</v>
      </c>
      <c r="S2539" s="27">
        <v>1326.674614</v>
      </c>
      <c r="U2539" s="27">
        <v>3.878225</v>
      </c>
      <c r="W2539" s="27">
        <v>40.829998000000003</v>
      </c>
      <c r="Y2539" s="27">
        <v>7.7733239999999997</v>
      </c>
      <c r="AA2539" s="27">
        <v>630.96532000000002</v>
      </c>
      <c r="AC2539" s="27">
        <v>53.457500000000003</v>
      </c>
      <c r="AE2539" s="27">
        <v>1</v>
      </c>
      <c r="AG2539" s="27">
        <v>7.8001820000000004</v>
      </c>
      <c r="AI2539" s="27">
        <v>8.75</v>
      </c>
      <c r="AK2539" s="27">
        <v>24.669789999999999</v>
      </c>
      <c r="AM2539" s="27">
        <v>35.969749999999998</v>
      </c>
      <c r="AO2539" s="27">
        <v>6.7911169999999998</v>
      </c>
    </row>
    <row r="2540" spans="2:41" x14ac:dyDescent="0.25">
      <c r="B2540" s="21">
        <v>44822</v>
      </c>
      <c r="C2540" s="27">
        <v>19.976800000000001</v>
      </c>
      <c r="E2540" s="27">
        <v>0.99831400000000003</v>
      </c>
      <c r="G2540" s="27">
        <v>143.18119799999999</v>
      </c>
      <c r="I2540" s="27">
        <v>6.9102180000000004</v>
      </c>
      <c r="K2540" s="27">
        <v>5.2527799999999996</v>
      </c>
      <c r="M2540" s="27">
        <v>922.37</v>
      </c>
      <c r="O2540" s="27">
        <v>4434.8291950000003</v>
      </c>
      <c r="Q2540" s="27">
        <v>6969.4758609999999</v>
      </c>
      <c r="S2540" s="27">
        <v>1326.825212</v>
      </c>
      <c r="U2540" s="27">
        <v>3.878225</v>
      </c>
      <c r="W2540" s="27">
        <v>40.818731999999997</v>
      </c>
      <c r="Y2540" s="27">
        <v>7.770918</v>
      </c>
      <c r="AA2540" s="27">
        <v>630.98387400000001</v>
      </c>
      <c r="AC2540" s="27">
        <v>53.422463</v>
      </c>
      <c r="AE2540" s="27">
        <v>1</v>
      </c>
      <c r="AG2540" s="27">
        <v>7.8003980000000004</v>
      </c>
      <c r="AI2540" s="27">
        <v>8.75</v>
      </c>
      <c r="AK2540" s="27">
        <v>24.660008000000001</v>
      </c>
      <c r="AM2540" s="27">
        <v>35.951230000000002</v>
      </c>
      <c r="AO2540" s="27">
        <v>6.7912720000000002</v>
      </c>
    </row>
    <row r="2541" spans="2:41" x14ac:dyDescent="0.25">
      <c r="B2541" s="21">
        <v>44823</v>
      </c>
      <c r="C2541" s="27">
        <v>20.052499999999998</v>
      </c>
      <c r="E2541" s="27">
        <v>0.99991099999999999</v>
      </c>
      <c r="G2541" s="27">
        <v>143.014489</v>
      </c>
      <c r="I2541" s="27">
        <v>6.8938600000000001</v>
      </c>
      <c r="K2541" s="27">
        <v>5.225066</v>
      </c>
      <c r="M2541" s="27">
        <v>922.60657600000002</v>
      </c>
      <c r="O2541" s="27">
        <v>4422.0809520000003</v>
      </c>
      <c r="Q2541" s="27">
        <v>6954.4830380000003</v>
      </c>
      <c r="S2541" s="27">
        <v>1330.9948790000001</v>
      </c>
      <c r="U2541" s="27">
        <v>3.854635</v>
      </c>
      <c r="W2541" s="27">
        <v>40.715353999999998</v>
      </c>
      <c r="Y2541" s="27">
        <v>7.7923559999999998</v>
      </c>
      <c r="AA2541" s="27">
        <v>633.12898299999995</v>
      </c>
      <c r="AC2541" s="27">
        <v>52.947721999999999</v>
      </c>
      <c r="AE2541" s="27">
        <v>1</v>
      </c>
      <c r="AG2541" s="27">
        <v>7.7757149999999999</v>
      </c>
      <c r="AI2541" s="27">
        <v>8.75</v>
      </c>
      <c r="AK2541" s="27">
        <v>24.479227999999999</v>
      </c>
      <c r="AM2541" s="27">
        <v>35.705354</v>
      </c>
      <c r="AO2541" s="27">
        <v>6.7709820000000001</v>
      </c>
    </row>
    <row r="2542" spans="2:41" x14ac:dyDescent="0.25">
      <c r="B2542" s="21">
        <v>44824</v>
      </c>
      <c r="C2542" s="27">
        <v>19.994299999999999</v>
      </c>
      <c r="E2542" s="27">
        <v>1.000178</v>
      </c>
      <c r="G2542" s="27">
        <v>144.48341400000001</v>
      </c>
      <c r="I2542" s="27">
        <v>6.8955700000000002</v>
      </c>
      <c r="K2542" s="27">
        <v>5.1671379999999996</v>
      </c>
      <c r="M2542" s="27">
        <v>927.16648199999997</v>
      </c>
      <c r="O2542" s="27">
        <v>4414.1943259999998</v>
      </c>
      <c r="Q2542" s="27">
        <v>6953.1010500000002</v>
      </c>
      <c r="S2542" s="27">
        <v>1345.648187</v>
      </c>
      <c r="U2542" s="27">
        <v>3.8696290000000002</v>
      </c>
      <c r="W2542" s="27">
        <v>40.819377000000003</v>
      </c>
      <c r="Y2542" s="27">
        <v>7.8998359999999996</v>
      </c>
      <c r="AA2542" s="27">
        <v>629.68688599999996</v>
      </c>
      <c r="AC2542" s="27">
        <v>53.320177000000001</v>
      </c>
      <c r="AE2542" s="27">
        <v>1</v>
      </c>
      <c r="AG2542" s="27">
        <v>7.7849579999999996</v>
      </c>
      <c r="AI2542" s="27">
        <v>8.75</v>
      </c>
      <c r="AK2542" s="27">
        <v>24.599378000000002</v>
      </c>
      <c r="AM2542" s="27">
        <v>35.890988999999998</v>
      </c>
      <c r="AO2542" s="27">
        <v>6.7748980000000003</v>
      </c>
    </row>
    <row r="2543" spans="2:41" x14ac:dyDescent="0.25">
      <c r="B2543" s="21">
        <v>44825</v>
      </c>
      <c r="C2543" s="27">
        <v>20</v>
      </c>
      <c r="E2543" s="27">
        <v>1.0096320000000001</v>
      </c>
      <c r="G2543" s="27">
        <v>144.75264100000001</v>
      </c>
      <c r="I2543" s="27">
        <v>6.9137579999999996</v>
      </c>
      <c r="K2543" s="27">
        <v>5.1554349999999998</v>
      </c>
      <c r="M2543" s="27">
        <v>935.66247999999996</v>
      </c>
      <c r="O2543" s="27">
        <v>4416.7608840000003</v>
      </c>
      <c r="Q2543" s="27">
        <v>6969.7913980000003</v>
      </c>
      <c r="S2543" s="27">
        <v>1351.9400390000001</v>
      </c>
      <c r="U2543" s="27">
        <v>3.8723770000000002</v>
      </c>
      <c r="W2543" s="27">
        <v>40.901358000000002</v>
      </c>
      <c r="Y2543" s="27">
        <v>7.9336779999999996</v>
      </c>
      <c r="AA2543" s="27">
        <v>631.94161799999995</v>
      </c>
      <c r="AC2543" s="27">
        <v>53.619374000000001</v>
      </c>
      <c r="AE2543" s="27">
        <v>1</v>
      </c>
      <c r="AG2543" s="27">
        <v>7.8064309999999999</v>
      </c>
      <c r="AI2543" s="27">
        <v>8.75</v>
      </c>
      <c r="AK2543" s="27">
        <v>24.672986000000002</v>
      </c>
      <c r="AM2543" s="27">
        <v>35.950259000000003</v>
      </c>
      <c r="AO2543" s="27">
        <v>6.7952279999999998</v>
      </c>
    </row>
    <row r="2544" spans="2:41" x14ac:dyDescent="0.25">
      <c r="B2544" s="21">
        <v>44826</v>
      </c>
      <c r="C2544" s="27">
        <v>20.002700000000001</v>
      </c>
      <c r="E2544" s="27">
        <v>1.0161659999999999</v>
      </c>
      <c r="G2544" s="27">
        <v>145.01531</v>
      </c>
      <c r="I2544" s="27">
        <v>6.9250210000000001</v>
      </c>
      <c r="K2544" s="27">
        <v>5.1564540000000001</v>
      </c>
      <c r="M2544" s="27">
        <v>940.00480700000003</v>
      </c>
      <c r="O2544" s="27">
        <v>4391.0079999999998</v>
      </c>
      <c r="Q2544" s="27">
        <v>6983.670435</v>
      </c>
      <c r="S2544" s="27">
        <v>1354.3644870000001</v>
      </c>
      <c r="U2544" s="27">
        <v>3.900398</v>
      </c>
      <c r="W2544" s="27">
        <v>40.990068000000001</v>
      </c>
      <c r="Y2544" s="27">
        <v>7.9493099999999997</v>
      </c>
      <c r="AA2544" s="27">
        <v>633.82508800000005</v>
      </c>
      <c r="AC2544" s="27">
        <v>53.559952000000003</v>
      </c>
      <c r="AE2544" s="27">
        <v>1</v>
      </c>
      <c r="AG2544" s="27">
        <v>7.8236480000000004</v>
      </c>
      <c r="AI2544" s="27">
        <v>8.75</v>
      </c>
      <c r="AK2544" s="27">
        <v>24.667891999999998</v>
      </c>
      <c r="AM2544" s="27">
        <v>35.962958</v>
      </c>
      <c r="AO2544" s="27">
        <v>6.810092</v>
      </c>
    </row>
    <row r="2545" spans="2:41" x14ac:dyDescent="0.25">
      <c r="B2545" s="21">
        <v>44827</v>
      </c>
      <c r="C2545" s="27">
        <v>19.960799999999999</v>
      </c>
      <c r="E2545" s="27">
        <v>1.025004</v>
      </c>
      <c r="G2545" s="27">
        <v>145.29562100000001</v>
      </c>
      <c r="I2545" s="27">
        <v>6.9166249999999998</v>
      </c>
      <c r="K2545" s="27">
        <v>5.1795309999999999</v>
      </c>
      <c r="M2545" s="27">
        <v>956.01842399999998</v>
      </c>
      <c r="O2545" s="27">
        <v>4398.5142830000004</v>
      </c>
      <c r="Q2545" s="27">
        <v>6978.524034</v>
      </c>
      <c r="S2545" s="27">
        <v>1347.3366619999999</v>
      </c>
      <c r="U2545" s="27">
        <v>3.8952399999999998</v>
      </c>
      <c r="W2545" s="27">
        <v>40.908036000000003</v>
      </c>
      <c r="Y2545" s="27">
        <v>7.898053</v>
      </c>
      <c r="AA2545" s="27">
        <v>631.43725500000005</v>
      </c>
      <c r="AC2545" s="27">
        <v>53.484118000000002</v>
      </c>
      <c r="AE2545" s="27">
        <v>1</v>
      </c>
      <c r="AG2545" s="27">
        <v>7.830387</v>
      </c>
      <c r="AI2545" s="27">
        <v>8.75</v>
      </c>
      <c r="AK2545" s="27">
        <v>24.733575999999999</v>
      </c>
      <c r="AM2545" s="27">
        <v>36.018341999999997</v>
      </c>
      <c r="AO2545" s="27">
        <v>6.8057040000000004</v>
      </c>
    </row>
    <row r="2546" spans="2:41" x14ac:dyDescent="0.25">
      <c r="B2546" s="21">
        <v>44828</v>
      </c>
      <c r="C2546" s="27">
        <v>19.960799999999999</v>
      </c>
      <c r="E2546" s="27">
        <v>1.0318480000000001</v>
      </c>
      <c r="G2546" s="27">
        <v>145.42784499999999</v>
      </c>
      <c r="I2546" s="27">
        <v>6.9085150000000004</v>
      </c>
      <c r="K2546" s="27">
        <v>5.2634499999999997</v>
      </c>
      <c r="M2546" s="27">
        <v>970.55</v>
      </c>
      <c r="O2546" s="27">
        <v>4441.8325000000004</v>
      </c>
      <c r="Q2546" s="27">
        <v>6978.1683899999998</v>
      </c>
      <c r="S2546" s="27">
        <v>1325.7856400000001</v>
      </c>
      <c r="U2546" s="27">
        <v>3.9067479999999999</v>
      </c>
      <c r="W2546" s="27">
        <v>40.734993000000003</v>
      </c>
      <c r="Y2546" s="27">
        <v>7.7392500000000002</v>
      </c>
      <c r="AA2546" s="27">
        <v>630.44008599999995</v>
      </c>
      <c r="AC2546" s="27">
        <v>53.442500000000003</v>
      </c>
      <c r="AE2546" s="27">
        <v>1</v>
      </c>
      <c r="AG2546" s="27">
        <v>7.830927</v>
      </c>
      <c r="AI2546" s="27">
        <v>8.75</v>
      </c>
      <c r="AK2546" s="27">
        <v>24.729997999999998</v>
      </c>
      <c r="AM2546" s="27">
        <v>35.977249999999998</v>
      </c>
      <c r="AO2546" s="27">
        <v>6.7986250000000004</v>
      </c>
    </row>
    <row r="2547" spans="2:41" x14ac:dyDescent="0.25">
      <c r="B2547" s="21">
        <v>44829</v>
      </c>
      <c r="C2547" s="27">
        <v>19.960799999999999</v>
      </c>
      <c r="E2547" s="27">
        <v>1.0318799999999999</v>
      </c>
      <c r="G2547" s="27">
        <v>145.461828</v>
      </c>
      <c r="I2547" s="27">
        <v>6.9090499999999997</v>
      </c>
      <c r="K2547" s="27">
        <v>5.2634480000000003</v>
      </c>
      <c r="M2547" s="27">
        <v>969.35736099999997</v>
      </c>
      <c r="O2547" s="27">
        <v>4441.5779759999996</v>
      </c>
      <c r="Q2547" s="27">
        <v>6977.9364009999999</v>
      </c>
      <c r="S2547" s="27">
        <v>1325.7423140000001</v>
      </c>
      <c r="U2547" s="27">
        <v>3.9072619999999998</v>
      </c>
      <c r="W2547" s="27">
        <v>40.750720000000001</v>
      </c>
      <c r="Y2547" s="27">
        <v>7.7422420000000001</v>
      </c>
      <c r="AA2547" s="27">
        <v>630.54239399999994</v>
      </c>
      <c r="AC2547" s="27">
        <v>53.449548</v>
      </c>
      <c r="AE2547" s="27">
        <v>1</v>
      </c>
      <c r="AG2547" s="27">
        <v>7.830514</v>
      </c>
      <c r="AI2547" s="27">
        <v>8.75</v>
      </c>
      <c r="AK2547" s="27">
        <v>24.731760000000001</v>
      </c>
      <c r="AM2547" s="27">
        <v>35.980916999999998</v>
      </c>
      <c r="AO2547" s="27">
        <v>6.7990240000000002</v>
      </c>
    </row>
    <row r="2548" spans="2:41" x14ac:dyDescent="0.25">
      <c r="B2548" s="21">
        <v>44830</v>
      </c>
      <c r="C2548" s="27">
        <v>20.162700000000001</v>
      </c>
      <c r="E2548" s="27">
        <v>1.037377</v>
      </c>
      <c r="G2548" s="27">
        <v>145.85192000000001</v>
      </c>
      <c r="I2548" s="27">
        <v>6.9319959999999998</v>
      </c>
      <c r="K2548" s="27">
        <v>5.3181380000000003</v>
      </c>
      <c r="M2548" s="27">
        <v>976.32703500000002</v>
      </c>
      <c r="O2548" s="27">
        <v>4472.1041580000001</v>
      </c>
      <c r="Q2548" s="27">
        <v>7000.458318</v>
      </c>
      <c r="S2548" s="27">
        <v>1316.348714</v>
      </c>
      <c r="U2548" s="27">
        <v>3.9186800000000002</v>
      </c>
      <c r="W2548" s="27">
        <v>40.973342000000002</v>
      </c>
      <c r="Y2548" s="27">
        <v>7.7045019999999997</v>
      </c>
      <c r="AA2548" s="27">
        <v>633.65182400000003</v>
      </c>
      <c r="AC2548" s="27">
        <v>53.669547999999999</v>
      </c>
      <c r="AE2548" s="27">
        <v>1</v>
      </c>
      <c r="AG2548" s="27">
        <v>7.8558560000000002</v>
      </c>
      <c r="AI2548" s="27">
        <v>8.75</v>
      </c>
      <c r="AK2548" s="27">
        <v>24.786957999999998</v>
      </c>
      <c r="AM2548" s="27">
        <v>36.077522000000002</v>
      </c>
      <c r="AO2548" s="27">
        <v>6.8220219999999996</v>
      </c>
    </row>
    <row r="2549" spans="2:41" x14ac:dyDescent="0.25">
      <c r="B2549" s="21">
        <v>44831</v>
      </c>
      <c r="C2549" s="27">
        <v>20.351700000000001</v>
      </c>
      <c r="E2549" s="27">
        <v>1.0396099999999999</v>
      </c>
      <c r="G2549" s="27">
        <v>146.37063900000001</v>
      </c>
      <c r="I2549" s="27">
        <v>6.911397</v>
      </c>
      <c r="K2549" s="27">
        <v>5.3778600000000001</v>
      </c>
      <c r="M2549" s="27">
        <v>988.83155999999997</v>
      </c>
      <c r="O2549" s="27">
        <v>4548.2369520000002</v>
      </c>
      <c r="Q2549" s="27">
        <v>7014.4509680000001</v>
      </c>
      <c r="S2549" s="27">
        <v>1304.3292240000001</v>
      </c>
      <c r="U2549" s="27">
        <v>3.9303940000000002</v>
      </c>
      <c r="W2549" s="27">
        <v>40.858618</v>
      </c>
      <c r="Y2549" s="27">
        <v>7.597594</v>
      </c>
      <c r="AA2549" s="27">
        <v>632.75979400000006</v>
      </c>
      <c r="AC2549" s="27">
        <v>53.531711999999999</v>
      </c>
      <c r="AE2549" s="27">
        <v>1</v>
      </c>
      <c r="AG2549" s="27">
        <v>7.8427709999999999</v>
      </c>
      <c r="AI2549" s="27">
        <v>8.75</v>
      </c>
      <c r="AK2549" s="27">
        <v>24.68787</v>
      </c>
      <c r="AM2549" s="27">
        <v>35.959128</v>
      </c>
      <c r="AO2549" s="27">
        <v>6.8034689999999998</v>
      </c>
    </row>
    <row r="2550" spans="2:41" x14ac:dyDescent="0.25">
      <c r="B2550" s="21">
        <v>44832</v>
      </c>
      <c r="C2550" s="27">
        <v>20.356999999999999</v>
      </c>
      <c r="E2550" s="27">
        <v>1.039064</v>
      </c>
      <c r="G2550" s="27">
        <v>146.69252499999999</v>
      </c>
      <c r="I2550" s="27">
        <v>6.9301719999999998</v>
      </c>
      <c r="K2550" s="27">
        <v>5.3705809999999996</v>
      </c>
      <c r="M2550" s="27">
        <v>974.04008099999999</v>
      </c>
      <c r="O2550" s="27">
        <v>4526.6713170000003</v>
      </c>
      <c r="Q2550" s="27">
        <v>7037.1452099999997</v>
      </c>
      <c r="S2550" s="27">
        <v>1310.3226279999999</v>
      </c>
      <c r="U2550" s="27">
        <v>3.9550920000000001</v>
      </c>
      <c r="W2550" s="27">
        <v>41.187930000000001</v>
      </c>
      <c r="Y2550" s="27">
        <v>7.669206</v>
      </c>
      <c r="AA2550" s="27">
        <v>635.00748299999998</v>
      </c>
      <c r="AC2550" s="27">
        <v>53.489794000000003</v>
      </c>
      <c r="AE2550" s="27">
        <v>1</v>
      </c>
      <c r="AG2550" s="27">
        <v>7.8674689999999998</v>
      </c>
      <c r="AI2550" s="27">
        <v>8.75</v>
      </c>
      <c r="AK2550" s="27">
        <v>24.783864000000001</v>
      </c>
      <c r="AM2550" s="27">
        <v>36.060718000000001</v>
      </c>
      <c r="AO2550" s="27">
        <v>6.8159140000000003</v>
      </c>
    </row>
    <row r="2551" spans="2:41" x14ac:dyDescent="0.25">
      <c r="B2551" s="21">
        <v>44833</v>
      </c>
      <c r="C2551" s="27">
        <v>20.305800000000001</v>
      </c>
      <c r="E2551" s="27">
        <v>1.0275270000000001</v>
      </c>
      <c r="G2551" s="27">
        <v>146.96043</v>
      </c>
      <c r="I2551" s="27">
        <v>6.895696</v>
      </c>
      <c r="K2551" s="27">
        <v>5.3874430000000002</v>
      </c>
      <c r="M2551" s="27">
        <v>960.52853000000005</v>
      </c>
      <c r="O2551" s="27">
        <v>4507.7854880000004</v>
      </c>
      <c r="Q2551" s="27">
        <v>7021.1583000000001</v>
      </c>
      <c r="S2551" s="27">
        <v>1303.2539180000001</v>
      </c>
      <c r="U2551" s="27">
        <v>3.9498980000000001</v>
      </c>
      <c r="W2551" s="27">
        <v>41.076230000000002</v>
      </c>
      <c r="Y2551" s="27">
        <v>7.6244699999999996</v>
      </c>
      <c r="AA2551" s="27">
        <v>631.39720799999998</v>
      </c>
      <c r="AC2551" s="27">
        <v>53.007297999999999</v>
      </c>
      <c r="AE2551" s="27">
        <v>1</v>
      </c>
      <c r="AG2551" s="27">
        <v>7.8393660000000001</v>
      </c>
      <c r="AI2551" s="27">
        <v>8.75</v>
      </c>
      <c r="AK2551" s="27">
        <v>24.553001999999999</v>
      </c>
      <c r="AM2551" s="27">
        <v>35.725839999999998</v>
      </c>
      <c r="AO2551" s="27">
        <v>6.7808099999999998</v>
      </c>
    </row>
    <row r="2552" spans="2:41" x14ac:dyDescent="0.25">
      <c r="B2552" s="21">
        <v>44834</v>
      </c>
      <c r="C2552" s="27">
        <v>20.192699999999999</v>
      </c>
      <c r="E2552" s="27">
        <v>1.020572</v>
      </c>
      <c r="G2552" s="27">
        <v>147.174972</v>
      </c>
      <c r="I2552" s="27">
        <v>6.8930639999999999</v>
      </c>
      <c r="K2552" s="27">
        <v>5.397894</v>
      </c>
      <c r="M2552" s="27">
        <v>964.27963999999997</v>
      </c>
      <c r="O2552" s="27">
        <v>4561.9422180000001</v>
      </c>
      <c r="Q2552" s="27">
        <v>7014.4774280000001</v>
      </c>
      <c r="S2552" s="27">
        <v>1299.4925840000001</v>
      </c>
      <c r="U2552" s="27">
        <v>3.9511280000000002</v>
      </c>
      <c r="W2552" s="27">
        <v>41.167090000000002</v>
      </c>
      <c r="Y2552" s="27">
        <v>7.6265409999999996</v>
      </c>
      <c r="AA2552" s="27">
        <v>629.57580600000006</v>
      </c>
      <c r="AC2552" s="27">
        <v>53.080274000000003</v>
      </c>
      <c r="AE2552" s="27">
        <v>1</v>
      </c>
      <c r="AG2552" s="27">
        <v>7.84856</v>
      </c>
      <c r="AI2552" s="27">
        <v>8.75</v>
      </c>
      <c r="AK2552" s="27">
        <v>24.568802999999999</v>
      </c>
      <c r="AM2552" s="27">
        <v>35.714297000000002</v>
      </c>
      <c r="AO2552" s="27">
        <v>6.7800459999999996</v>
      </c>
    </row>
    <row r="2553" spans="2:41" ht="13" x14ac:dyDescent="0.3">
      <c r="B2553" s="25" t="s">
        <v>209</v>
      </c>
      <c r="C2553" s="19">
        <v>20.0655</v>
      </c>
      <c r="E2553" s="19">
        <v>1.0093000000000001</v>
      </c>
      <c r="G2553" s="19">
        <v>142.9479</v>
      </c>
      <c r="I2553" s="19">
        <v>6.9116</v>
      </c>
      <c r="K2553" s="19">
        <v>5.2249999999999996</v>
      </c>
      <c r="M2553" s="19">
        <v>922.75729999999999</v>
      </c>
      <c r="O2553" s="19">
        <v>4439.5914000000002</v>
      </c>
      <c r="Q2553" s="19">
        <v>6951.1118999999999</v>
      </c>
      <c r="S2553" s="19">
        <v>1330.5615</v>
      </c>
      <c r="U2553" s="19">
        <v>3.8885000000000001</v>
      </c>
      <c r="W2553" s="19">
        <v>40.868400000000001</v>
      </c>
      <c r="Y2553" s="19">
        <v>7.8231999999999999</v>
      </c>
      <c r="AA2553" s="19">
        <v>639.34090000000003</v>
      </c>
      <c r="AC2553" s="19">
        <v>53.290500000000002</v>
      </c>
      <c r="AE2553" s="19">
        <v>1</v>
      </c>
      <c r="AG2553" s="19">
        <v>7.7934000000000001</v>
      </c>
      <c r="AI2553" s="19">
        <v>8.75</v>
      </c>
      <c r="AK2553" s="19">
        <v>24.648700000000002</v>
      </c>
      <c r="AM2553" s="19">
        <v>35.953499999999998</v>
      </c>
      <c r="AO2553" s="19">
        <v>6.7896999999999998</v>
      </c>
    </row>
    <row r="2554" spans="2:41" x14ac:dyDescent="0.25">
      <c r="B2554" s="21">
        <v>44835</v>
      </c>
      <c r="C2554" s="27">
        <v>20.192699999999999</v>
      </c>
      <c r="E2554" s="27">
        <v>1.0202359999999999</v>
      </c>
      <c r="G2554" s="27">
        <v>147.28882400000001</v>
      </c>
      <c r="I2554" s="27">
        <v>6.9094300000000004</v>
      </c>
      <c r="K2554" s="27">
        <v>5.4116499999999998</v>
      </c>
      <c r="M2554" s="27">
        <v>968.01</v>
      </c>
      <c r="O2554" s="27">
        <v>4609.2375000000002</v>
      </c>
      <c r="Q2554" s="27">
        <v>7034.2304059999997</v>
      </c>
      <c r="S2554" s="27">
        <v>1299.8379640000001</v>
      </c>
      <c r="U2554" s="27">
        <v>3.9797479999999998</v>
      </c>
      <c r="W2554" s="27">
        <v>41.531588999999997</v>
      </c>
      <c r="Y2554" s="27">
        <v>7.6745080000000003</v>
      </c>
      <c r="AA2554" s="27">
        <v>630.04869399999995</v>
      </c>
      <c r="AC2554" s="27">
        <v>53.572499999999998</v>
      </c>
      <c r="AE2554" s="27">
        <v>1</v>
      </c>
      <c r="AG2554" s="27">
        <v>7.8705379999999998</v>
      </c>
      <c r="AI2554" s="27">
        <v>8.75</v>
      </c>
      <c r="AK2554" s="27">
        <v>24.749998000000001</v>
      </c>
      <c r="AM2554" s="27">
        <v>35.8125</v>
      </c>
      <c r="AO2554" s="27">
        <v>6.7945719999999996</v>
      </c>
    </row>
    <row r="2555" spans="2:41" x14ac:dyDescent="0.25">
      <c r="B2555" s="21">
        <v>44836</v>
      </c>
      <c r="C2555" s="27">
        <v>20.192699999999999</v>
      </c>
      <c r="E2555" s="27">
        <v>1.02027</v>
      </c>
      <c r="G2555" s="27">
        <v>147.29541</v>
      </c>
      <c r="I2555" s="27">
        <v>6.9093879999999999</v>
      </c>
      <c r="K2555" s="27">
        <v>5.4118320000000004</v>
      </c>
      <c r="M2555" s="27">
        <v>968.01208499999996</v>
      </c>
      <c r="O2555" s="27">
        <v>4609.2442060000003</v>
      </c>
      <c r="Q2555" s="27">
        <v>7033.7738339999996</v>
      </c>
      <c r="S2555" s="27">
        <v>1299.710454</v>
      </c>
      <c r="U2555" s="27">
        <v>3.979727</v>
      </c>
      <c r="W2555" s="27">
        <v>41.493729999999999</v>
      </c>
      <c r="Y2555" s="27">
        <v>7.6672560000000001</v>
      </c>
      <c r="AA2555" s="27">
        <v>630.07613000000003</v>
      </c>
      <c r="AC2555" s="27">
        <v>53.572172999999999</v>
      </c>
      <c r="AE2555" s="27">
        <v>1</v>
      </c>
      <c r="AG2555" s="27">
        <v>7.8703560000000001</v>
      </c>
      <c r="AI2555" s="27">
        <v>8.75</v>
      </c>
      <c r="AK2555" s="27">
        <v>24.749877999999999</v>
      </c>
      <c r="AM2555" s="27">
        <v>35.810270000000003</v>
      </c>
      <c r="AO2555" s="27">
        <v>6.7945380000000002</v>
      </c>
    </row>
    <row r="2556" spans="2:41" x14ac:dyDescent="0.25">
      <c r="B2556" s="21">
        <v>44837</v>
      </c>
      <c r="C2556" s="27">
        <v>20.092500000000001</v>
      </c>
      <c r="E2556" s="27">
        <v>1.019962</v>
      </c>
      <c r="G2556" s="27">
        <v>147.64964000000001</v>
      </c>
      <c r="I2556" s="27">
        <v>6.8951750000000001</v>
      </c>
      <c r="K2556" s="27">
        <v>5.301768</v>
      </c>
      <c r="M2556" s="27">
        <v>957.56361700000002</v>
      </c>
      <c r="O2556" s="27">
        <v>4577.4985630000001</v>
      </c>
      <c r="Q2556" s="27">
        <v>7059.6866840000002</v>
      </c>
      <c r="S2556" s="27">
        <v>1331.5813579999999</v>
      </c>
      <c r="U2556" s="27">
        <v>3.9753289999999999</v>
      </c>
      <c r="W2556" s="27">
        <v>41.489488000000001</v>
      </c>
      <c r="Y2556" s="27">
        <v>7.825628</v>
      </c>
      <c r="AA2556" s="27">
        <v>627.12623399999995</v>
      </c>
      <c r="AC2556" s="27">
        <v>53.401516000000001</v>
      </c>
      <c r="AE2556" s="27">
        <v>1</v>
      </c>
      <c r="AG2556" s="27">
        <v>7.8658219999999996</v>
      </c>
      <c r="AI2556" s="27">
        <v>8.75</v>
      </c>
      <c r="AK2556" s="27">
        <v>24.684636000000001</v>
      </c>
      <c r="AM2556" s="27">
        <v>35.890782000000002</v>
      </c>
      <c r="AO2556" s="27">
        <v>6.776205</v>
      </c>
    </row>
    <row r="2557" spans="2:41" x14ac:dyDescent="0.25">
      <c r="B2557" s="21">
        <v>44838</v>
      </c>
      <c r="C2557" s="27">
        <v>20.000800000000002</v>
      </c>
      <c r="E2557" s="27">
        <v>1.0091479999999999</v>
      </c>
      <c r="G2557" s="27">
        <v>148.38946999999999</v>
      </c>
      <c r="I2557" s="27">
        <v>6.8962570000000003</v>
      </c>
      <c r="K2557" s="27">
        <v>5.1650020000000003</v>
      </c>
      <c r="M2557" s="27">
        <v>935.808176</v>
      </c>
      <c r="O2557" s="27">
        <v>4514.6388660000002</v>
      </c>
      <c r="Q2557" s="27">
        <v>7069.2977300000002</v>
      </c>
      <c r="S2557" s="27">
        <v>1368.701853</v>
      </c>
      <c r="U2557" s="27">
        <v>3.964588</v>
      </c>
      <c r="W2557" s="27">
        <v>41.483682000000002</v>
      </c>
      <c r="Y2557" s="27">
        <v>8.0317240000000005</v>
      </c>
      <c r="AA2557" s="27">
        <v>624.18683699999997</v>
      </c>
      <c r="AC2557" s="27">
        <v>53.373795000000001</v>
      </c>
      <c r="AE2557" s="27">
        <v>1</v>
      </c>
      <c r="AG2557" s="27">
        <v>7.87324</v>
      </c>
      <c r="AI2557" s="27">
        <v>8.75</v>
      </c>
      <c r="AK2557" s="27">
        <v>24.640650000000001</v>
      </c>
      <c r="AM2557" s="27">
        <v>35.897072999999999</v>
      </c>
      <c r="AO2557" s="27">
        <v>6.7708959999999996</v>
      </c>
    </row>
    <row r="2558" spans="2:41" x14ac:dyDescent="0.25">
      <c r="B2558" s="21">
        <v>44839</v>
      </c>
      <c r="C2558" s="27">
        <v>19.969799999999999</v>
      </c>
      <c r="E2558" s="27">
        <v>1.0081720000000001</v>
      </c>
      <c r="G2558" s="27">
        <v>148.73138</v>
      </c>
      <c r="I2558" s="27">
        <v>6.8891359999999997</v>
      </c>
      <c r="K2558" s="27">
        <v>5.1894260000000001</v>
      </c>
      <c r="M2558" s="27">
        <v>936.34396600000002</v>
      </c>
      <c r="O2558" s="27">
        <v>4520.6590120000001</v>
      </c>
      <c r="Q2558" s="27">
        <v>7051.1092099999996</v>
      </c>
      <c r="S2558" s="27">
        <v>1358.755406</v>
      </c>
      <c r="U2558" s="27">
        <v>3.9610460000000001</v>
      </c>
      <c r="W2558" s="27">
        <v>41.250895999999997</v>
      </c>
      <c r="Y2558" s="27">
        <v>7.9490619999999996</v>
      </c>
      <c r="AA2558" s="27">
        <v>624.62751600000001</v>
      </c>
      <c r="AC2558" s="27">
        <v>53.446621999999998</v>
      </c>
      <c r="AE2558" s="27">
        <v>1</v>
      </c>
      <c r="AG2558" s="27">
        <v>7.869961</v>
      </c>
      <c r="AI2558" s="27">
        <v>8.75</v>
      </c>
      <c r="AK2558" s="27">
        <v>24.728503</v>
      </c>
      <c r="AM2558" s="27">
        <v>35.999315000000003</v>
      </c>
      <c r="AO2558" s="27">
        <v>6.7656859999999996</v>
      </c>
    </row>
    <row r="2559" spans="2:41" x14ac:dyDescent="0.25">
      <c r="B2559" s="21">
        <v>44840</v>
      </c>
      <c r="C2559" s="27">
        <v>20.1267</v>
      </c>
      <c r="E2559" s="27">
        <v>1.0143009999999999</v>
      </c>
      <c r="G2559" s="27">
        <v>149.028694</v>
      </c>
      <c r="I2559" s="27">
        <v>6.9225839999999996</v>
      </c>
      <c r="K2559" s="27">
        <v>5.201854</v>
      </c>
      <c r="M2559" s="27">
        <v>941.83375799999999</v>
      </c>
      <c r="O2559" s="27">
        <v>4570.4406760000002</v>
      </c>
      <c r="Q2559" s="27">
        <v>7074.5298549999998</v>
      </c>
      <c r="S2559" s="27">
        <v>1360.0120400000001</v>
      </c>
      <c r="U2559" s="27">
        <v>3.9670899999999998</v>
      </c>
      <c r="W2559" s="27">
        <v>41.130071000000001</v>
      </c>
      <c r="Y2559" s="27">
        <v>7.9068480000000001</v>
      </c>
      <c r="AA2559" s="27">
        <v>628.75724200000002</v>
      </c>
      <c r="AC2559" s="27">
        <v>53.400908000000001</v>
      </c>
      <c r="AE2559" s="27">
        <v>1</v>
      </c>
      <c r="AG2559" s="27">
        <v>7.9143080000000001</v>
      </c>
      <c r="AI2559" s="27">
        <v>8.75</v>
      </c>
      <c r="AK2559" s="27">
        <v>24.739553999999998</v>
      </c>
      <c r="AM2559" s="27">
        <v>36.026530000000001</v>
      </c>
      <c r="AO2559" s="27">
        <v>6.786492</v>
      </c>
    </row>
    <row r="2560" spans="2:41" x14ac:dyDescent="0.25">
      <c r="B2560" s="21">
        <v>44841</v>
      </c>
      <c r="C2560" s="27">
        <v>20.108699999999999</v>
      </c>
      <c r="E2560" s="27">
        <v>1.022845</v>
      </c>
      <c r="G2560" s="27">
        <v>149.19856799999999</v>
      </c>
      <c r="I2560" s="27">
        <v>6.9293959999999997</v>
      </c>
      <c r="K2560" s="27">
        <v>5.2170240000000003</v>
      </c>
      <c r="M2560" s="27">
        <v>942.43302600000004</v>
      </c>
      <c r="O2560" s="27">
        <v>4614.1836860000003</v>
      </c>
      <c r="Q2560" s="27">
        <v>7094.1909500000002</v>
      </c>
      <c r="S2560" s="27">
        <v>1359.8266900000001</v>
      </c>
      <c r="U2560" s="27">
        <v>3.9786220000000001</v>
      </c>
      <c r="W2560" s="27">
        <v>41.144252999999999</v>
      </c>
      <c r="Y2560" s="27">
        <v>7.8865769999999999</v>
      </c>
      <c r="AA2560" s="27">
        <v>631.94059400000003</v>
      </c>
      <c r="AC2560" s="27">
        <v>53.688504000000002</v>
      </c>
      <c r="AE2560" s="27">
        <v>1</v>
      </c>
      <c r="AG2560" s="27">
        <v>7.9201280000000001</v>
      </c>
      <c r="AI2560" s="27">
        <v>8.75</v>
      </c>
      <c r="AK2560" s="27">
        <v>24.868198</v>
      </c>
      <c r="AM2560" s="27">
        <v>36.056815999999998</v>
      </c>
      <c r="AO2560" s="27">
        <v>6.8013029999999999</v>
      </c>
    </row>
    <row r="2561" spans="2:41" x14ac:dyDescent="0.25">
      <c r="B2561" s="21">
        <v>44842</v>
      </c>
      <c r="C2561" s="27">
        <v>20.108699999999999</v>
      </c>
      <c r="E2561" s="27">
        <v>1.026462</v>
      </c>
      <c r="G2561" s="27">
        <v>149.25214399999999</v>
      </c>
      <c r="I2561" s="27">
        <v>6.9128160000000003</v>
      </c>
      <c r="K2561" s="27">
        <v>5.2033990000000001</v>
      </c>
      <c r="M2561" s="27">
        <v>938.33</v>
      </c>
      <c r="O2561" s="27">
        <v>4620.3975</v>
      </c>
      <c r="Q2561" s="27">
        <v>7086.4024520000003</v>
      </c>
      <c r="S2561" s="27">
        <v>1361.897839</v>
      </c>
      <c r="U2561" s="27">
        <v>3.9633250000000002</v>
      </c>
      <c r="W2561" s="27">
        <v>40.960172</v>
      </c>
      <c r="Y2561" s="27">
        <v>7.8718890000000004</v>
      </c>
      <c r="AA2561" s="27">
        <v>631.85035000000005</v>
      </c>
      <c r="AC2561" s="27">
        <v>53.575000000000003</v>
      </c>
      <c r="AE2561" s="27">
        <v>1</v>
      </c>
      <c r="AG2561" s="27">
        <v>7.8993929999999999</v>
      </c>
      <c r="AI2561" s="27">
        <v>8.75</v>
      </c>
      <c r="AK2561" s="27">
        <v>24.843340000000001</v>
      </c>
      <c r="AM2561" s="27">
        <v>35.979750000000003</v>
      </c>
      <c r="AO2561" s="27">
        <v>6.7923720000000003</v>
      </c>
    </row>
    <row r="2562" spans="2:41" x14ac:dyDescent="0.25">
      <c r="B2562" s="21">
        <v>44843</v>
      </c>
      <c r="C2562" s="27">
        <v>20.108699999999999</v>
      </c>
      <c r="E2562" s="27">
        <v>1.0265610000000001</v>
      </c>
      <c r="G2562" s="27">
        <v>149.36282199999999</v>
      </c>
      <c r="I2562" s="27">
        <v>6.9140439999999996</v>
      </c>
      <c r="K2562" s="27">
        <v>5.2034669999999998</v>
      </c>
      <c r="M2562" s="27">
        <v>938.33</v>
      </c>
      <c r="O2562" s="27">
        <v>4621.1068839999998</v>
      </c>
      <c r="Q2562" s="27">
        <v>7087.8810919999996</v>
      </c>
      <c r="S2562" s="27">
        <v>1362.1634019999999</v>
      </c>
      <c r="U2562" s="27">
        <v>3.9651939999999999</v>
      </c>
      <c r="W2562" s="27">
        <v>40.973374999999997</v>
      </c>
      <c r="Y2562" s="27">
        <v>7.87432</v>
      </c>
      <c r="AA2562" s="27">
        <v>631.82144000000005</v>
      </c>
      <c r="AC2562" s="27">
        <v>53.594034000000001</v>
      </c>
      <c r="AE2562" s="27">
        <v>1</v>
      </c>
      <c r="AG2562" s="27">
        <v>7.9014379999999997</v>
      </c>
      <c r="AI2562" s="27">
        <v>8.75</v>
      </c>
      <c r="AK2562" s="27">
        <v>24.840892</v>
      </c>
      <c r="AM2562" s="27">
        <v>35.989074000000002</v>
      </c>
      <c r="AO2562" s="27">
        <v>6.7937159999999999</v>
      </c>
    </row>
    <row r="2563" spans="2:41" x14ac:dyDescent="0.25">
      <c r="B2563" s="21">
        <v>44844</v>
      </c>
      <c r="C2563" s="27">
        <v>20.0502</v>
      </c>
      <c r="E2563" s="27">
        <v>1.0294829999999999</v>
      </c>
      <c r="G2563" s="27">
        <v>149.382688</v>
      </c>
      <c r="I2563" s="27">
        <v>6.9210459999999996</v>
      </c>
      <c r="K2563" s="27">
        <v>5.1955679999999997</v>
      </c>
      <c r="M2563" s="27">
        <v>938.26629500000001</v>
      </c>
      <c r="O2563" s="27">
        <v>4614.1867320000001</v>
      </c>
      <c r="Q2563" s="27">
        <v>7120.1478880000004</v>
      </c>
      <c r="S2563" s="27">
        <v>1370.437091</v>
      </c>
      <c r="U2563" s="27">
        <v>3.975724</v>
      </c>
      <c r="W2563" s="27">
        <v>41.029515000000004</v>
      </c>
      <c r="Y2563" s="27">
        <v>7.8970640000000003</v>
      </c>
      <c r="AA2563" s="27">
        <v>632.80031199999996</v>
      </c>
      <c r="AC2563" s="27">
        <v>53.837738000000002</v>
      </c>
      <c r="AE2563" s="27">
        <v>1</v>
      </c>
      <c r="AG2563" s="27">
        <v>7.9072529999999999</v>
      </c>
      <c r="AI2563" s="27">
        <v>8.75</v>
      </c>
      <c r="AK2563" s="27">
        <v>24.816692</v>
      </c>
      <c r="AM2563" s="27">
        <v>36.091920999999999</v>
      </c>
      <c r="AO2563" s="27">
        <v>6.8069259999999998</v>
      </c>
    </row>
    <row r="2564" spans="2:41" x14ac:dyDescent="0.25">
      <c r="B2564" s="21">
        <v>44845</v>
      </c>
      <c r="C2564" s="27">
        <v>19.975200000000001</v>
      </c>
      <c r="E2564" s="27">
        <v>1.0297369999999999</v>
      </c>
      <c r="G2564" s="27">
        <v>149.86625699999999</v>
      </c>
      <c r="I2564" s="27">
        <v>6.9355880000000001</v>
      </c>
      <c r="K2564" s="27">
        <v>5.2162040000000003</v>
      </c>
      <c r="M2564" s="27">
        <v>934.22099500000002</v>
      </c>
      <c r="O2564" s="27">
        <v>4607.1302320000004</v>
      </c>
      <c r="Q2564" s="27">
        <v>7103.8499860000002</v>
      </c>
      <c r="S2564" s="27">
        <v>1361.8905099999999</v>
      </c>
      <c r="U2564" s="27">
        <v>3.9577290000000001</v>
      </c>
      <c r="W2564" s="27">
        <v>40.972569999999997</v>
      </c>
      <c r="Y2564" s="27">
        <v>7.8548939999999998</v>
      </c>
      <c r="AA2564" s="27">
        <v>632.95910600000002</v>
      </c>
      <c r="AC2564" s="27">
        <v>53.693857999999999</v>
      </c>
      <c r="AE2564" s="27">
        <v>1</v>
      </c>
      <c r="AG2564" s="27">
        <v>7.8878979999999999</v>
      </c>
      <c r="AI2564" s="27">
        <v>8.75</v>
      </c>
      <c r="AK2564" s="27">
        <v>24.718892</v>
      </c>
      <c r="AM2564" s="27">
        <v>35.923589</v>
      </c>
      <c r="AO2564" s="27">
        <v>6.7838609999999999</v>
      </c>
    </row>
    <row r="2565" spans="2:41" x14ac:dyDescent="0.25">
      <c r="B2565" s="21">
        <v>44846</v>
      </c>
      <c r="C2565" s="27">
        <v>19.965199999999999</v>
      </c>
      <c r="E2565" s="27">
        <v>1.0305759999999999</v>
      </c>
      <c r="G2565" s="27">
        <v>150.83219500000001</v>
      </c>
      <c r="I2565" s="27">
        <v>6.9412479999999999</v>
      </c>
      <c r="K2565" s="27">
        <v>5.2933620000000001</v>
      </c>
      <c r="M2565" s="27">
        <v>933.39066000000003</v>
      </c>
      <c r="O2565" s="27">
        <v>4607.9300860000003</v>
      </c>
      <c r="Q2565" s="27">
        <v>7115.6972400000004</v>
      </c>
      <c r="S2565" s="27">
        <v>1344.2770619999999</v>
      </c>
      <c r="U2565" s="27">
        <v>3.973668</v>
      </c>
      <c r="W2565" s="27">
        <v>41.104632000000002</v>
      </c>
      <c r="Y2565" s="27">
        <v>7.7653480000000004</v>
      </c>
      <c r="AA2565" s="27">
        <v>632.42470800000001</v>
      </c>
      <c r="AC2565" s="27">
        <v>53.747582000000001</v>
      </c>
      <c r="AE2565" s="27">
        <v>1</v>
      </c>
      <c r="AG2565" s="27">
        <v>7.8895600000000004</v>
      </c>
      <c r="AI2565" s="27">
        <v>8.75</v>
      </c>
      <c r="AK2565" s="27">
        <v>24.728629999999999</v>
      </c>
      <c r="AM2565" s="27">
        <v>36.003506000000002</v>
      </c>
      <c r="AO2565" s="27">
        <v>6.793952</v>
      </c>
    </row>
    <row r="2566" spans="2:41" x14ac:dyDescent="0.25">
      <c r="B2566" s="21">
        <v>44847</v>
      </c>
      <c r="C2566" s="27">
        <v>20.0352</v>
      </c>
      <c r="E2566" s="27">
        <v>1.027493</v>
      </c>
      <c r="G2566" s="27">
        <v>151.13663199999999</v>
      </c>
      <c r="I2566" s="27">
        <v>6.9172979999999997</v>
      </c>
      <c r="K2566" s="27">
        <v>5.2835619999999999</v>
      </c>
      <c r="M2566" s="27">
        <v>942.49345500000004</v>
      </c>
      <c r="O2566" s="27">
        <v>4601.3842699999996</v>
      </c>
      <c r="Q2566" s="27">
        <v>7124.4350649999997</v>
      </c>
      <c r="S2566" s="27">
        <v>1348.4249359999999</v>
      </c>
      <c r="U2566" s="27">
        <v>3.9743520000000001</v>
      </c>
      <c r="W2566" s="27">
        <v>41.112521000000001</v>
      </c>
      <c r="Y2566" s="27">
        <v>7.7812479999999997</v>
      </c>
      <c r="AA2566" s="27">
        <v>630.98506099999997</v>
      </c>
      <c r="AC2566" s="27">
        <v>53.834328999999997</v>
      </c>
      <c r="AE2566" s="27">
        <v>1</v>
      </c>
      <c r="AG2566" s="27">
        <v>7.8847430000000003</v>
      </c>
      <c r="AI2566" s="27">
        <v>8.75</v>
      </c>
      <c r="AK2566" s="27">
        <v>24.720365999999999</v>
      </c>
      <c r="AM2566" s="27">
        <v>35.971026000000002</v>
      </c>
      <c r="AO2566" s="27">
        <v>6.7926440000000001</v>
      </c>
    </row>
    <row r="2567" spans="2:41" x14ac:dyDescent="0.25">
      <c r="B2567" s="21">
        <v>44848</v>
      </c>
      <c r="C2567" s="27">
        <v>20.0398</v>
      </c>
      <c r="E2567" s="27">
        <v>1.0257160000000001</v>
      </c>
      <c r="G2567" s="27">
        <v>151.45442700000001</v>
      </c>
      <c r="I2567" s="27">
        <v>6.9093159999999996</v>
      </c>
      <c r="K2567" s="27">
        <v>5.2855819999999998</v>
      </c>
      <c r="M2567" s="27">
        <v>947.59264199999996</v>
      </c>
      <c r="O2567" s="27">
        <v>4619.117663</v>
      </c>
      <c r="Q2567" s="27">
        <v>7119.9887879999997</v>
      </c>
      <c r="S2567" s="27">
        <v>1347.068471</v>
      </c>
      <c r="U2567" s="27">
        <v>3.9619200000000001</v>
      </c>
      <c r="W2567" s="27">
        <v>41.080902000000002</v>
      </c>
      <c r="Y2567" s="27">
        <v>7.7722939999999996</v>
      </c>
      <c r="AA2567" s="27">
        <v>628.02934000000005</v>
      </c>
      <c r="AC2567" s="27">
        <v>53.787376000000002</v>
      </c>
      <c r="AE2567" s="27">
        <v>1</v>
      </c>
      <c r="AG2567" s="27">
        <v>7.8694940000000004</v>
      </c>
      <c r="AI2567" s="27">
        <v>8.75</v>
      </c>
      <c r="AK2567" s="27">
        <v>24.666504</v>
      </c>
      <c r="AM2567" s="27">
        <v>35.881912</v>
      </c>
      <c r="AO2567" s="27">
        <v>6.7788680000000001</v>
      </c>
    </row>
    <row r="2568" spans="2:41" x14ac:dyDescent="0.25">
      <c r="B2568" s="21">
        <v>44849</v>
      </c>
      <c r="C2568" s="27">
        <v>20.0398</v>
      </c>
      <c r="E2568" s="27">
        <v>1.0283420000000001</v>
      </c>
      <c r="G2568" s="27">
        <v>151.6711</v>
      </c>
      <c r="I2568" s="27">
        <v>6.9154429999999998</v>
      </c>
      <c r="K2568" s="27">
        <v>5.3256399999999999</v>
      </c>
      <c r="M2568" s="27">
        <v>962.14750000000004</v>
      </c>
      <c r="O2568" s="27">
        <v>4698.4825000000001</v>
      </c>
      <c r="Q2568" s="27">
        <v>7132.8802949999999</v>
      </c>
      <c r="S2568" s="27">
        <v>1339.3565719999999</v>
      </c>
      <c r="U2568" s="27">
        <v>3.9582480000000002</v>
      </c>
      <c r="W2568" s="27">
        <v>41.213223999999997</v>
      </c>
      <c r="Y2568" s="27">
        <v>7.7386819999999998</v>
      </c>
      <c r="AA2568" s="27">
        <v>627.37078499999996</v>
      </c>
      <c r="AC2568" s="27">
        <v>53.952500000000001</v>
      </c>
      <c r="AE2568" s="27">
        <v>1</v>
      </c>
      <c r="AG2568" s="27">
        <v>7.8713480000000002</v>
      </c>
      <c r="AI2568" s="27">
        <v>8.75</v>
      </c>
      <c r="AK2568" s="27">
        <v>24.728194999999999</v>
      </c>
      <c r="AM2568" s="27">
        <v>35.914749999999998</v>
      </c>
      <c r="AO2568" s="27">
        <v>6.7881819999999999</v>
      </c>
    </row>
    <row r="2569" spans="2:41" x14ac:dyDescent="0.25">
      <c r="B2569" s="21">
        <v>44850</v>
      </c>
      <c r="C2569" s="27">
        <v>20.0398</v>
      </c>
      <c r="E2569" s="27">
        <v>1.0282519999999999</v>
      </c>
      <c r="G2569" s="27">
        <v>151.655125</v>
      </c>
      <c r="I2569" s="27">
        <v>6.91547</v>
      </c>
      <c r="K2569" s="27">
        <v>5.3256730000000001</v>
      </c>
      <c r="M2569" s="27">
        <v>962.14629000000002</v>
      </c>
      <c r="O2569" s="27">
        <v>4698.4783260000004</v>
      </c>
      <c r="Q2569" s="27">
        <v>7132.5736150000002</v>
      </c>
      <c r="S2569" s="27">
        <v>1339.2906439999999</v>
      </c>
      <c r="U2569" s="27">
        <v>3.9582440000000001</v>
      </c>
      <c r="W2569" s="27">
        <v>41.206394000000003</v>
      </c>
      <c r="Y2569" s="27">
        <v>7.7373519999999996</v>
      </c>
      <c r="AA2569" s="27">
        <v>627.451549</v>
      </c>
      <c r="AC2569" s="27">
        <v>53.952530000000003</v>
      </c>
      <c r="AE2569" s="27">
        <v>1</v>
      </c>
      <c r="AG2569" s="27">
        <v>7.8714079999999997</v>
      </c>
      <c r="AI2569" s="27">
        <v>8.75</v>
      </c>
      <c r="AK2569" s="27">
        <v>24.727698</v>
      </c>
      <c r="AM2569" s="27">
        <v>35.915638999999999</v>
      </c>
      <c r="AO2569" s="27">
        <v>6.7881749999999998</v>
      </c>
    </row>
    <row r="2570" spans="2:41" x14ac:dyDescent="0.25">
      <c r="B2570" s="21">
        <v>44851</v>
      </c>
      <c r="C2570" s="27">
        <v>20.0838</v>
      </c>
      <c r="E2570" s="27">
        <v>1.0220229999999999</v>
      </c>
      <c r="G2570" s="27">
        <v>152.00333800000001</v>
      </c>
      <c r="I2570" s="27">
        <v>6.9076079999999997</v>
      </c>
      <c r="K2570" s="27">
        <v>5.3047079999999998</v>
      </c>
      <c r="M2570" s="27">
        <v>965.80164000000002</v>
      </c>
      <c r="O2570" s="27">
        <v>4711.5925319999997</v>
      </c>
      <c r="Q2570" s="27">
        <v>7146.2120560000003</v>
      </c>
      <c r="S2570" s="27">
        <v>1347.154477</v>
      </c>
      <c r="U2570" s="27">
        <v>3.971889</v>
      </c>
      <c r="W2570" s="27">
        <v>41.202680999999998</v>
      </c>
      <c r="Y2570" s="27">
        <v>7.7672280000000002</v>
      </c>
      <c r="AA2570" s="27">
        <v>621.39756399999999</v>
      </c>
      <c r="AC2570" s="27">
        <v>53.675496000000003</v>
      </c>
      <c r="AE2570" s="27">
        <v>1</v>
      </c>
      <c r="AG2570" s="27">
        <v>7.8609150000000003</v>
      </c>
      <c r="AI2570" s="27">
        <v>8.75</v>
      </c>
      <c r="AK2570" s="27">
        <v>24.708648</v>
      </c>
      <c r="AM2570" s="27">
        <v>35.956166000000003</v>
      </c>
      <c r="AO2570" s="27">
        <v>6.7812739999999998</v>
      </c>
    </row>
    <row r="2571" spans="2:41" x14ac:dyDescent="0.25">
      <c r="B2571" s="21">
        <v>44852</v>
      </c>
      <c r="C2571" s="27">
        <v>19.991299999999999</v>
      </c>
      <c r="E2571" s="27">
        <v>1.0154339999999999</v>
      </c>
      <c r="G2571" s="27">
        <v>152.64883399999999</v>
      </c>
      <c r="I2571" s="27">
        <v>6.8922400000000001</v>
      </c>
      <c r="K2571" s="27">
        <v>5.2713539999999997</v>
      </c>
      <c r="M2571" s="27">
        <v>972.12065399999994</v>
      </c>
      <c r="O2571" s="27">
        <v>4745.5299969999996</v>
      </c>
      <c r="Q2571" s="27">
        <v>7140.416819</v>
      </c>
      <c r="S2571" s="27">
        <v>1354.5799139999999</v>
      </c>
      <c r="U2571" s="27">
        <v>3.9735860000000001</v>
      </c>
      <c r="W2571" s="27">
        <v>41.073602000000001</v>
      </c>
      <c r="Y2571" s="27">
        <v>7.7918880000000001</v>
      </c>
      <c r="AA2571" s="27">
        <v>614.84690499999999</v>
      </c>
      <c r="AC2571" s="27">
        <v>53.322561999999998</v>
      </c>
      <c r="AE2571" s="27">
        <v>1</v>
      </c>
      <c r="AG2571" s="27">
        <v>7.8374420000000002</v>
      </c>
      <c r="AI2571" s="27">
        <v>8.75</v>
      </c>
      <c r="AK2571" s="27">
        <v>24.655514</v>
      </c>
      <c r="AM2571" s="27">
        <v>35.914113999999998</v>
      </c>
      <c r="AO2571" s="27">
        <v>6.7651620000000001</v>
      </c>
    </row>
    <row r="2572" spans="2:41" x14ac:dyDescent="0.25">
      <c r="B2572" s="21">
        <v>44853</v>
      </c>
      <c r="C2572" s="27">
        <v>20.020700000000001</v>
      </c>
      <c r="E2572" s="27">
        <v>1.0200899999999999</v>
      </c>
      <c r="G2572" s="27">
        <v>152.98126999999999</v>
      </c>
      <c r="I2572" s="27">
        <v>6.8961870000000003</v>
      </c>
      <c r="K2572" s="27">
        <v>5.2595000000000001</v>
      </c>
      <c r="M2572" s="27">
        <v>974.957042</v>
      </c>
      <c r="O2572" s="27">
        <v>4794.3658109999997</v>
      </c>
      <c r="Q2572" s="27">
        <v>7163.0893699999997</v>
      </c>
      <c r="S2572" s="27">
        <v>1361.9427020000001</v>
      </c>
      <c r="U2572" s="27">
        <v>3.9728659999999998</v>
      </c>
      <c r="W2572" s="27">
        <v>41.160221999999997</v>
      </c>
      <c r="Y2572" s="27">
        <v>7.825914</v>
      </c>
      <c r="AA2572" s="27">
        <v>614.15017999999998</v>
      </c>
      <c r="AC2572" s="27">
        <v>53.665880000000001</v>
      </c>
      <c r="AE2572" s="27">
        <v>1</v>
      </c>
      <c r="AG2572" s="27">
        <v>7.8362879999999997</v>
      </c>
      <c r="AI2572" s="27">
        <v>8.75</v>
      </c>
      <c r="AK2572" s="27">
        <v>24.674654</v>
      </c>
      <c r="AM2572" s="27">
        <v>35.918103000000002</v>
      </c>
      <c r="AO2572" s="27">
        <v>6.7672100000000004</v>
      </c>
    </row>
    <row r="2573" spans="2:41" x14ac:dyDescent="0.25">
      <c r="B2573" s="21">
        <v>44854</v>
      </c>
      <c r="C2573" s="27">
        <v>20.127199999999998</v>
      </c>
      <c r="E2573" s="27">
        <v>1.021763</v>
      </c>
      <c r="G2573" s="27">
        <v>153.31494599999999</v>
      </c>
      <c r="I2573" s="27">
        <v>6.9188010000000002</v>
      </c>
      <c r="K2573" s="27">
        <v>5.2444319999999998</v>
      </c>
      <c r="M2573" s="27">
        <v>974.71168999999998</v>
      </c>
      <c r="O2573" s="27">
        <v>4865.726302</v>
      </c>
      <c r="Q2573" s="27">
        <v>7197.9829570000002</v>
      </c>
      <c r="S2573" s="27">
        <v>1372.5089840000001</v>
      </c>
      <c r="U2573" s="27">
        <v>3.9797189999999998</v>
      </c>
      <c r="W2573" s="27">
        <v>41.274161999999997</v>
      </c>
      <c r="Y2573" s="27">
        <v>7.8701249999999998</v>
      </c>
      <c r="AA2573" s="27">
        <v>614.97474399999999</v>
      </c>
      <c r="AC2573" s="27">
        <v>53.87865</v>
      </c>
      <c r="AE2573" s="27">
        <v>1</v>
      </c>
      <c r="AG2573" s="27">
        <v>7.8452419999999998</v>
      </c>
      <c r="AI2573" s="27">
        <v>8.75</v>
      </c>
      <c r="AK2573" s="27">
        <v>24.741776000000002</v>
      </c>
      <c r="AM2573" s="27">
        <v>36.007024999999999</v>
      </c>
      <c r="AO2573" s="27">
        <v>6.7789200000000003</v>
      </c>
    </row>
    <row r="2574" spans="2:41" x14ac:dyDescent="0.25">
      <c r="B2574" s="21">
        <v>44855</v>
      </c>
      <c r="C2574" s="27">
        <v>20.044799999999999</v>
      </c>
      <c r="E2574" s="27">
        <v>1.020707</v>
      </c>
      <c r="G2574" s="27">
        <v>153.63534200000001</v>
      </c>
      <c r="I2574" s="27">
        <v>6.9216340000000001</v>
      </c>
      <c r="K2574" s="27">
        <v>5.2007459999999996</v>
      </c>
      <c r="M2574" s="27">
        <v>976.57877599999995</v>
      </c>
      <c r="O2574" s="27">
        <v>4909.4496950000002</v>
      </c>
      <c r="Q2574" s="27">
        <v>7217.0674300000001</v>
      </c>
      <c r="S2574" s="27">
        <v>1387.70751</v>
      </c>
      <c r="U2574" s="27">
        <v>3.9884780000000002</v>
      </c>
      <c r="W2574" s="27">
        <v>41.293399999999998</v>
      </c>
      <c r="Y2574" s="27">
        <v>7.9399319999999998</v>
      </c>
      <c r="AA2574" s="27">
        <v>617.75577699999997</v>
      </c>
      <c r="AC2574" s="27">
        <v>54.002533999999997</v>
      </c>
      <c r="AE2574" s="27">
        <v>1</v>
      </c>
      <c r="AG2574" s="27">
        <v>7.8491119999999999</v>
      </c>
      <c r="AI2574" s="27">
        <v>8.75</v>
      </c>
      <c r="AK2574" s="27">
        <v>24.776084999999998</v>
      </c>
      <c r="AM2574" s="27">
        <v>36.043199999999999</v>
      </c>
      <c r="AO2574" s="27">
        <v>6.7861919999999998</v>
      </c>
    </row>
    <row r="2575" spans="2:41" x14ac:dyDescent="0.25">
      <c r="B2575" s="21">
        <v>44856</v>
      </c>
      <c r="C2575" s="27">
        <v>20.044799999999999</v>
      </c>
      <c r="E2575" s="27">
        <v>1.014148</v>
      </c>
      <c r="G2575" s="27">
        <v>153.80420000000001</v>
      </c>
      <c r="I2575" s="27">
        <v>6.9086790000000002</v>
      </c>
      <c r="K2575" s="27">
        <v>5.1630979999999997</v>
      </c>
      <c r="M2575" s="27">
        <v>972.75</v>
      </c>
      <c r="O2575" s="27">
        <v>4917.6724999999997</v>
      </c>
      <c r="Q2575" s="27">
        <v>7217.1212580000001</v>
      </c>
      <c r="S2575" s="27">
        <v>1397.837755</v>
      </c>
      <c r="U2575" s="27">
        <v>3.979498</v>
      </c>
      <c r="W2575" s="27">
        <v>41.234414000000001</v>
      </c>
      <c r="Y2575" s="27">
        <v>7.9864129999999998</v>
      </c>
      <c r="AA2575" s="27">
        <v>618.45381799999996</v>
      </c>
      <c r="AC2575" s="27">
        <v>54.02</v>
      </c>
      <c r="AE2575" s="27">
        <v>1</v>
      </c>
      <c r="AG2575" s="27">
        <v>7.8395919999999997</v>
      </c>
      <c r="AI2575" s="27">
        <v>8.75</v>
      </c>
      <c r="AK2575" s="27">
        <v>24.767498</v>
      </c>
      <c r="AM2575" s="27">
        <v>36.009749999999997</v>
      </c>
      <c r="AO2575" s="27">
        <v>6.7784950000000004</v>
      </c>
    </row>
    <row r="2576" spans="2:41" x14ac:dyDescent="0.25">
      <c r="B2576" s="21">
        <v>44857</v>
      </c>
      <c r="C2576" s="27">
        <v>20.044799999999999</v>
      </c>
      <c r="E2576" s="27">
        <v>1.0141150000000001</v>
      </c>
      <c r="G2576" s="27">
        <v>153.80276799999999</v>
      </c>
      <c r="I2576" s="27">
        <v>6.9086759999999998</v>
      </c>
      <c r="K2576" s="27">
        <v>5.1631049999999998</v>
      </c>
      <c r="M2576" s="27">
        <v>972.56406800000002</v>
      </c>
      <c r="O2576" s="27">
        <v>4914.41957</v>
      </c>
      <c r="Q2576" s="27">
        <v>7214.7519160000002</v>
      </c>
      <c r="S2576" s="27">
        <v>1397.3771429999999</v>
      </c>
      <c r="U2576" s="27">
        <v>3.977719</v>
      </c>
      <c r="W2576" s="27">
        <v>41.234456000000002</v>
      </c>
      <c r="Y2576" s="27">
        <v>7.9864119999999996</v>
      </c>
      <c r="AA2576" s="27">
        <v>618.32464100000004</v>
      </c>
      <c r="AC2576" s="27">
        <v>53.986632</v>
      </c>
      <c r="AE2576" s="27">
        <v>1</v>
      </c>
      <c r="AG2576" s="27">
        <v>7.8396109999999997</v>
      </c>
      <c r="AI2576" s="27">
        <v>8.75</v>
      </c>
      <c r="AK2576" s="27">
        <v>24.752217000000002</v>
      </c>
      <c r="AM2576" s="27">
        <v>35.989047999999997</v>
      </c>
      <c r="AO2576" s="27">
        <v>6.7784959999999996</v>
      </c>
    </row>
    <row r="2577" spans="2:41" x14ac:dyDescent="0.25">
      <c r="B2577" s="21">
        <v>44858</v>
      </c>
      <c r="C2577" s="27">
        <v>19.964700000000001</v>
      </c>
      <c r="E2577" s="27">
        <v>1.0148699999999999</v>
      </c>
      <c r="G2577" s="27">
        <v>154.02387100000001</v>
      </c>
      <c r="I2577" s="27">
        <v>6.9002080000000001</v>
      </c>
      <c r="K2577" s="27">
        <v>5.208996</v>
      </c>
      <c r="M2577" s="27">
        <v>976.33790399999998</v>
      </c>
      <c r="O2577" s="27">
        <v>4922.7896520000004</v>
      </c>
      <c r="Q2577" s="27">
        <v>7196.6004739999998</v>
      </c>
      <c r="S2577" s="27">
        <v>1381.5805290000001</v>
      </c>
      <c r="U2577" s="27">
        <v>3.9633919999999998</v>
      </c>
      <c r="W2577" s="27">
        <v>41.182049999999997</v>
      </c>
      <c r="Y2577" s="27">
        <v>7.9059799999999996</v>
      </c>
      <c r="AA2577" s="27">
        <v>617.73789599999998</v>
      </c>
      <c r="AC2577" s="27">
        <v>53.692739000000003</v>
      </c>
      <c r="AE2577" s="27">
        <v>1</v>
      </c>
      <c r="AG2577" s="27">
        <v>7.8257190000000003</v>
      </c>
      <c r="AI2577" s="27">
        <v>8.75</v>
      </c>
      <c r="AK2577" s="27">
        <v>24.633635000000002</v>
      </c>
      <c r="AM2577" s="27">
        <v>35.806863999999997</v>
      </c>
      <c r="AO2577" s="27">
        <v>6.770168</v>
      </c>
    </row>
    <row r="2578" spans="2:41" x14ac:dyDescent="0.25">
      <c r="B2578" s="21">
        <v>44859</v>
      </c>
      <c r="C2578" s="27">
        <v>19.953499999999998</v>
      </c>
      <c r="E2578" s="27">
        <v>1.0088140000000001</v>
      </c>
      <c r="G2578" s="27">
        <v>154.84542999999999</v>
      </c>
      <c r="I2578" s="27">
        <v>6.874034</v>
      </c>
      <c r="K2578" s="27">
        <v>5.3100899999999998</v>
      </c>
      <c r="M2578" s="27">
        <v>977.15503100000001</v>
      </c>
      <c r="O2578" s="27">
        <v>4978.3167679999997</v>
      </c>
      <c r="Q2578" s="27">
        <v>7197.514682</v>
      </c>
      <c r="S2578" s="27">
        <v>1355.4497819999999</v>
      </c>
      <c r="U2578" s="27">
        <v>3.9772050000000001</v>
      </c>
      <c r="W2578" s="27">
        <v>41.089221000000002</v>
      </c>
      <c r="Y2578" s="27">
        <v>7.7379819999999997</v>
      </c>
      <c r="AA2578" s="27">
        <v>618.90245200000004</v>
      </c>
      <c r="AC2578" s="27">
        <v>53.709873999999999</v>
      </c>
      <c r="AE2578" s="27">
        <v>1</v>
      </c>
      <c r="AG2578" s="27">
        <v>7.7977959999999999</v>
      </c>
      <c r="AI2578" s="27">
        <v>8.75</v>
      </c>
      <c r="AK2578" s="27">
        <v>24.64273</v>
      </c>
      <c r="AM2578" s="27">
        <v>35.906889999999997</v>
      </c>
      <c r="AO2578" s="27">
        <v>6.746232</v>
      </c>
    </row>
    <row r="2579" spans="2:41" x14ac:dyDescent="0.25">
      <c r="B2579" s="21">
        <v>44860</v>
      </c>
      <c r="C2579" s="27">
        <v>19.871200000000002</v>
      </c>
      <c r="E2579" s="27">
        <v>0.99763000000000002</v>
      </c>
      <c r="G2579" s="27">
        <v>155.21649199999999</v>
      </c>
      <c r="I2579" s="27">
        <v>6.8673140000000004</v>
      </c>
      <c r="K2579" s="27">
        <v>5.3346970000000002</v>
      </c>
      <c r="M2579" s="27">
        <v>959.27357500000005</v>
      </c>
      <c r="O2579" s="27">
        <v>4937.16795</v>
      </c>
      <c r="Q2579" s="27">
        <v>7190.4444299999996</v>
      </c>
      <c r="S2579" s="27">
        <v>1347.87204</v>
      </c>
      <c r="U2579" s="27">
        <v>3.9826999999999999</v>
      </c>
      <c r="W2579" s="27">
        <v>41.038421</v>
      </c>
      <c r="Y2579" s="27">
        <v>7.6927649999999996</v>
      </c>
      <c r="AA2579" s="27">
        <v>619.66220399999997</v>
      </c>
      <c r="AC2579" s="27">
        <v>53.720711999999999</v>
      </c>
      <c r="AE2579" s="27">
        <v>1</v>
      </c>
      <c r="AG2579" s="27">
        <v>7.7889119999999998</v>
      </c>
      <c r="AI2579" s="27">
        <v>8.75</v>
      </c>
      <c r="AK2579" s="27">
        <v>24.664294000000002</v>
      </c>
      <c r="AM2579" s="27">
        <v>35.930067999999999</v>
      </c>
      <c r="AO2579" s="27">
        <v>6.7407519999999996</v>
      </c>
    </row>
    <row r="2580" spans="2:41" x14ac:dyDescent="0.25">
      <c r="B2580" s="21">
        <v>44861</v>
      </c>
      <c r="C2580" s="27">
        <v>19.8553</v>
      </c>
      <c r="E2580" s="27">
        <v>0.99764299999999995</v>
      </c>
      <c r="G2580" s="27">
        <v>155.53045399999999</v>
      </c>
      <c r="I2580" s="27">
        <v>6.8882440000000003</v>
      </c>
      <c r="K2580" s="27">
        <v>5.3513419999999998</v>
      </c>
      <c r="M2580" s="27">
        <v>947.99426400000004</v>
      </c>
      <c r="O2580" s="27">
        <v>4853.7704219999996</v>
      </c>
      <c r="Q2580" s="27">
        <v>7213.276081</v>
      </c>
      <c r="S2580" s="27">
        <v>1347.9464479999999</v>
      </c>
      <c r="U2580" s="27">
        <v>3.9767519999999998</v>
      </c>
      <c r="W2580" s="27">
        <v>41.065514</v>
      </c>
      <c r="Y2580" s="27">
        <v>7.6739040000000003</v>
      </c>
      <c r="AA2580" s="27">
        <v>620.69676200000004</v>
      </c>
      <c r="AC2580" s="27">
        <v>53.783389999999997</v>
      </c>
      <c r="AE2580" s="27">
        <v>1</v>
      </c>
      <c r="AG2580" s="27">
        <v>7.8149959999999998</v>
      </c>
      <c r="AI2580" s="27">
        <v>8.75</v>
      </c>
      <c r="AK2580" s="27">
        <v>24.679988000000002</v>
      </c>
      <c r="AM2580" s="27">
        <v>35.948999000000001</v>
      </c>
      <c r="AO2580" s="27">
        <v>6.7628899999999996</v>
      </c>
    </row>
    <row r="2581" spans="2:41" x14ac:dyDescent="0.25">
      <c r="B2581" s="21">
        <v>44862</v>
      </c>
      <c r="C2581" s="27">
        <v>19.836500000000001</v>
      </c>
      <c r="E2581" s="27">
        <v>1.0038039999999999</v>
      </c>
      <c r="G2581" s="27">
        <v>155.837096</v>
      </c>
      <c r="I2581" s="27">
        <v>6.9165179999999999</v>
      </c>
      <c r="K2581" s="27">
        <v>5.3320600000000002</v>
      </c>
      <c r="M2581" s="27">
        <v>942.46489799999995</v>
      </c>
      <c r="O2581" s="27">
        <v>4815.7562109999999</v>
      </c>
      <c r="Q2581" s="27">
        <v>7244.5216220000002</v>
      </c>
      <c r="S2581" s="27">
        <v>1358.6815779999999</v>
      </c>
      <c r="U2581" s="27">
        <v>3.9959380000000002</v>
      </c>
      <c r="W2581" s="27">
        <v>41.161043999999997</v>
      </c>
      <c r="Y2581" s="27">
        <v>7.7195739999999997</v>
      </c>
      <c r="AA2581" s="27">
        <v>622.34804899999995</v>
      </c>
      <c r="AC2581" s="27">
        <v>54.141803000000003</v>
      </c>
      <c r="AE2581" s="27">
        <v>1</v>
      </c>
      <c r="AG2581" s="27">
        <v>7.8450800000000003</v>
      </c>
      <c r="AI2581" s="27">
        <v>8.75</v>
      </c>
      <c r="AK2581" s="27">
        <v>24.825520999999998</v>
      </c>
      <c r="AM2581" s="27">
        <v>36.049791999999997</v>
      </c>
      <c r="AO2581" s="27">
        <v>6.7932499999999996</v>
      </c>
    </row>
    <row r="2582" spans="2:41" x14ac:dyDescent="0.25">
      <c r="B2582" s="21">
        <v>44863</v>
      </c>
      <c r="C2582" s="27">
        <v>19.836500000000001</v>
      </c>
      <c r="E2582" s="27">
        <v>1.003412</v>
      </c>
      <c r="G2582" s="27">
        <v>155.998278</v>
      </c>
      <c r="I2582" s="27">
        <v>6.910406</v>
      </c>
      <c r="K2582" s="27">
        <v>5.2977999999999996</v>
      </c>
      <c r="M2582" s="27">
        <v>943.4</v>
      </c>
      <c r="O2582" s="27">
        <v>4834.2025000000003</v>
      </c>
      <c r="Q2582" s="27">
        <v>7239.4058400000004</v>
      </c>
      <c r="S2582" s="27">
        <v>1366.4999780000001</v>
      </c>
      <c r="U2582" s="27">
        <v>3.9899979999999999</v>
      </c>
      <c r="W2582" s="27">
        <v>40.902484000000001</v>
      </c>
      <c r="Y2582" s="27">
        <v>7.7206849999999996</v>
      </c>
      <c r="AA2582" s="27">
        <v>621.43316600000003</v>
      </c>
      <c r="AC2582" s="27">
        <v>53.987499999999997</v>
      </c>
      <c r="AE2582" s="27">
        <v>1</v>
      </c>
      <c r="AG2582" s="27">
        <v>7.836417</v>
      </c>
      <c r="AI2582" s="27">
        <v>8.75</v>
      </c>
      <c r="AK2582" s="27">
        <v>24.788</v>
      </c>
      <c r="AM2582" s="27">
        <v>35.977249999999998</v>
      </c>
      <c r="AO2582" s="27">
        <v>6.7895130000000004</v>
      </c>
    </row>
    <row r="2583" spans="2:41" x14ac:dyDescent="0.25">
      <c r="B2583" s="21">
        <v>44864</v>
      </c>
      <c r="C2583" s="27">
        <v>19.836500000000001</v>
      </c>
      <c r="E2583" s="27">
        <v>1.0035259999999999</v>
      </c>
      <c r="G2583" s="27">
        <v>156.00911199999999</v>
      </c>
      <c r="I2583" s="27">
        <v>6.910406</v>
      </c>
      <c r="K2583" s="27">
        <v>5.2978870000000002</v>
      </c>
      <c r="M2583" s="27">
        <v>943.4</v>
      </c>
      <c r="O2583" s="27">
        <v>4834.2025000000003</v>
      </c>
      <c r="Q2583" s="27">
        <v>7239.4058400000004</v>
      </c>
      <c r="S2583" s="27">
        <v>1366.4774090000001</v>
      </c>
      <c r="U2583" s="27">
        <v>3.9899979999999999</v>
      </c>
      <c r="W2583" s="27">
        <v>40.902484000000001</v>
      </c>
      <c r="Y2583" s="27">
        <v>7.7205570000000003</v>
      </c>
      <c r="AA2583" s="27">
        <v>621.43316600000003</v>
      </c>
      <c r="AC2583" s="27">
        <v>53.987499999999997</v>
      </c>
      <c r="AE2583" s="27">
        <v>1</v>
      </c>
      <c r="AG2583" s="27">
        <v>7.8365270000000002</v>
      </c>
      <c r="AI2583" s="27">
        <v>8.75</v>
      </c>
      <c r="AK2583" s="27">
        <v>24.788</v>
      </c>
      <c r="AM2583" s="27">
        <v>35.977249999999998</v>
      </c>
      <c r="AO2583" s="27">
        <v>6.7895130000000004</v>
      </c>
    </row>
    <row r="2584" spans="2:41" x14ac:dyDescent="0.25">
      <c r="B2584" s="21">
        <v>44865</v>
      </c>
      <c r="C2584" s="27">
        <v>19.830300000000001</v>
      </c>
      <c r="E2584" s="27">
        <v>1.008321</v>
      </c>
      <c r="G2584" s="27">
        <v>156.329127</v>
      </c>
      <c r="I2584" s="27">
        <v>6.9093400000000003</v>
      </c>
      <c r="K2584" s="27">
        <v>5.2580359999999997</v>
      </c>
      <c r="M2584" s="27">
        <v>943.45881799999995</v>
      </c>
      <c r="O2584" s="27">
        <v>4874.2350159999996</v>
      </c>
      <c r="Q2584" s="27">
        <v>7259.9192739999999</v>
      </c>
      <c r="S2584" s="27">
        <v>1380.7370659999999</v>
      </c>
      <c r="U2584" s="27">
        <v>3.9827379999999999</v>
      </c>
      <c r="W2584" s="27">
        <v>40.824354999999997</v>
      </c>
      <c r="Y2584" s="27">
        <v>7.7642139999999999</v>
      </c>
      <c r="AA2584" s="27">
        <v>619.74389699999995</v>
      </c>
      <c r="AC2584" s="27">
        <v>54.025015000000003</v>
      </c>
      <c r="AE2584" s="27">
        <v>1</v>
      </c>
      <c r="AG2584" s="27">
        <v>7.8368770000000003</v>
      </c>
      <c r="AI2584" s="27">
        <v>8.75</v>
      </c>
      <c r="AK2584" s="27">
        <v>24.731203000000001</v>
      </c>
      <c r="AM2584" s="27">
        <v>36.000990000000002</v>
      </c>
      <c r="AO2584" s="27">
        <v>6.7880919999999998</v>
      </c>
    </row>
    <row r="2585" spans="2:41" ht="13" x14ac:dyDescent="0.3">
      <c r="B2585" s="25" t="s">
        <v>210</v>
      </c>
      <c r="C2585" s="19">
        <v>20.012499999999999</v>
      </c>
      <c r="E2585" s="19">
        <v>1.0172000000000001</v>
      </c>
      <c r="G2585" s="19">
        <v>151.8766</v>
      </c>
      <c r="I2585" s="19">
        <v>6.9085000000000001</v>
      </c>
      <c r="K2585" s="19">
        <v>5.2653999999999996</v>
      </c>
      <c r="M2585" s="19">
        <v>954.51260000000002</v>
      </c>
      <c r="O2585" s="19">
        <v>4729.4616999999998</v>
      </c>
      <c r="Q2585" s="19">
        <v>7145.7550000000001</v>
      </c>
      <c r="S2585" s="19">
        <v>1357.3415</v>
      </c>
      <c r="U2585" s="19">
        <v>3.9741</v>
      </c>
      <c r="W2585" s="19">
        <v>41.155299999999997</v>
      </c>
      <c r="Y2585" s="19">
        <v>7.8174000000000001</v>
      </c>
      <c r="AA2585" s="19">
        <v>624.33280000000002</v>
      </c>
      <c r="AC2585" s="19">
        <v>53.742899999999999</v>
      </c>
      <c r="AE2585" s="19">
        <v>1</v>
      </c>
      <c r="AG2585" s="19">
        <v>7.8598999999999997</v>
      </c>
      <c r="AI2585" s="19">
        <v>8.75</v>
      </c>
      <c r="AK2585" s="19">
        <v>24.7349</v>
      </c>
      <c r="AM2585" s="19">
        <v>35.954799999999999</v>
      </c>
      <c r="AO2585" s="19">
        <v>6.7813999999999997</v>
      </c>
    </row>
    <row r="2586" spans="2:41" x14ac:dyDescent="0.25">
      <c r="B2586" s="21">
        <v>44866</v>
      </c>
      <c r="C2586" s="27">
        <v>19.8245</v>
      </c>
      <c r="E2586" s="27">
        <v>1.0099910000000001</v>
      </c>
      <c r="G2586" s="27">
        <v>157.057852</v>
      </c>
      <c r="I2586" s="27">
        <v>6.9165380000000001</v>
      </c>
      <c r="K2586" s="27">
        <v>5.1580320000000004</v>
      </c>
      <c r="M2586" s="27">
        <v>943.43534999999997</v>
      </c>
      <c r="O2586" s="27">
        <v>4962.5426740000003</v>
      </c>
      <c r="Q2586" s="27">
        <v>7285.945651</v>
      </c>
      <c r="S2586" s="27">
        <v>1412.552854</v>
      </c>
      <c r="U2586" s="27">
        <v>3.9810479999999999</v>
      </c>
      <c r="W2586" s="27">
        <v>40.741509000000001</v>
      </c>
      <c r="Y2586" s="27">
        <v>7.8986859999999997</v>
      </c>
      <c r="AA2586" s="27">
        <v>618.78966800000001</v>
      </c>
      <c r="AC2586" s="27">
        <v>54.060881000000002</v>
      </c>
      <c r="AE2586" s="27">
        <v>1</v>
      </c>
      <c r="AG2586" s="27">
        <v>7.8416030000000001</v>
      </c>
      <c r="AI2586" s="27">
        <v>8.75</v>
      </c>
      <c r="AK2586" s="27">
        <v>24.777100999999998</v>
      </c>
      <c r="AM2586" s="27">
        <v>36.035896000000001</v>
      </c>
      <c r="AO2586" s="27">
        <v>6.7917399999999999</v>
      </c>
    </row>
    <row r="2587" spans="2:41" x14ac:dyDescent="0.25">
      <c r="B2587" s="21">
        <v>44867</v>
      </c>
      <c r="C2587" s="27">
        <v>19.8245</v>
      </c>
      <c r="E2587" s="27">
        <v>1.0125580000000001</v>
      </c>
      <c r="G2587" s="27">
        <v>157.42339999999999</v>
      </c>
      <c r="I2587" s="27">
        <v>6.9215540000000004</v>
      </c>
      <c r="K2587" s="27">
        <v>5.1437369999999998</v>
      </c>
      <c r="M2587" s="27">
        <v>942.167238</v>
      </c>
      <c r="O2587" s="27">
        <v>5002.3469519999999</v>
      </c>
      <c r="Q2587" s="27">
        <v>7271.8580739999998</v>
      </c>
      <c r="S2587" s="27">
        <v>1413.7395670000001</v>
      </c>
      <c r="U2587" s="27">
        <v>3.980226</v>
      </c>
      <c r="W2587" s="27">
        <v>40.632055000000001</v>
      </c>
      <c r="Y2587" s="27">
        <v>7.899356</v>
      </c>
      <c r="AA2587" s="27">
        <v>617.07588399999997</v>
      </c>
      <c r="AC2587" s="27">
        <v>54.171258000000002</v>
      </c>
      <c r="AE2587" s="27">
        <v>1</v>
      </c>
      <c r="AG2587" s="27">
        <v>7.8354439999999999</v>
      </c>
      <c r="AI2587" s="27">
        <v>8.75</v>
      </c>
      <c r="AK2587" s="27">
        <v>24.81071</v>
      </c>
      <c r="AM2587" s="27">
        <v>35.996766000000001</v>
      </c>
      <c r="AO2587" s="27">
        <v>6.7930539999999997</v>
      </c>
    </row>
    <row r="2588" spans="2:41" x14ac:dyDescent="0.25">
      <c r="B2588" s="21">
        <v>44868</v>
      </c>
      <c r="C2588" s="27">
        <v>19.746300000000002</v>
      </c>
      <c r="E2588" s="27">
        <v>1.02284</v>
      </c>
      <c r="G2588" s="27">
        <v>157.745924</v>
      </c>
      <c r="I2588" s="27">
        <v>6.927746</v>
      </c>
      <c r="K2588" s="27">
        <v>5.134188</v>
      </c>
      <c r="M2588" s="27">
        <v>946.21268999999995</v>
      </c>
      <c r="O2588" s="27">
        <v>5030.8624179999997</v>
      </c>
      <c r="Q2588" s="27">
        <v>7272.6077359999999</v>
      </c>
      <c r="S2588" s="27">
        <v>1416.5154540000001</v>
      </c>
      <c r="U2588" s="27">
        <v>3.9757419999999999</v>
      </c>
      <c r="W2588" s="27">
        <v>40.658845999999997</v>
      </c>
      <c r="Y2588" s="27">
        <v>7.9192679999999998</v>
      </c>
      <c r="AA2588" s="27">
        <v>618.03529700000001</v>
      </c>
      <c r="AC2588" s="27">
        <v>54.142052999999997</v>
      </c>
      <c r="AE2588" s="27">
        <v>1</v>
      </c>
      <c r="AG2588" s="27">
        <v>7.8404020000000001</v>
      </c>
      <c r="AI2588" s="27">
        <v>8.75</v>
      </c>
      <c r="AK2588" s="27">
        <v>24.802598</v>
      </c>
      <c r="AM2588" s="27">
        <v>36.075592999999998</v>
      </c>
      <c r="AO2588" s="27">
        <v>6.8019980000000002</v>
      </c>
    </row>
    <row r="2589" spans="2:41" x14ac:dyDescent="0.25">
      <c r="B2589" s="21">
        <v>44869</v>
      </c>
      <c r="C2589" s="27">
        <v>19.667300000000001</v>
      </c>
      <c r="E2589" s="27">
        <v>1.0154700000000001</v>
      </c>
      <c r="G2589" s="27">
        <v>158.051884</v>
      </c>
      <c r="I2589" s="27">
        <v>6.9040330000000001</v>
      </c>
      <c r="K2589" s="27">
        <v>5.0881949999999998</v>
      </c>
      <c r="M2589" s="27">
        <v>939.034852</v>
      </c>
      <c r="O2589" s="27">
        <v>5078.7204000000002</v>
      </c>
      <c r="Q2589" s="27">
        <v>7254.8959999999997</v>
      </c>
      <c r="S2589" s="27">
        <v>1425.8383679999999</v>
      </c>
      <c r="U2589" s="27">
        <v>3.959336</v>
      </c>
      <c r="W2589" s="27">
        <v>40.36215</v>
      </c>
      <c r="Y2589" s="27">
        <v>7.9325419999999998</v>
      </c>
      <c r="AA2589" s="27">
        <v>617.48228600000004</v>
      </c>
      <c r="AC2589" s="27">
        <v>53.985900000000001</v>
      </c>
      <c r="AE2589" s="27">
        <v>1</v>
      </c>
      <c r="AG2589" s="27">
        <v>7.8134399999999999</v>
      </c>
      <c r="AI2589" s="27">
        <v>8.75</v>
      </c>
      <c r="AK2589" s="27">
        <v>24.704044</v>
      </c>
      <c r="AM2589" s="27">
        <v>35.980134</v>
      </c>
      <c r="AO2589" s="27">
        <v>6.7789539999999997</v>
      </c>
    </row>
    <row r="2590" spans="2:41" x14ac:dyDescent="0.25">
      <c r="B2590" s="21">
        <v>44870</v>
      </c>
      <c r="C2590" s="27">
        <v>19.667300000000001</v>
      </c>
      <c r="E2590" s="27">
        <v>1.004127</v>
      </c>
      <c r="G2590" s="27">
        <v>158.31127799999999</v>
      </c>
      <c r="I2590" s="27">
        <v>6.9065060000000003</v>
      </c>
      <c r="K2590" s="27">
        <v>5.062945</v>
      </c>
      <c r="M2590" s="27">
        <v>926.76</v>
      </c>
      <c r="O2590" s="27">
        <v>5091.2275</v>
      </c>
      <c r="Q2590" s="27">
        <v>7256.1903249999996</v>
      </c>
      <c r="S2590" s="27">
        <v>1433.206085</v>
      </c>
      <c r="U2590" s="27">
        <v>3.9449999999999998</v>
      </c>
      <c r="W2590" s="27">
        <v>40.145175999999999</v>
      </c>
      <c r="Y2590" s="27">
        <v>7.9292579999999999</v>
      </c>
      <c r="AA2590" s="27">
        <v>618.42012699999998</v>
      </c>
      <c r="AC2590" s="27">
        <v>54.032761999999998</v>
      </c>
      <c r="AE2590" s="27">
        <v>1</v>
      </c>
      <c r="AG2590" s="27">
        <v>7.816141</v>
      </c>
      <c r="AI2590" s="27">
        <v>8.75</v>
      </c>
      <c r="AK2590" s="27">
        <v>24.79975</v>
      </c>
      <c r="AM2590" s="27">
        <v>35.999749999999999</v>
      </c>
      <c r="AO2590" s="27">
        <v>6.7813840000000001</v>
      </c>
    </row>
    <row r="2591" spans="2:41" x14ac:dyDescent="0.25">
      <c r="B2591" s="21">
        <v>44871</v>
      </c>
      <c r="C2591" s="27">
        <v>19.667300000000001</v>
      </c>
      <c r="E2591" s="27">
        <v>1.0044</v>
      </c>
      <c r="G2591" s="27">
        <v>158.359838</v>
      </c>
      <c r="I2591" s="27">
        <v>6.9064139999999998</v>
      </c>
      <c r="K2591" s="27">
        <v>5.0628909999999996</v>
      </c>
      <c r="M2591" s="27">
        <v>926.59797800000001</v>
      </c>
      <c r="O2591" s="27">
        <v>5091.2275</v>
      </c>
      <c r="Q2591" s="27">
        <v>7256.1374139999998</v>
      </c>
      <c r="S2591" s="27">
        <v>1433.210967</v>
      </c>
      <c r="U2591" s="27">
        <v>3.9449999999999998</v>
      </c>
      <c r="W2591" s="27">
        <v>40.148581999999998</v>
      </c>
      <c r="Y2591" s="27">
        <v>7.9300160000000002</v>
      </c>
      <c r="AA2591" s="27">
        <v>618.39873999999998</v>
      </c>
      <c r="AC2591" s="27">
        <v>54.032038</v>
      </c>
      <c r="AE2591" s="27">
        <v>1</v>
      </c>
      <c r="AG2591" s="27">
        <v>7.8144119999999999</v>
      </c>
      <c r="AI2591" s="27">
        <v>8.75</v>
      </c>
      <c r="AK2591" s="27">
        <v>24.79975</v>
      </c>
      <c r="AM2591" s="27">
        <v>35.999749999999999</v>
      </c>
      <c r="AO2591" s="27">
        <v>6.7812939999999999</v>
      </c>
    </row>
    <row r="2592" spans="2:41" x14ac:dyDescent="0.25">
      <c r="B2592" s="21">
        <v>44872</v>
      </c>
      <c r="C2592" s="27">
        <v>19.520199999999999</v>
      </c>
      <c r="E2592" s="27">
        <v>1.0019979999999999</v>
      </c>
      <c r="G2592" s="27">
        <v>158.87596199999999</v>
      </c>
      <c r="I2592" s="27">
        <v>6.8412879999999996</v>
      </c>
      <c r="K2592" s="27">
        <v>5.0835270000000001</v>
      </c>
      <c r="M2592" s="27">
        <v>922.40759400000002</v>
      </c>
      <c r="O2592" s="27">
        <v>5079.7273580000001</v>
      </c>
      <c r="Q2592" s="27">
        <v>7182.6486480000003</v>
      </c>
      <c r="S2592" s="27">
        <v>1412.949292</v>
      </c>
      <c r="U2592" s="27">
        <v>3.9242279999999998</v>
      </c>
      <c r="W2592" s="27">
        <v>40.139088000000001</v>
      </c>
      <c r="Y2592" s="27">
        <v>7.8960020000000002</v>
      </c>
      <c r="AA2592" s="27">
        <v>614.10488399999997</v>
      </c>
      <c r="AC2592" s="27">
        <v>53.535457999999998</v>
      </c>
      <c r="AE2592" s="27">
        <v>1</v>
      </c>
      <c r="AG2592" s="27">
        <v>7.7362399999999996</v>
      </c>
      <c r="AI2592" s="27">
        <v>8.75</v>
      </c>
      <c r="AK2592" s="27">
        <v>24.495691999999998</v>
      </c>
      <c r="AM2592" s="27">
        <v>35.646180999999999</v>
      </c>
      <c r="AO2592" s="27">
        <v>6.7202270000000004</v>
      </c>
    </row>
    <row r="2593" spans="2:41" x14ac:dyDescent="0.25">
      <c r="B2593" s="21">
        <v>44873</v>
      </c>
      <c r="C2593" s="27">
        <v>19.464700000000001</v>
      </c>
      <c r="E2593" s="27">
        <v>0.99703399999999998</v>
      </c>
      <c r="G2593" s="27">
        <v>159.51477499999999</v>
      </c>
      <c r="I2593" s="27">
        <v>6.8514400000000002</v>
      </c>
      <c r="K2593" s="27">
        <v>5.1588159999999998</v>
      </c>
      <c r="M2593" s="27">
        <v>911.40747199999998</v>
      </c>
      <c r="O2593" s="27">
        <v>5060.904888</v>
      </c>
      <c r="Q2593" s="27">
        <v>7184.1135279999999</v>
      </c>
      <c r="S2593" s="27">
        <v>1392.5987680000001</v>
      </c>
      <c r="U2593" s="27">
        <v>3.9380389999999998</v>
      </c>
      <c r="W2593" s="27">
        <v>40.026674999999997</v>
      </c>
      <c r="Y2593" s="27">
        <v>7.7589220000000001</v>
      </c>
      <c r="AA2593" s="27">
        <v>614.62854400000003</v>
      </c>
      <c r="AC2593" s="27">
        <v>53.784143999999998</v>
      </c>
      <c r="AE2593" s="27">
        <v>1</v>
      </c>
      <c r="AG2593" s="27">
        <v>7.7548640000000004</v>
      </c>
      <c r="AI2593" s="27">
        <v>8.75</v>
      </c>
      <c r="AK2593" s="27">
        <v>24.674223999999999</v>
      </c>
      <c r="AM2593" s="27">
        <v>35.890132000000001</v>
      </c>
      <c r="AO2593" s="27">
        <v>6.7306540000000004</v>
      </c>
    </row>
    <row r="2594" spans="2:41" x14ac:dyDescent="0.25">
      <c r="B2594" s="21">
        <v>44874</v>
      </c>
      <c r="C2594" s="27">
        <v>19.477499999999999</v>
      </c>
      <c r="E2594" s="27">
        <v>0.99551699999999999</v>
      </c>
      <c r="G2594" s="27">
        <v>159.86373599999999</v>
      </c>
      <c r="I2594" s="27">
        <v>6.8737680000000001</v>
      </c>
      <c r="K2594" s="27">
        <v>5.1587839999999998</v>
      </c>
      <c r="M2594" s="27">
        <v>906.38147300000003</v>
      </c>
      <c r="O2594" s="27">
        <v>4944.699278</v>
      </c>
      <c r="Q2594" s="27">
        <v>7169.6862019999999</v>
      </c>
      <c r="S2594" s="27">
        <v>1389.8108279999999</v>
      </c>
      <c r="U2594" s="27">
        <v>3.9085920000000001</v>
      </c>
      <c r="W2594" s="27">
        <v>39.948101999999999</v>
      </c>
      <c r="Y2594" s="27">
        <v>7.7437360000000002</v>
      </c>
      <c r="AA2594" s="27">
        <v>615.19421999999997</v>
      </c>
      <c r="AC2594" s="27">
        <v>54.176048000000002</v>
      </c>
      <c r="AE2594" s="27">
        <v>1</v>
      </c>
      <c r="AG2594" s="27">
        <v>7.7720279999999997</v>
      </c>
      <c r="AI2594" s="27">
        <v>8.75</v>
      </c>
      <c r="AK2594" s="27">
        <v>24.671934</v>
      </c>
      <c r="AM2594" s="27">
        <v>35.895767999999997</v>
      </c>
      <c r="AO2594" s="27">
        <v>6.7454520000000002</v>
      </c>
    </row>
    <row r="2595" spans="2:41" x14ac:dyDescent="0.25">
      <c r="B2595" s="21">
        <v>44875</v>
      </c>
      <c r="C2595" s="27">
        <v>19.588699999999999</v>
      </c>
      <c r="E2595" s="27">
        <v>0.99259399999999998</v>
      </c>
      <c r="G2595" s="27">
        <v>160.18434400000001</v>
      </c>
      <c r="I2595" s="27">
        <v>6.9003459999999999</v>
      </c>
      <c r="K2595" s="27">
        <v>5.2640140000000004</v>
      </c>
      <c r="M2595" s="27">
        <v>900.5009</v>
      </c>
      <c r="O2595" s="27">
        <v>4856.6308220000001</v>
      </c>
      <c r="Q2595" s="27">
        <v>7176.1287460000003</v>
      </c>
      <c r="S2595" s="27">
        <v>1363.251634</v>
      </c>
      <c r="U2595" s="27">
        <v>3.8944000000000001</v>
      </c>
      <c r="W2595" s="27">
        <v>40.223489999999998</v>
      </c>
      <c r="Y2595" s="27">
        <v>7.6412500000000003</v>
      </c>
      <c r="AA2595" s="27">
        <v>615.86975600000005</v>
      </c>
      <c r="AC2595" s="27">
        <v>54.357354000000001</v>
      </c>
      <c r="AE2595" s="27">
        <v>1</v>
      </c>
      <c r="AG2595" s="27">
        <v>7.8010760000000001</v>
      </c>
      <c r="AI2595" s="27">
        <v>8.75</v>
      </c>
      <c r="AK2595" s="27">
        <v>24.792852</v>
      </c>
      <c r="AM2595" s="27">
        <v>36.054738</v>
      </c>
      <c r="AO2595" s="27">
        <v>6.7721359999999997</v>
      </c>
    </row>
    <row r="2596" spans="2:41" x14ac:dyDescent="0.25">
      <c r="B2596" s="21">
        <v>44876</v>
      </c>
      <c r="C2596" s="27">
        <v>19.393999999999998</v>
      </c>
      <c r="E2596" s="27">
        <v>0.97316000000000003</v>
      </c>
      <c r="G2596" s="27">
        <v>160.50159600000001</v>
      </c>
      <c r="I2596" s="27">
        <v>6.8693460000000002</v>
      </c>
      <c r="K2596" s="27">
        <v>5.3361090000000004</v>
      </c>
      <c r="M2596" s="27">
        <v>891.58612200000005</v>
      </c>
      <c r="O2596" s="27">
        <v>4803.2007139999996</v>
      </c>
      <c r="Q2596" s="27">
        <v>7117.8598179999999</v>
      </c>
      <c r="S2596" s="27">
        <v>1333.912992</v>
      </c>
      <c r="U2596" s="27">
        <v>3.8470179999999998</v>
      </c>
      <c r="W2596" s="27">
        <v>39.694862000000001</v>
      </c>
      <c r="Y2596" s="27">
        <v>7.4389430000000001</v>
      </c>
      <c r="AA2596" s="27">
        <v>610.68818799999997</v>
      </c>
      <c r="AC2596" s="27">
        <v>53.850442000000001</v>
      </c>
      <c r="AE2596" s="27">
        <v>1</v>
      </c>
      <c r="AG2596" s="27">
        <v>7.7764790000000001</v>
      </c>
      <c r="AI2596" s="27">
        <v>8.75</v>
      </c>
      <c r="AK2596" s="27">
        <v>24.539244</v>
      </c>
      <c r="AM2596" s="27">
        <v>35.670352000000001</v>
      </c>
      <c r="AO2596" s="27">
        <v>6.7519410000000004</v>
      </c>
    </row>
    <row r="2597" spans="2:41" x14ac:dyDescent="0.25">
      <c r="B2597" s="21">
        <v>44877</v>
      </c>
      <c r="C2597" s="27">
        <v>19.393999999999998</v>
      </c>
      <c r="E2597" s="27">
        <v>0.96579199999999998</v>
      </c>
      <c r="G2597" s="27">
        <v>160.69447400000001</v>
      </c>
      <c r="I2597" s="27">
        <v>6.902145</v>
      </c>
      <c r="K2597" s="27">
        <v>5.3249000000000004</v>
      </c>
      <c r="M2597" s="27">
        <v>890.96</v>
      </c>
      <c r="O2597" s="27">
        <v>4805.9674999999997</v>
      </c>
      <c r="Q2597" s="27">
        <v>7132.3220060000003</v>
      </c>
      <c r="S2597" s="27">
        <v>1339.435236</v>
      </c>
      <c r="U2597" s="27">
        <v>3.8504719999999999</v>
      </c>
      <c r="W2597" s="27">
        <v>40.094040999999997</v>
      </c>
      <c r="Y2597" s="27">
        <v>7.5295620000000003</v>
      </c>
      <c r="AA2597" s="27">
        <v>611.99577899999997</v>
      </c>
      <c r="AC2597" s="27">
        <v>53.7575</v>
      </c>
      <c r="AE2597" s="27">
        <v>1</v>
      </c>
      <c r="AG2597" s="27">
        <v>7.8177240000000001</v>
      </c>
      <c r="AI2597" s="27">
        <v>8.75</v>
      </c>
      <c r="AK2597" s="27">
        <v>24.504999999999999</v>
      </c>
      <c r="AM2597" s="27">
        <v>35.608750000000001</v>
      </c>
      <c r="AO2597" s="27">
        <v>6.7877739999999998</v>
      </c>
    </row>
    <row r="2598" spans="2:41" x14ac:dyDescent="0.25">
      <c r="B2598" s="21">
        <v>44878</v>
      </c>
      <c r="C2598" s="27">
        <v>19.393999999999998</v>
      </c>
      <c r="E2598" s="27">
        <v>0.96601999999999999</v>
      </c>
      <c r="G2598" s="27">
        <v>160.61979400000001</v>
      </c>
      <c r="I2598" s="27">
        <v>6.9003040000000002</v>
      </c>
      <c r="K2598" s="27">
        <v>5.3247059999999999</v>
      </c>
      <c r="M2598" s="27">
        <v>890.95950500000004</v>
      </c>
      <c r="O2598" s="27">
        <v>4805.9739310000004</v>
      </c>
      <c r="Q2598" s="27">
        <v>7132.4621280000001</v>
      </c>
      <c r="S2598" s="27">
        <v>1339.511456</v>
      </c>
      <c r="U2598" s="27">
        <v>3.850654</v>
      </c>
      <c r="W2598" s="27">
        <v>40.088526999999999</v>
      </c>
      <c r="Y2598" s="27">
        <v>7.5288040000000001</v>
      </c>
      <c r="AA2598" s="27">
        <v>611.85859000000005</v>
      </c>
      <c r="AC2598" s="27">
        <v>53.749862</v>
      </c>
      <c r="AE2598" s="27">
        <v>1</v>
      </c>
      <c r="AG2598" s="27">
        <v>7.8148900000000001</v>
      </c>
      <c r="AI2598" s="27">
        <v>8.75</v>
      </c>
      <c r="AK2598" s="27">
        <v>24.501017999999998</v>
      </c>
      <c r="AM2598" s="27">
        <v>35.604298999999997</v>
      </c>
      <c r="AO2598" s="27">
        <v>6.7855420000000004</v>
      </c>
    </row>
    <row r="2599" spans="2:41" x14ac:dyDescent="0.25">
      <c r="B2599" s="21">
        <v>44879</v>
      </c>
      <c r="C2599" s="27">
        <v>19.535299999999999</v>
      </c>
      <c r="E2599" s="27">
        <v>0.968696</v>
      </c>
      <c r="G2599" s="27">
        <v>161.071607</v>
      </c>
      <c r="I2599" s="27">
        <v>6.8861480000000004</v>
      </c>
      <c r="K2599" s="27">
        <v>5.3209160000000004</v>
      </c>
      <c r="M2599" s="27">
        <v>892.62366599999996</v>
      </c>
      <c r="O2599" s="27">
        <v>4801.7252040000003</v>
      </c>
      <c r="Q2599" s="27">
        <v>7079.1840400000001</v>
      </c>
      <c r="S2599" s="27">
        <v>1330.452272</v>
      </c>
      <c r="U2599" s="27">
        <v>3.8527990000000001</v>
      </c>
      <c r="W2599" s="27">
        <v>40.029837000000001</v>
      </c>
      <c r="Y2599" s="27">
        <v>7.523136</v>
      </c>
      <c r="AA2599" s="27">
        <v>609.31075899999996</v>
      </c>
      <c r="AC2599" s="27">
        <v>53.980274000000001</v>
      </c>
      <c r="AE2599" s="27">
        <v>1</v>
      </c>
      <c r="AG2599" s="27">
        <v>7.7926500000000001</v>
      </c>
      <c r="AI2599" s="27">
        <v>8.75</v>
      </c>
      <c r="AK2599" s="27">
        <v>24.522628999999998</v>
      </c>
      <c r="AM2599" s="27">
        <v>35.667496</v>
      </c>
      <c r="AO2599" s="27">
        <v>6.7650459999999999</v>
      </c>
    </row>
    <row r="2600" spans="2:41" x14ac:dyDescent="0.25">
      <c r="B2600" s="21">
        <v>44880</v>
      </c>
      <c r="C2600" s="27">
        <v>19.401499999999999</v>
      </c>
      <c r="E2600" s="27">
        <v>0.96485399999999999</v>
      </c>
      <c r="G2600" s="27">
        <v>161.931197</v>
      </c>
      <c r="I2600" s="27">
        <v>6.889996</v>
      </c>
      <c r="K2600" s="27">
        <v>5.3327980000000004</v>
      </c>
      <c r="M2600" s="27">
        <v>889.05794000000003</v>
      </c>
      <c r="O2600" s="27">
        <v>4816.3720999999996</v>
      </c>
      <c r="Q2600" s="27">
        <v>7045.4850720000004</v>
      </c>
      <c r="S2600" s="27">
        <v>1321.169676</v>
      </c>
      <c r="U2600" s="27">
        <v>3.840538</v>
      </c>
      <c r="W2600" s="27">
        <v>39.959525999999997</v>
      </c>
      <c r="Y2600" s="27">
        <v>7.4931950000000001</v>
      </c>
      <c r="AA2600" s="27">
        <v>607.62958200000003</v>
      </c>
      <c r="AC2600" s="27">
        <v>54.250816</v>
      </c>
      <c r="AE2600" s="27">
        <v>1</v>
      </c>
      <c r="AG2600" s="27">
        <v>7.7959540000000001</v>
      </c>
      <c r="AI2600" s="27">
        <v>8.75</v>
      </c>
      <c r="AK2600" s="27">
        <v>24.693346999999999</v>
      </c>
      <c r="AM2600" s="27">
        <v>35.939810000000001</v>
      </c>
      <c r="AO2600" s="27">
        <v>6.7695230000000004</v>
      </c>
    </row>
    <row r="2601" spans="2:41" x14ac:dyDescent="0.25">
      <c r="B2601" s="21">
        <v>44881</v>
      </c>
      <c r="C2601" s="27">
        <v>19.381799999999998</v>
      </c>
      <c r="E2601" s="27">
        <v>0.96274199999999999</v>
      </c>
      <c r="G2601" s="27">
        <v>162.274811</v>
      </c>
      <c r="I2601" s="27">
        <v>6.908938</v>
      </c>
      <c r="K2601" s="27">
        <v>5.3482459999999996</v>
      </c>
      <c r="M2601" s="27">
        <v>895.86972600000001</v>
      </c>
      <c r="O2601" s="27">
        <v>4878.4531360000001</v>
      </c>
      <c r="Q2601" s="27">
        <v>7084.1097200000004</v>
      </c>
      <c r="S2601" s="27">
        <v>1324.5751909999999</v>
      </c>
      <c r="U2601" s="27">
        <v>3.83697</v>
      </c>
      <c r="W2601" s="27">
        <v>40.006506000000002</v>
      </c>
      <c r="Y2601" s="27">
        <v>7.4803319999999998</v>
      </c>
      <c r="AA2601" s="27">
        <v>609.60219600000005</v>
      </c>
      <c r="AC2601" s="27">
        <v>54.544386000000003</v>
      </c>
      <c r="AE2601" s="27">
        <v>1</v>
      </c>
      <c r="AG2601" s="27">
        <v>7.811261</v>
      </c>
      <c r="AI2601" s="27">
        <v>8.75</v>
      </c>
      <c r="AK2601" s="27">
        <v>24.81165</v>
      </c>
      <c r="AM2601" s="27">
        <v>36.104227999999999</v>
      </c>
      <c r="AO2601" s="27">
        <v>6.7905110000000004</v>
      </c>
    </row>
    <row r="2602" spans="2:41" x14ac:dyDescent="0.25">
      <c r="B2602" s="21">
        <v>44882</v>
      </c>
      <c r="C2602" s="27">
        <v>19.313700000000001</v>
      </c>
      <c r="E2602" s="27">
        <v>0.96509199999999995</v>
      </c>
      <c r="G2602" s="27">
        <v>162.60994500000001</v>
      </c>
      <c r="I2602" s="27">
        <v>6.910984</v>
      </c>
      <c r="K2602" s="27">
        <v>5.4228779999999999</v>
      </c>
      <c r="M2602" s="27">
        <v>916.95830000000001</v>
      </c>
      <c r="O2602" s="27">
        <v>4965.2989479999997</v>
      </c>
      <c r="Q2602" s="27">
        <v>7104.1544199999998</v>
      </c>
      <c r="S2602" s="27">
        <v>1310.041829</v>
      </c>
      <c r="U2602" s="27">
        <v>3.83311</v>
      </c>
      <c r="W2602" s="27">
        <v>39.864508000000001</v>
      </c>
      <c r="Y2602" s="27">
        <v>7.3512000000000004</v>
      </c>
      <c r="AA2602" s="27">
        <v>610.44735800000001</v>
      </c>
      <c r="AC2602" s="27">
        <v>54.607393000000002</v>
      </c>
      <c r="AE2602" s="27">
        <v>1</v>
      </c>
      <c r="AG2602" s="27">
        <v>7.8124719999999996</v>
      </c>
      <c r="AI2602" s="27">
        <v>8.75</v>
      </c>
      <c r="AK2602" s="27">
        <v>24.794746</v>
      </c>
      <c r="AM2602" s="27">
        <v>36.056344000000003</v>
      </c>
      <c r="AO2602" s="27">
        <v>6.7898519999999998</v>
      </c>
    </row>
    <row r="2603" spans="2:41" x14ac:dyDescent="0.25">
      <c r="B2603" s="21">
        <v>44883</v>
      </c>
      <c r="C2603" s="27">
        <v>19.433299999999999</v>
      </c>
      <c r="E2603" s="27">
        <v>0.96563399999999999</v>
      </c>
      <c r="G2603" s="27">
        <v>162.94589999999999</v>
      </c>
      <c r="I2603" s="27">
        <v>6.9025879999999997</v>
      </c>
      <c r="K2603" s="27">
        <v>5.3948859999999996</v>
      </c>
      <c r="M2603" s="27">
        <v>928.986717</v>
      </c>
      <c r="O2603" s="27">
        <v>4996.1519770000004</v>
      </c>
      <c r="Q2603" s="27">
        <v>7122.5936519999996</v>
      </c>
      <c r="S2603" s="27">
        <v>1320.2571419999999</v>
      </c>
      <c r="U2603" s="27">
        <v>3.8163809999999998</v>
      </c>
      <c r="W2603" s="27">
        <v>39.781336000000003</v>
      </c>
      <c r="Y2603" s="27">
        <v>7.3739280000000003</v>
      </c>
      <c r="AA2603" s="27">
        <v>609.97383000000002</v>
      </c>
      <c r="AC2603" s="27">
        <v>54.464627999999998</v>
      </c>
      <c r="AE2603" s="27">
        <v>1</v>
      </c>
      <c r="AG2603" s="27">
        <v>7.7993839999999999</v>
      </c>
      <c r="AI2603" s="27">
        <v>8.75</v>
      </c>
      <c r="AK2603" s="27">
        <v>24.733803999999999</v>
      </c>
      <c r="AM2603" s="27">
        <v>35.959620000000001</v>
      </c>
      <c r="AO2603" s="27">
        <v>6.7802879999999996</v>
      </c>
    </row>
    <row r="2604" spans="2:41" x14ac:dyDescent="0.25">
      <c r="B2604" s="21">
        <v>44884</v>
      </c>
      <c r="C2604" s="27">
        <v>19.433299999999999</v>
      </c>
      <c r="E2604" s="27">
        <v>0.96877199999999997</v>
      </c>
      <c r="G2604" s="27">
        <v>163.179</v>
      </c>
      <c r="I2604" s="27">
        <v>6.9061159999999999</v>
      </c>
      <c r="K2604" s="27">
        <v>5.3834</v>
      </c>
      <c r="M2604" s="27">
        <v>941.79750000000001</v>
      </c>
      <c r="O2604" s="27">
        <v>4989.0275000000001</v>
      </c>
      <c r="Q2604" s="27">
        <v>7134.0722400000004</v>
      </c>
      <c r="S2604" s="27">
        <v>1325.204837</v>
      </c>
      <c r="U2604" s="27">
        <v>3.8087719999999998</v>
      </c>
      <c r="W2604" s="27">
        <v>39.946434000000004</v>
      </c>
      <c r="Y2604" s="27">
        <v>7.4203260000000002</v>
      </c>
      <c r="AA2604" s="27">
        <v>610.15504999999996</v>
      </c>
      <c r="AC2604" s="27">
        <v>54.547499999999999</v>
      </c>
      <c r="AE2604" s="27">
        <v>1</v>
      </c>
      <c r="AG2604" s="27">
        <v>7.8040589999999996</v>
      </c>
      <c r="AI2604" s="27">
        <v>8.75</v>
      </c>
      <c r="AK2604" s="27">
        <v>24.809750000000001</v>
      </c>
      <c r="AM2604" s="27">
        <v>35.999749999999999</v>
      </c>
      <c r="AO2604" s="27">
        <v>6.7837240000000003</v>
      </c>
    </row>
    <row r="2605" spans="2:41" x14ac:dyDescent="0.25">
      <c r="B2605" s="21">
        <v>44885</v>
      </c>
      <c r="C2605" s="27">
        <v>19.433299999999999</v>
      </c>
      <c r="E2605" s="27">
        <v>0.96873600000000004</v>
      </c>
      <c r="G2605" s="27">
        <v>163.17564999999999</v>
      </c>
      <c r="I2605" s="27">
        <v>6.9067069999999999</v>
      </c>
      <c r="K2605" s="27">
        <v>5.3833859999999998</v>
      </c>
      <c r="M2605" s="27">
        <v>941.79758800000002</v>
      </c>
      <c r="O2605" s="27">
        <v>4989.5188559999997</v>
      </c>
      <c r="Q2605" s="27">
        <v>7133.705226</v>
      </c>
      <c r="S2605" s="27">
        <v>1325.140382</v>
      </c>
      <c r="U2605" s="27">
        <v>3.809393</v>
      </c>
      <c r="W2605" s="27">
        <v>39.942571999999998</v>
      </c>
      <c r="Y2605" s="27">
        <v>7.4196299999999997</v>
      </c>
      <c r="AA2605" s="27">
        <v>610.21300399999996</v>
      </c>
      <c r="AC2605" s="27">
        <v>54.550918000000003</v>
      </c>
      <c r="AE2605" s="27">
        <v>1</v>
      </c>
      <c r="AG2605" s="27">
        <v>7.8046790000000001</v>
      </c>
      <c r="AI2605" s="27">
        <v>8.75</v>
      </c>
      <c r="AK2605" s="27">
        <v>24.808914000000001</v>
      </c>
      <c r="AM2605" s="27">
        <v>36.002955999999998</v>
      </c>
      <c r="AO2605" s="27">
        <v>6.7843070000000001</v>
      </c>
    </row>
    <row r="2606" spans="2:41" x14ac:dyDescent="0.25">
      <c r="B2606" s="21">
        <v>44886</v>
      </c>
      <c r="C2606" s="27">
        <v>19.433299999999999</v>
      </c>
      <c r="E2606" s="27">
        <v>0.97476799999999997</v>
      </c>
      <c r="G2606" s="27">
        <v>163.23140599999999</v>
      </c>
      <c r="I2606" s="27">
        <v>6.9291900000000002</v>
      </c>
      <c r="K2606" s="27">
        <v>5.3534420000000003</v>
      </c>
      <c r="M2606" s="27">
        <v>943.38035600000001</v>
      </c>
      <c r="O2606" s="27">
        <v>4977.6974129999999</v>
      </c>
      <c r="Q2606" s="27">
        <v>7143.8271139999997</v>
      </c>
      <c r="S2606" s="27">
        <v>1334.4435490000001</v>
      </c>
      <c r="U2606" s="27">
        <v>3.831232</v>
      </c>
      <c r="W2606" s="27">
        <v>40.004787999999998</v>
      </c>
      <c r="Y2606" s="27">
        <v>7.4727480000000002</v>
      </c>
      <c r="AA2606" s="27">
        <v>611.94103800000005</v>
      </c>
      <c r="AC2606" s="27">
        <v>54.723607000000001</v>
      </c>
      <c r="AE2606" s="27">
        <v>1</v>
      </c>
      <c r="AG2606" s="27">
        <v>7.8263600000000002</v>
      </c>
      <c r="AI2606" s="27">
        <v>8.75</v>
      </c>
      <c r="AK2606" s="27">
        <v>24.798221999999999</v>
      </c>
      <c r="AM2606" s="27">
        <v>36.094087999999999</v>
      </c>
      <c r="AO2606" s="27">
        <v>6.8064749999999998</v>
      </c>
    </row>
    <row r="2607" spans="2:41" x14ac:dyDescent="0.25">
      <c r="B2607" s="21">
        <v>44887</v>
      </c>
      <c r="C2607" s="27">
        <v>19.492999999999999</v>
      </c>
      <c r="E2607" s="27">
        <v>0.97330899999999998</v>
      </c>
      <c r="G2607" s="27">
        <v>163.76371800000001</v>
      </c>
      <c r="I2607" s="27">
        <v>6.9078379999999999</v>
      </c>
      <c r="K2607" s="27">
        <v>5.3349589999999996</v>
      </c>
      <c r="M2607" s="27">
        <v>935.78497400000003</v>
      </c>
      <c r="O2607" s="27">
        <v>4933.7160160000003</v>
      </c>
      <c r="Q2607" s="27">
        <v>7173.9045500000002</v>
      </c>
      <c r="S2607" s="27">
        <v>1344.7065680000001</v>
      </c>
      <c r="U2607" s="27">
        <v>3.8312400000000002</v>
      </c>
      <c r="W2607" s="27">
        <v>39.882170000000002</v>
      </c>
      <c r="Y2607" s="27">
        <v>7.4756619999999998</v>
      </c>
      <c r="AA2607" s="27">
        <v>608.600371</v>
      </c>
      <c r="AC2607" s="27">
        <v>54.499631999999998</v>
      </c>
      <c r="AE2607" s="27">
        <v>1</v>
      </c>
      <c r="AG2607" s="27">
        <v>7.7932709999999998</v>
      </c>
      <c r="AI2607" s="27">
        <v>8.75</v>
      </c>
      <c r="AK2607" s="27">
        <v>24.717758</v>
      </c>
      <c r="AM2607" s="27">
        <v>35.960856</v>
      </c>
      <c r="AO2607" s="27">
        <v>6.7854349999999997</v>
      </c>
    </row>
    <row r="2608" spans="2:41" x14ac:dyDescent="0.25">
      <c r="B2608" s="21">
        <v>44888</v>
      </c>
      <c r="C2608" s="27">
        <v>19.466699999999999</v>
      </c>
      <c r="E2608" s="27">
        <v>0.96669700000000003</v>
      </c>
      <c r="G2608" s="27">
        <v>164.64107000000001</v>
      </c>
      <c r="I2608" s="27">
        <v>6.9022379999999997</v>
      </c>
      <c r="K2608" s="27">
        <v>5.3683519999999998</v>
      </c>
      <c r="M2608" s="27">
        <v>923.19412399999999</v>
      </c>
      <c r="O2608" s="27">
        <v>4896.6234109999996</v>
      </c>
      <c r="Q2608" s="27">
        <v>7184.9298330000001</v>
      </c>
      <c r="S2608" s="27">
        <v>1338.395348</v>
      </c>
      <c r="U2608" s="27">
        <v>3.8384299999999998</v>
      </c>
      <c r="W2608" s="27">
        <v>39.560136</v>
      </c>
      <c r="Y2608" s="27">
        <v>7.3691719999999998</v>
      </c>
      <c r="AA2608" s="27">
        <v>606.79570000000001</v>
      </c>
      <c r="AC2608" s="27">
        <v>54.341472000000003</v>
      </c>
      <c r="AE2608" s="27">
        <v>1</v>
      </c>
      <c r="AG2608" s="27">
        <v>7.7819320000000003</v>
      </c>
      <c r="AI2608" s="27">
        <v>8.75</v>
      </c>
      <c r="AK2608" s="27">
        <v>24.737649000000001</v>
      </c>
      <c r="AM2608" s="27">
        <v>35.938110000000002</v>
      </c>
      <c r="AO2608" s="27">
        <v>6.7799579999999997</v>
      </c>
    </row>
    <row r="2609" spans="2:41" x14ac:dyDescent="0.25">
      <c r="B2609" s="21">
        <v>44889</v>
      </c>
      <c r="C2609" s="27">
        <v>19.368300000000001</v>
      </c>
      <c r="E2609" s="27">
        <v>0.96001400000000003</v>
      </c>
      <c r="G2609" s="27">
        <v>164.96973</v>
      </c>
      <c r="I2609" s="27">
        <v>6.8956280000000003</v>
      </c>
      <c r="K2609" s="27">
        <v>5.3381600000000002</v>
      </c>
      <c r="M2609" s="27">
        <v>913.35269800000003</v>
      </c>
      <c r="O2609" s="27">
        <v>4889.649136</v>
      </c>
      <c r="Q2609" s="27">
        <v>7168.9589409999999</v>
      </c>
      <c r="S2609" s="27">
        <v>1342.9732739999999</v>
      </c>
      <c r="U2609" s="27">
        <v>3.8437679999999999</v>
      </c>
      <c r="W2609" s="27">
        <v>39.378146000000001</v>
      </c>
      <c r="Y2609" s="27">
        <v>7.3767610000000001</v>
      </c>
      <c r="AA2609" s="27">
        <v>605.85465799999997</v>
      </c>
      <c r="AC2609" s="27">
        <v>54.313152000000002</v>
      </c>
      <c r="AE2609" s="27">
        <v>1</v>
      </c>
      <c r="AG2609" s="27">
        <v>7.7828290000000004</v>
      </c>
      <c r="AI2609" s="27">
        <v>8.75</v>
      </c>
      <c r="AK2609" s="27">
        <v>24.668952000000001</v>
      </c>
      <c r="AM2609" s="27">
        <v>35.90325</v>
      </c>
      <c r="AO2609" s="27">
        <v>6.7743380000000002</v>
      </c>
    </row>
    <row r="2610" spans="2:41" x14ac:dyDescent="0.25">
      <c r="B2610" s="21">
        <v>44890</v>
      </c>
      <c r="C2610" s="27">
        <v>19.369199999999999</v>
      </c>
      <c r="E2610" s="27">
        <v>0.96117799999999998</v>
      </c>
      <c r="G2610" s="27">
        <v>165.38291000000001</v>
      </c>
      <c r="I2610" s="27">
        <v>6.9062840000000003</v>
      </c>
      <c r="K2610" s="27">
        <v>5.3518439999999998</v>
      </c>
      <c r="M2610" s="27">
        <v>914.87741800000003</v>
      </c>
      <c r="O2610" s="27">
        <v>4888.8444820000004</v>
      </c>
      <c r="Q2610" s="27">
        <v>7184.579248</v>
      </c>
      <c r="S2610" s="27">
        <v>1342.4577959999999</v>
      </c>
      <c r="U2610" s="27">
        <v>3.8599559999999999</v>
      </c>
      <c r="W2610" s="27">
        <v>39.279034000000003</v>
      </c>
      <c r="Y2610" s="27">
        <v>7.339378</v>
      </c>
      <c r="AA2610" s="27">
        <v>606.79670999999996</v>
      </c>
      <c r="AC2610" s="27">
        <v>54.421813999999998</v>
      </c>
      <c r="AE2610" s="27">
        <v>1</v>
      </c>
      <c r="AG2610" s="27">
        <v>7.8029419999999998</v>
      </c>
      <c r="AI2610" s="27">
        <v>8.75</v>
      </c>
      <c r="AK2610" s="27">
        <v>24.708848</v>
      </c>
      <c r="AM2610" s="27">
        <v>35.967173000000003</v>
      </c>
      <c r="AO2610" s="27">
        <v>6.7857139999999996</v>
      </c>
    </row>
    <row r="2611" spans="2:41" x14ac:dyDescent="0.25">
      <c r="B2611" s="21">
        <v>44891</v>
      </c>
      <c r="C2611" s="27">
        <v>19.369199999999999</v>
      </c>
      <c r="E2611" s="27">
        <v>0.96186199999999999</v>
      </c>
      <c r="G2611" s="27">
        <v>165.59299999999999</v>
      </c>
      <c r="I2611" s="27">
        <v>6.9061279999999998</v>
      </c>
      <c r="K2611" s="27">
        <v>5.4103000000000003</v>
      </c>
      <c r="M2611" s="27">
        <v>922.23</v>
      </c>
      <c r="O2611" s="27">
        <v>4866.9674999999997</v>
      </c>
      <c r="Q2611" s="27">
        <v>7197.9648500000003</v>
      </c>
      <c r="S2611" s="27">
        <v>1330.425334</v>
      </c>
      <c r="U2611" s="27">
        <v>3.86205</v>
      </c>
      <c r="W2611" s="27">
        <v>39.232300000000002</v>
      </c>
      <c r="Y2611" s="27">
        <v>7.2514380000000003</v>
      </c>
      <c r="AA2611" s="27">
        <v>606.78455399999996</v>
      </c>
      <c r="AC2611" s="27">
        <v>54.512500000000003</v>
      </c>
      <c r="AE2611" s="27">
        <v>1</v>
      </c>
      <c r="AG2611" s="27">
        <v>7.8029679999999999</v>
      </c>
      <c r="AI2611" s="27">
        <v>8.75</v>
      </c>
      <c r="AK2611" s="27">
        <v>24.792249999999999</v>
      </c>
      <c r="AM2611" s="27">
        <v>35.999749999999999</v>
      </c>
      <c r="AO2611" s="27">
        <v>6.7856759999999996</v>
      </c>
    </row>
    <row r="2612" spans="2:41" x14ac:dyDescent="0.25">
      <c r="B2612" s="21">
        <v>44892</v>
      </c>
      <c r="C2612" s="27">
        <v>19.369199999999999</v>
      </c>
      <c r="E2612" s="27">
        <v>0.96202200000000004</v>
      </c>
      <c r="G2612" s="27">
        <v>165.62094999999999</v>
      </c>
      <c r="I2612" s="27">
        <v>6.9060639999999998</v>
      </c>
      <c r="K2612" s="27">
        <v>5.4102930000000002</v>
      </c>
      <c r="M2612" s="27">
        <v>922.23011899999995</v>
      </c>
      <c r="O2612" s="27">
        <v>4866.9425220000003</v>
      </c>
      <c r="Q2612" s="27">
        <v>7197.8815519999998</v>
      </c>
      <c r="S2612" s="27">
        <v>1330.4117220000001</v>
      </c>
      <c r="U2612" s="27">
        <v>3.862708</v>
      </c>
      <c r="W2612" s="27">
        <v>39.249491999999996</v>
      </c>
      <c r="Y2612" s="27">
        <v>7.2546249999999999</v>
      </c>
      <c r="AA2612" s="27">
        <v>606.77534400000002</v>
      </c>
      <c r="AC2612" s="27">
        <v>54.512574000000001</v>
      </c>
      <c r="AE2612" s="27">
        <v>1</v>
      </c>
      <c r="AG2612" s="27">
        <v>7.8027680000000004</v>
      </c>
      <c r="AI2612" s="27">
        <v>8.75</v>
      </c>
      <c r="AK2612" s="27">
        <v>24.792055999999999</v>
      </c>
      <c r="AM2612" s="27">
        <v>35.998370000000001</v>
      </c>
      <c r="AO2612" s="27">
        <v>6.7856110000000003</v>
      </c>
    </row>
    <row r="2613" spans="2:41" x14ac:dyDescent="0.25">
      <c r="B2613" s="21">
        <v>44893</v>
      </c>
      <c r="C2613" s="27">
        <v>19.339300000000001</v>
      </c>
      <c r="E2613" s="27">
        <v>0.96258600000000005</v>
      </c>
      <c r="G2613" s="27">
        <v>166.08532</v>
      </c>
      <c r="I2613" s="27">
        <v>6.9260200000000003</v>
      </c>
      <c r="K2613" s="27">
        <v>5.3911100000000003</v>
      </c>
      <c r="M2613" s="27">
        <v>918.54509599999994</v>
      </c>
      <c r="O2613" s="27">
        <v>4854.525232</v>
      </c>
      <c r="Q2613" s="27">
        <v>7232.5364579999996</v>
      </c>
      <c r="S2613" s="27">
        <v>1341.5752600000001</v>
      </c>
      <c r="U2613" s="27">
        <v>3.8651140000000002</v>
      </c>
      <c r="W2613" s="27">
        <v>39.343539999999997</v>
      </c>
      <c r="Y2613" s="27">
        <v>7.2978860000000001</v>
      </c>
      <c r="AA2613" s="27">
        <v>607.83411599999999</v>
      </c>
      <c r="AC2613" s="27">
        <v>54.672942999999997</v>
      </c>
      <c r="AE2613" s="27">
        <v>1</v>
      </c>
      <c r="AG2613" s="27">
        <v>7.8342400000000003</v>
      </c>
      <c r="AI2613" s="27">
        <v>8.75</v>
      </c>
      <c r="AK2613" s="27">
        <v>24.786583</v>
      </c>
      <c r="AM2613" s="27">
        <v>36.069650000000003</v>
      </c>
      <c r="AO2613" s="27">
        <v>6.8039759999999996</v>
      </c>
    </row>
    <row r="2614" spans="2:41" x14ac:dyDescent="0.25">
      <c r="B2614" s="21">
        <v>44894</v>
      </c>
      <c r="C2614" s="27">
        <v>19.324999999999999</v>
      </c>
      <c r="E2614" s="27">
        <v>0.96569199999999999</v>
      </c>
      <c r="G2614" s="27">
        <v>166.76474400000001</v>
      </c>
      <c r="I2614" s="27">
        <v>6.9354699999999996</v>
      </c>
      <c r="K2614" s="27">
        <v>5.3288339999999996</v>
      </c>
      <c r="M2614" s="27">
        <v>907.82889999999998</v>
      </c>
      <c r="O2614" s="27">
        <v>4825.0551459999997</v>
      </c>
      <c r="Q2614" s="27">
        <v>7252.3989270000002</v>
      </c>
      <c r="S2614" s="27">
        <v>1360.9810890000001</v>
      </c>
      <c r="U2614" s="27">
        <v>3.8707590000000001</v>
      </c>
      <c r="W2614" s="27">
        <v>39.472503000000003</v>
      </c>
      <c r="Y2614" s="27">
        <v>7.4073719999999996</v>
      </c>
      <c r="AA2614" s="27">
        <v>606.65134899999998</v>
      </c>
      <c r="AC2614" s="27">
        <v>54.941322999999997</v>
      </c>
      <c r="AE2614" s="27">
        <v>1</v>
      </c>
      <c r="AG2614" s="27">
        <v>7.8485610000000001</v>
      </c>
      <c r="AI2614" s="27">
        <v>8.75</v>
      </c>
      <c r="AK2614" s="27">
        <v>24.882961999999999</v>
      </c>
      <c r="AM2614" s="27">
        <v>36.124403999999998</v>
      </c>
      <c r="AO2614" s="27">
        <v>6.807798</v>
      </c>
    </row>
    <row r="2615" spans="2:41" x14ac:dyDescent="0.25">
      <c r="B2615" s="21">
        <v>44895</v>
      </c>
      <c r="C2615" s="27">
        <v>19.216000000000001</v>
      </c>
      <c r="E2615" s="27">
        <v>0.96505099999999999</v>
      </c>
      <c r="G2615" s="27">
        <v>167.107316</v>
      </c>
      <c r="I2615" s="27">
        <v>6.929252</v>
      </c>
      <c r="K2615" s="27">
        <v>5.2533560000000001</v>
      </c>
      <c r="M2615" s="27">
        <v>896.51750200000004</v>
      </c>
      <c r="O2615" s="27">
        <v>4815.832598</v>
      </c>
      <c r="Q2615" s="27">
        <v>7229.7814689999996</v>
      </c>
      <c r="S2615" s="27">
        <v>1376.2300660000001</v>
      </c>
      <c r="U2615" s="27">
        <v>3.8592789999999999</v>
      </c>
      <c r="W2615" s="27">
        <v>39.46734</v>
      </c>
      <c r="Y2615" s="27">
        <v>7.5128139999999997</v>
      </c>
      <c r="AA2615" s="27">
        <v>603.80726200000004</v>
      </c>
      <c r="AC2615" s="27">
        <v>54.861725999999997</v>
      </c>
      <c r="AE2615" s="27">
        <v>1</v>
      </c>
      <c r="AG2615" s="27">
        <v>7.8349869999999999</v>
      </c>
      <c r="AI2615" s="27">
        <v>8.75</v>
      </c>
      <c r="AK2615" s="27">
        <v>24.756789000000001</v>
      </c>
      <c r="AM2615" s="27">
        <v>36.247093999999997</v>
      </c>
      <c r="AO2615" s="27">
        <v>6.7912590000000002</v>
      </c>
    </row>
    <row r="2616" spans="2:41" ht="13" x14ac:dyDescent="0.3">
      <c r="B2616" s="25" t="s">
        <v>211</v>
      </c>
      <c r="C2616" s="19">
        <v>19.4771</v>
      </c>
      <c r="E2616" s="19">
        <v>0.97929999999999995</v>
      </c>
      <c r="G2616" s="19">
        <v>161.91839999999999</v>
      </c>
      <c r="I2616" s="19">
        <v>6.9025999999999996</v>
      </c>
      <c r="K2616" s="19">
        <v>5.2808999999999999</v>
      </c>
      <c r="M2616" s="19">
        <v>918.11479999999995</v>
      </c>
      <c r="O2616" s="19">
        <v>4928.8810999999996</v>
      </c>
      <c r="Q2616" s="19">
        <v>7178.7641000000003</v>
      </c>
      <c r="S2616" s="19">
        <v>1360.1992</v>
      </c>
      <c r="U2616" s="19">
        <v>3.8774000000000002</v>
      </c>
      <c r="W2616" s="19">
        <v>39.9101</v>
      </c>
      <c r="Y2616" s="19">
        <v>7.5621999999999998</v>
      </c>
      <c r="AA2616" s="19">
        <v>611.39049999999997</v>
      </c>
      <c r="AC2616" s="19">
        <v>54.279400000000003</v>
      </c>
      <c r="AE2616" s="19">
        <v>1</v>
      </c>
      <c r="AG2616" s="19">
        <v>7.8055000000000003</v>
      </c>
      <c r="AI2616" s="19">
        <v>8.75</v>
      </c>
      <c r="AK2616" s="19">
        <v>24.722999999999999</v>
      </c>
      <c r="AM2616" s="19">
        <v>35.9497</v>
      </c>
      <c r="AO2616" s="19">
        <v>6.7797000000000001</v>
      </c>
    </row>
    <row r="2617" spans="2:41" x14ac:dyDescent="0.25">
      <c r="B2617" s="21">
        <v>44896</v>
      </c>
      <c r="C2617" s="27">
        <v>19.3965</v>
      </c>
      <c r="E2617" s="27">
        <v>0.95522600000000002</v>
      </c>
      <c r="G2617" s="27">
        <v>167.474558</v>
      </c>
      <c r="I2617" s="27">
        <v>6.9100700000000002</v>
      </c>
      <c r="K2617" s="27">
        <v>5.1885300000000001</v>
      </c>
      <c r="M2617" s="27">
        <v>886.59582</v>
      </c>
      <c r="O2617" s="27">
        <v>4812.0285020000001</v>
      </c>
      <c r="Q2617" s="27">
        <v>7206.1994299999997</v>
      </c>
      <c r="S2617" s="27">
        <v>1388.8800140000001</v>
      </c>
      <c r="U2617" s="27">
        <v>3.8238699999999999</v>
      </c>
      <c r="W2617" s="27">
        <v>39.383412</v>
      </c>
      <c r="Y2617" s="27">
        <v>7.5905079999999998</v>
      </c>
      <c r="AA2617" s="27">
        <v>601.90418599999998</v>
      </c>
      <c r="AC2617" s="27">
        <v>54.611986000000002</v>
      </c>
      <c r="AE2617" s="27">
        <v>1</v>
      </c>
      <c r="AG2617" s="27">
        <v>7.8205400000000003</v>
      </c>
      <c r="AI2617" s="27">
        <v>8.75</v>
      </c>
      <c r="AK2617" s="27">
        <v>24.672384000000001</v>
      </c>
      <c r="AM2617" s="27">
        <v>36.368253000000003</v>
      </c>
      <c r="AO2617" s="27">
        <v>6.7713989999999997</v>
      </c>
    </row>
    <row r="2618" spans="2:41" x14ac:dyDescent="0.25">
      <c r="B2618" s="21">
        <v>44897</v>
      </c>
      <c r="C2618" s="27">
        <v>19.1433</v>
      </c>
      <c r="E2618" s="27">
        <v>0.95059800000000005</v>
      </c>
      <c r="G2618" s="27">
        <v>167.84990999999999</v>
      </c>
      <c r="I2618" s="27">
        <v>6.9035589999999996</v>
      </c>
      <c r="K2618" s="27">
        <v>5.1971100000000003</v>
      </c>
      <c r="M2618" s="27">
        <v>881.171065</v>
      </c>
      <c r="O2618" s="27">
        <v>4778.0030159999997</v>
      </c>
      <c r="Q2618" s="27">
        <v>7203.8626729999996</v>
      </c>
      <c r="S2618" s="27">
        <v>1386.13715</v>
      </c>
      <c r="U2618" s="27">
        <v>3.817526</v>
      </c>
      <c r="W2618" s="27">
        <v>39.293531999999999</v>
      </c>
      <c r="Y2618" s="27">
        <v>7.5606819999999999</v>
      </c>
      <c r="AA2618" s="27">
        <v>602.14019900000005</v>
      </c>
      <c r="AC2618" s="27">
        <v>54.607084999999998</v>
      </c>
      <c r="AE2618" s="27">
        <v>1</v>
      </c>
      <c r="AG2618" s="27">
        <v>7.8282740000000004</v>
      </c>
      <c r="AI2618" s="27">
        <v>8.75</v>
      </c>
      <c r="AK2618" s="27">
        <v>24.624963999999999</v>
      </c>
      <c r="AM2618" s="27">
        <v>36.368614000000001</v>
      </c>
      <c r="AO2618" s="27">
        <v>6.7701349999999998</v>
      </c>
    </row>
    <row r="2619" spans="2:41" x14ac:dyDescent="0.25">
      <c r="B2619" s="21">
        <v>44898</v>
      </c>
      <c r="C2619" s="27">
        <v>19.1433</v>
      </c>
      <c r="E2619" s="27">
        <v>0.94871799999999995</v>
      </c>
      <c r="G2619" s="27">
        <v>168.06993</v>
      </c>
      <c r="I2619" s="27">
        <v>6.9152529999999999</v>
      </c>
      <c r="K2619" s="27">
        <v>5.219398</v>
      </c>
      <c r="M2619" s="27">
        <v>883.49749999999995</v>
      </c>
      <c r="O2619" s="27">
        <v>4768.3074999999999</v>
      </c>
      <c r="Q2619" s="27">
        <v>7215.8386920000003</v>
      </c>
      <c r="S2619" s="27">
        <v>1382.5132390000001</v>
      </c>
      <c r="U2619" s="27">
        <v>3.8292480000000002</v>
      </c>
      <c r="W2619" s="27">
        <v>39.257900999999997</v>
      </c>
      <c r="Y2619" s="27">
        <v>7.5215779999999999</v>
      </c>
      <c r="AA2619" s="27">
        <v>603.34101599999997</v>
      </c>
      <c r="AC2619" s="27">
        <v>54.657499999999999</v>
      </c>
      <c r="AE2619" s="27">
        <v>1</v>
      </c>
      <c r="AG2619" s="27">
        <v>7.8465439999999997</v>
      </c>
      <c r="AI2619" s="27">
        <v>8.75</v>
      </c>
      <c r="AK2619" s="27">
        <v>24.712250000000001</v>
      </c>
      <c r="AM2619" s="27">
        <v>36.449750000000002</v>
      </c>
      <c r="AO2619" s="27">
        <v>6.7815729999999999</v>
      </c>
    </row>
    <row r="2620" spans="2:41" x14ac:dyDescent="0.25">
      <c r="B2620" s="21">
        <v>44899</v>
      </c>
      <c r="C2620" s="27">
        <v>19.1433</v>
      </c>
      <c r="E2620" s="27">
        <v>0.94873399999999997</v>
      </c>
      <c r="G2620" s="27">
        <v>168.05111400000001</v>
      </c>
      <c r="I2620" s="27">
        <v>6.9151699999999998</v>
      </c>
      <c r="K2620" s="27">
        <v>5.219398</v>
      </c>
      <c r="M2620" s="27">
        <v>883.49748499999998</v>
      </c>
      <c r="O2620" s="27">
        <v>4768.3074999999999</v>
      </c>
      <c r="Q2620" s="27">
        <v>7215.7751630000002</v>
      </c>
      <c r="S2620" s="27">
        <v>1382.501068</v>
      </c>
      <c r="U2620" s="27">
        <v>3.8291059999999999</v>
      </c>
      <c r="W2620" s="27">
        <v>39.264373999999997</v>
      </c>
      <c r="Y2620" s="27">
        <v>7.522818</v>
      </c>
      <c r="AA2620" s="27">
        <v>603.18519000000003</v>
      </c>
      <c r="AC2620" s="27">
        <v>54.6601</v>
      </c>
      <c r="AE2620" s="27">
        <v>1</v>
      </c>
      <c r="AG2620" s="27">
        <v>7.8464070000000001</v>
      </c>
      <c r="AI2620" s="27">
        <v>8.75</v>
      </c>
      <c r="AK2620" s="27">
        <v>24.712692000000001</v>
      </c>
      <c r="AM2620" s="27">
        <v>36.450664000000003</v>
      </c>
      <c r="AO2620" s="27">
        <v>6.7814759999999996</v>
      </c>
    </row>
    <row r="2621" spans="2:41" x14ac:dyDescent="0.25">
      <c r="B2621" s="21">
        <v>44900</v>
      </c>
      <c r="C2621" s="27">
        <v>19.342199999999998</v>
      </c>
      <c r="E2621" s="27">
        <v>0.94882599999999995</v>
      </c>
      <c r="G2621" s="27">
        <v>168.45141100000001</v>
      </c>
      <c r="I2621" s="27">
        <v>6.9035919999999997</v>
      </c>
      <c r="K2621" s="27">
        <v>5.241371</v>
      </c>
      <c r="M2621" s="27">
        <v>887.47301200000004</v>
      </c>
      <c r="O2621" s="27">
        <v>4791.0844189999998</v>
      </c>
      <c r="Q2621" s="27">
        <v>7199.4365360000002</v>
      </c>
      <c r="S2621" s="27">
        <v>1373.5866880000001</v>
      </c>
      <c r="U2621" s="27">
        <v>3.8247659999999999</v>
      </c>
      <c r="W2621" s="27">
        <v>39.205039999999997</v>
      </c>
      <c r="Y2621" s="27">
        <v>7.4799499999999997</v>
      </c>
      <c r="AA2621" s="27">
        <v>598.72113899999999</v>
      </c>
      <c r="AC2621" s="27">
        <v>54.677180999999997</v>
      </c>
      <c r="AE2621" s="27">
        <v>1</v>
      </c>
      <c r="AG2621" s="27">
        <v>7.8398890000000003</v>
      </c>
      <c r="AI2621" s="27">
        <v>8.75</v>
      </c>
      <c r="AK2621" s="27">
        <v>24.675408000000001</v>
      </c>
      <c r="AM2621" s="27">
        <v>36.464382000000001</v>
      </c>
      <c r="AO2621" s="27">
        <v>6.7748499999999998</v>
      </c>
    </row>
    <row r="2622" spans="2:41" x14ac:dyDescent="0.25">
      <c r="B2622" s="21">
        <v>44901</v>
      </c>
      <c r="C2622" s="27">
        <v>19.756699999999999</v>
      </c>
      <c r="E2622" s="27">
        <v>0.95306400000000002</v>
      </c>
      <c r="G2622" s="27">
        <v>169.31132299999999</v>
      </c>
      <c r="I2622" s="27">
        <v>6.9161440000000001</v>
      </c>
      <c r="K2622" s="27">
        <v>5.2633919999999996</v>
      </c>
      <c r="M2622" s="27">
        <v>888.80243299999995</v>
      </c>
      <c r="O2622" s="27">
        <v>4827.6898700000002</v>
      </c>
      <c r="Q2622" s="27">
        <v>7209.2244190000001</v>
      </c>
      <c r="S2622" s="27">
        <v>1369.6998229999999</v>
      </c>
      <c r="U2622" s="27">
        <v>3.8448159999999998</v>
      </c>
      <c r="W2622" s="27">
        <v>39.253554999999999</v>
      </c>
      <c r="Y2622" s="27">
        <v>7.4578699999999998</v>
      </c>
      <c r="AA2622" s="27">
        <v>600.96789000000001</v>
      </c>
      <c r="AC2622" s="27">
        <v>54.827427999999998</v>
      </c>
      <c r="AE2622" s="27">
        <v>1</v>
      </c>
      <c r="AG2622" s="27">
        <v>7.8638430000000001</v>
      </c>
      <c r="AI2622" s="27">
        <v>8.75</v>
      </c>
      <c r="AK2622" s="27">
        <v>24.757216</v>
      </c>
      <c r="AM2622" s="27">
        <v>36.536031999999999</v>
      </c>
      <c r="AO2622" s="27">
        <v>6.79129</v>
      </c>
    </row>
    <row r="2623" spans="2:41" x14ac:dyDescent="0.25">
      <c r="B2623" s="21">
        <v>44902</v>
      </c>
      <c r="C2623" s="27">
        <v>19.803000000000001</v>
      </c>
      <c r="E2623" s="27">
        <v>0.95319399999999999</v>
      </c>
      <c r="G2623" s="27">
        <v>169.66048900000001</v>
      </c>
      <c r="I2623" s="27">
        <v>6.9182959999999998</v>
      </c>
      <c r="K2623" s="27">
        <v>5.2257800000000003</v>
      </c>
      <c r="M2623" s="27">
        <v>875.40942399999994</v>
      </c>
      <c r="O2623" s="27">
        <v>4828.9935370000003</v>
      </c>
      <c r="Q2623" s="27">
        <v>7201.849072</v>
      </c>
      <c r="S2623" s="27">
        <v>1378.1473800000001</v>
      </c>
      <c r="U2623" s="27">
        <v>3.844287</v>
      </c>
      <c r="W2623" s="27">
        <v>39.301442999999999</v>
      </c>
      <c r="Y2623" s="27">
        <v>7.5207160000000002</v>
      </c>
      <c r="AA2623" s="27">
        <v>601.42554800000005</v>
      </c>
      <c r="AC2623" s="27">
        <v>54.916550000000001</v>
      </c>
      <c r="AE2623" s="27">
        <v>1</v>
      </c>
      <c r="AG2623" s="27">
        <v>7.8780109999999999</v>
      </c>
      <c r="AI2623" s="27">
        <v>8.75</v>
      </c>
      <c r="AK2623" s="27">
        <v>24.737632000000001</v>
      </c>
      <c r="AM2623" s="27">
        <v>36.500680000000003</v>
      </c>
      <c r="AO2623" s="27">
        <v>6.7903960000000003</v>
      </c>
    </row>
    <row r="2624" spans="2:41" x14ac:dyDescent="0.25">
      <c r="B2624" s="21">
        <v>44903</v>
      </c>
      <c r="C2624" s="27">
        <v>19.697700000000001</v>
      </c>
      <c r="E2624" s="27">
        <v>0.95009399999999999</v>
      </c>
      <c r="G2624" s="27">
        <v>169.823758</v>
      </c>
      <c r="I2624" s="27">
        <v>6.9072040000000001</v>
      </c>
      <c r="K2624" s="27">
        <v>5.2107260000000002</v>
      </c>
      <c r="M2624" s="27">
        <v>865.66048599999999</v>
      </c>
      <c r="O2624" s="27">
        <v>4822.8352699999996</v>
      </c>
      <c r="Q2624" s="27">
        <v>7165.2531330000002</v>
      </c>
      <c r="S2624" s="27">
        <v>1375.106149</v>
      </c>
      <c r="U2624" s="27">
        <v>3.8575439999999999</v>
      </c>
      <c r="W2624" s="27">
        <v>39.221877999999997</v>
      </c>
      <c r="Y2624" s="27">
        <v>7.5271759999999999</v>
      </c>
      <c r="AA2624" s="27">
        <v>598.28484200000003</v>
      </c>
      <c r="AC2624" s="27">
        <v>54.849724000000002</v>
      </c>
      <c r="AE2624" s="27">
        <v>1</v>
      </c>
      <c r="AG2624" s="27">
        <v>7.8848940000000001</v>
      </c>
      <c r="AI2624" s="27">
        <v>8.75</v>
      </c>
      <c r="AK2624" s="27">
        <v>24.664000000000001</v>
      </c>
      <c r="AM2624" s="27">
        <v>36.459525999999997</v>
      </c>
      <c r="AO2624" s="27">
        <v>6.7842159999999998</v>
      </c>
    </row>
    <row r="2625" spans="2:41" x14ac:dyDescent="0.25">
      <c r="B2625" s="21">
        <v>44904</v>
      </c>
      <c r="C2625" s="27">
        <v>19.673200000000001</v>
      </c>
      <c r="E2625" s="27">
        <v>0.94739300000000004</v>
      </c>
      <c r="G2625" s="27">
        <v>169.82781800000001</v>
      </c>
      <c r="I2625" s="27">
        <v>6.8999439999999996</v>
      </c>
      <c r="K2625" s="27">
        <v>5.2341749999999996</v>
      </c>
      <c r="M2625" s="27">
        <v>862.53708700000004</v>
      </c>
      <c r="O2625" s="27">
        <v>4818.2114039999997</v>
      </c>
      <c r="Q2625" s="27">
        <v>7138.3737179999998</v>
      </c>
      <c r="S2625" s="27">
        <v>1363.8096969999999</v>
      </c>
      <c r="U2625" s="27">
        <v>3.8533140000000001</v>
      </c>
      <c r="W2625" s="27">
        <v>39.020434000000002</v>
      </c>
      <c r="Y2625" s="27">
        <v>7.4549659999999998</v>
      </c>
      <c r="AA2625" s="27">
        <v>592.18244600000003</v>
      </c>
      <c r="AC2625" s="27">
        <v>54.841909000000001</v>
      </c>
      <c r="AE2625" s="27">
        <v>1</v>
      </c>
      <c r="AG2625" s="27">
        <v>7.8802060000000003</v>
      </c>
      <c r="AI2625" s="27">
        <v>8.75</v>
      </c>
      <c r="AK2625" s="27">
        <v>24.604863000000002</v>
      </c>
      <c r="AM2625" s="27">
        <v>36.364710000000002</v>
      </c>
      <c r="AO2625" s="27">
        <v>6.7766950000000001</v>
      </c>
    </row>
    <row r="2626" spans="2:41" x14ac:dyDescent="0.25">
      <c r="B2626" s="21">
        <v>44905</v>
      </c>
      <c r="C2626" s="27">
        <v>19.673200000000001</v>
      </c>
      <c r="E2626" s="27">
        <v>0.94934799999999997</v>
      </c>
      <c r="G2626" s="27">
        <v>169.86060000000001</v>
      </c>
      <c r="I2626" s="27">
        <v>6.9089080000000003</v>
      </c>
      <c r="K2626" s="27">
        <v>5.2405999999999997</v>
      </c>
      <c r="M2626" s="27">
        <v>862.24749999999995</v>
      </c>
      <c r="O2626" s="27">
        <v>4807.7574999999997</v>
      </c>
      <c r="Q2626" s="27">
        <v>7147.946962</v>
      </c>
      <c r="S2626" s="27">
        <v>1363.9626960000001</v>
      </c>
      <c r="U2626" s="27">
        <v>3.8437480000000002</v>
      </c>
      <c r="W2626" s="27">
        <v>39.061892</v>
      </c>
      <c r="Y2626" s="27">
        <v>7.4537360000000001</v>
      </c>
      <c r="AA2626" s="27">
        <v>590.01815199999999</v>
      </c>
      <c r="AC2626" s="27">
        <v>55.072499999999998</v>
      </c>
      <c r="AE2626" s="27">
        <v>1</v>
      </c>
      <c r="AG2626" s="27">
        <v>7.9007430000000003</v>
      </c>
      <c r="AI2626" s="27">
        <v>8.75</v>
      </c>
      <c r="AK2626" s="27">
        <v>24.666250000000002</v>
      </c>
      <c r="AM2626" s="27">
        <v>36.399749999999997</v>
      </c>
      <c r="AO2626" s="27">
        <v>6.7848170000000003</v>
      </c>
    </row>
    <row r="2627" spans="2:41" x14ac:dyDescent="0.25">
      <c r="B2627" s="21">
        <v>44906</v>
      </c>
      <c r="C2627" s="27">
        <v>19.673200000000001</v>
      </c>
      <c r="E2627" s="27">
        <v>0.94937800000000006</v>
      </c>
      <c r="G2627" s="27">
        <v>169.87588400000001</v>
      </c>
      <c r="I2627" s="27">
        <v>6.909014</v>
      </c>
      <c r="K2627" s="27">
        <v>5.2405379999999999</v>
      </c>
      <c r="M2627" s="27">
        <v>862.10180800000001</v>
      </c>
      <c r="O2627" s="27">
        <v>4808.1744879999997</v>
      </c>
      <c r="Q2627" s="27">
        <v>7147.9526269999997</v>
      </c>
      <c r="S2627" s="27">
        <v>1363.9801729999999</v>
      </c>
      <c r="U2627" s="27">
        <v>3.8442820000000002</v>
      </c>
      <c r="W2627" s="27">
        <v>39.064405999999998</v>
      </c>
      <c r="Y2627" s="27">
        <v>7.4543049999999997</v>
      </c>
      <c r="AA2627" s="27">
        <v>589.87516000000005</v>
      </c>
      <c r="AC2627" s="27">
        <v>55.072515000000003</v>
      </c>
      <c r="AE2627" s="27">
        <v>1</v>
      </c>
      <c r="AG2627" s="27">
        <v>7.9011760000000004</v>
      </c>
      <c r="AI2627" s="27">
        <v>8.75</v>
      </c>
      <c r="AK2627" s="27">
        <v>24.667559000000001</v>
      </c>
      <c r="AM2627" s="27">
        <v>36.402982000000002</v>
      </c>
      <c r="AO2627" s="27">
        <v>6.7849279999999998</v>
      </c>
    </row>
    <row r="2628" spans="2:41" x14ac:dyDescent="0.25">
      <c r="B2628" s="21">
        <v>44907</v>
      </c>
      <c r="C2628" s="27">
        <v>19.673200000000001</v>
      </c>
      <c r="E2628" s="27">
        <v>0.94922799999999996</v>
      </c>
      <c r="G2628" s="27">
        <v>170.43749600000001</v>
      </c>
      <c r="I2628" s="27">
        <v>6.9127359999999998</v>
      </c>
      <c r="K2628" s="27">
        <v>5.2693320000000003</v>
      </c>
      <c r="M2628" s="27">
        <v>862.78440899999998</v>
      </c>
      <c r="O2628" s="27">
        <v>4823.8309790000003</v>
      </c>
      <c r="Q2628" s="27">
        <v>7152.6657859999996</v>
      </c>
      <c r="S2628" s="27">
        <v>1357.4234550000001</v>
      </c>
      <c r="U2628" s="27">
        <v>3.8552559999999998</v>
      </c>
      <c r="W2628" s="27">
        <v>39.034635999999999</v>
      </c>
      <c r="Y2628" s="27">
        <v>7.4079269999999999</v>
      </c>
      <c r="AA2628" s="27">
        <v>587.22546599999998</v>
      </c>
      <c r="AC2628" s="27">
        <v>55.132756000000001</v>
      </c>
      <c r="AE2628" s="27">
        <v>1</v>
      </c>
      <c r="AG2628" s="27">
        <v>7.9062390000000002</v>
      </c>
      <c r="AI2628" s="27">
        <v>8.75</v>
      </c>
      <c r="AK2628" s="27">
        <v>24.708269999999999</v>
      </c>
      <c r="AM2628" s="27">
        <v>36.493648999999998</v>
      </c>
      <c r="AO2628" s="27">
        <v>6.7879870000000002</v>
      </c>
    </row>
    <row r="2629" spans="2:41" x14ac:dyDescent="0.25">
      <c r="B2629" s="21">
        <v>44908</v>
      </c>
      <c r="C2629" s="27">
        <v>19.819199999999999</v>
      </c>
      <c r="E2629" s="27">
        <v>0.94494699999999998</v>
      </c>
      <c r="G2629" s="27">
        <v>171.509862</v>
      </c>
      <c r="I2629" s="27">
        <v>6.9203229999999998</v>
      </c>
      <c r="K2629" s="27">
        <v>5.3052770000000002</v>
      </c>
      <c r="M2629" s="27">
        <v>862.20734500000003</v>
      </c>
      <c r="O2629" s="27">
        <v>4814.1668339999997</v>
      </c>
      <c r="Q2629" s="27">
        <v>7130.9603479999996</v>
      </c>
      <c r="S2629" s="27">
        <v>1344.133906</v>
      </c>
      <c r="U2629" s="27">
        <v>3.8455349999999999</v>
      </c>
      <c r="W2629" s="27">
        <v>38.978476999999998</v>
      </c>
      <c r="Y2629" s="27">
        <v>7.3471419999999998</v>
      </c>
      <c r="AA2629" s="27">
        <v>584.80924400000004</v>
      </c>
      <c r="AC2629" s="27">
        <v>55.180402999999998</v>
      </c>
      <c r="AE2629" s="27">
        <v>1</v>
      </c>
      <c r="AG2629" s="27">
        <v>7.8974700000000002</v>
      </c>
      <c r="AI2629" s="27">
        <v>8.75</v>
      </c>
      <c r="AK2629" s="27">
        <v>24.706721999999999</v>
      </c>
      <c r="AM2629" s="27">
        <v>36.539828</v>
      </c>
      <c r="AO2629" s="27">
        <v>6.7888060000000001</v>
      </c>
    </row>
    <row r="2630" spans="2:41" x14ac:dyDescent="0.25">
      <c r="B2630" s="21">
        <v>44909</v>
      </c>
      <c r="C2630" s="27">
        <v>19.645800000000001</v>
      </c>
      <c r="E2630" s="27">
        <v>0.93906599999999996</v>
      </c>
      <c r="G2630" s="27">
        <v>171.92029700000001</v>
      </c>
      <c r="I2630" s="27">
        <v>6.9037379999999997</v>
      </c>
      <c r="K2630" s="27">
        <v>5.303382</v>
      </c>
      <c r="M2630" s="27">
        <v>862.12938699999995</v>
      </c>
      <c r="O2630" s="27">
        <v>4770.2923289999999</v>
      </c>
      <c r="Q2630" s="27">
        <v>7141.048495</v>
      </c>
      <c r="S2630" s="27">
        <v>1346.5164569999999</v>
      </c>
      <c r="U2630" s="27">
        <v>3.8153079999999999</v>
      </c>
      <c r="W2630" s="27">
        <v>38.675122000000002</v>
      </c>
      <c r="Y2630" s="27">
        <v>7.2925680000000002</v>
      </c>
      <c r="AA2630" s="27">
        <v>585.31959900000004</v>
      </c>
      <c r="AC2630" s="27">
        <v>54.921669999999999</v>
      </c>
      <c r="AE2630" s="27">
        <v>1</v>
      </c>
      <c r="AG2630" s="27">
        <v>7.869122</v>
      </c>
      <c r="AI2630" s="27">
        <v>8.75</v>
      </c>
      <c r="AK2630" s="27">
        <v>24.622608</v>
      </c>
      <c r="AM2630" s="27">
        <v>36.403570999999999</v>
      </c>
      <c r="AO2630" s="27">
        <v>6.7748220000000003</v>
      </c>
    </row>
    <row r="2631" spans="2:41" x14ac:dyDescent="0.25">
      <c r="B2631" s="21">
        <v>44910</v>
      </c>
      <c r="C2631" s="27">
        <v>19.695499999999999</v>
      </c>
      <c r="E2631" s="27">
        <v>0.93984100000000004</v>
      </c>
      <c r="G2631" s="27">
        <v>172.21845500000001</v>
      </c>
      <c r="I2631" s="27">
        <v>6.9087810000000003</v>
      </c>
      <c r="K2631" s="27">
        <v>5.2975339999999997</v>
      </c>
      <c r="M2631" s="27">
        <v>874.48324200000002</v>
      </c>
      <c r="O2631" s="27">
        <v>4785.3510740000002</v>
      </c>
      <c r="Q2631" s="27">
        <v>7157.1460470000002</v>
      </c>
      <c r="S2631" s="27">
        <v>1351.0411039999999</v>
      </c>
      <c r="U2631" s="27">
        <v>3.8190659999999998</v>
      </c>
      <c r="W2631" s="27">
        <v>38.735543999999997</v>
      </c>
      <c r="Y2631" s="27">
        <v>7.3120209999999997</v>
      </c>
      <c r="AA2631" s="27">
        <v>591.49647300000004</v>
      </c>
      <c r="AC2631" s="27">
        <v>55.091805999999998</v>
      </c>
      <c r="AE2631" s="27">
        <v>1</v>
      </c>
      <c r="AG2631" s="27">
        <v>7.8754869999999997</v>
      </c>
      <c r="AI2631" s="27">
        <v>8.75</v>
      </c>
      <c r="AK2631" s="27">
        <v>24.665578</v>
      </c>
      <c r="AM2631" s="27">
        <v>36.495376</v>
      </c>
      <c r="AO2631" s="27">
        <v>6.7868719999999998</v>
      </c>
    </row>
    <row r="2632" spans="2:41" x14ac:dyDescent="0.25">
      <c r="B2632" s="21">
        <v>44911</v>
      </c>
      <c r="C2632" s="27">
        <v>19.796299999999999</v>
      </c>
      <c r="E2632" s="27">
        <v>0.94118800000000002</v>
      </c>
      <c r="G2632" s="27">
        <v>172.456492</v>
      </c>
      <c r="I2632" s="27">
        <v>6.9065260000000004</v>
      </c>
      <c r="K2632" s="27">
        <v>5.304252</v>
      </c>
      <c r="M2632" s="27">
        <v>882.37947399999996</v>
      </c>
      <c r="O2632" s="27">
        <v>4794.7676520000005</v>
      </c>
      <c r="Q2632" s="27">
        <v>7178.5996189999996</v>
      </c>
      <c r="S2632" s="27">
        <v>1353.3746619999999</v>
      </c>
      <c r="U2632" s="27">
        <v>3.8234279999999998</v>
      </c>
      <c r="W2632" s="27">
        <v>38.681109999999997</v>
      </c>
      <c r="Y2632" s="27">
        <v>7.2925000000000004</v>
      </c>
      <c r="AA2632" s="27">
        <v>594.16057499999999</v>
      </c>
      <c r="AC2632" s="27">
        <v>55.196514000000001</v>
      </c>
      <c r="AE2632" s="27">
        <v>1</v>
      </c>
      <c r="AG2632" s="27">
        <v>7.8709879999999997</v>
      </c>
      <c r="AI2632" s="27">
        <v>8.75</v>
      </c>
      <c r="AK2632" s="27">
        <v>24.666356</v>
      </c>
      <c r="AM2632" s="27">
        <v>36.436684</v>
      </c>
      <c r="AO2632" s="27">
        <v>6.7846159999999998</v>
      </c>
    </row>
    <row r="2633" spans="2:41" x14ac:dyDescent="0.25">
      <c r="B2633" s="21">
        <v>44912</v>
      </c>
      <c r="C2633" s="27">
        <v>19.796299999999999</v>
      </c>
      <c r="E2633" s="27">
        <v>0.94475100000000001</v>
      </c>
      <c r="G2633" s="27">
        <v>172.69049999999999</v>
      </c>
      <c r="I2633" s="27">
        <v>6.9114519999999997</v>
      </c>
      <c r="K2633" s="27">
        <v>5.3144999999999998</v>
      </c>
      <c r="M2633" s="27">
        <v>886.5</v>
      </c>
      <c r="O2633" s="27">
        <v>4794.2174999999997</v>
      </c>
      <c r="Q2633" s="27">
        <v>7190.6641090000003</v>
      </c>
      <c r="S2633" s="27">
        <v>1353.034032</v>
      </c>
      <c r="U2633" s="27">
        <v>3.8299979999999998</v>
      </c>
      <c r="W2633" s="27">
        <v>38.731305999999996</v>
      </c>
      <c r="Y2633" s="27">
        <v>7.2878780000000001</v>
      </c>
      <c r="AA2633" s="27">
        <v>594.62004400000001</v>
      </c>
      <c r="AC2633" s="27">
        <v>55.292499999999997</v>
      </c>
      <c r="AE2633" s="27">
        <v>1</v>
      </c>
      <c r="AG2633" s="27">
        <v>7.8734479999999998</v>
      </c>
      <c r="AI2633" s="27">
        <v>8.75</v>
      </c>
      <c r="AK2633" s="27">
        <v>24.72475</v>
      </c>
      <c r="AM2633" s="27">
        <v>36.399749999999997</v>
      </c>
      <c r="AO2633" s="27">
        <v>6.7894079999999999</v>
      </c>
    </row>
    <row r="2634" spans="2:41" x14ac:dyDescent="0.25">
      <c r="B2634" s="21">
        <v>44913</v>
      </c>
      <c r="C2634" s="27">
        <v>19.796299999999999</v>
      </c>
      <c r="E2634" s="27">
        <v>0.94470500000000002</v>
      </c>
      <c r="G2634" s="27">
        <v>172.68093200000001</v>
      </c>
      <c r="I2634" s="27">
        <v>6.9118259999999996</v>
      </c>
      <c r="K2634" s="27">
        <v>5.3143580000000004</v>
      </c>
      <c r="M2634" s="27">
        <v>886.5</v>
      </c>
      <c r="O2634" s="27">
        <v>4794.5942180000002</v>
      </c>
      <c r="Q2634" s="27">
        <v>7190.6641090000003</v>
      </c>
      <c r="S2634" s="27">
        <v>1353.070459</v>
      </c>
      <c r="U2634" s="27">
        <v>3.8303579999999999</v>
      </c>
      <c r="W2634" s="27">
        <v>38.730448000000003</v>
      </c>
      <c r="Y2634" s="27">
        <v>7.2879120000000004</v>
      </c>
      <c r="AA2634" s="27">
        <v>594.65564300000005</v>
      </c>
      <c r="AC2634" s="27">
        <v>55.29721</v>
      </c>
      <c r="AE2634" s="27">
        <v>1</v>
      </c>
      <c r="AG2634" s="27">
        <v>7.8740160000000001</v>
      </c>
      <c r="AI2634" s="27">
        <v>8.75</v>
      </c>
      <c r="AK2634" s="27">
        <v>24.726192000000001</v>
      </c>
      <c r="AM2634" s="27">
        <v>36.405312000000002</v>
      </c>
      <c r="AO2634" s="27">
        <v>6.7897749999999997</v>
      </c>
    </row>
    <row r="2635" spans="2:41" x14ac:dyDescent="0.25">
      <c r="B2635" s="21">
        <v>44914</v>
      </c>
      <c r="C2635" s="27">
        <v>19.793199999999999</v>
      </c>
      <c r="E2635" s="27">
        <v>0.94230999999999998</v>
      </c>
      <c r="G2635" s="27">
        <v>173.113404</v>
      </c>
      <c r="I2635" s="27">
        <v>6.9194560000000003</v>
      </c>
      <c r="K2635" s="27">
        <v>5.3106600000000004</v>
      </c>
      <c r="M2635" s="27">
        <v>887.62586499999998</v>
      </c>
      <c r="O2635" s="27">
        <v>4785.8747119999998</v>
      </c>
      <c r="Q2635" s="27">
        <v>7219.8309959999997</v>
      </c>
      <c r="S2635" s="27">
        <v>1359.5061860000001</v>
      </c>
      <c r="U2635" s="27">
        <v>3.8384360000000002</v>
      </c>
      <c r="W2635" s="27">
        <v>38.77225</v>
      </c>
      <c r="Y2635" s="27">
        <v>7.3008699999999997</v>
      </c>
      <c r="AA2635" s="27">
        <v>592.95960200000002</v>
      </c>
      <c r="AC2635" s="27">
        <v>55.381363999999998</v>
      </c>
      <c r="AE2635" s="27">
        <v>1</v>
      </c>
      <c r="AG2635" s="27">
        <v>7.8808860000000003</v>
      </c>
      <c r="AI2635" s="27">
        <v>8.75</v>
      </c>
      <c r="AK2635" s="27">
        <v>24.730283</v>
      </c>
      <c r="AM2635" s="27">
        <v>36.534868000000003</v>
      </c>
      <c r="AO2635" s="27">
        <v>6.796932</v>
      </c>
    </row>
    <row r="2636" spans="2:41" x14ac:dyDescent="0.25">
      <c r="B2636" s="21">
        <v>44915</v>
      </c>
      <c r="C2636" s="27">
        <v>19.755700000000001</v>
      </c>
      <c r="E2636" s="27">
        <v>0.94186000000000003</v>
      </c>
      <c r="G2636" s="27">
        <v>173.75268</v>
      </c>
      <c r="I2636" s="27">
        <v>6.9142919999999997</v>
      </c>
      <c r="K2636" s="27">
        <v>5.2581959999999999</v>
      </c>
      <c r="M2636" s="27">
        <v>888.43513700000005</v>
      </c>
      <c r="O2636" s="27">
        <v>4772.6923720000004</v>
      </c>
      <c r="Q2636" s="27">
        <v>7226.3765080000003</v>
      </c>
      <c r="S2636" s="27">
        <v>1374.315278</v>
      </c>
      <c r="U2636" s="27">
        <v>3.8347129999999998</v>
      </c>
      <c r="W2636" s="27">
        <v>38.802306000000002</v>
      </c>
      <c r="Y2636" s="27">
        <v>7.3794259999999996</v>
      </c>
      <c r="AA2636" s="27">
        <v>589.93426399999998</v>
      </c>
      <c r="AC2636" s="27">
        <v>55.381959999999999</v>
      </c>
      <c r="AE2636" s="27">
        <v>1</v>
      </c>
      <c r="AG2636" s="27">
        <v>7.871232</v>
      </c>
      <c r="AI2636" s="27">
        <v>8.75</v>
      </c>
      <c r="AK2636" s="27">
        <v>24.689879000000001</v>
      </c>
      <c r="AM2636" s="27">
        <v>36.477908999999997</v>
      </c>
      <c r="AO2636" s="27">
        <v>6.7977689999999997</v>
      </c>
    </row>
    <row r="2637" spans="2:41" x14ac:dyDescent="0.25">
      <c r="B2637" s="21">
        <v>44916</v>
      </c>
      <c r="C2637" s="27">
        <v>19.748200000000001</v>
      </c>
      <c r="E2637" s="27">
        <v>0.94203199999999998</v>
      </c>
      <c r="G2637" s="27">
        <v>174.072326</v>
      </c>
      <c r="I2637" s="27">
        <v>6.9230910000000003</v>
      </c>
      <c r="K2637" s="27">
        <v>5.1987940000000004</v>
      </c>
      <c r="M2637" s="27">
        <v>880.55188199999998</v>
      </c>
      <c r="O2637" s="27">
        <v>4764.9731019999999</v>
      </c>
      <c r="Q2637" s="27">
        <v>7212.1743329999999</v>
      </c>
      <c r="S2637" s="27">
        <v>1387.2864669999999</v>
      </c>
      <c r="U2637" s="27">
        <v>3.8266629999999999</v>
      </c>
      <c r="W2637" s="27">
        <v>38.769317999999998</v>
      </c>
      <c r="Y2637" s="27">
        <v>7.4573939999999999</v>
      </c>
      <c r="AA2637" s="27">
        <v>588.889231</v>
      </c>
      <c r="AC2637" s="27">
        <v>55.462783000000002</v>
      </c>
      <c r="AE2637" s="27">
        <v>1</v>
      </c>
      <c r="AG2637" s="27">
        <v>7.8703250000000002</v>
      </c>
      <c r="AI2637" s="27">
        <v>8.75</v>
      </c>
      <c r="AK2637" s="27">
        <v>24.702119</v>
      </c>
      <c r="AM2637" s="27">
        <v>36.522396000000001</v>
      </c>
      <c r="AO2637" s="27">
        <v>6.8013680000000001</v>
      </c>
    </row>
    <row r="2638" spans="2:41" x14ac:dyDescent="0.25">
      <c r="B2638" s="21">
        <v>44917</v>
      </c>
      <c r="C2638" s="27">
        <v>19.693200000000001</v>
      </c>
      <c r="E2638" s="27">
        <v>0.94192200000000004</v>
      </c>
      <c r="G2638" s="27">
        <v>174.391008</v>
      </c>
      <c r="I2638" s="27">
        <v>6.9123460000000003</v>
      </c>
      <c r="K2638" s="27">
        <v>5.1905380000000001</v>
      </c>
      <c r="M2638" s="27">
        <v>870.42146700000001</v>
      </c>
      <c r="O2638" s="27">
        <v>4763.3250959999996</v>
      </c>
      <c r="Q2638" s="27">
        <v>7218.4998059999998</v>
      </c>
      <c r="S2638" s="27">
        <v>1390.7118399999999</v>
      </c>
      <c r="U2638" s="27">
        <v>3.8036439999999998</v>
      </c>
      <c r="W2638" s="27">
        <v>38.568703999999997</v>
      </c>
      <c r="Y2638" s="27">
        <v>7.4306099999999997</v>
      </c>
      <c r="AA2638" s="27">
        <v>583.92466200000001</v>
      </c>
      <c r="AC2638" s="27">
        <v>55.467176000000002</v>
      </c>
      <c r="AE2638" s="27">
        <v>1</v>
      </c>
      <c r="AG2638" s="27">
        <v>7.8559340000000004</v>
      </c>
      <c r="AI2638" s="27">
        <v>8.75</v>
      </c>
      <c r="AK2638" s="27">
        <v>24.64789</v>
      </c>
      <c r="AM2638" s="27">
        <v>36.455500999999998</v>
      </c>
      <c r="AO2638" s="27">
        <v>6.7846580000000003</v>
      </c>
    </row>
    <row r="2639" spans="2:41" x14ac:dyDescent="0.25">
      <c r="B2639" s="21">
        <v>44918</v>
      </c>
      <c r="C2639" s="27">
        <v>19.574000000000002</v>
      </c>
      <c r="E2639" s="27">
        <v>0.94231200000000004</v>
      </c>
      <c r="G2639" s="27">
        <v>174.67128</v>
      </c>
      <c r="I2639" s="27">
        <v>6.9139280000000003</v>
      </c>
      <c r="K2639" s="27">
        <v>5.1611900000000004</v>
      </c>
      <c r="M2639" s="27">
        <v>874.36075400000004</v>
      </c>
      <c r="O2639" s="27">
        <v>4750.2570900000001</v>
      </c>
      <c r="Q2639" s="27">
        <v>7278.84699</v>
      </c>
      <c r="S2639" s="27">
        <v>1410.3128859999999</v>
      </c>
      <c r="U2639" s="27">
        <v>3.8044690000000001</v>
      </c>
      <c r="W2639" s="27">
        <v>38.451993999999999</v>
      </c>
      <c r="Y2639" s="27">
        <v>7.4502519999999999</v>
      </c>
      <c r="AA2639" s="27">
        <v>583.66466400000002</v>
      </c>
      <c r="AC2639" s="27">
        <v>55.749665999999998</v>
      </c>
      <c r="AE2639" s="27">
        <v>1</v>
      </c>
      <c r="AG2639" s="27">
        <v>7.8628840000000002</v>
      </c>
      <c r="AI2639" s="27">
        <v>8.75</v>
      </c>
      <c r="AK2639" s="27">
        <v>24.688427999999998</v>
      </c>
      <c r="AM2639" s="27">
        <v>36.487099000000001</v>
      </c>
      <c r="AO2639" s="27">
        <v>6.7916109999999996</v>
      </c>
    </row>
    <row r="2640" spans="2:41" x14ac:dyDescent="0.25">
      <c r="B2640" s="21">
        <v>44919</v>
      </c>
      <c r="C2640" s="27">
        <v>19.574000000000002</v>
      </c>
      <c r="E2640" s="27">
        <v>0.94195200000000001</v>
      </c>
      <c r="G2640" s="27">
        <v>174.813896</v>
      </c>
      <c r="I2640" s="27">
        <v>6.9107200000000004</v>
      </c>
      <c r="K2640" s="27">
        <v>5.1655420000000003</v>
      </c>
      <c r="M2640" s="27">
        <v>878</v>
      </c>
      <c r="O2640" s="27">
        <v>4732.0225</v>
      </c>
      <c r="Q2640" s="27">
        <v>7301.4410749999997</v>
      </c>
      <c r="S2640" s="27">
        <v>1413.500094</v>
      </c>
      <c r="U2640" s="27">
        <v>3.803248</v>
      </c>
      <c r="W2640" s="27">
        <v>38.477542999999997</v>
      </c>
      <c r="Y2640" s="27">
        <v>7.4489320000000001</v>
      </c>
      <c r="AA2640" s="27">
        <v>582.41113299999995</v>
      </c>
      <c r="AC2640" s="27">
        <v>55.772500000000001</v>
      </c>
      <c r="AE2640" s="27">
        <v>1</v>
      </c>
      <c r="AG2640" s="27">
        <v>7.8590799999999996</v>
      </c>
      <c r="AI2640" s="27">
        <v>8.75</v>
      </c>
      <c r="AK2640" s="27">
        <v>24.681249999999999</v>
      </c>
      <c r="AM2640" s="27">
        <v>36.414749999999998</v>
      </c>
      <c r="AO2640" s="27">
        <v>6.7883659999999999</v>
      </c>
    </row>
    <row r="2641" spans="2:41" x14ac:dyDescent="0.25">
      <c r="B2641" s="21">
        <v>44920</v>
      </c>
      <c r="C2641" s="27">
        <v>19.574000000000002</v>
      </c>
      <c r="E2641" s="27">
        <v>0.94195200000000001</v>
      </c>
      <c r="G2641" s="27">
        <v>174.81573599999999</v>
      </c>
      <c r="I2641" s="27">
        <v>6.91073</v>
      </c>
      <c r="K2641" s="27">
        <v>5.1655439999999997</v>
      </c>
      <c r="M2641" s="27">
        <v>877.99988199999996</v>
      </c>
      <c r="O2641" s="27">
        <v>4732.022336</v>
      </c>
      <c r="Q2641" s="27">
        <v>7301.4102240000002</v>
      </c>
      <c r="S2641" s="27">
        <v>1413.493602</v>
      </c>
      <c r="U2641" s="27">
        <v>3.8032460000000001</v>
      </c>
      <c r="W2641" s="27">
        <v>38.472951999999999</v>
      </c>
      <c r="Y2641" s="27">
        <v>7.4480409999999999</v>
      </c>
      <c r="AA2641" s="27">
        <v>582.41430600000001</v>
      </c>
      <c r="AC2641" s="27">
        <v>55.772633999999996</v>
      </c>
      <c r="AE2641" s="27">
        <v>1</v>
      </c>
      <c r="AG2641" s="27">
        <v>7.8591040000000003</v>
      </c>
      <c r="AI2641" s="27">
        <v>8.75</v>
      </c>
      <c r="AK2641" s="27">
        <v>24.681258</v>
      </c>
      <c r="AM2641" s="27">
        <v>36.415253999999997</v>
      </c>
      <c r="AO2641" s="27">
        <v>6.7883760000000004</v>
      </c>
    </row>
    <row r="2642" spans="2:41" x14ac:dyDescent="0.25">
      <c r="B2642" s="21">
        <v>44921</v>
      </c>
      <c r="C2642" s="27">
        <v>19.428699999999999</v>
      </c>
      <c r="E2642" s="27">
        <v>0.94179599999999997</v>
      </c>
      <c r="G2642" s="27">
        <v>174.32563200000001</v>
      </c>
      <c r="I2642" s="27">
        <v>6.9094329999999999</v>
      </c>
      <c r="K2642" s="27">
        <v>5.1847709999999996</v>
      </c>
      <c r="M2642" s="27">
        <v>878.30980899999997</v>
      </c>
      <c r="O2642" s="27">
        <v>4741.011082</v>
      </c>
      <c r="Q2642" s="27">
        <v>7300.7660260000002</v>
      </c>
      <c r="S2642" s="27">
        <v>1408.1272879999999</v>
      </c>
      <c r="U2642" s="27">
        <v>3.8085909999999998</v>
      </c>
      <c r="W2642" s="27">
        <v>38.353164999999997</v>
      </c>
      <c r="Y2642" s="27">
        <v>7.3973089999999999</v>
      </c>
      <c r="AA2642" s="27">
        <v>582.360636</v>
      </c>
      <c r="AC2642" s="27">
        <v>55.947844000000003</v>
      </c>
      <c r="AE2642" s="27">
        <v>1</v>
      </c>
      <c r="AG2642" s="27">
        <v>7.8573440000000003</v>
      </c>
      <c r="AI2642" s="27">
        <v>8.75</v>
      </c>
      <c r="AK2642" s="27">
        <v>24.668534000000001</v>
      </c>
      <c r="AM2642" s="27">
        <v>36.464213999999998</v>
      </c>
      <c r="AO2642" s="27">
        <v>6.7859999999999996</v>
      </c>
    </row>
    <row r="2643" spans="2:41" x14ac:dyDescent="0.25">
      <c r="B2643" s="21">
        <v>44922</v>
      </c>
      <c r="C2643" s="27">
        <v>19.398299999999999</v>
      </c>
      <c r="E2643" s="27">
        <v>0.93932199999999999</v>
      </c>
      <c r="G2643" s="27">
        <v>175.36445399999999</v>
      </c>
      <c r="I2643" s="27">
        <v>6.9030440000000004</v>
      </c>
      <c r="K2643" s="27">
        <v>5.2504900000000001</v>
      </c>
      <c r="M2643" s="27">
        <v>875.148415</v>
      </c>
      <c r="O2643" s="27">
        <v>4742.1405759999998</v>
      </c>
      <c r="Q2643" s="27">
        <v>7297.4593960000002</v>
      </c>
      <c r="S2643" s="27">
        <v>1389.872828</v>
      </c>
      <c r="U2643" s="27">
        <v>3.8059400000000001</v>
      </c>
      <c r="W2643" s="27">
        <v>38.461348000000001</v>
      </c>
      <c r="Y2643" s="27">
        <v>7.3253259999999996</v>
      </c>
      <c r="AA2643" s="27">
        <v>581.61505</v>
      </c>
      <c r="AC2643" s="27">
        <v>55.821922999999998</v>
      </c>
      <c r="AE2643" s="27">
        <v>1</v>
      </c>
      <c r="AG2643" s="27">
        <v>7.8482320000000003</v>
      </c>
      <c r="AI2643" s="27">
        <v>8.75</v>
      </c>
      <c r="AK2643" s="27">
        <v>24.632444</v>
      </c>
      <c r="AM2643" s="27">
        <v>36.417749999999998</v>
      </c>
      <c r="AO2643" s="27">
        <v>6.7813499999999998</v>
      </c>
    </row>
    <row r="2644" spans="2:41" x14ac:dyDescent="0.25">
      <c r="B2644" s="21">
        <v>44923</v>
      </c>
      <c r="C2644" s="27">
        <v>19.4407</v>
      </c>
      <c r="E2644" s="27">
        <v>0.94034600000000002</v>
      </c>
      <c r="G2644" s="27">
        <v>176.19304199999999</v>
      </c>
      <c r="I2644" s="27">
        <v>6.9160159999999999</v>
      </c>
      <c r="K2644" s="27">
        <v>5.2784110000000002</v>
      </c>
      <c r="M2644" s="27">
        <v>864.08143600000005</v>
      </c>
      <c r="O2644" s="27">
        <v>4766.2073410000003</v>
      </c>
      <c r="Q2644" s="27">
        <v>7315.5678150000003</v>
      </c>
      <c r="S2644" s="27">
        <v>1385.9498880000001</v>
      </c>
      <c r="U2644" s="27">
        <v>3.8174640000000002</v>
      </c>
      <c r="W2644" s="27">
        <v>38.811557999999998</v>
      </c>
      <c r="Y2644" s="27">
        <v>7.3529179999999998</v>
      </c>
      <c r="AA2644" s="27">
        <v>581.74306799999999</v>
      </c>
      <c r="AC2644" s="27">
        <v>55.898147999999999</v>
      </c>
      <c r="AE2644" s="27">
        <v>1</v>
      </c>
      <c r="AG2644" s="27">
        <v>7.8561540000000001</v>
      </c>
      <c r="AI2644" s="27">
        <v>8.75</v>
      </c>
      <c r="AK2644" s="27">
        <v>24.695307</v>
      </c>
      <c r="AM2644" s="27">
        <v>36.489545</v>
      </c>
      <c r="AO2644" s="27">
        <v>6.7930520000000003</v>
      </c>
    </row>
    <row r="2645" spans="2:41" x14ac:dyDescent="0.25">
      <c r="B2645" s="21">
        <v>44924</v>
      </c>
      <c r="C2645" s="27">
        <v>19.414300000000001</v>
      </c>
      <c r="E2645" s="27">
        <v>0.93933800000000001</v>
      </c>
      <c r="G2645" s="27">
        <v>176.56078600000001</v>
      </c>
      <c r="I2645" s="27">
        <v>6.9159610000000002</v>
      </c>
      <c r="K2645" s="27">
        <v>5.2633840000000003</v>
      </c>
      <c r="M2645" s="27">
        <v>860.04258500000003</v>
      </c>
      <c r="O2645" s="27">
        <v>4797.87417</v>
      </c>
      <c r="Q2645" s="27">
        <v>7330.634892</v>
      </c>
      <c r="S2645" s="27">
        <v>1392.769853</v>
      </c>
      <c r="U2645" s="27">
        <v>3.8112110000000001</v>
      </c>
      <c r="W2645" s="27">
        <v>39.435997</v>
      </c>
      <c r="Y2645" s="27">
        <v>7.4925540000000002</v>
      </c>
      <c r="AA2645" s="27">
        <v>583.13341100000002</v>
      </c>
      <c r="AC2645" s="27">
        <v>56.092350000000003</v>
      </c>
      <c r="AE2645" s="27">
        <v>1</v>
      </c>
      <c r="AG2645" s="27">
        <v>7.8530040000000003</v>
      </c>
      <c r="AI2645" s="27">
        <v>8.75</v>
      </c>
      <c r="AK2645" s="27">
        <v>24.699304000000001</v>
      </c>
      <c r="AM2645" s="27">
        <v>36.466540000000002</v>
      </c>
      <c r="AO2645" s="27">
        <v>6.79549</v>
      </c>
    </row>
    <row r="2646" spans="2:41" x14ac:dyDescent="0.25">
      <c r="B2646" s="21">
        <v>44925</v>
      </c>
      <c r="C2646" s="27">
        <v>19.361499999999999</v>
      </c>
      <c r="E2646" s="27">
        <v>0.93667599999999995</v>
      </c>
      <c r="G2646" s="27">
        <v>176.73101199999999</v>
      </c>
      <c r="I2646" s="27">
        <v>6.9062000000000001</v>
      </c>
      <c r="K2646" s="27">
        <v>5.2863040000000003</v>
      </c>
      <c r="M2646" s="27">
        <v>853.878242</v>
      </c>
      <c r="O2646" s="27">
        <v>4848.5701200000003</v>
      </c>
      <c r="Q2646" s="27">
        <v>7336.4694879999997</v>
      </c>
      <c r="S2646" s="27">
        <v>1387.8353540000001</v>
      </c>
      <c r="U2646" s="27">
        <v>3.7958859999999999</v>
      </c>
      <c r="W2646" s="27">
        <v>39.945293999999997</v>
      </c>
      <c r="Y2646" s="27">
        <v>7.5564099999999996</v>
      </c>
      <c r="AA2646" s="27">
        <v>586.02959299999998</v>
      </c>
      <c r="AC2646" s="27">
        <v>56.103749999999998</v>
      </c>
      <c r="AE2646" s="27">
        <v>1</v>
      </c>
      <c r="AG2646" s="27">
        <v>7.8435069999999998</v>
      </c>
      <c r="AI2646" s="27">
        <v>8.75</v>
      </c>
      <c r="AK2646" s="27">
        <v>24.652412000000002</v>
      </c>
      <c r="AM2646" s="27">
        <v>36.442982000000001</v>
      </c>
      <c r="AO2646" s="27">
        <v>6.7897699999999999</v>
      </c>
    </row>
    <row r="2647" spans="2:41" x14ac:dyDescent="0.25">
      <c r="B2647" s="21">
        <v>44926</v>
      </c>
      <c r="C2647" s="27">
        <v>19.361499999999999</v>
      </c>
      <c r="E2647" s="27">
        <v>0.93427400000000005</v>
      </c>
      <c r="G2647" s="27">
        <v>176.73297099999999</v>
      </c>
      <c r="I2647" s="27">
        <v>6.9107500000000002</v>
      </c>
      <c r="K2647" s="27">
        <v>5.28531</v>
      </c>
      <c r="M2647" s="27">
        <v>849.74749999999995</v>
      </c>
      <c r="O2647" s="27">
        <v>4848.9475000000002</v>
      </c>
      <c r="Q2647" s="27">
        <v>7343.4697640000004</v>
      </c>
      <c r="S2647" s="27">
        <v>1389.4264920000001</v>
      </c>
      <c r="U2647" s="27">
        <v>3.7869980000000001</v>
      </c>
      <c r="W2647" s="27">
        <v>39.971482000000002</v>
      </c>
      <c r="Y2647" s="27">
        <v>7.5628169999999999</v>
      </c>
      <c r="AA2647" s="27">
        <v>587.92272200000002</v>
      </c>
      <c r="AC2647" s="27">
        <v>56.222499999999997</v>
      </c>
      <c r="AE2647" s="27">
        <v>1</v>
      </c>
      <c r="AG2647" s="27">
        <v>7.8486250000000002</v>
      </c>
      <c r="AI2647" s="27">
        <v>8.75</v>
      </c>
      <c r="AK2647" s="27">
        <v>24.669499999999999</v>
      </c>
      <c r="AM2647" s="27">
        <v>36.369750000000003</v>
      </c>
      <c r="AO2647" s="27">
        <v>6.7943009999999999</v>
      </c>
    </row>
    <row r="2648" spans="2:41" ht="13" x14ac:dyDescent="0.3">
      <c r="B2648" s="25" t="s">
        <v>212</v>
      </c>
      <c r="C2648" s="19">
        <v>19.573699999999999</v>
      </c>
      <c r="E2648" s="19">
        <v>0.94469999999999998</v>
      </c>
      <c r="G2648" s="19">
        <v>172.1842</v>
      </c>
      <c r="I2648" s="19">
        <v>6.9112</v>
      </c>
      <c r="K2648" s="19">
        <v>5.2447999999999997</v>
      </c>
      <c r="M2648" s="19">
        <v>874.01869999999997</v>
      </c>
      <c r="O2648" s="19">
        <v>4788.8558999999996</v>
      </c>
      <c r="Q2648" s="19">
        <v>7221.8195999999998</v>
      </c>
      <c r="S2648" s="19">
        <v>1377.0976000000001</v>
      </c>
      <c r="U2648" s="19">
        <v>3.8249</v>
      </c>
      <c r="W2648" s="19">
        <v>38.973799999999997</v>
      </c>
      <c r="Y2648" s="19">
        <v>7.4314999999999998</v>
      </c>
      <c r="AA2648" s="19">
        <v>591.01080000000002</v>
      </c>
      <c r="AC2648" s="19">
        <v>55.289700000000003</v>
      </c>
      <c r="AE2648" s="19">
        <v>1</v>
      </c>
      <c r="AG2648" s="19">
        <v>7.8653000000000004</v>
      </c>
      <c r="AI2648" s="19">
        <v>8.75</v>
      </c>
      <c r="AK2648" s="19">
        <v>24.682400000000001</v>
      </c>
      <c r="AM2648" s="19">
        <v>36.448300000000003</v>
      </c>
      <c r="AO2648" s="19">
        <v>6.7866</v>
      </c>
    </row>
    <row r="2649" spans="2:41" x14ac:dyDescent="0.25">
      <c r="B2649" s="21">
        <v>44927</v>
      </c>
      <c r="C2649" s="27">
        <v>19.361499999999999</v>
      </c>
      <c r="E2649" s="27">
        <v>0.93428500000000003</v>
      </c>
      <c r="G2649" s="27">
        <v>176.73349999999999</v>
      </c>
      <c r="I2649" s="27">
        <v>6.9107560000000001</v>
      </c>
      <c r="K2649" s="27">
        <v>5.2853029999999999</v>
      </c>
      <c r="M2649" s="27">
        <v>849.69816400000002</v>
      </c>
      <c r="O2649" s="27">
        <v>4848.9221619999998</v>
      </c>
      <c r="Q2649" s="27">
        <v>7343.2220829999997</v>
      </c>
      <c r="S2649" s="27">
        <v>1389.3811659999999</v>
      </c>
      <c r="U2649" s="27">
        <v>3.7875399999999999</v>
      </c>
      <c r="W2649" s="27">
        <v>39.971524000000002</v>
      </c>
      <c r="Y2649" s="27">
        <v>7.5628330000000004</v>
      </c>
      <c r="AA2649" s="27">
        <v>587.87742300000002</v>
      </c>
      <c r="AC2649" s="27">
        <v>56.222172999999998</v>
      </c>
      <c r="AE2649" s="27">
        <v>1</v>
      </c>
      <c r="AG2649" s="27">
        <v>7.84863</v>
      </c>
      <c r="AI2649" s="27">
        <v>8.75</v>
      </c>
      <c r="AK2649" s="27">
        <v>24.669433999999999</v>
      </c>
      <c r="AM2649" s="27">
        <v>36.370699000000002</v>
      </c>
      <c r="AO2649" s="27">
        <v>6.7942799999999997</v>
      </c>
    </row>
    <row r="2650" spans="2:41" x14ac:dyDescent="0.25">
      <c r="B2650" s="21">
        <v>44928</v>
      </c>
      <c r="C2650" s="27">
        <v>19.471499999999999</v>
      </c>
      <c r="E2650" s="27">
        <v>0.93635400000000002</v>
      </c>
      <c r="G2650" s="27">
        <v>177.31525199999999</v>
      </c>
      <c r="I2650" s="27">
        <v>6.9022600000000001</v>
      </c>
      <c r="K2650" s="27">
        <v>5.3194660000000002</v>
      </c>
      <c r="M2650" s="27">
        <v>848.25247400000001</v>
      </c>
      <c r="O2650" s="27">
        <v>4848.0089440000002</v>
      </c>
      <c r="Q2650" s="27">
        <v>7353.4226429999999</v>
      </c>
      <c r="S2650" s="27">
        <v>1382.369342</v>
      </c>
      <c r="U2650" s="27">
        <v>3.7946260000000001</v>
      </c>
      <c r="W2650" s="27">
        <v>39.736865999999999</v>
      </c>
      <c r="Y2650" s="27">
        <v>7.470116</v>
      </c>
      <c r="AA2650" s="27">
        <v>587.583168</v>
      </c>
      <c r="AC2650" s="27">
        <v>56.199012000000003</v>
      </c>
      <c r="AE2650" s="27">
        <v>1</v>
      </c>
      <c r="AG2650" s="27">
        <v>7.8387060000000002</v>
      </c>
      <c r="AI2650" s="27">
        <v>8.75</v>
      </c>
      <c r="AK2650" s="27">
        <v>24.648799</v>
      </c>
      <c r="AM2650" s="27">
        <v>36.460223999999997</v>
      </c>
      <c r="AO2650" s="27">
        <v>6.787236</v>
      </c>
    </row>
    <row r="2651" spans="2:41" x14ac:dyDescent="0.25">
      <c r="B2651" s="21">
        <v>44929</v>
      </c>
      <c r="C2651" s="27">
        <v>19.488299999999999</v>
      </c>
      <c r="E2651" s="27">
        <v>0.94423800000000002</v>
      </c>
      <c r="G2651" s="27">
        <v>178.26559399999999</v>
      </c>
      <c r="I2651" s="27">
        <v>6.9150980000000004</v>
      </c>
      <c r="K2651" s="27">
        <v>5.3951260000000003</v>
      </c>
      <c r="M2651" s="27">
        <v>854.02163399999995</v>
      </c>
      <c r="O2651" s="27">
        <v>4854.296668</v>
      </c>
      <c r="Q2651" s="27">
        <v>7356.1326559999998</v>
      </c>
      <c r="S2651" s="27">
        <v>1363.4851100000001</v>
      </c>
      <c r="U2651" s="27">
        <v>3.8105259999999999</v>
      </c>
      <c r="W2651" s="27">
        <v>39.710399000000002</v>
      </c>
      <c r="Y2651" s="27">
        <v>7.3604500000000002</v>
      </c>
      <c r="AA2651" s="27">
        <v>591.28277000000003</v>
      </c>
      <c r="AC2651" s="27">
        <v>56.300863999999997</v>
      </c>
      <c r="AE2651" s="27">
        <v>1</v>
      </c>
      <c r="AG2651" s="27">
        <v>7.8532539999999997</v>
      </c>
      <c r="AI2651" s="27">
        <v>8.75</v>
      </c>
      <c r="AK2651" s="27">
        <v>24.698184000000001</v>
      </c>
      <c r="AM2651" s="27">
        <v>36.503951999999998</v>
      </c>
      <c r="AO2651" s="27">
        <v>6.7993839999999999</v>
      </c>
    </row>
    <row r="2652" spans="2:41" x14ac:dyDescent="0.25">
      <c r="B2652" s="21">
        <v>44930</v>
      </c>
      <c r="C2652" s="27">
        <v>19.422000000000001</v>
      </c>
      <c r="E2652" s="27">
        <v>0.94383099999999998</v>
      </c>
      <c r="G2652" s="27">
        <v>178.476325</v>
      </c>
      <c r="I2652" s="27">
        <v>6.9017369999999998</v>
      </c>
      <c r="K2652" s="27">
        <v>5.4628949999999996</v>
      </c>
      <c r="M2652" s="27">
        <v>858.77609199999995</v>
      </c>
      <c r="O2652" s="27">
        <v>4890.1932509999997</v>
      </c>
      <c r="Q2652" s="27">
        <v>7323.5812660000001</v>
      </c>
      <c r="S2652" s="27">
        <v>1340.6125219999999</v>
      </c>
      <c r="U2652" s="27">
        <v>3.8069389999999999</v>
      </c>
      <c r="W2652" s="27">
        <v>39.660995999999997</v>
      </c>
      <c r="Y2652" s="27">
        <v>7.2601000000000004</v>
      </c>
      <c r="AA2652" s="27">
        <v>590.73564199999998</v>
      </c>
      <c r="AC2652" s="27">
        <v>56.187244999999997</v>
      </c>
      <c r="AE2652" s="27">
        <v>1</v>
      </c>
      <c r="AG2652" s="27">
        <v>7.8381740000000004</v>
      </c>
      <c r="AI2652" s="27">
        <v>8.75</v>
      </c>
      <c r="AK2652" s="27">
        <v>24.634744000000001</v>
      </c>
      <c r="AM2652" s="27">
        <v>36.418832999999999</v>
      </c>
      <c r="AO2652" s="27">
        <v>6.7826599999999999</v>
      </c>
    </row>
    <row r="2653" spans="2:41" x14ac:dyDescent="0.25">
      <c r="B2653" s="21">
        <v>44931</v>
      </c>
      <c r="C2653" s="27">
        <v>19.3568</v>
      </c>
      <c r="E2653" s="27">
        <v>0.94544099999999998</v>
      </c>
      <c r="G2653" s="27">
        <v>178.74422799999999</v>
      </c>
      <c r="I2653" s="27">
        <v>6.9073960000000003</v>
      </c>
      <c r="K2653" s="27">
        <v>5.4022959999999998</v>
      </c>
      <c r="M2653" s="27">
        <v>854.68058599999995</v>
      </c>
      <c r="O2653" s="27">
        <v>4943.9808329999996</v>
      </c>
      <c r="Q2653" s="27">
        <v>7319.6965620000001</v>
      </c>
      <c r="S2653" s="27">
        <v>1354.930854</v>
      </c>
      <c r="U2653" s="27">
        <v>3.8214419999999998</v>
      </c>
      <c r="W2653" s="27">
        <v>39.783431999999998</v>
      </c>
      <c r="Y2653" s="27">
        <v>7.3642000000000003</v>
      </c>
      <c r="AA2653" s="27">
        <v>590.96041600000001</v>
      </c>
      <c r="AC2653" s="27">
        <v>56.233815999999997</v>
      </c>
      <c r="AE2653" s="27">
        <v>1</v>
      </c>
      <c r="AG2653" s="27">
        <v>7.8443180000000003</v>
      </c>
      <c r="AI2653" s="27">
        <v>8.75</v>
      </c>
      <c r="AK2653" s="27">
        <v>24.662322</v>
      </c>
      <c r="AM2653" s="27">
        <v>36.462921999999999</v>
      </c>
      <c r="AO2653" s="27">
        <v>6.7827979999999997</v>
      </c>
    </row>
    <row r="2654" spans="2:41" x14ac:dyDescent="0.25">
      <c r="B2654" s="21">
        <v>44932</v>
      </c>
      <c r="C2654" s="27">
        <v>19.3672</v>
      </c>
      <c r="E2654" s="27">
        <v>0.94693400000000005</v>
      </c>
      <c r="G2654" s="27">
        <v>179.07606999999999</v>
      </c>
      <c r="I2654" s="27">
        <v>6.9247719999999999</v>
      </c>
      <c r="K2654" s="27">
        <v>5.3051959999999996</v>
      </c>
      <c r="M2654" s="27">
        <v>847.96570299999996</v>
      </c>
      <c r="O2654" s="27">
        <v>4944.4814379999998</v>
      </c>
      <c r="Q2654" s="27">
        <v>7339.1079010000003</v>
      </c>
      <c r="S2654" s="27">
        <v>1383.3888179999999</v>
      </c>
      <c r="U2654" s="27">
        <v>3.8162039999999999</v>
      </c>
      <c r="W2654" s="27">
        <v>39.964745000000001</v>
      </c>
      <c r="Y2654" s="27">
        <v>7.5331619999999999</v>
      </c>
      <c r="AA2654" s="27">
        <v>592.24055199999998</v>
      </c>
      <c r="AC2654" s="27">
        <v>56.582106000000003</v>
      </c>
      <c r="AE2654" s="27">
        <v>1</v>
      </c>
      <c r="AG2654" s="27">
        <v>7.8641389999999998</v>
      </c>
      <c r="AI2654" s="27">
        <v>8.75</v>
      </c>
      <c r="AK2654" s="27">
        <v>24.735327999999999</v>
      </c>
      <c r="AM2654" s="27">
        <v>36.524777</v>
      </c>
      <c r="AO2654" s="27">
        <v>6.8001839999999998</v>
      </c>
    </row>
    <row r="2655" spans="2:41" x14ac:dyDescent="0.25">
      <c r="B2655" s="21">
        <v>44933</v>
      </c>
      <c r="C2655" s="27">
        <v>19.3672</v>
      </c>
      <c r="E2655" s="27">
        <v>0.93945599999999996</v>
      </c>
      <c r="G2655" s="27">
        <v>179.23453799999999</v>
      </c>
      <c r="I2655" s="27">
        <v>6.9154439999999999</v>
      </c>
      <c r="K2655" s="27">
        <v>5.2255000000000003</v>
      </c>
      <c r="M2655" s="27">
        <v>841.3175</v>
      </c>
      <c r="O2655" s="27">
        <v>4912.4425000000001</v>
      </c>
      <c r="Q2655" s="27">
        <v>7331.2379019999998</v>
      </c>
      <c r="S2655" s="27">
        <v>1402.9803609999999</v>
      </c>
      <c r="U2655" s="27">
        <v>3.7903500000000001</v>
      </c>
      <c r="W2655" s="27">
        <v>39.895935000000001</v>
      </c>
      <c r="Y2655" s="27">
        <v>7.6348849999999997</v>
      </c>
      <c r="AA2655" s="27">
        <v>591.24164599999995</v>
      </c>
      <c r="AC2655" s="27">
        <v>56.572499999999998</v>
      </c>
      <c r="AE2655" s="27">
        <v>1</v>
      </c>
      <c r="AG2655" s="27">
        <v>7.8536359999999998</v>
      </c>
      <c r="AI2655" s="27">
        <v>8.75</v>
      </c>
      <c r="AK2655" s="27">
        <v>24.704999999999998</v>
      </c>
      <c r="AM2655" s="27">
        <v>36.399749999999997</v>
      </c>
      <c r="AO2655" s="27">
        <v>6.79312</v>
      </c>
    </row>
    <row r="2656" spans="2:41" x14ac:dyDescent="0.25">
      <c r="B2656" s="21">
        <v>44934</v>
      </c>
      <c r="C2656" s="27">
        <v>19.3672</v>
      </c>
      <c r="E2656" s="27">
        <v>0.93944000000000005</v>
      </c>
      <c r="G2656" s="27">
        <v>179.23462699999999</v>
      </c>
      <c r="I2656" s="27">
        <v>6.9154400000000003</v>
      </c>
      <c r="K2656" s="27">
        <v>5.2255099999999999</v>
      </c>
      <c r="M2656" s="27">
        <v>841.31712900000002</v>
      </c>
      <c r="O2656" s="27">
        <v>4912.4451300000001</v>
      </c>
      <c r="Q2656" s="27">
        <v>7331.2433229999997</v>
      </c>
      <c r="S2656" s="27">
        <v>1402.9789659999999</v>
      </c>
      <c r="U2656" s="27">
        <v>3.790454</v>
      </c>
      <c r="W2656" s="27">
        <v>39.894889999999997</v>
      </c>
      <c r="Y2656" s="27">
        <v>7.6346720000000001</v>
      </c>
      <c r="AA2656" s="27">
        <v>591.24243799999999</v>
      </c>
      <c r="AC2656" s="27">
        <v>56.572634000000001</v>
      </c>
      <c r="AE2656" s="27">
        <v>1</v>
      </c>
      <c r="AG2656" s="27">
        <v>7.8536260000000002</v>
      </c>
      <c r="AI2656" s="27">
        <v>8.75</v>
      </c>
      <c r="AK2656" s="27">
        <v>24.705207999999999</v>
      </c>
      <c r="AM2656" s="27">
        <v>36.399867999999998</v>
      </c>
      <c r="AO2656" s="27">
        <v>6.79312</v>
      </c>
    </row>
    <row r="2657" spans="2:41" x14ac:dyDescent="0.25">
      <c r="B2657" s="21">
        <v>44935</v>
      </c>
      <c r="C2657" s="27">
        <v>19.1753</v>
      </c>
      <c r="E2657" s="27">
        <v>0.93426600000000004</v>
      </c>
      <c r="G2657" s="27">
        <v>179.52985000000001</v>
      </c>
      <c r="I2657" s="27">
        <v>6.8871039999999999</v>
      </c>
      <c r="K2657" s="27">
        <v>5.2467980000000001</v>
      </c>
      <c r="M2657" s="27">
        <v>838.66082800000004</v>
      </c>
      <c r="O2657" s="27">
        <v>4866.6770749999996</v>
      </c>
      <c r="Q2657" s="27">
        <v>7302.0189899999996</v>
      </c>
      <c r="S2657" s="27">
        <v>1391.717498</v>
      </c>
      <c r="U2657" s="27">
        <v>3.7728160000000002</v>
      </c>
      <c r="W2657" s="27">
        <v>39.681925999999997</v>
      </c>
      <c r="Y2657" s="27">
        <v>7.5631079999999997</v>
      </c>
      <c r="AA2657" s="27">
        <v>588.33045500000003</v>
      </c>
      <c r="AC2657" s="27">
        <v>56.101129999999998</v>
      </c>
      <c r="AE2657" s="27">
        <v>1</v>
      </c>
      <c r="AG2657" s="27">
        <v>7.8202980000000002</v>
      </c>
      <c r="AI2657" s="27">
        <v>8.75</v>
      </c>
      <c r="AK2657" s="27">
        <v>24.521861999999999</v>
      </c>
      <c r="AM2657" s="27">
        <v>36.210939000000003</v>
      </c>
      <c r="AO2657" s="27">
        <v>6.7650740000000003</v>
      </c>
    </row>
    <row r="2658" spans="2:41" x14ac:dyDescent="0.25">
      <c r="B2658" s="21">
        <v>44936</v>
      </c>
      <c r="C2658" s="27">
        <v>19.1648</v>
      </c>
      <c r="E2658" s="27">
        <v>0.93159499999999995</v>
      </c>
      <c r="G2658" s="27">
        <v>180.234173</v>
      </c>
      <c r="I2658" s="27">
        <v>6.8975309999999999</v>
      </c>
      <c r="K2658" s="27">
        <v>5.2375679999999996</v>
      </c>
      <c r="M2658" s="27">
        <v>832.71943399999998</v>
      </c>
      <c r="O2658" s="27">
        <v>4831.98819</v>
      </c>
      <c r="Q2658" s="27">
        <v>7315.2347419999996</v>
      </c>
      <c r="S2658" s="27">
        <v>1396.6931830000001</v>
      </c>
      <c r="U2658" s="27">
        <v>3.7937919999999998</v>
      </c>
      <c r="W2658" s="27">
        <v>39.796892999999997</v>
      </c>
      <c r="Y2658" s="27">
        <v>7.598382</v>
      </c>
      <c r="AA2658" s="27">
        <v>588.40233999999998</v>
      </c>
      <c r="AC2658" s="27">
        <v>56.399374000000002</v>
      </c>
      <c r="AE2658" s="27">
        <v>1</v>
      </c>
      <c r="AG2658" s="27">
        <v>7.8307359999999999</v>
      </c>
      <c r="AI2658" s="27">
        <v>8.75</v>
      </c>
      <c r="AK2658" s="27">
        <v>24.563572000000001</v>
      </c>
      <c r="AM2658" s="27">
        <v>36.370545999999997</v>
      </c>
      <c r="AO2658" s="27">
        <v>6.7774609999999997</v>
      </c>
    </row>
    <row r="2659" spans="2:41" x14ac:dyDescent="0.25">
      <c r="B2659" s="21">
        <v>44937</v>
      </c>
      <c r="C2659" s="27">
        <v>19.110800000000001</v>
      </c>
      <c r="E2659" s="27">
        <v>0.93046399999999996</v>
      </c>
      <c r="G2659" s="27">
        <v>180.51364899999999</v>
      </c>
      <c r="I2659" s="27">
        <v>6.9107700000000003</v>
      </c>
      <c r="K2659" s="27">
        <v>5.1926829999999997</v>
      </c>
      <c r="M2659" s="27">
        <v>825.42885000000001</v>
      </c>
      <c r="O2659" s="27">
        <v>4767.155992</v>
      </c>
      <c r="Q2659" s="27">
        <v>7342.1877500000001</v>
      </c>
      <c r="S2659" s="27">
        <v>1413.956909</v>
      </c>
      <c r="U2659" s="27">
        <v>3.7929560000000002</v>
      </c>
      <c r="W2659" s="27">
        <v>39.863028</v>
      </c>
      <c r="Y2659" s="27">
        <v>7.6768000000000001</v>
      </c>
      <c r="AA2659" s="27">
        <v>587.74086499999999</v>
      </c>
      <c r="AC2659" s="27">
        <v>56.583964999999999</v>
      </c>
      <c r="AE2659" s="27">
        <v>1</v>
      </c>
      <c r="AG2659" s="27">
        <v>7.84504</v>
      </c>
      <c r="AI2659" s="27">
        <v>8.75</v>
      </c>
      <c r="AK2659" s="27">
        <v>24.674983999999998</v>
      </c>
      <c r="AM2659" s="27">
        <v>36.459271999999999</v>
      </c>
      <c r="AO2659" s="27">
        <v>6.7911320000000002</v>
      </c>
    </row>
    <row r="2660" spans="2:41" x14ac:dyDescent="0.25">
      <c r="B2660" s="21">
        <v>44938</v>
      </c>
      <c r="C2660" s="27">
        <v>19.026</v>
      </c>
      <c r="E2660" s="27">
        <v>0.92642599999999997</v>
      </c>
      <c r="G2660" s="27">
        <v>180.806837</v>
      </c>
      <c r="I2660" s="27">
        <v>6.9050979999999997</v>
      </c>
      <c r="K2660" s="27">
        <v>5.1393219999999999</v>
      </c>
      <c r="M2660" s="27">
        <v>821.85517600000003</v>
      </c>
      <c r="O2660" s="27">
        <v>4717.3678600000003</v>
      </c>
      <c r="Q2660" s="27">
        <v>7352.7816380000004</v>
      </c>
      <c r="S2660" s="27">
        <v>1430.699468</v>
      </c>
      <c r="U2660" s="27">
        <v>3.7866780000000002</v>
      </c>
      <c r="W2660" s="27">
        <v>39.791550000000001</v>
      </c>
      <c r="Y2660" s="27">
        <v>7.7425980000000001</v>
      </c>
      <c r="AA2660" s="27">
        <v>584.52048200000002</v>
      </c>
      <c r="AC2660" s="27">
        <v>56.511436000000003</v>
      </c>
      <c r="AE2660" s="27">
        <v>1</v>
      </c>
      <c r="AG2660" s="27">
        <v>7.8376900000000003</v>
      </c>
      <c r="AI2660" s="27">
        <v>8.75</v>
      </c>
      <c r="AK2660" s="27">
        <v>24.647940999999999</v>
      </c>
      <c r="AM2660" s="27">
        <v>36.419694</v>
      </c>
      <c r="AO2660" s="27">
        <v>6.7841440000000004</v>
      </c>
    </row>
    <row r="2661" spans="2:41" x14ac:dyDescent="0.25">
      <c r="B2661" s="21">
        <v>44939</v>
      </c>
      <c r="C2661" s="27">
        <v>18.8735</v>
      </c>
      <c r="E2661" s="27">
        <v>0.92310599999999998</v>
      </c>
      <c r="G2661" s="27">
        <v>181.105751</v>
      </c>
      <c r="I2661" s="27">
        <v>6.8955849999999996</v>
      </c>
      <c r="K2661" s="27">
        <v>5.1057170000000003</v>
      </c>
      <c r="M2661" s="27">
        <v>819.98433999999997</v>
      </c>
      <c r="O2661" s="27">
        <v>4691.2167760000002</v>
      </c>
      <c r="Q2661" s="27">
        <v>7343.9292519999999</v>
      </c>
      <c r="S2661" s="27">
        <v>1438.3823299999999</v>
      </c>
      <c r="U2661" s="27">
        <v>3.783766</v>
      </c>
      <c r="W2661" s="27">
        <v>39.632179999999998</v>
      </c>
      <c r="Y2661" s="27">
        <v>7.762346</v>
      </c>
      <c r="AA2661" s="27">
        <v>582.05750999999998</v>
      </c>
      <c r="AC2661" s="27">
        <v>56.315362</v>
      </c>
      <c r="AE2661" s="27">
        <v>1</v>
      </c>
      <c r="AG2661" s="27">
        <v>7.8296780000000004</v>
      </c>
      <c r="AI2661" s="27">
        <v>8.75</v>
      </c>
      <c r="AK2661" s="27">
        <v>24.585704</v>
      </c>
      <c r="AM2661" s="27">
        <v>36.300268000000003</v>
      </c>
      <c r="AO2661" s="27">
        <v>6.7763200000000001</v>
      </c>
    </row>
    <row r="2662" spans="2:41" x14ac:dyDescent="0.25">
      <c r="B2662" s="21">
        <v>44940</v>
      </c>
      <c r="C2662" s="27">
        <v>18.8735</v>
      </c>
      <c r="E2662" s="27">
        <v>0.92315199999999997</v>
      </c>
      <c r="G2662" s="27">
        <v>181.234073</v>
      </c>
      <c r="I2662" s="27">
        <v>6.9077299999999999</v>
      </c>
      <c r="K2662" s="27">
        <v>5.0962480000000001</v>
      </c>
      <c r="M2662" s="27">
        <v>817.51</v>
      </c>
      <c r="O2662" s="27">
        <v>4688.42</v>
      </c>
      <c r="Q2662" s="27">
        <v>7360.8643819999998</v>
      </c>
      <c r="S2662" s="27">
        <v>1444.3785499999999</v>
      </c>
      <c r="U2662" s="27">
        <v>3.810975</v>
      </c>
      <c r="W2662" s="27">
        <v>39.733896000000001</v>
      </c>
      <c r="Y2662" s="27">
        <v>7.7967360000000001</v>
      </c>
      <c r="AA2662" s="27">
        <v>582.95932800000003</v>
      </c>
      <c r="AC2662" s="27">
        <v>56.772500000000001</v>
      </c>
      <c r="AE2662" s="27">
        <v>1</v>
      </c>
      <c r="AG2662" s="27">
        <v>7.8461759999999998</v>
      </c>
      <c r="AI2662" s="27">
        <v>8.75</v>
      </c>
      <c r="AK2662" s="27">
        <v>24.63025</v>
      </c>
      <c r="AM2662" s="27">
        <v>36.379750000000001</v>
      </c>
      <c r="AO2662" s="27">
        <v>6.7887079999999997</v>
      </c>
    </row>
    <row r="2663" spans="2:41" x14ac:dyDescent="0.25">
      <c r="B2663" s="21">
        <v>44941</v>
      </c>
      <c r="C2663" s="27">
        <v>18.8735</v>
      </c>
      <c r="E2663" s="27">
        <v>0.92317400000000005</v>
      </c>
      <c r="G2663" s="27">
        <v>181.236188</v>
      </c>
      <c r="I2663" s="27">
        <v>6.9073700000000002</v>
      </c>
      <c r="K2663" s="27">
        <v>5.0960460000000003</v>
      </c>
      <c r="M2663" s="27">
        <v>817.52985000000001</v>
      </c>
      <c r="O2663" s="27">
        <v>4687.9804469999999</v>
      </c>
      <c r="Q2663" s="27">
        <v>7361.5976780000001</v>
      </c>
      <c r="S2663" s="27">
        <v>1444.57999</v>
      </c>
      <c r="U2663" s="27">
        <v>3.810692</v>
      </c>
      <c r="W2663" s="27">
        <v>39.734395999999997</v>
      </c>
      <c r="Y2663" s="27">
        <v>7.7971450000000004</v>
      </c>
      <c r="AA2663" s="27">
        <v>582.98301600000002</v>
      </c>
      <c r="AC2663" s="27">
        <v>56.765740000000001</v>
      </c>
      <c r="AE2663" s="27">
        <v>1</v>
      </c>
      <c r="AG2663" s="27">
        <v>7.8453879999999998</v>
      </c>
      <c r="AI2663" s="27">
        <v>8.75</v>
      </c>
      <c r="AK2663" s="27">
        <v>24.629442999999998</v>
      </c>
      <c r="AM2663" s="27">
        <v>36.380284000000003</v>
      </c>
      <c r="AO2663" s="27">
        <v>6.7883620000000002</v>
      </c>
    </row>
    <row r="2664" spans="2:41" x14ac:dyDescent="0.25">
      <c r="B2664" s="21">
        <v>44942</v>
      </c>
      <c r="C2664" s="27">
        <v>18.792200000000001</v>
      </c>
      <c r="E2664" s="27">
        <v>0.92325599999999997</v>
      </c>
      <c r="G2664" s="27">
        <v>181.45010600000001</v>
      </c>
      <c r="I2664" s="27">
        <v>6.9025559999999997</v>
      </c>
      <c r="K2664" s="27">
        <v>5.1138450000000004</v>
      </c>
      <c r="M2664" s="27">
        <v>820.03513499999997</v>
      </c>
      <c r="O2664" s="27">
        <v>4689.3980309999997</v>
      </c>
      <c r="Q2664" s="27">
        <v>7377.7930379999998</v>
      </c>
      <c r="S2664" s="27">
        <v>1442.71828</v>
      </c>
      <c r="U2664" s="27">
        <v>3.81379</v>
      </c>
      <c r="W2664" s="27">
        <v>39.699426000000003</v>
      </c>
      <c r="Y2664" s="27">
        <v>7.7631639999999997</v>
      </c>
      <c r="AA2664" s="27">
        <v>580.09694400000001</v>
      </c>
      <c r="AC2664" s="27">
        <v>56.500155999999997</v>
      </c>
      <c r="AE2664" s="27">
        <v>1</v>
      </c>
      <c r="AG2664" s="27">
        <v>7.840738</v>
      </c>
      <c r="AI2664" s="27">
        <v>8.75</v>
      </c>
      <c r="AK2664" s="27">
        <v>24.606818000000001</v>
      </c>
      <c r="AM2664" s="27">
        <v>36.422925999999997</v>
      </c>
      <c r="AO2664" s="27">
        <v>6.7746930000000001</v>
      </c>
    </row>
    <row r="2665" spans="2:41" x14ac:dyDescent="0.25">
      <c r="B2665" s="21">
        <v>44943</v>
      </c>
      <c r="C2665" s="27">
        <v>18.7913</v>
      </c>
      <c r="E2665" s="27">
        <v>0.92459599999999997</v>
      </c>
      <c r="G2665" s="27">
        <v>182.31683000000001</v>
      </c>
      <c r="I2665" s="27">
        <v>6.9104919999999996</v>
      </c>
      <c r="K2665" s="27">
        <v>5.1296879999999998</v>
      </c>
      <c r="M2665" s="27">
        <v>820.27657799999997</v>
      </c>
      <c r="O2665" s="27">
        <v>4698.909866</v>
      </c>
      <c r="Q2665" s="27">
        <v>7395.6363650000003</v>
      </c>
      <c r="S2665" s="27">
        <v>1441.7404730000001</v>
      </c>
      <c r="U2665" s="27">
        <v>3.7936019999999999</v>
      </c>
      <c r="W2665" s="27">
        <v>39.692939000000003</v>
      </c>
      <c r="Y2665" s="27">
        <v>7.737914</v>
      </c>
      <c r="AA2665" s="27">
        <v>574.36769800000002</v>
      </c>
      <c r="AC2665" s="27">
        <v>56.589959999999998</v>
      </c>
      <c r="AE2665" s="27">
        <v>1</v>
      </c>
      <c r="AG2665" s="27">
        <v>7.8490900000000003</v>
      </c>
      <c r="AI2665" s="27">
        <v>8.75</v>
      </c>
      <c r="AK2665" s="27">
        <v>24.660423999999999</v>
      </c>
      <c r="AM2665" s="27">
        <v>36.471673000000003</v>
      </c>
      <c r="AO2665" s="27">
        <v>6.7908939999999998</v>
      </c>
    </row>
    <row r="2666" spans="2:41" x14ac:dyDescent="0.25">
      <c r="B2666" s="21">
        <v>44944</v>
      </c>
      <c r="C2666" s="27">
        <v>18.749300000000002</v>
      </c>
      <c r="E2666" s="27">
        <v>0.92506200000000005</v>
      </c>
      <c r="G2666" s="27">
        <v>182.63368199999999</v>
      </c>
      <c r="I2666" s="27">
        <v>6.9136920000000002</v>
      </c>
      <c r="K2666" s="27">
        <v>5.119542</v>
      </c>
      <c r="M2666" s="27">
        <v>816.92597999999998</v>
      </c>
      <c r="O2666" s="27">
        <v>4715.4254010000004</v>
      </c>
      <c r="Q2666" s="27">
        <v>7401.8631519999999</v>
      </c>
      <c r="S2666" s="27">
        <v>1445.8140539999999</v>
      </c>
      <c r="U2666" s="27">
        <v>3.8117220000000001</v>
      </c>
      <c r="W2666" s="27">
        <v>39.657905999999997</v>
      </c>
      <c r="Y2666" s="27">
        <v>7.7464079999999997</v>
      </c>
      <c r="AA2666" s="27">
        <v>571.44218100000001</v>
      </c>
      <c r="AC2666" s="27">
        <v>56.710109000000003</v>
      </c>
      <c r="AE2666" s="27">
        <v>1</v>
      </c>
      <c r="AG2666" s="27">
        <v>7.852068</v>
      </c>
      <c r="AI2666" s="27">
        <v>8.75</v>
      </c>
      <c r="AK2666" s="27">
        <v>24.700171999999998</v>
      </c>
      <c r="AM2666" s="27">
        <v>36.519537</v>
      </c>
      <c r="AO2666" s="27">
        <v>6.7911429999999999</v>
      </c>
    </row>
    <row r="2667" spans="2:41" x14ac:dyDescent="0.25">
      <c r="B2667" s="21">
        <v>44945</v>
      </c>
      <c r="C2667" s="27">
        <v>18.749300000000002</v>
      </c>
      <c r="E2667" s="27">
        <v>0.924902</v>
      </c>
      <c r="G2667" s="27">
        <v>182.94422</v>
      </c>
      <c r="I2667" s="27">
        <v>6.9141830000000004</v>
      </c>
      <c r="K2667" s="27">
        <v>5.1912039999999999</v>
      </c>
      <c r="M2667" s="27">
        <v>825.495406</v>
      </c>
      <c r="O2667" s="27">
        <v>4692.0790360000001</v>
      </c>
      <c r="Q2667" s="27">
        <v>7411.2766469999997</v>
      </c>
      <c r="S2667" s="27">
        <v>1427.6686299999999</v>
      </c>
      <c r="U2667" s="27">
        <v>3.8386840000000002</v>
      </c>
      <c r="W2667" s="27">
        <v>39.599192000000002</v>
      </c>
      <c r="Y2667" s="27">
        <v>7.6281619999999997</v>
      </c>
      <c r="AA2667" s="27">
        <v>569.00599399999999</v>
      </c>
      <c r="AC2667" s="27">
        <v>56.666268000000002</v>
      </c>
      <c r="AE2667" s="27">
        <v>1</v>
      </c>
      <c r="AG2667" s="27">
        <v>7.8535789999999999</v>
      </c>
      <c r="AI2667" s="27">
        <v>8.75</v>
      </c>
      <c r="AK2667" s="27">
        <v>24.702656999999999</v>
      </c>
      <c r="AM2667" s="27">
        <v>36.469014999999999</v>
      </c>
      <c r="AO2667" s="27">
        <v>6.7922159999999998</v>
      </c>
    </row>
    <row r="2668" spans="2:41" x14ac:dyDescent="0.25">
      <c r="B2668" s="21">
        <v>44946</v>
      </c>
      <c r="C2668" s="27">
        <v>19.032699999999998</v>
      </c>
      <c r="E2668" s="27">
        <v>0.92266199999999998</v>
      </c>
      <c r="G2668" s="27">
        <v>183.25310999999999</v>
      </c>
      <c r="I2668" s="27">
        <v>6.9067619999999996</v>
      </c>
      <c r="K2668" s="27">
        <v>5.1896040000000001</v>
      </c>
      <c r="M2668" s="27">
        <v>820.70415800000001</v>
      </c>
      <c r="O2668" s="27">
        <v>4674.2516569999998</v>
      </c>
      <c r="Q2668" s="27">
        <v>7411.0288389999996</v>
      </c>
      <c r="S2668" s="27">
        <v>1428.060708</v>
      </c>
      <c r="U2668" s="27">
        <v>3.849288</v>
      </c>
      <c r="W2668" s="27">
        <v>39.367187999999999</v>
      </c>
      <c r="Y2668" s="27">
        <v>7.5858080000000001</v>
      </c>
      <c r="AA2668" s="27">
        <v>563.61780699999997</v>
      </c>
      <c r="AC2668" s="27">
        <v>56.696750999999999</v>
      </c>
      <c r="AE2668" s="27">
        <v>1</v>
      </c>
      <c r="AG2668" s="27">
        <v>7.8461920000000003</v>
      </c>
      <c r="AI2668" s="27">
        <v>8.75</v>
      </c>
      <c r="AK2668" s="27">
        <v>24.654323999999999</v>
      </c>
      <c r="AM2668" s="27">
        <v>36.505302</v>
      </c>
      <c r="AO2668" s="27">
        <v>6.78789</v>
      </c>
    </row>
    <row r="2669" spans="2:41" x14ac:dyDescent="0.25">
      <c r="B2669" s="21">
        <v>44947</v>
      </c>
      <c r="C2669" s="27">
        <v>19.032699999999998</v>
      </c>
      <c r="E2669" s="27">
        <v>0.92119200000000001</v>
      </c>
      <c r="G2669" s="27">
        <v>183.43325400000001</v>
      </c>
      <c r="I2669" s="27">
        <v>6.909516</v>
      </c>
      <c r="K2669" s="27">
        <v>5.2079000000000004</v>
      </c>
      <c r="M2669" s="27">
        <v>815.3</v>
      </c>
      <c r="O2669" s="27">
        <v>4648.7974999999997</v>
      </c>
      <c r="Q2669" s="27">
        <v>7419.2134489999999</v>
      </c>
      <c r="S2669" s="27">
        <v>1424.614272</v>
      </c>
      <c r="U2669" s="27">
        <v>3.8571719999999998</v>
      </c>
      <c r="W2669" s="27">
        <v>39.207576000000003</v>
      </c>
      <c r="Y2669" s="27">
        <v>7.528511</v>
      </c>
      <c r="AA2669" s="27">
        <v>563.47863800000005</v>
      </c>
      <c r="AC2669" s="27">
        <v>56.744031</v>
      </c>
      <c r="AE2669" s="27">
        <v>1</v>
      </c>
      <c r="AG2669" s="27">
        <v>7.8494279999999996</v>
      </c>
      <c r="AI2669" s="27">
        <v>8.75</v>
      </c>
      <c r="AK2669" s="27">
        <v>24.663256000000001</v>
      </c>
      <c r="AM2669" s="27">
        <v>36.528711999999999</v>
      </c>
      <c r="AO2669" s="27">
        <v>6.7892520000000003</v>
      </c>
    </row>
    <row r="2670" spans="2:41" x14ac:dyDescent="0.25">
      <c r="B2670" s="21">
        <v>44948</v>
      </c>
      <c r="C2670" s="27">
        <v>19.032699999999998</v>
      </c>
      <c r="E2670" s="27">
        <v>0.92112400000000005</v>
      </c>
      <c r="G2670" s="27">
        <v>183.42205999999999</v>
      </c>
      <c r="I2670" s="27">
        <v>6.9095240000000002</v>
      </c>
      <c r="K2670" s="27">
        <v>5.2078980000000001</v>
      </c>
      <c r="M2670" s="27">
        <v>815.29988000000003</v>
      </c>
      <c r="O2670" s="27">
        <v>4648.0788689999999</v>
      </c>
      <c r="Q2670" s="27">
        <v>7419.1562260000001</v>
      </c>
      <c r="S2670" s="27">
        <v>1424.604057</v>
      </c>
      <c r="U2670" s="27">
        <v>3.8571939999999998</v>
      </c>
      <c r="W2670" s="27">
        <v>39.217948</v>
      </c>
      <c r="Y2670" s="27">
        <v>7.5305059999999999</v>
      </c>
      <c r="AA2670" s="27">
        <v>563.48174500000005</v>
      </c>
      <c r="AC2670" s="27">
        <v>56.743924</v>
      </c>
      <c r="AE2670" s="27">
        <v>1</v>
      </c>
      <c r="AG2670" s="27">
        <v>7.8494320000000002</v>
      </c>
      <c r="AI2670" s="27">
        <v>8.75</v>
      </c>
      <c r="AK2670" s="27">
        <v>24.663211</v>
      </c>
      <c r="AM2670" s="27">
        <v>36.528674000000002</v>
      </c>
      <c r="AO2670" s="27">
        <v>6.7892549999999998</v>
      </c>
    </row>
    <row r="2671" spans="2:41" x14ac:dyDescent="0.25">
      <c r="B2671" s="21">
        <v>44949</v>
      </c>
      <c r="C2671" s="27">
        <v>18.925699999999999</v>
      </c>
      <c r="E2671" s="27">
        <v>0.91908800000000002</v>
      </c>
      <c r="G2671" s="27">
        <v>183.538973</v>
      </c>
      <c r="I2671" s="27">
        <v>6.9023329999999996</v>
      </c>
      <c r="K2671" s="27">
        <v>5.2020419999999996</v>
      </c>
      <c r="M2671" s="27">
        <v>814.22736699999996</v>
      </c>
      <c r="O2671" s="27">
        <v>4585.1137820000004</v>
      </c>
      <c r="Q2671" s="27">
        <v>7403.7907400000004</v>
      </c>
      <c r="S2671" s="27">
        <v>1423.25406</v>
      </c>
      <c r="U2671" s="27">
        <v>3.8559239999999999</v>
      </c>
      <c r="W2671" s="27">
        <v>39.11871</v>
      </c>
      <c r="Y2671" s="27">
        <v>7.5198999999999998</v>
      </c>
      <c r="AA2671" s="27">
        <v>562.79482199999995</v>
      </c>
      <c r="AC2671" s="27">
        <v>56.564915999999997</v>
      </c>
      <c r="AE2671" s="27">
        <v>1</v>
      </c>
      <c r="AG2671" s="27">
        <v>7.8410270000000004</v>
      </c>
      <c r="AI2671" s="27">
        <v>8.75</v>
      </c>
      <c r="AK2671" s="27">
        <v>24.617214000000001</v>
      </c>
      <c r="AM2671" s="27">
        <v>36.431139999999999</v>
      </c>
      <c r="AO2671" s="27">
        <v>6.7818389999999997</v>
      </c>
    </row>
    <row r="2672" spans="2:41" x14ac:dyDescent="0.25">
      <c r="B2672" s="21">
        <v>44950</v>
      </c>
      <c r="C2672" s="27">
        <v>18.826699999999999</v>
      </c>
      <c r="E2672" s="27">
        <v>0.91947299999999998</v>
      </c>
      <c r="G2672" s="27">
        <v>184.50137100000001</v>
      </c>
      <c r="I2672" s="27">
        <v>6.9101480000000004</v>
      </c>
      <c r="K2672" s="27">
        <v>5.181826</v>
      </c>
      <c r="M2672" s="27">
        <v>808.22945900000002</v>
      </c>
      <c r="O2672" s="27">
        <v>4539.8145299999996</v>
      </c>
      <c r="Q2672" s="27">
        <v>7436.1111360000004</v>
      </c>
      <c r="S2672" s="27">
        <v>1435.0449639999999</v>
      </c>
      <c r="U2672" s="27">
        <v>3.865434</v>
      </c>
      <c r="W2672" s="27">
        <v>39.185332000000002</v>
      </c>
      <c r="Y2672" s="27">
        <v>7.5621</v>
      </c>
      <c r="AA2672" s="27">
        <v>563.34832200000005</v>
      </c>
      <c r="AC2672" s="27">
        <v>56.65166</v>
      </c>
      <c r="AE2672" s="27">
        <v>1</v>
      </c>
      <c r="AG2672" s="27">
        <v>7.8499879999999997</v>
      </c>
      <c r="AI2672" s="27">
        <v>8.75</v>
      </c>
      <c r="AK2672" s="27">
        <v>24.672122000000002</v>
      </c>
      <c r="AM2672" s="27">
        <v>36.532626</v>
      </c>
      <c r="AO2672" s="27">
        <v>6.788951</v>
      </c>
    </row>
    <row r="2673" spans="2:41" x14ac:dyDescent="0.25">
      <c r="B2673" s="21">
        <v>44951</v>
      </c>
      <c r="C2673" s="27">
        <v>18.831800000000001</v>
      </c>
      <c r="E2673" s="27">
        <v>0.91789200000000004</v>
      </c>
      <c r="G2673" s="27">
        <v>184.786486</v>
      </c>
      <c r="I2673" s="27">
        <v>6.9037240000000004</v>
      </c>
      <c r="K2673" s="27">
        <v>5.1146279999999997</v>
      </c>
      <c r="M2673" s="27">
        <v>802.37535000000003</v>
      </c>
      <c r="O2673" s="27">
        <v>4523.2077120000004</v>
      </c>
      <c r="Q2673" s="27">
        <v>7406.9327199999998</v>
      </c>
      <c r="S2673" s="27">
        <v>1448.195052</v>
      </c>
      <c r="U2673" s="27">
        <v>3.8705859999999999</v>
      </c>
      <c r="W2673" s="27">
        <v>39.132629999999999</v>
      </c>
      <c r="Y2673" s="27">
        <v>7.651154</v>
      </c>
      <c r="AA2673" s="27">
        <v>562.86619700000006</v>
      </c>
      <c r="AC2673" s="27">
        <v>56.576836</v>
      </c>
      <c r="AE2673" s="27">
        <v>1</v>
      </c>
      <c r="AG2673" s="27">
        <v>7.8403700000000001</v>
      </c>
      <c r="AI2673" s="27">
        <v>8.75</v>
      </c>
      <c r="AK2673" s="27">
        <v>24.661892000000002</v>
      </c>
      <c r="AM2673" s="27">
        <v>36.480376</v>
      </c>
      <c r="AO2673" s="27">
        <v>6.7872940000000002</v>
      </c>
    </row>
    <row r="2674" spans="2:41" x14ac:dyDescent="0.25">
      <c r="B2674" s="21">
        <v>44952</v>
      </c>
      <c r="C2674" s="27">
        <v>18.82</v>
      </c>
      <c r="E2674" s="27">
        <v>0.91752</v>
      </c>
      <c r="G2674" s="27">
        <v>185.12995799999999</v>
      </c>
      <c r="I2674" s="27">
        <v>6.8987730000000003</v>
      </c>
      <c r="K2674" s="27">
        <v>5.0763939999999996</v>
      </c>
      <c r="M2674" s="27">
        <v>802.95697399999995</v>
      </c>
      <c r="O2674" s="27">
        <v>4536.4968410000001</v>
      </c>
      <c r="Q2674" s="27">
        <v>7374.437508</v>
      </c>
      <c r="S2674" s="27">
        <v>1452.7011869999999</v>
      </c>
      <c r="U2674" s="27">
        <v>3.8747240000000001</v>
      </c>
      <c r="W2674" s="27">
        <v>39.089759999999998</v>
      </c>
      <c r="Y2674" s="27">
        <v>7.7003329999999997</v>
      </c>
      <c r="AA2674" s="27">
        <v>562.12829399999998</v>
      </c>
      <c r="AC2674" s="27">
        <v>56.584980000000002</v>
      </c>
      <c r="AE2674" s="27">
        <v>1</v>
      </c>
      <c r="AG2674" s="27">
        <v>7.8337630000000003</v>
      </c>
      <c r="AI2674" s="27">
        <v>8.75</v>
      </c>
      <c r="AK2674" s="27">
        <v>24.62312</v>
      </c>
      <c r="AM2674" s="27">
        <v>36.424025999999998</v>
      </c>
      <c r="AO2674" s="27">
        <v>6.7826620000000002</v>
      </c>
    </row>
    <row r="2675" spans="2:41" x14ac:dyDescent="0.25">
      <c r="B2675" s="21">
        <v>44953</v>
      </c>
      <c r="C2675" s="27">
        <v>18.8355</v>
      </c>
      <c r="E2675" s="27">
        <v>0.91968000000000005</v>
      </c>
      <c r="G2675" s="27">
        <v>185.455884</v>
      </c>
      <c r="I2675" s="27">
        <v>6.9118659999999998</v>
      </c>
      <c r="K2675" s="27">
        <v>5.0812559999999998</v>
      </c>
      <c r="M2675" s="27">
        <v>803.64312299999995</v>
      </c>
      <c r="O2675" s="27">
        <v>4533.4225909999996</v>
      </c>
      <c r="Q2675" s="27">
        <v>7383.9541609999997</v>
      </c>
      <c r="S2675" s="27">
        <v>1453.18355</v>
      </c>
      <c r="U2675" s="27">
        <v>3.8719269999999999</v>
      </c>
      <c r="W2675" s="27">
        <v>39.057524000000001</v>
      </c>
      <c r="Y2675" s="27">
        <v>7.6866199999999996</v>
      </c>
      <c r="AA2675" s="27">
        <v>562.83797400000003</v>
      </c>
      <c r="AC2675" s="27">
        <v>56.772195000000004</v>
      </c>
      <c r="AE2675" s="27">
        <v>1</v>
      </c>
      <c r="AG2675" s="27">
        <v>7.8498380000000001</v>
      </c>
      <c r="AI2675" s="27">
        <v>8.75</v>
      </c>
      <c r="AK2675" s="27">
        <v>24.682034000000002</v>
      </c>
      <c r="AM2675" s="27">
        <v>36.529783999999999</v>
      </c>
      <c r="AO2675" s="27">
        <v>6.7903500000000001</v>
      </c>
    </row>
    <row r="2676" spans="2:41" x14ac:dyDescent="0.25">
      <c r="B2676" s="21">
        <v>44954</v>
      </c>
      <c r="C2676" s="27">
        <v>18.8355</v>
      </c>
      <c r="E2676" s="27">
        <v>0.92014099999999999</v>
      </c>
      <c r="G2676" s="27">
        <v>185.61372900000001</v>
      </c>
      <c r="I2676" s="27">
        <v>6.909478</v>
      </c>
      <c r="K2676" s="27">
        <v>5.1094999999999997</v>
      </c>
      <c r="M2676" s="27">
        <v>806.41</v>
      </c>
      <c r="O2676" s="27">
        <v>4554.7924999999996</v>
      </c>
      <c r="Q2676" s="27">
        <v>7377.1157499999999</v>
      </c>
      <c r="S2676" s="27">
        <v>1443.810841</v>
      </c>
      <c r="U2676" s="27">
        <v>3.8638849999999998</v>
      </c>
      <c r="W2676" s="27">
        <v>38.887562000000003</v>
      </c>
      <c r="Y2676" s="27">
        <v>7.6108589999999996</v>
      </c>
      <c r="AA2676" s="27">
        <v>562.63875399999995</v>
      </c>
      <c r="AC2676" s="27">
        <v>56.772500000000001</v>
      </c>
      <c r="AE2676" s="27">
        <v>1</v>
      </c>
      <c r="AG2676" s="27">
        <v>7.8489079999999998</v>
      </c>
      <c r="AI2676" s="27">
        <v>8.75</v>
      </c>
      <c r="AK2676" s="27">
        <v>24.67475</v>
      </c>
      <c r="AM2676" s="27">
        <v>36.399749999999997</v>
      </c>
      <c r="AO2676" s="27">
        <v>6.7879639999999997</v>
      </c>
    </row>
    <row r="2677" spans="2:41" x14ac:dyDescent="0.25">
      <c r="B2677" s="21">
        <v>44955</v>
      </c>
      <c r="C2677" s="27">
        <v>18.8355</v>
      </c>
      <c r="E2677" s="27">
        <v>0.92014200000000002</v>
      </c>
      <c r="G2677" s="27">
        <v>185.61561499999999</v>
      </c>
      <c r="I2677" s="27">
        <v>6.9095409999999999</v>
      </c>
      <c r="K2677" s="27">
        <v>5.1094929999999996</v>
      </c>
      <c r="M2677" s="27">
        <v>806.32989199999997</v>
      </c>
      <c r="O2677" s="27">
        <v>4554.0887130000001</v>
      </c>
      <c r="Q2677" s="27">
        <v>7377.1385360000004</v>
      </c>
      <c r="S2677" s="27">
        <v>1443.8174059999999</v>
      </c>
      <c r="U2677" s="27">
        <v>3.8625219999999998</v>
      </c>
      <c r="W2677" s="27">
        <v>38.897441999999998</v>
      </c>
      <c r="Y2677" s="27">
        <v>7.6128039999999997</v>
      </c>
      <c r="AA2677" s="27">
        <v>562.64378399999998</v>
      </c>
      <c r="AC2677" s="27">
        <v>56.772751999999997</v>
      </c>
      <c r="AE2677" s="27">
        <v>1</v>
      </c>
      <c r="AG2677" s="27">
        <v>7.8490460000000004</v>
      </c>
      <c r="AI2677" s="27">
        <v>8.75</v>
      </c>
      <c r="AK2677" s="27">
        <v>24.674659999999999</v>
      </c>
      <c r="AM2677" s="27">
        <v>36.403492</v>
      </c>
      <c r="AO2677" s="27">
        <v>6.7880279999999997</v>
      </c>
    </row>
    <row r="2678" spans="2:41" x14ac:dyDescent="0.25">
      <c r="B2678" s="21">
        <v>44956</v>
      </c>
      <c r="C2678" s="27">
        <v>18.787199999999999</v>
      </c>
      <c r="E2678" s="27">
        <v>0.91979</v>
      </c>
      <c r="G2678" s="27">
        <v>185.99843799999999</v>
      </c>
      <c r="I2678" s="27">
        <v>6.911575</v>
      </c>
      <c r="K2678" s="27">
        <v>5.1095079999999999</v>
      </c>
      <c r="M2678" s="27">
        <v>806.93566599999997</v>
      </c>
      <c r="O2678" s="27">
        <v>4570.2531070000005</v>
      </c>
      <c r="Q2678" s="27">
        <v>7379.8211350000001</v>
      </c>
      <c r="S2678" s="27">
        <v>1444.339289</v>
      </c>
      <c r="U2678" s="27">
        <v>3.83379</v>
      </c>
      <c r="W2678" s="27">
        <v>38.989963000000003</v>
      </c>
      <c r="Y2678" s="27">
        <v>7.630897</v>
      </c>
      <c r="AA2678" s="27">
        <v>562.81725800000004</v>
      </c>
      <c r="AC2678" s="27">
        <v>56.744086000000003</v>
      </c>
      <c r="AE2678" s="27">
        <v>1</v>
      </c>
      <c r="AG2678" s="27">
        <v>7.8516760000000003</v>
      </c>
      <c r="AI2678" s="27">
        <v>8.75</v>
      </c>
      <c r="AK2678" s="27">
        <v>24.669764000000001</v>
      </c>
      <c r="AM2678" s="27">
        <v>36.485914000000001</v>
      </c>
      <c r="AO2678" s="27">
        <v>6.7904999999999998</v>
      </c>
    </row>
    <row r="2679" spans="2:41" x14ac:dyDescent="0.25">
      <c r="B2679" s="21">
        <v>44957</v>
      </c>
      <c r="C2679" s="27">
        <v>18.779299999999999</v>
      </c>
      <c r="E2679" s="27">
        <v>0.92176999999999998</v>
      </c>
      <c r="G2679" s="27">
        <v>186.729006</v>
      </c>
      <c r="I2679" s="27">
        <v>6.9151980000000002</v>
      </c>
      <c r="K2679" s="27">
        <v>5.1021729999999996</v>
      </c>
      <c r="M2679" s="27">
        <v>803.79674</v>
      </c>
      <c r="O2679" s="27">
        <v>4626.369608</v>
      </c>
      <c r="Q2679" s="27">
        <v>7387.2767860000004</v>
      </c>
      <c r="S2679" s="27">
        <v>1447.8768600000001</v>
      </c>
      <c r="U2679" s="27">
        <v>3.8395419999999998</v>
      </c>
      <c r="W2679" s="27">
        <v>38.961213999999998</v>
      </c>
      <c r="Y2679" s="27">
        <v>7.6362329999999998</v>
      </c>
      <c r="AA2679" s="27">
        <v>560.68003999999996</v>
      </c>
      <c r="AC2679" s="27">
        <v>56.757738000000003</v>
      </c>
      <c r="AE2679" s="27">
        <v>1</v>
      </c>
      <c r="AG2679" s="27">
        <v>7.8562159999999999</v>
      </c>
      <c r="AI2679" s="27">
        <v>8.75</v>
      </c>
      <c r="AK2679" s="27">
        <v>24.680993000000001</v>
      </c>
      <c r="AM2679" s="27">
        <v>36.503062</v>
      </c>
      <c r="AO2679" s="27">
        <v>6.7936870000000003</v>
      </c>
    </row>
    <row r="2680" spans="2:41" ht="13" x14ac:dyDescent="0.3">
      <c r="B2680" s="25" t="s">
        <v>213</v>
      </c>
      <c r="C2680" s="19">
        <v>19.030899999999999</v>
      </c>
      <c r="E2680" s="19">
        <v>0.92779999999999996</v>
      </c>
      <c r="G2680" s="19">
        <v>181.88910000000001</v>
      </c>
      <c r="I2680" s="19">
        <v>6.9078999999999997</v>
      </c>
      <c r="K2680" s="19">
        <v>5.1929999999999996</v>
      </c>
      <c r="M2680" s="19">
        <v>824.47289999999998</v>
      </c>
      <c r="O2680" s="19">
        <v>4716.0024999999996</v>
      </c>
      <c r="Q2680" s="19">
        <v>7368.9937</v>
      </c>
      <c r="S2680" s="19">
        <v>1419.6122</v>
      </c>
      <c r="U2680" s="19">
        <v>3.8235000000000001</v>
      </c>
      <c r="W2680" s="19">
        <v>39.503700000000002</v>
      </c>
      <c r="Y2680" s="19">
        <v>7.6093000000000002</v>
      </c>
      <c r="AA2680" s="19">
        <v>576.40009999999995</v>
      </c>
      <c r="AC2680" s="19">
        <v>56.553800000000003</v>
      </c>
      <c r="AE2680" s="19">
        <v>1</v>
      </c>
      <c r="AG2680" s="19">
        <v>7.8455000000000004</v>
      </c>
      <c r="AI2680" s="19">
        <v>8.75</v>
      </c>
      <c r="AK2680" s="19">
        <v>24.6555</v>
      </c>
      <c r="AM2680" s="19">
        <v>36.441899999999997</v>
      </c>
      <c r="AO2680" s="19">
        <v>6.7873999999999999</v>
      </c>
    </row>
    <row r="2681" spans="2:41" x14ac:dyDescent="0.25">
      <c r="B2681" s="21">
        <v>44958</v>
      </c>
      <c r="C2681" s="27">
        <v>18.793700000000001</v>
      </c>
      <c r="E2681" s="27">
        <v>0.91702399999999995</v>
      </c>
      <c r="G2681" s="27">
        <v>187.119643</v>
      </c>
      <c r="I2681" s="27">
        <v>6.9061469999999998</v>
      </c>
      <c r="K2681" s="27">
        <v>5.0710519999999999</v>
      </c>
      <c r="M2681" s="27">
        <v>792.76998000000003</v>
      </c>
      <c r="O2681" s="27">
        <v>4647.928962</v>
      </c>
      <c r="Q2681" s="27">
        <v>7365.8619930000004</v>
      </c>
      <c r="S2681" s="27">
        <v>1452.5399259999999</v>
      </c>
      <c r="U2681" s="27">
        <v>3.8448760000000002</v>
      </c>
      <c r="W2681" s="27">
        <v>38.680598000000003</v>
      </c>
      <c r="Y2681" s="27">
        <v>7.627758</v>
      </c>
      <c r="AA2681" s="27">
        <v>554.65827400000001</v>
      </c>
      <c r="AC2681" s="27">
        <v>56.639060000000001</v>
      </c>
      <c r="AE2681" s="27">
        <v>1</v>
      </c>
      <c r="AG2681" s="27">
        <v>7.8456219999999997</v>
      </c>
      <c r="AI2681" s="27">
        <v>8.75</v>
      </c>
      <c r="AK2681" s="27">
        <v>24.643744000000002</v>
      </c>
      <c r="AM2681" s="27">
        <v>36.498451000000003</v>
      </c>
      <c r="AO2681" s="27">
        <v>6.7844319999999998</v>
      </c>
    </row>
    <row r="2682" spans="2:41" x14ac:dyDescent="0.25">
      <c r="B2682" s="21">
        <v>44959</v>
      </c>
      <c r="C2682" s="27">
        <v>18.739000000000001</v>
      </c>
      <c r="E2682" s="27">
        <v>0.91171100000000005</v>
      </c>
      <c r="G2682" s="27">
        <v>187.394263</v>
      </c>
      <c r="I2682" s="27">
        <v>6.9087310000000004</v>
      </c>
      <c r="K2682" s="27">
        <v>5.0426780000000004</v>
      </c>
      <c r="M2682" s="27">
        <v>783.89376700000003</v>
      </c>
      <c r="O2682" s="27">
        <v>4612.3966570000002</v>
      </c>
      <c r="Q2682" s="27">
        <v>7355.0667519999997</v>
      </c>
      <c r="S2682" s="27">
        <v>1458.5722270000001</v>
      </c>
      <c r="U2682" s="27">
        <v>3.8421750000000001</v>
      </c>
      <c r="W2682" s="27">
        <v>38.642890000000001</v>
      </c>
      <c r="Y2682" s="27">
        <v>7.6631989999999996</v>
      </c>
      <c r="AA2682" s="27">
        <v>553.58219199999996</v>
      </c>
      <c r="AC2682" s="27">
        <v>56.547854000000001</v>
      </c>
      <c r="AE2682" s="27">
        <v>1</v>
      </c>
      <c r="AG2682" s="27">
        <v>7.8485300000000002</v>
      </c>
      <c r="AI2682" s="27">
        <v>8.75</v>
      </c>
      <c r="AK2682" s="27">
        <v>24.664110000000001</v>
      </c>
      <c r="AM2682" s="27">
        <v>36.284137999999999</v>
      </c>
      <c r="AO2682" s="27">
        <v>6.7840910000000001</v>
      </c>
    </row>
    <row r="2683" spans="2:41" x14ac:dyDescent="0.25">
      <c r="B2683" s="21">
        <v>44960</v>
      </c>
      <c r="C2683" s="27">
        <v>18.623200000000001</v>
      </c>
      <c r="E2683" s="27">
        <v>0.92015599999999997</v>
      </c>
      <c r="G2683" s="27">
        <v>187.75975700000001</v>
      </c>
      <c r="I2683" s="27">
        <v>6.9228480000000001</v>
      </c>
      <c r="K2683" s="27">
        <v>5.0881429999999996</v>
      </c>
      <c r="M2683" s="27">
        <v>786.74498000000006</v>
      </c>
      <c r="O2683" s="27">
        <v>4614.5537670000003</v>
      </c>
      <c r="Q2683" s="27">
        <v>7347.5457239999996</v>
      </c>
      <c r="S2683" s="27">
        <v>1444.0605840000001</v>
      </c>
      <c r="U2683" s="27">
        <v>3.8401700000000001</v>
      </c>
      <c r="W2683" s="27">
        <v>38.935098000000004</v>
      </c>
      <c r="Y2683" s="27">
        <v>7.6521530000000002</v>
      </c>
      <c r="AA2683" s="27">
        <v>556.35587799999996</v>
      </c>
      <c r="AC2683" s="27">
        <v>56.744754</v>
      </c>
      <c r="AE2683" s="27">
        <v>1</v>
      </c>
      <c r="AG2683" s="27">
        <v>7.86449</v>
      </c>
      <c r="AI2683" s="27">
        <v>8.75</v>
      </c>
      <c r="AK2683" s="27">
        <v>24.712171999999999</v>
      </c>
      <c r="AM2683" s="27">
        <v>36.592101</v>
      </c>
      <c r="AO2683" s="27">
        <v>6.7985470000000001</v>
      </c>
    </row>
    <row r="2684" spans="2:41" x14ac:dyDescent="0.25">
      <c r="B2684" s="21">
        <v>44961</v>
      </c>
      <c r="C2684" s="27">
        <v>18.623200000000001</v>
      </c>
      <c r="E2684" s="27">
        <v>0.92644000000000004</v>
      </c>
      <c r="G2684" s="27">
        <v>188.01</v>
      </c>
      <c r="I2684" s="27">
        <v>6.9099750000000002</v>
      </c>
      <c r="K2684" s="27">
        <v>5.1524979999999996</v>
      </c>
      <c r="M2684" s="27">
        <v>796.6925</v>
      </c>
      <c r="O2684" s="27">
        <v>4670.6475</v>
      </c>
      <c r="Q2684" s="27">
        <v>7334.0517259999997</v>
      </c>
      <c r="S2684" s="27">
        <v>1423.406176</v>
      </c>
      <c r="U2684" s="27">
        <v>3.8323</v>
      </c>
      <c r="W2684" s="27">
        <v>38.928843999999998</v>
      </c>
      <c r="Y2684" s="27">
        <v>7.5553739999999996</v>
      </c>
      <c r="AA2684" s="27">
        <v>556.98731699999996</v>
      </c>
      <c r="AC2684" s="27">
        <v>56.686048</v>
      </c>
      <c r="AE2684" s="27">
        <v>1</v>
      </c>
      <c r="AG2684" s="27">
        <v>7.8497380000000003</v>
      </c>
      <c r="AI2684" s="27">
        <v>8.75</v>
      </c>
      <c r="AK2684" s="27">
        <v>24.68149</v>
      </c>
      <c r="AM2684" s="27">
        <v>36.581693999999999</v>
      </c>
      <c r="AO2684" s="27">
        <v>6.7866460000000002</v>
      </c>
    </row>
    <row r="2685" spans="2:41" x14ac:dyDescent="0.25">
      <c r="B2685" s="21">
        <v>44962</v>
      </c>
      <c r="C2685" s="27">
        <v>18.623200000000001</v>
      </c>
      <c r="E2685" s="27">
        <v>0.92646200000000001</v>
      </c>
      <c r="G2685" s="27">
        <v>188.016187</v>
      </c>
      <c r="I2685" s="27">
        <v>6.9099760000000003</v>
      </c>
      <c r="K2685" s="27">
        <v>5.1524809999999999</v>
      </c>
      <c r="M2685" s="27">
        <v>796.6925</v>
      </c>
      <c r="O2685" s="27">
        <v>4670.7076880000004</v>
      </c>
      <c r="Q2685" s="27">
        <v>7334.2273340000002</v>
      </c>
      <c r="S2685" s="27">
        <v>1423.4448379999999</v>
      </c>
      <c r="U2685" s="27">
        <v>3.8318669999999999</v>
      </c>
      <c r="W2685" s="27">
        <v>38.920869000000003</v>
      </c>
      <c r="Y2685" s="27">
        <v>7.5538499999999997</v>
      </c>
      <c r="AA2685" s="27">
        <v>556.96721500000001</v>
      </c>
      <c r="AC2685" s="27">
        <v>56.694600000000001</v>
      </c>
      <c r="AE2685" s="27">
        <v>1</v>
      </c>
      <c r="AG2685" s="27">
        <v>7.8497389999999996</v>
      </c>
      <c r="AI2685" s="27">
        <v>8.75</v>
      </c>
      <c r="AK2685" s="27">
        <v>24.685220000000001</v>
      </c>
      <c r="AM2685" s="27">
        <v>36.587221</v>
      </c>
      <c r="AO2685" s="27">
        <v>6.7866429999999998</v>
      </c>
    </row>
    <row r="2686" spans="2:41" x14ac:dyDescent="0.25">
      <c r="B2686" s="21">
        <v>44963</v>
      </c>
      <c r="C2686" s="27">
        <v>18.623200000000001</v>
      </c>
      <c r="E2686" s="27">
        <v>0.92930900000000005</v>
      </c>
      <c r="G2686" s="27">
        <v>188.51105000000001</v>
      </c>
      <c r="I2686" s="27">
        <v>6.9290419999999999</v>
      </c>
      <c r="K2686" s="27">
        <v>5.163278</v>
      </c>
      <c r="M2686" s="27">
        <v>800.894544</v>
      </c>
      <c r="O2686" s="27">
        <v>4705.0726809999996</v>
      </c>
      <c r="Q2686" s="27">
        <v>7379.5284389999997</v>
      </c>
      <c r="S2686" s="27">
        <v>1429.2417390000001</v>
      </c>
      <c r="U2686" s="27">
        <v>3.8538549999999998</v>
      </c>
      <c r="W2686" s="27">
        <v>38.872103000000003</v>
      </c>
      <c r="Y2686" s="27">
        <v>7.5286039999999996</v>
      </c>
      <c r="AA2686" s="27">
        <v>560.35185000000001</v>
      </c>
      <c r="AC2686" s="27">
        <v>56.985135999999997</v>
      </c>
      <c r="AE2686" s="27">
        <v>1</v>
      </c>
      <c r="AG2686" s="27">
        <v>7.8714579999999996</v>
      </c>
      <c r="AI2686" s="27">
        <v>8.75</v>
      </c>
      <c r="AK2686" s="27">
        <v>24.819735000000001</v>
      </c>
      <c r="AM2686" s="27">
        <v>36.865720000000003</v>
      </c>
      <c r="AO2686" s="27">
        <v>6.8053780000000001</v>
      </c>
    </row>
    <row r="2687" spans="2:41" x14ac:dyDescent="0.25">
      <c r="B2687" s="21">
        <v>44964</v>
      </c>
      <c r="C2687" s="27">
        <v>18.889500000000002</v>
      </c>
      <c r="E2687" s="27">
        <v>0.93288199999999999</v>
      </c>
      <c r="G2687" s="27">
        <v>189.27998400000001</v>
      </c>
      <c r="I2687" s="27">
        <v>6.921278</v>
      </c>
      <c r="K2687" s="27">
        <v>5.1680659999999996</v>
      </c>
      <c r="M2687" s="27">
        <v>801.27682400000003</v>
      </c>
      <c r="O2687" s="27">
        <v>4751.7538169999998</v>
      </c>
      <c r="Q2687" s="27">
        <v>7357.2326940000003</v>
      </c>
      <c r="S2687" s="27">
        <v>1423.6035039999999</v>
      </c>
      <c r="U2687" s="27">
        <v>3.8449689999999999</v>
      </c>
      <c r="W2687" s="27">
        <v>38.941158999999999</v>
      </c>
      <c r="Y2687" s="27">
        <v>7.5349880000000002</v>
      </c>
      <c r="AA2687" s="27">
        <v>568.75073699999996</v>
      </c>
      <c r="AC2687" s="27">
        <v>56.554375999999998</v>
      </c>
      <c r="AE2687" s="27">
        <v>1</v>
      </c>
      <c r="AG2687" s="27">
        <v>7.8587579999999999</v>
      </c>
      <c r="AI2687" s="27">
        <v>8.75</v>
      </c>
      <c r="AK2687" s="27">
        <v>24.675948000000002</v>
      </c>
      <c r="AM2687" s="27">
        <v>36.557862999999998</v>
      </c>
      <c r="AO2687" s="27">
        <v>6.7978319999999997</v>
      </c>
    </row>
    <row r="2688" spans="2:41" x14ac:dyDescent="0.25">
      <c r="B2688" s="21">
        <v>44965</v>
      </c>
      <c r="C2688" s="27">
        <v>19.0517</v>
      </c>
      <c r="E2688" s="27">
        <v>0.93185700000000005</v>
      </c>
      <c r="G2688" s="27">
        <v>189.66848200000001</v>
      </c>
      <c r="I2688" s="27">
        <v>6.9086259999999999</v>
      </c>
      <c r="K2688" s="27">
        <v>5.206588</v>
      </c>
      <c r="M2688" s="27">
        <v>796.82408699999996</v>
      </c>
      <c r="O2688" s="27">
        <v>4753.2971870000001</v>
      </c>
      <c r="Q2688" s="27">
        <v>7307.5677580000001</v>
      </c>
      <c r="S2688" s="27">
        <v>1403.53152</v>
      </c>
      <c r="U2688" s="27">
        <v>3.8403779999999998</v>
      </c>
      <c r="W2688" s="27">
        <v>39.132666</v>
      </c>
      <c r="Y2688" s="27">
        <v>7.5160200000000001</v>
      </c>
      <c r="AA2688" s="27">
        <v>573.019364</v>
      </c>
      <c r="AC2688" s="27">
        <v>56.342187000000003</v>
      </c>
      <c r="AE2688" s="27">
        <v>1</v>
      </c>
      <c r="AG2688" s="27">
        <v>7.843648</v>
      </c>
      <c r="AI2688" s="27">
        <v>8.75</v>
      </c>
      <c r="AK2688" s="27">
        <v>24.617985999999998</v>
      </c>
      <c r="AM2688" s="27">
        <v>36.461391999999996</v>
      </c>
      <c r="AO2688" s="27">
        <v>6.7870569999999999</v>
      </c>
    </row>
    <row r="2689" spans="2:41" x14ac:dyDescent="0.25">
      <c r="B2689" s="21">
        <v>44966</v>
      </c>
      <c r="C2689" s="27">
        <v>18.9435</v>
      </c>
      <c r="E2689" s="27">
        <v>0.93058200000000002</v>
      </c>
      <c r="G2689" s="27">
        <v>189.99450200000001</v>
      </c>
      <c r="I2689" s="27">
        <v>6.9160149999999998</v>
      </c>
      <c r="K2689" s="27">
        <v>5.2272869999999996</v>
      </c>
      <c r="M2689" s="27">
        <v>800.29859599999997</v>
      </c>
      <c r="O2689" s="27">
        <v>4760.7050639999998</v>
      </c>
      <c r="Q2689" s="27">
        <v>7302.3079740000003</v>
      </c>
      <c r="S2689" s="27">
        <v>1396.9694669999999</v>
      </c>
      <c r="U2689" s="27">
        <v>3.8449110000000002</v>
      </c>
      <c r="W2689" s="27">
        <v>39.243763999999999</v>
      </c>
      <c r="Y2689" s="27">
        <v>7.5075209999999997</v>
      </c>
      <c r="AA2689" s="27">
        <v>575.07554600000003</v>
      </c>
      <c r="AC2689" s="27">
        <v>56.313282000000001</v>
      </c>
      <c r="AE2689" s="27">
        <v>1</v>
      </c>
      <c r="AG2689" s="27">
        <v>7.8505159999999998</v>
      </c>
      <c r="AI2689" s="27">
        <v>8.75</v>
      </c>
      <c r="AK2689" s="27">
        <v>24.654878</v>
      </c>
      <c r="AM2689" s="27">
        <v>36.523111999999998</v>
      </c>
      <c r="AO2689" s="27">
        <v>6.7961020000000003</v>
      </c>
    </row>
    <row r="2690" spans="2:41" x14ac:dyDescent="0.25">
      <c r="B2690" s="21">
        <v>44967</v>
      </c>
      <c r="C2690" s="27">
        <v>18.9543</v>
      </c>
      <c r="E2690" s="27">
        <v>0.93434799999999996</v>
      </c>
      <c r="G2690" s="27">
        <v>190.34143900000001</v>
      </c>
      <c r="I2690" s="27">
        <v>6.9194979999999999</v>
      </c>
      <c r="K2690" s="27">
        <v>5.2644859999999998</v>
      </c>
      <c r="M2690" s="27">
        <v>799.91524400000003</v>
      </c>
      <c r="O2690" s="27">
        <v>4763.8475939999998</v>
      </c>
      <c r="Q2690" s="27">
        <v>7291.4189260000003</v>
      </c>
      <c r="S2690" s="27">
        <v>1385.028147</v>
      </c>
      <c r="U2690" s="27">
        <v>3.8589540000000002</v>
      </c>
      <c r="W2690" s="27">
        <v>39.159604000000002</v>
      </c>
      <c r="Y2690" s="27">
        <v>7.4384779999999999</v>
      </c>
      <c r="AA2690" s="27">
        <v>576.24955599999998</v>
      </c>
      <c r="AC2690" s="27">
        <v>56.371732999999999</v>
      </c>
      <c r="AE2690" s="27">
        <v>1</v>
      </c>
      <c r="AG2690" s="27">
        <v>7.8534240000000004</v>
      </c>
      <c r="AI2690" s="27">
        <v>8.75</v>
      </c>
      <c r="AK2690" s="27">
        <v>24.678723999999999</v>
      </c>
      <c r="AM2690" s="27">
        <v>36.554310999999998</v>
      </c>
      <c r="AO2690" s="27">
        <v>6.7988840000000001</v>
      </c>
    </row>
    <row r="2691" spans="2:41" x14ac:dyDescent="0.25">
      <c r="B2691" s="21">
        <v>44968</v>
      </c>
      <c r="C2691" s="27">
        <v>18.9543</v>
      </c>
      <c r="E2691" s="27">
        <v>0.936558</v>
      </c>
      <c r="G2691" s="27">
        <v>190.45760000000001</v>
      </c>
      <c r="I2691" s="27">
        <v>6.9137560000000002</v>
      </c>
      <c r="K2691" s="27">
        <v>5.2161249999999999</v>
      </c>
      <c r="M2691" s="27">
        <v>798.59500000000003</v>
      </c>
      <c r="O2691" s="27">
        <v>4797.1925000000001</v>
      </c>
      <c r="Q2691" s="27">
        <v>7286.1890210000001</v>
      </c>
      <c r="S2691" s="27">
        <v>1396.868342</v>
      </c>
      <c r="U2691" s="27">
        <v>3.8274979999999998</v>
      </c>
      <c r="W2691" s="27">
        <v>39.118611999999999</v>
      </c>
      <c r="Y2691" s="27">
        <v>7.4995979999999998</v>
      </c>
      <c r="AA2691" s="27">
        <v>575.52940699999999</v>
      </c>
      <c r="AC2691" s="27">
        <v>56.172499999999999</v>
      </c>
      <c r="AE2691" s="27">
        <v>1</v>
      </c>
      <c r="AG2691" s="27">
        <v>7.8453160000000004</v>
      </c>
      <c r="AI2691" s="27">
        <v>8.75</v>
      </c>
      <c r="AK2691" s="27">
        <v>24.632249999999999</v>
      </c>
      <c r="AM2691" s="27">
        <v>36.387250000000002</v>
      </c>
      <c r="AO2691" s="27">
        <v>6.7947300000000004</v>
      </c>
    </row>
    <row r="2692" spans="2:41" x14ac:dyDescent="0.25">
      <c r="B2692" s="21">
        <v>44969</v>
      </c>
      <c r="C2692" s="27">
        <v>18.9543</v>
      </c>
      <c r="E2692" s="27">
        <v>0.93655500000000003</v>
      </c>
      <c r="G2692" s="27">
        <v>190.46119999999999</v>
      </c>
      <c r="I2692" s="27">
        <v>6.9136100000000003</v>
      </c>
      <c r="K2692" s="27">
        <v>5.2160820000000001</v>
      </c>
      <c r="M2692" s="27">
        <v>798.605636</v>
      </c>
      <c r="O2692" s="27">
        <v>4797.1925000000001</v>
      </c>
      <c r="Q2692" s="27">
        <v>7285.9691869999997</v>
      </c>
      <c r="S2692" s="27">
        <v>1396.8378399999999</v>
      </c>
      <c r="U2692" s="27">
        <v>3.8281260000000001</v>
      </c>
      <c r="W2692" s="27">
        <v>39.117925999999997</v>
      </c>
      <c r="Y2692" s="27">
        <v>7.4995279999999998</v>
      </c>
      <c r="AA2692" s="27">
        <v>575.68541900000002</v>
      </c>
      <c r="AC2692" s="27">
        <v>56.173941999999997</v>
      </c>
      <c r="AE2692" s="27">
        <v>1</v>
      </c>
      <c r="AG2692" s="27">
        <v>7.8449499999999999</v>
      </c>
      <c r="AI2692" s="27">
        <v>8.75</v>
      </c>
      <c r="AK2692" s="27">
        <v>24.632566000000001</v>
      </c>
      <c r="AM2692" s="27">
        <v>36.390318000000001</v>
      </c>
      <c r="AO2692" s="27">
        <v>6.7945960000000003</v>
      </c>
    </row>
    <row r="2693" spans="2:41" x14ac:dyDescent="0.25">
      <c r="B2693" s="21">
        <v>44970</v>
      </c>
      <c r="C2693" s="27">
        <v>18.689299999999999</v>
      </c>
      <c r="E2693" s="27">
        <v>0.93526200000000004</v>
      </c>
      <c r="G2693" s="27">
        <v>191.08246800000001</v>
      </c>
      <c r="I2693" s="27">
        <v>6.9171300000000002</v>
      </c>
      <c r="K2693" s="27">
        <v>5.1969519999999996</v>
      </c>
      <c r="M2693" s="27">
        <v>795.96694600000001</v>
      </c>
      <c r="O2693" s="27">
        <v>4789.4811140000002</v>
      </c>
      <c r="Q2693" s="27">
        <v>7288.1742519999998</v>
      </c>
      <c r="S2693" s="27">
        <v>1402.4022419999999</v>
      </c>
      <c r="U2693" s="27">
        <v>3.8528739999999999</v>
      </c>
      <c r="W2693" s="27">
        <v>39.158416000000003</v>
      </c>
      <c r="Y2693" s="27">
        <v>7.5349139999999997</v>
      </c>
      <c r="AA2693" s="27">
        <v>577.22724800000003</v>
      </c>
      <c r="AC2693" s="27">
        <v>56.313223000000001</v>
      </c>
      <c r="AE2693" s="27">
        <v>1</v>
      </c>
      <c r="AG2693" s="27">
        <v>7.8483460000000003</v>
      </c>
      <c r="AI2693" s="27">
        <v>8.75</v>
      </c>
      <c r="AK2693" s="27">
        <v>24.645793999999999</v>
      </c>
      <c r="AM2693" s="27">
        <v>36.628461000000001</v>
      </c>
      <c r="AO2693" s="27">
        <v>6.7979320000000003</v>
      </c>
    </row>
    <row r="2694" spans="2:41" x14ac:dyDescent="0.25">
      <c r="B2694" s="21">
        <v>44971</v>
      </c>
      <c r="C2694" s="27">
        <v>18.6327</v>
      </c>
      <c r="E2694" s="27">
        <v>0.93114200000000003</v>
      </c>
      <c r="G2694" s="27">
        <v>191.803439</v>
      </c>
      <c r="I2694" s="27">
        <v>6.8986270000000003</v>
      </c>
      <c r="K2694" s="27">
        <v>5.1698440000000003</v>
      </c>
      <c r="M2694" s="27">
        <v>790.33503599999995</v>
      </c>
      <c r="O2694" s="27">
        <v>4802.1179970000003</v>
      </c>
      <c r="Q2694" s="27">
        <v>7266.7065510000002</v>
      </c>
      <c r="S2694" s="27">
        <v>1405.60301</v>
      </c>
      <c r="U2694" s="27">
        <v>3.843394</v>
      </c>
      <c r="W2694" s="27">
        <v>39.074522000000002</v>
      </c>
      <c r="Y2694" s="27">
        <v>7.5581940000000003</v>
      </c>
      <c r="AA2694" s="27">
        <v>575.74288999999999</v>
      </c>
      <c r="AC2694" s="27">
        <v>56.097667000000001</v>
      </c>
      <c r="AE2694" s="27">
        <v>1</v>
      </c>
      <c r="AG2694" s="27">
        <v>7.8264240000000003</v>
      </c>
      <c r="AI2694" s="27">
        <v>8.75</v>
      </c>
      <c r="AK2694" s="27">
        <v>24.590648000000002</v>
      </c>
      <c r="AM2694" s="27">
        <v>36.506883000000002</v>
      </c>
      <c r="AO2694" s="27">
        <v>6.7791160000000001</v>
      </c>
    </row>
    <row r="2695" spans="2:41" x14ac:dyDescent="0.25">
      <c r="B2695" s="21">
        <v>44972</v>
      </c>
      <c r="C2695" s="27">
        <v>18.5383</v>
      </c>
      <c r="E2695" s="27">
        <v>0.934276</v>
      </c>
      <c r="G2695" s="27">
        <v>192.164198</v>
      </c>
      <c r="I2695" s="27">
        <v>6.9145640000000004</v>
      </c>
      <c r="K2695" s="27">
        <v>5.2056440000000004</v>
      </c>
      <c r="M2695" s="27">
        <v>789.801244</v>
      </c>
      <c r="O2695" s="27">
        <v>4796.5645020000002</v>
      </c>
      <c r="Q2695" s="27">
        <v>7281.6430410000003</v>
      </c>
      <c r="S2695" s="27">
        <v>1398.80601</v>
      </c>
      <c r="U2695" s="27">
        <v>3.8549060000000002</v>
      </c>
      <c r="W2695" s="27">
        <v>39.137428</v>
      </c>
      <c r="Y2695" s="27">
        <v>7.5182960000000003</v>
      </c>
      <c r="AA2695" s="27">
        <v>575.58775400000002</v>
      </c>
      <c r="AC2695" s="27">
        <v>56.237955999999997</v>
      </c>
      <c r="AE2695" s="27">
        <v>1</v>
      </c>
      <c r="AG2695" s="27">
        <v>7.8404959999999999</v>
      </c>
      <c r="AI2695" s="27">
        <v>8.75</v>
      </c>
      <c r="AK2695" s="27">
        <v>24.670434</v>
      </c>
      <c r="AM2695" s="27">
        <v>36.527653999999998</v>
      </c>
      <c r="AO2695" s="27">
        <v>6.792999</v>
      </c>
    </row>
    <row r="2696" spans="2:41" x14ac:dyDescent="0.25">
      <c r="B2696" s="21">
        <v>44973</v>
      </c>
      <c r="C2696" s="27">
        <v>18.642800000000001</v>
      </c>
      <c r="E2696" s="27">
        <v>0.935249</v>
      </c>
      <c r="G2696" s="27">
        <v>192.57170400000001</v>
      </c>
      <c r="I2696" s="27">
        <v>6.9140180000000004</v>
      </c>
      <c r="K2696" s="27">
        <v>5.2234740000000004</v>
      </c>
      <c r="M2696" s="27">
        <v>792.21837800000003</v>
      </c>
      <c r="O2696" s="27">
        <v>4871.8390300000001</v>
      </c>
      <c r="Q2696" s="27">
        <v>7282.7577959999999</v>
      </c>
      <c r="S2696" s="27">
        <v>1394.2444780000001</v>
      </c>
      <c r="U2696" s="27">
        <v>3.8505940000000001</v>
      </c>
      <c r="W2696" s="27">
        <v>39.139662999999999</v>
      </c>
      <c r="Y2696" s="27">
        <v>7.4930620000000001</v>
      </c>
      <c r="AA2696" s="27">
        <v>572.94514800000002</v>
      </c>
      <c r="AC2696" s="27">
        <v>56.178649999999998</v>
      </c>
      <c r="AE2696" s="27">
        <v>1</v>
      </c>
      <c r="AG2696" s="27">
        <v>7.834587</v>
      </c>
      <c r="AI2696" s="27">
        <v>8.75</v>
      </c>
      <c r="AK2696" s="27">
        <v>24.676676</v>
      </c>
      <c r="AM2696" s="27">
        <v>36.501348</v>
      </c>
      <c r="AO2696" s="27">
        <v>6.7919799999999997</v>
      </c>
    </row>
    <row r="2697" spans="2:41" x14ac:dyDescent="0.25">
      <c r="B2697" s="21">
        <v>44974</v>
      </c>
      <c r="C2697" s="27">
        <v>18.549700000000001</v>
      </c>
      <c r="E2697" s="27">
        <v>0.93820700000000001</v>
      </c>
      <c r="G2697" s="27">
        <v>192.973893</v>
      </c>
      <c r="I2697" s="27">
        <v>6.9224860000000001</v>
      </c>
      <c r="K2697" s="27">
        <v>5.2001619999999997</v>
      </c>
      <c r="M2697" s="27">
        <v>791.182188</v>
      </c>
      <c r="O2697" s="27">
        <v>4916.9908359999999</v>
      </c>
      <c r="Q2697" s="27">
        <v>7296.6566839999996</v>
      </c>
      <c r="S2697" s="27">
        <v>1403.1674869999999</v>
      </c>
      <c r="U2697" s="27">
        <v>3.8549540000000002</v>
      </c>
      <c r="W2697" s="27">
        <v>39.364794000000003</v>
      </c>
      <c r="Y2697" s="27">
        <v>7.569947</v>
      </c>
      <c r="AA2697" s="27">
        <v>571.18089999999995</v>
      </c>
      <c r="AC2697" s="27">
        <v>56.174742000000002</v>
      </c>
      <c r="AE2697" s="27">
        <v>1</v>
      </c>
      <c r="AG2697" s="27">
        <v>7.8410599999999997</v>
      </c>
      <c r="AI2697" s="27">
        <v>8.75</v>
      </c>
      <c r="AK2697" s="27">
        <v>24.72495</v>
      </c>
      <c r="AM2697" s="27">
        <v>36.548713999999997</v>
      </c>
      <c r="AO2697" s="27">
        <v>6.8003419999999997</v>
      </c>
    </row>
    <row r="2698" spans="2:41" x14ac:dyDescent="0.25">
      <c r="B2698" s="21">
        <v>44975</v>
      </c>
      <c r="C2698" s="27">
        <v>18.549700000000001</v>
      </c>
      <c r="E2698" s="27">
        <v>0.93513000000000002</v>
      </c>
      <c r="G2698" s="27">
        <v>193.09547000000001</v>
      </c>
      <c r="I2698" s="27">
        <v>6.9122830000000004</v>
      </c>
      <c r="K2698" s="27">
        <v>5.1680000000000001</v>
      </c>
      <c r="M2698" s="27">
        <v>789.35</v>
      </c>
      <c r="O2698" s="27">
        <v>4900.3625000000002</v>
      </c>
      <c r="Q2698" s="27">
        <v>7291.4424399999998</v>
      </c>
      <c r="S2698" s="27">
        <v>1410.889795</v>
      </c>
      <c r="U2698" s="27">
        <v>3.8397480000000002</v>
      </c>
      <c r="W2698" s="27">
        <v>39.477988000000003</v>
      </c>
      <c r="Y2698" s="27">
        <v>7.63896</v>
      </c>
      <c r="AA2698" s="27">
        <v>569.93790000000001</v>
      </c>
      <c r="AC2698" s="27">
        <v>55.997500000000002</v>
      </c>
      <c r="AE2698" s="27">
        <v>1</v>
      </c>
      <c r="AG2698" s="27">
        <v>7.8291729999999999</v>
      </c>
      <c r="AI2698" s="27">
        <v>8.75</v>
      </c>
      <c r="AK2698" s="27">
        <v>24.699750000000002</v>
      </c>
      <c r="AM2698" s="27">
        <v>36.407249999999998</v>
      </c>
      <c r="AO2698" s="27">
        <v>6.7886340000000001</v>
      </c>
    </row>
    <row r="2699" spans="2:41" x14ac:dyDescent="0.25">
      <c r="B2699" s="21">
        <v>44976</v>
      </c>
      <c r="C2699" s="27">
        <v>18.549700000000001</v>
      </c>
      <c r="E2699" s="27">
        <v>0.935168</v>
      </c>
      <c r="G2699" s="27">
        <v>193.071628</v>
      </c>
      <c r="I2699" s="27">
        <v>6.9112660000000004</v>
      </c>
      <c r="K2699" s="27">
        <v>5.1680060000000001</v>
      </c>
      <c r="M2699" s="27">
        <v>789.42955600000005</v>
      </c>
      <c r="O2699" s="27">
        <v>4900.3473260000001</v>
      </c>
      <c r="Q2699" s="27">
        <v>7290.1890430000003</v>
      </c>
      <c r="S2699" s="27">
        <v>1410.64608</v>
      </c>
      <c r="U2699" s="27">
        <v>3.83908</v>
      </c>
      <c r="W2699" s="27">
        <v>39.466203999999998</v>
      </c>
      <c r="Y2699" s="27">
        <v>7.636673</v>
      </c>
      <c r="AA2699" s="27">
        <v>569.922372</v>
      </c>
      <c r="AC2699" s="27">
        <v>55.993864000000002</v>
      </c>
      <c r="AE2699" s="27">
        <v>1</v>
      </c>
      <c r="AG2699" s="27">
        <v>7.8279940000000003</v>
      </c>
      <c r="AI2699" s="27">
        <v>8.75</v>
      </c>
      <c r="AK2699" s="27">
        <v>24.697144000000002</v>
      </c>
      <c r="AM2699" s="27">
        <v>36.403553000000002</v>
      </c>
      <c r="AO2699" s="27">
        <v>6.7876240000000001</v>
      </c>
    </row>
    <row r="2700" spans="2:41" x14ac:dyDescent="0.25">
      <c r="B2700" s="21">
        <v>44977</v>
      </c>
      <c r="C2700" s="27">
        <v>18.414200000000001</v>
      </c>
      <c r="E2700" s="27">
        <v>0.93583899999999998</v>
      </c>
      <c r="G2700" s="27">
        <v>192.74762899999999</v>
      </c>
      <c r="I2700" s="27">
        <v>6.8897740000000001</v>
      </c>
      <c r="K2700" s="27">
        <v>5.1683029999999999</v>
      </c>
      <c r="M2700" s="27">
        <v>794.96282799999994</v>
      </c>
      <c r="O2700" s="27">
        <v>4906.7464490000002</v>
      </c>
      <c r="Q2700" s="27">
        <v>7273.0291909999996</v>
      </c>
      <c r="S2700" s="27">
        <v>1407.248468</v>
      </c>
      <c r="U2700" s="27">
        <v>3.8331659999999999</v>
      </c>
      <c r="W2700" s="27">
        <v>39.334817999999999</v>
      </c>
      <c r="Y2700" s="27">
        <v>7.61083</v>
      </c>
      <c r="AA2700" s="27">
        <v>563.396433</v>
      </c>
      <c r="AC2700" s="27">
        <v>55.853051999999998</v>
      </c>
      <c r="AE2700" s="27">
        <v>1</v>
      </c>
      <c r="AG2700" s="27">
        <v>7.8020319999999996</v>
      </c>
      <c r="AI2700" s="27">
        <v>8.75</v>
      </c>
      <c r="AK2700" s="27">
        <v>24.58521</v>
      </c>
      <c r="AM2700" s="27">
        <v>36.432706000000003</v>
      </c>
      <c r="AO2700" s="27">
        <v>6.7659219999999998</v>
      </c>
    </row>
    <row r="2701" spans="2:41" x14ac:dyDescent="0.25">
      <c r="B2701" s="21">
        <v>44978</v>
      </c>
      <c r="C2701" s="27">
        <v>18.396999999999998</v>
      </c>
      <c r="E2701" s="27">
        <v>0.93797200000000003</v>
      </c>
      <c r="G2701" s="27">
        <v>193.131224</v>
      </c>
      <c r="I2701" s="27">
        <v>6.9104279999999996</v>
      </c>
      <c r="K2701" s="27">
        <v>5.1679899999999996</v>
      </c>
      <c r="M2701" s="27">
        <v>799.05496500000004</v>
      </c>
      <c r="O2701" s="27">
        <v>4932.0290420000001</v>
      </c>
      <c r="Q2701" s="27">
        <v>7305.8524630000002</v>
      </c>
      <c r="S2701" s="27">
        <v>1413.6825799999999</v>
      </c>
      <c r="U2701" s="27">
        <v>3.8425760000000002</v>
      </c>
      <c r="W2701" s="27">
        <v>39.461261999999998</v>
      </c>
      <c r="Y2701" s="27">
        <v>7.6357460000000001</v>
      </c>
      <c r="AA2701" s="27">
        <v>558.37066800000002</v>
      </c>
      <c r="AC2701" s="27">
        <v>55.947788000000003</v>
      </c>
      <c r="AE2701" s="27">
        <v>1</v>
      </c>
      <c r="AG2701" s="27">
        <v>7.8226209999999998</v>
      </c>
      <c r="AI2701" s="27">
        <v>8.75</v>
      </c>
      <c r="AK2701" s="27">
        <v>24.657858999999998</v>
      </c>
      <c r="AM2701" s="27">
        <v>36.499706000000003</v>
      </c>
      <c r="AO2701" s="27">
        <v>6.7861700000000003</v>
      </c>
    </row>
    <row r="2702" spans="2:41" x14ac:dyDescent="0.25">
      <c r="B2702" s="21">
        <v>44979</v>
      </c>
      <c r="C2702" s="27">
        <v>18.393799999999999</v>
      </c>
      <c r="E2702" s="27">
        <v>0.94006400000000001</v>
      </c>
      <c r="G2702" s="27">
        <v>193.93606800000001</v>
      </c>
      <c r="I2702" s="27">
        <v>6.9081469999999996</v>
      </c>
      <c r="K2702" s="27">
        <v>5.1681280000000003</v>
      </c>
      <c r="M2702" s="27">
        <v>801.742886</v>
      </c>
      <c r="O2702" s="27">
        <v>4941.4087220000001</v>
      </c>
      <c r="Q2702" s="27">
        <v>7320.6835860000001</v>
      </c>
      <c r="S2702" s="27">
        <v>1416.5144310000001</v>
      </c>
      <c r="U2702" s="27">
        <v>3.8389609999999998</v>
      </c>
      <c r="W2702" s="27">
        <v>39.450090000000003</v>
      </c>
      <c r="Y2702" s="27">
        <v>7.6333710000000004</v>
      </c>
      <c r="AA2702" s="27">
        <v>558.03465100000005</v>
      </c>
      <c r="AC2702" s="27">
        <v>55.997095999999999</v>
      </c>
      <c r="AE2702" s="27">
        <v>1</v>
      </c>
      <c r="AG2702" s="27">
        <v>7.8164670000000003</v>
      </c>
      <c r="AI2702" s="27">
        <v>8.75</v>
      </c>
      <c r="AK2702" s="27">
        <v>24.654651999999999</v>
      </c>
      <c r="AM2702" s="27">
        <v>36.543112000000001</v>
      </c>
      <c r="AO2702" s="27">
        <v>6.7843090000000004</v>
      </c>
    </row>
    <row r="2703" spans="2:41" x14ac:dyDescent="0.25">
      <c r="B2703" s="21">
        <v>44980</v>
      </c>
      <c r="C2703" s="27">
        <v>18.348299999999998</v>
      </c>
      <c r="E2703" s="27">
        <v>0.94296199999999997</v>
      </c>
      <c r="G2703" s="27">
        <v>195.126092</v>
      </c>
      <c r="I2703" s="27">
        <v>6.9100659999999996</v>
      </c>
      <c r="K2703" s="27">
        <v>5.1445660000000002</v>
      </c>
      <c r="M2703" s="27">
        <v>802.19193499999994</v>
      </c>
      <c r="O2703" s="27">
        <v>4886.1908560000002</v>
      </c>
      <c r="Q2703" s="27">
        <v>7316.135808</v>
      </c>
      <c r="S2703" s="27">
        <v>1422.117968</v>
      </c>
      <c r="U2703" s="27">
        <v>3.8306209999999998</v>
      </c>
      <c r="W2703" s="27">
        <v>39.234304000000002</v>
      </c>
      <c r="Y2703" s="27">
        <v>7.6263899999999998</v>
      </c>
      <c r="AA2703" s="27">
        <v>558.04566399999999</v>
      </c>
      <c r="AC2703" s="27">
        <v>55.913513999999999</v>
      </c>
      <c r="AE2703" s="27">
        <v>1</v>
      </c>
      <c r="AG2703" s="27">
        <v>7.8155400000000004</v>
      </c>
      <c r="AI2703" s="27">
        <v>8.75</v>
      </c>
      <c r="AK2703" s="27">
        <v>24.661037</v>
      </c>
      <c r="AM2703" s="27">
        <v>36.550443999999999</v>
      </c>
      <c r="AO2703" s="27">
        <v>6.788189</v>
      </c>
    </row>
    <row r="2704" spans="2:41" x14ac:dyDescent="0.25">
      <c r="B2704" s="21">
        <v>44981</v>
      </c>
      <c r="C2704" s="27">
        <v>18.410699999999999</v>
      </c>
      <c r="E2704" s="27">
        <v>0.94574999999999998</v>
      </c>
      <c r="G2704" s="27">
        <v>195.496859</v>
      </c>
      <c r="I2704" s="27">
        <v>6.9114680000000002</v>
      </c>
      <c r="K2704" s="27">
        <v>5.1657770000000003</v>
      </c>
      <c r="M2704" s="27">
        <v>813.31685400000003</v>
      </c>
      <c r="O2704" s="27">
        <v>4860.1274819999999</v>
      </c>
      <c r="Q2704" s="27">
        <v>7314.6040869999997</v>
      </c>
      <c r="S2704" s="27">
        <v>1415.982311</v>
      </c>
      <c r="U2704" s="27">
        <v>3.8176519999999998</v>
      </c>
      <c r="W2704" s="27">
        <v>39.195208000000001</v>
      </c>
      <c r="Y2704" s="27">
        <v>7.58751</v>
      </c>
      <c r="AA2704" s="27">
        <v>558.87115600000004</v>
      </c>
      <c r="AC2704" s="27">
        <v>55.732419999999998</v>
      </c>
      <c r="AE2704" s="27">
        <v>1</v>
      </c>
      <c r="AG2704" s="27">
        <v>7.8135719999999997</v>
      </c>
      <c r="AI2704" s="27">
        <v>8.75</v>
      </c>
      <c r="AK2704" s="27">
        <v>24.660060000000001</v>
      </c>
      <c r="AM2704" s="27">
        <v>36.493434000000001</v>
      </c>
      <c r="AO2704" s="27">
        <v>6.7904289999999996</v>
      </c>
    </row>
    <row r="2705" spans="2:41" x14ac:dyDescent="0.25">
      <c r="B2705" s="21">
        <v>44982</v>
      </c>
      <c r="C2705" s="27">
        <v>18.410699999999999</v>
      </c>
      <c r="E2705" s="27">
        <v>0.94825400000000004</v>
      </c>
      <c r="G2705" s="27">
        <v>195.70540199999999</v>
      </c>
      <c r="I2705" s="27">
        <v>6.9124829999999999</v>
      </c>
      <c r="K2705" s="27">
        <v>5.2104480000000004</v>
      </c>
      <c r="M2705" s="27">
        <v>824.61500000000001</v>
      </c>
      <c r="O2705" s="27">
        <v>4841.9324999999999</v>
      </c>
      <c r="Q2705" s="27">
        <v>7316.9166180000002</v>
      </c>
      <c r="S2705" s="27">
        <v>1404.287454</v>
      </c>
      <c r="U2705" s="27">
        <v>3.8122479999999999</v>
      </c>
      <c r="W2705" s="27">
        <v>39.143554000000002</v>
      </c>
      <c r="Y2705" s="27">
        <v>7.5125570000000002</v>
      </c>
      <c r="AA2705" s="27">
        <v>559.76623400000005</v>
      </c>
      <c r="AC2705" s="27">
        <v>55.597499999999997</v>
      </c>
      <c r="AE2705" s="27">
        <v>1</v>
      </c>
      <c r="AG2705" s="27">
        <v>7.81447</v>
      </c>
      <c r="AI2705" s="27">
        <v>8.75</v>
      </c>
      <c r="AK2705" s="27">
        <v>24.669750000000001</v>
      </c>
      <c r="AM2705" s="27">
        <v>36.384749999999997</v>
      </c>
      <c r="AO2705" s="27">
        <v>6.7899450000000003</v>
      </c>
    </row>
    <row r="2706" spans="2:41" x14ac:dyDescent="0.25">
      <c r="B2706" s="21">
        <v>44983</v>
      </c>
      <c r="C2706" s="27">
        <v>18.410699999999999</v>
      </c>
      <c r="E2706" s="27">
        <v>0.94822200000000001</v>
      </c>
      <c r="G2706" s="27">
        <v>195.71798799999999</v>
      </c>
      <c r="I2706" s="27">
        <v>6.9123770000000002</v>
      </c>
      <c r="K2706" s="27">
        <v>5.2104470000000003</v>
      </c>
      <c r="M2706" s="27">
        <v>824.61500000000001</v>
      </c>
      <c r="O2706" s="27">
        <v>4842.1791020000001</v>
      </c>
      <c r="Q2706" s="27">
        <v>7316.8226160000004</v>
      </c>
      <c r="S2706" s="27">
        <v>1404.2695120000001</v>
      </c>
      <c r="U2706" s="27">
        <v>3.8120099999999999</v>
      </c>
      <c r="W2706" s="27">
        <v>39.135013999999998</v>
      </c>
      <c r="Y2706" s="27">
        <v>7.5109180000000002</v>
      </c>
      <c r="AA2706" s="27">
        <v>559.82387700000004</v>
      </c>
      <c r="AC2706" s="27">
        <v>55.601170000000003</v>
      </c>
      <c r="AE2706" s="27">
        <v>1</v>
      </c>
      <c r="AG2706" s="27">
        <v>7.8141619999999996</v>
      </c>
      <c r="AI2706" s="27">
        <v>8.75</v>
      </c>
      <c r="AK2706" s="27">
        <v>24.669225999999998</v>
      </c>
      <c r="AM2706" s="27">
        <v>36.387856999999997</v>
      </c>
      <c r="AO2706" s="27">
        <v>6.789847</v>
      </c>
    </row>
    <row r="2707" spans="2:41" x14ac:dyDescent="0.25">
      <c r="B2707" s="21">
        <v>44984</v>
      </c>
      <c r="C2707" s="27">
        <v>18.4023</v>
      </c>
      <c r="E2707" s="27">
        <v>0.94576899999999997</v>
      </c>
      <c r="G2707" s="27">
        <v>196.12732399999999</v>
      </c>
      <c r="I2707" s="27">
        <v>6.9164130000000004</v>
      </c>
      <c r="K2707" s="27">
        <v>5.2036759999999997</v>
      </c>
      <c r="M2707" s="27">
        <v>825.69425200000001</v>
      </c>
      <c r="O2707" s="27">
        <v>4835.8025580000003</v>
      </c>
      <c r="Q2707" s="27">
        <v>7308.9567660000002</v>
      </c>
      <c r="S2707" s="27">
        <v>1404.5845059999999</v>
      </c>
      <c r="U2707" s="27">
        <v>3.8135219999999999</v>
      </c>
      <c r="W2707" s="27">
        <v>38.890245999999998</v>
      </c>
      <c r="Y2707" s="27">
        <v>7.4736450000000003</v>
      </c>
      <c r="AA2707" s="27">
        <v>561.39070600000002</v>
      </c>
      <c r="AC2707" s="27">
        <v>55.800167000000002</v>
      </c>
      <c r="AE2707" s="27">
        <v>1</v>
      </c>
      <c r="AG2707" s="27">
        <v>7.8195009999999998</v>
      </c>
      <c r="AI2707" s="27">
        <v>8.75</v>
      </c>
      <c r="AK2707" s="27">
        <v>24.658906000000002</v>
      </c>
      <c r="AM2707" s="27">
        <v>36.538801999999997</v>
      </c>
      <c r="AO2707" s="27">
        <v>6.7938679999999998</v>
      </c>
    </row>
    <row r="2708" spans="2:41" x14ac:dyDescent="0.25">
      <c r="B2708" s="21">
        <v>44985</v>
      </c>
      <c r="C2708" s="27">
        <v>18.407699999999998</v>
      </c>
      <c r="E2708" s="27">
        <v>0.94340000000000002</v>
      </c>
      <c r="G2708" s="27">
        <v>196.792788</v>
      </c>
      <c r="I2708" s="27">
        <v>6.9076610000000001</v>
      </c>
      <c r="K2708" s="27">
        <v>5.2101620000000004</v>
      </c>
      <c r="M2708" s="27">
        <v>830.92142000000001</v>
      </c>
      <c r="O2708" s="27">
        <v>4804.8495059999996</v>
      </c>
      <c r="Q2708" s="27">
        <v>7287.5291880000004</v>
      </c>
      <c r="S2708" s="27">
        <v>1398.722217</v>
      </c>
      <c r="U2708" s="27">
        <v>3.8116919999999999</v>
      </c>
      <c r="W2708" s="27">
        <v>38.886609999999997</v>
      </c>
      <c r="Y2708" s="27">
        <v>7.4636360000000002</v>
      </c>
      <c r="AA2708" s="27">
        <v>560.21627100000001</v>
      </c>
      <c r="AC2708" s="27">
        <v>55.657443999999998</v>
      </c>
      <c r="AE2708" s="27">
        <v>1</v>
      </c>
      <c r="AG2708" s="27">
        <v>7.81135</v>
      </c>
      <c r="AI2708" s="27">
        <v>8.75</v>
      </c>
      <c r="AK2708" s="27">
        <v>24.635038000000002</v>
      </c>
      <c r="AM2708" s="27">
        <v>36.506632000000003</v>
      </c>
      <c r="AO2708" s="27">
        <v>6.7848050000000004</v>
      </c>
    </row>
    <row r="2709" spans="2:41" ht="13" x14ac:dyDescent="0.3">
      <c r="B2709" s="25" t="s">
        <v>214</v>
      </c>
      <c r="C2709" s="19">
        <v>18.625699999999998</v>
      </c>
      <c r="E2709" s="19">
        <v>0.9345</v>
      </c>
      <c r="G2709" s="19">
        <v>191.73419999999999</v>
      </c>
      <c r="I2709" s="19">
        <v>6.9124999999999996</v>
      </c>
      <c r="K2709" s="19">
        <v>5.1768000000000001</v>
      </c>
      <c r="M2709" s="19">
        <v>800.30719999999997</v>
      </c>
      <c r="O2709" s="19">
        <v>4799.0808999999999</v>
      </c>
      <c r="Q2709" s="19">
        <v>7310.8953000000001</v>
      </c>
      <c r="S2709" s="19">
        <v>1412.4025999999999</v>
      </c>
      <c r="U2709" s="19">
        <v>3.8371</v>
      </c>
      <c r="W2709" s="19">
        <v>39.115900000000003</v>
      </c>
      <c r="Y2709" s="19">
        <v>7.5564999999999998</v>
      </c>
      <c r="AA2709" s="19">
        <v>565.48829999999998</v>
      </c>
      <c r="AC2709" s="19">
        <v>56.19</v>
      </c>
      <c r="AE2709" s="19">
        <v>1</v>
      </c>
      <c r="AG2709" s="19">
        <v>7.8358999999999996</v>
      </c>
      <c r="AI2709" s="19">
        <v>8.75</v>
      </c>
      <c r="AK2709" s="19">
        <v>24.6663</v>
      </c>
      <c r="AM2709" s="19">
        <v>36.505200000000002</v>
      </c>
      <c r="AO2709" s="19">
        <v>6.7903000000000002</v>
      </c>
    </row>
    <row r="2710" spans="2:41" x14ac:dyDescent="0.25">
      <c r="B2710" s="21">
        <v>44986</v>
      </c>
      <c r="C2710" s="27">
        <v>18.344799999999999</v>
      </c>
      <c r="E2710" s="27">
        <v>0.93998199999999998</v>
      </c>
      <c r="G2710" s="27">
        <v>197.33660800000001</v>
      </c>
      <c r="I2710" s="27">
        <v>6.9148649999999998</v>
      </c>
      <c r="K2710" s="27">
        <v>5.2156640000000003</v>
      </c>
      <c r="M2710" s="27">
        <v>820.30786799999998</v>
      </c>
      <c r="O2710" s="27">
        <v>4829.9677350000002</v>
      </c>
      <c r="Q2710" s="27">
        <v>7292.3822039999995</v>
      </c>
      <c r="S2710" s="27">
        <v>1398.1773920000001</v>
      </c>
      <c r="U2710" s="27">
        <v>3.8068140000000001</v>
      </c>
      <c r="W2710" s="27">
        <v>38.937973999999997</v>
      </c>
      <c r="Y2710" s="27">
        <v>7.4656120000000001</v>
      </c>
      <c r="AA2710" s="27">
        <v>559.85715300000004</v>
      </c>
      <c r="AC2710" s="27">
        <v>55.585146000000002</v>
      </c>
      <c r="AE2710" s="27">
        <v>1</v>
      </c>
      <c r="AG2710" s="27">
        <v>7.8165500000000003</v>
      </c>
      <c r="AI2710" s="27">
        <v>8.75</v>
      </c>
      <c r="AK2710" s="27">
        <v>24.674087</v>
      </c>
      <c r="AM2710" s="27">
        <v>36.555278999999999</v>
      </c>
      <c r="AO2710" s="27">
        <v>6.7894459999999999</v>
      </c>
    </row>
    <row r="2711" spans="2:41" x14ac:dyDescent="0.25">
      <c r="B2711" s="21">
        <v>44987</v>
      </c>
      <c r="C2711" s="27">
        <v>18.170000000000002</v>
      </c>
      <c r="E2711" s="27">
        <v>0.94160600000000005</v>
      </c>
      <c r="G2711" s="27">
        <v>197.68567999999999</v>
      </c>
      <c r="I2711" s="27">
        <v>6.9181280000000003</v>
      </c>
      <c r="K2711" s="27">
        <v>5.1903119999999996</v>
      </c>
      <c r="M2711" s="27">
        <v>813.023056</v>
      </c>
      <c r="O2711" s="27">
        <v>4842.5354580000003</v>
      </c>
      <c r="Q2711" s="27">
        <v>7296.1725029999998</v>
      </c>
      <c r="S2711" s="27">
        <v>1405.7371539999999</v>
      </c>
      <c r="U2711" s="27">
        <v>3.796414</v>
      </c>
      <c r="W2711" s="27">
        <v>39.069375999999998</v>
      </c>
      <c r="Y2711" s="27">
        <v>7.5273950000000003</v>
      </c>
      <c r="AA2711" s="27">
        <v>559.34098200000005</v>
      </c>
      <c r="AC2711" s="27">
        <v>55.583168000000001</v>
      </c>
      <c r="AE2711" s="27">
        <v>1</v>
      </c>
      <c r="AG2711" s="27">
        <v>7.8196199999999996</v>
      </c>
      <c r="AI2711" s="27">
        <v>8.75</v>
      </c>
      <c r="AK2711" s="27">
        <v>24.690373999999998</v>
      </c>
      <c r="AM2711" s="27">
        <v>36.531514000000001</v>
      </c>
      <c r="AO2711" s="27">
        <v>6.792764</v>
      </c>
    </row>
    <row r="2712" spans="2:41" x14ac:dyDescent="0.25">
      <c r="B2712" s="21">
        <v>44988</v>
      </c>
      <c r="C2712" s="27">
        <v>18.126000000000001</v>
      </c>
      <c r="E2712" s="27">
        <v>0.94191400000000003</v>
      </c>
      <c r="G2712" s="27">
        <v>198.04799399999999</v>
      </c>
      <c r="I2712" s="27">
        <v>6.915737</v>
      </c>
      <c r="K2712" s="27">
        <v>5.2016720000000003</v>
      </c>
      <c r="M2712" s="27">
        <v>809.52804400000002</v>
      </c>
      <c r="O2712" s="27">
        <v>4806.8175570000003</v>
      </c>
      <c r="Q2712" s="27">
        <v>7262.6045979999999</v>
      </c>
      <c r="S2712" s="27">
        <v>1396.214148</v>
      </c>
      <c r="U2712" s="27">
        <v>3.7792560000000002</v>
      </c>
      <c r="W2712" s="27">
        <v>38.991177999999998</v>
      </c>
      <c r="Y2712" s="27">
        <v>7.4959220000000002</v>
      </c>
      <c r="AA2712" s="27">
        <v>558.51423899999998</v>
      </c>
      <c r="AC2712" s="27">
        <v>55.467723999999997</v>
      </c>
      <c r="AE2712" s="27">
        <v>1</v>
      </c>
      <c r="AG2712" s="27">
        <v>7.8167859999999996</v>
      </c>
      <c r="AI2712" s="27">
        <v>8.75</v>
      </c>
      <c r="AK2712" s="27">
        <v>24.679948</v>
      </c>
      <c r="AM2712" s="27">
        <v>36.523457000000001</v>
      </c>
      <c r="AO2712" s="27">
        <v>6.7877799999999997</v>
      </c>
    </row>
    <row r="2713" spans="2:41" x14ac:dyDescent="0.25">
      <c r="B2713" s="21">
        <v>44989</v>
      </c>
      <c r="C2713" s="27">
        <v>18.126000000000001</v>
      </c>
      <c r="E2713" s="27">
        <v>0.94037999999999999</v>
      </c>
      <c r="G2713" s="27">
        <v>198.281407</v>
      </c>
      <c r="I2713" s="27">
        <v>6.9124299999999996</v>
      </c>
      <c r="K2713" s="27">
        <v>5.1956480000000003</v>
      </c>
      <c r="M2713" s="27">
        <v>803.16</v>
      </c>
      <c r="O2713" s="27">
        <v>4788.0775000000003</v>
      </c>
      <c r="Q2713" s="27">
        <v>7253.28982</v>
      </c>
      <c r="S2713" s="27">
        <v>1396.0414639999999</v>
      </c>
      <c r="U2713" s="27">
        <v>3.7844479999999998</v>
      </c>
      <c r="W2713" s="27">
        <v>39.040267999999998</v>
      </c>
      <c r="Y2713" s="27">
        <v>7.5140659999999997</v>
      </c>
      <c r="AA2713" s="27">
        <v>557.66080799999997</v>
      </c>
      <c r="AC2713" s="27">
        <v>55.272500000000001</v>
      </c>
      <c r="AE2713" s="27">
        <v>1</v>
      </c>
      <c r="AG2713" s="27">
        <v>7.8130459999999999</v>
      </c>
      <c r="AI2713" s="27">
        <v>8.75</v>
      </c>
      <c r="AK2713" s="27">
        <v>24.659749999999999</v>
      </c>
      <c r="AM2713" s="27">
        <v>36.39725</v>
      </c>
      <c r="AO2713" s="27">
        <v>6.781828</v>
      </c>
    </row>
    <row r="2714" spans="2:41" x14ac:dyDescent="0.25">
      <c r="B2714" s="21">
        <v>44990</v>
      </c>
      <c r="C2714" s="27">
        <v>18.126000000000001</v>
      </c>
      <c r="E2714" s="27">
        <v>0.940438</v>
      </c>
      <c r="G2714" s="27">
        <v>198.293609</v>
      </c>
      <c r="I2714" s="27">
        <v>6.912433</v>
      </c>
      <c r="K2714" s="27">
        <v>5.1956540000000002</v>
      </c>
      <c r="M2714" s="27">
        <v>803.16297199999997</v>
      </c>
      <c r="O2714" s="27">
        <v>4788.0803969999997</v>
      </c>
      <c r="Q2714" s="27">
        <v>7253.5680220000004</v>
      </c>
      <c r="S2714" s="27">
        <v>1396.0931820000001</v>
      </c>
      <c r="U2714" s="27">
        <v>3.7844479999999998</v>
      </c>
      <c r="W2714" s="27">
        <v>39.035778999999998</v>
      </c>
      <c r="Y2714" s="27">
        <v>7.5131920000000001</v>
      </c>
      <c r="AA2714" s="27">
        <v>557.67185800000004</v>
      </c>
      <c r="AC2714" s="27">
        <v>55.272633999999996</v>
      </c>
      <c r="AE2714" s="27">
        <v>1</v>
      </c>
      <c r="AG2714" s="27">
        <v>7.8130579999999998</v>
      </c>
      <c r="AI2714" s="27">
        <v>8.75</v>
      </c>
      <c r="AK2714" s="27">
        <v>24.659748</v>
      </c>
      <c r="AM2714" s="27">
        <v>36.397263000000002</v>
      </c>
      <c r="AO2714" s="27">
        <v>6.7818420000000001</v>
      </c>
    </row>
    <row r="2715" spans="2:41" x14ac:dyDescent="0.25">
      <c r="B2715" s="21">
        <v>44991</v>
      </c>
      <c r="C2715" s="27">
        <v>18.0123</v>
      </c>
      <c r="E2715" s="27">
        <v>0.93840800000000002</v>
      </c>
      <c r="G2715" s="27">
        <v>198.57901000000001</v>
      </c>
      <c r="I2715" s="27">
        <v>6.9062919999999997</v>
      </c>
      <c r="K2715" s="27">
        <v>5.1858300000000002</v>
      </c>
      <c r="M2715" s="27">
        <v>802.04129799999998</v>
      </c>
      <c r="O2715" s="27">
        <v>4765.2400660000003</v>
      </c>
      <c r="Q2715" s="27">
        <v>7250.0311799999999</v>
      </c>
      <c r="S2715" s="27">
        <v>1398.0557980000001</v>
      </c>
      <c r="U2715" s="27">
        <v>3.780011</v>
      </c>
      <c r="W2715" s="27">
        <v>39.078741999999998</v>
      </c>
      <c r="Y2715" s="27">
        <v>7.535717</v>
      </c>
      <c r="AA2715" s="27">
        <v>556.71908399999995</v>
      </c>
      <c r="AC2715" s="27">
        <v>55.327689999999997</v>
      </c>
      <c r="AE2715" s="27">
        <v>1</v>
      </c>
      <c r="AG2715" s="27">
        <v>7.8057220000000003</v>
      </c>
      <c r="AI2715" s="27">
        <v>8.75</v>
      </c>
      <c r="AK2715" s="27">
        <v>24.636438999999999</v>
      </c>
      <c r="AM2715" s="27">
        <v>36.444761999999997</v>
      </c>
      <c r="AO2715" s="27">
        <v>6.7753880000000004</v>
      </c>
    </row>
    <row r="2716" spans="2:41" x14ac:dyDescent="0.25">
      <c r="B2716" s="21">
        <v>44992</v>
      </c>
      <c r="C2716" s="27">
        <v>18.0122</v>
      </c>
      <c r="E2716" s="27">
        <v>0.940446</v>
      </c>
      <c r="G2716" s="27">
        <v>199.49011999999999</v>
      </c>
      <c r="I2716" s="27">
        <v>6.8999360000000003</v>
      </c>
      <c r="K2716" s="27">
        <v>5.1705389999999998</v>
      </c>
      <c r="M2716" s="27">
        <v>800.60628599999995</v>
      </c>
      <c r="O2716" s="27">
        <v>4738.3353710000001</v>
      </c>
      <c r="Q2716" s="27">
        <v>7239.3995059999997</v>
      </c>
      <c r="S2716" s="27">
        <v>1400.1329040000001</v>
      </c>
      <c r="U2716" s="27">
        <v>3.773676</v>
      </c>
      <c r="W2716" s="27">
        <v>39.189542000000003</v>
      </c>
      <c r="Y2716" s="27">
        <v>7.5794199999999998</v>
      </c>
      <c r="AA2716" s="27">
        <v>554.99192800000003</v>
      </c>
      <c r="AC2716" s="27">
        <v>55.226531999999999</v>
      </c>
      <c r="AE2716" s="27">
        <v>1</v>
      </c>
      <c r="AG2716" s="27">
        <v>7.7984239999999998</v>
      </c>
      <c r="AI2716" s="27">
        <v>8.75</v>
      </c>
      <c r="AK2716" s="27">
        <v>24.618129</v>
      </c>
      <c r="AM2716" s="27">
        <v>36.421081999999998</v>
      </c>
      <c r="AO2716" s="27">
        <v>6.7736219999999996</v>
      </c>
    </row>
    <row r="2717" spans="2:41" x14ac:dyDescent="0.25">
      <c r="B2717" s="21">
        <v>44993</v>
      </c>
      <c r="C2717" s="27">
        <v>18.115500000000001</v>
      </c>
      <c r="E2717" s="27">
        <v>0.94848500000000002</v>
      </c>
      <c r="G2717" s="27">
        <v>199.81679600000001</v>
      </c>
      <c r="I2717" s="27">
        <v>6.9251579999999997</v>
      </c>
      <c r="K2717" s="27">
        <v>5.1667880000000004</v>
      </c>
      <c r="M2717" s="27">
        <v>803.34630000000004</v>
      </c>
      <c r="O2717" s="27">
        <v>4756.2868639999997</v>
      </c>
      <c r="Q2717" s="27">
        <v>7256.250462</v>
      </c>
      <c r="S2717" s="27">
        <v>1404.410862</v>
      </c>
      <c r="U2717" s="27">
        <v>3.7917779999999999</v>
      </c>
      <c r="W2717" s="27">
        <v>39.440292999999997</v>
      </c>
      <c r="Y2717" s="27">
        <v>7.6334590000000002</v>
      </c>
      <c r="AA2717" s="27">
        <v>555.27542800000003</v>
      </c>
      <c r="AC2717" s="27">
        <v>55.343313999999999</v>
      </c>
      <c r="AE2717" s="27">
        <v>1</v>
      </c>
      <c r="AG2717" s="27">
        <v>7.824586</v>
      </c>
      <c r="AI2717" s="27">
        <v>8.75</v>
      </c>
      <c r="AK2717" s="27">
        <v>24.670071</v>
      </c>
      <c r="AM2717" s="27">
        <v>36.411734000000003</v>
      </c>
      <c r="AO2717" s="27">
        <v>6.7979219999999998</v>
      </c>
    </row>
    <row r="2718" spans="2:41" x14ac:dyDescent="0.25">
      <c r="B2718" s="21">
        <v>44994</v>
      </c>
      <c r="C2718" s="27">
        <v>17.966200000000001</v>
      </c>
      <c r="E2718" s="27">
        <v>0.946519</v>
      </c>
      <c r="G2718" s="27">
        <v>200.14602199999999</v>
      </c>
      <c r="I2718" s="27">
        <v>6.9105369999999997</v>
      </c>
      <c r="K2718" s="27">
        <v>5.1459099999999998</v>
      </c>
      <c r="M2718" s="27">
        <v>800.53438100000005</v>
      </c>
      <c r="O2718" s="27">
        <v>4752.0979900000002</v>
      </c>
      <c r="Q2718" s="27">
        <v>7215.1615259999999</v>
      </c>
      <c r="S2718" s="27">
        <v>1402.1241219999999</v>
      </c>
      <c r="U2718" s="27">
        <v>3.78789</v>
      </c>
      <c r="W2718" s="27">
        <v>39.263013999999998</v>
      </c>
      <c r="Y2718" s="27">
        <v>7.6299760000000001</v>
      </c>
      <c r="AA2718" s="27">
        <v>551.17451400000004</v>
      </c>
      <c r="AC2718" s="27">
        <v>55.199902000000002</v>
      </c>
      <c r="AE2718" s="27">
        <v>1</v>
      </c>
      <c r="AG2718" s="27">
        <v>7.8054839999999999</v>
      </c>
      <c r="AI2718" s="27">
        <v>8.75</v>
      </c>
      <c r="AK2718" s="27">
        <v>24.663219999999999</v>
      </c>
      <c r="AM2718" s="27">
        <v>36.510198000000003</v>
      </c>
      <c r="AO2718" s="27">
        <v>6.7868180000000002</v>
      </c>
    </row>
    <row r="2719" spans="2:41" x14ac:dyDescent="0.25">
      <c r="B2719" s="21">
        <v>44995</v>
      </c>
      <c r="C2719" s="27">
        <v>18.057700000000001</v>
      </c>
      <c r="E2719" s="27">
        <v>0.94184400000000001</v>
      </c>
      <c r="G2719" s="27">
        <v>200.50826799999999</v>
      </c>
      <c r="I2719" s="27">
        <v>6.9019149999999998</v>
      </c>
      <c r="K2719" s="27">
        <v>5.18133</v>
      </c>
      <c r="M2719" s="27">
        <v>796.85241099999996</v>
      </c>
      <c r="O2719" s="27">
        <v>4738.4683240000004</v>
      </c>
      <c r="Q2719" s="27">
        <v>7183.2004139999999</v>
      </c>
      <c r="S2719" s="27">
        <v>1386.370498</v>
      </c>
      <c r="U2719" s="27">
        <v>3.7849919999999999</v>
      </c>
      <c r="W2719" s="27">
        <v>39.205323999999997</v>
      </c>
      <c r="Y2719" s="27">
        <v>7.5666820000000001</v>
      </c>
      <c r="AA2719" s="27">
        <v>548.40445399999999</v>
      </c>
      <c r="AC2719" s="27">
        <v>55.060034999999999</v>
      </c>
      <c r="AE2719" s="27">
        <v>1</v>
      </c>
      <c r="AG2719" s="27">
        <v>7.7977169999999996</v>
      </c>
      <c r="AI2719" s="27">
        <v>8.75</v>
      </c>
      <c r="AK2719" s="27">
        <v>24.625904999999999</v>
      </c>
      <c r="AM2719" s="27">
        <v>36.475757999999999</v>
      </c>
      <c r="AO2719" s="27">
        <v>6.7839650000000002</v>
      </c>
    </row>
    <row r="2720" spans="2:41" x14ac:dyDescent="0.25">
      <c r="B2720" s="21">
        <v>44996</v>
      </c>
      <c r="C2720" s="27">
        <v>18.057700000000001</v>
      </c>
      <c r="E2720" s="27">
        <v>0.93997399999999998</v>
      </c>
      <c r="G2720" s="27">
        <v>200.76309599999999</v>
      </c>
      <c r="I2720" s="27">
        <v>6.8827069999999999</v>
      </c>
      <c r="K2720" s="27">
        <v>5.2169999999999996</v>
      </c>
      <c r="M2720" s="27">
        <v>798.0625</v>
      </c>
      <c r="O2720" s="27">
        <v>4718.6925000000001</v>
      </c>
      <c r="Q2720" s="27">
        <v>7168.1501980000003</v>
      </c>
      <c r="S2720" s="27">
        <v>1374.0053660000001</v>
      </c>
      <c r="U2720" s="27">
        <v>3.766467</v>
      </c>
      <c r="W2720" s="27">
        <v>39.092847999999996</v>
      </c>
      <c r="Y2720" s="27">
        <v>7.4933880000000004</v>
      </c>
      <c r="AA2720" s="27">
        <v>545.86571800000002</v>
      </c>
      <c r="AC2720" s="27">
        <v>54.912626000000003</v>
      </c>
      <c r="AE2720" s="27">
        <v>1</v>
      </c>
      <c r="AG2720" s="27">
        <v>7.7782830000000001</v>
      </c>
      <c r="AI2720" s="27">
        <v>8.75</v>
      </c>
      <c r="AK2720" s="27">
        <v>24.541684</v>
      </c>
      <c r="AM2720" s="27">
        <v>36.397227999999998</v>
      </c>
      <c r="AO2720" s="27">
        <v>6.768211</v>
      </c>
    </row>
    <row r="2721" spans="2:41" x14ac:dyDescent="0.25">
      <c r="B2721" s="21">
        <v>44997</v>
      </c>
      <c r="C2721" s="27">
        <v>18.057700000000001</v>
      </c>
      <c r="E2721" s="27">
        <v>0.93941399999999997</v>
      </c>
      <c r="G2721" s="27">
        <v>200.47779</v>
      </c>
      <c r="I2721" s="27">
        <v>6.8826349999999996</v>
      </c>
      <c r="K2721" s="27">
        <v>5.2170050000000003</v>
      </c>
      <c r="M2721" s="27">
        <v>797.94157399999995</v>
      </c>
      <c r="O2721" s="27">
        <v>4718.7898619999996</v>
      </c>
      <c r="Q2721" s="27">
        <v>7168.1011660000004</v>
      </c>
      <c r="S2721" s="27">
        <v>1373.994858</v>
      </c>
      <c r="U2721" s="27">
        <v>3.7664599999999999</v>
      </c>
      <c r="W2721" s="27">
        <v>39.094797999999997</v>
      </c>
      <c r="Y2721" s="27">
        <v>7.4937560000000003</v>
      </c>
      <c r="AA2721" s="27">
        <v>545.85736399999996</v>
      </c>
      <c r="AC2721" s="27">
        <v>54.912284</v>
      </c>
      <c r="AE2721" s="27">
        <v>1</v>
      </c>
      <c r="AG2721" s="27">
        <v>7.7780639999999996</v>
      </c>
      <c r="AI2721" s="27">
        <v>8.75</v>
      </c>
      <c r="AK2721" s="27">
        <v>24.541658000000002</v>
      </c>
      <c r="AM2721" s="27">
        <v>36.397170000000003</v>
      </c>
      <c r="AO2721" s="27">
        <v>6.7681560000000003</v>
      </c>
    </row>
    <row r="2722" spans="2:41" x14ac:dyDescent="0.25">
      <c r="B2722" s="21">
        <v>44998</v>
      </c>
      <c r="C2722" s="27">
        <v>18.408300000000001</v>
      </c>
      <c r="E2722" s="27">
        <v>0.93355399999999999</v>
      </c>
      <c r="G2722" s="27">
        <v>200.00429</v>
      </c>
      <c r="I2722" s="27">
        <v>6.8972379999999998</v>
      </c>
      <c r="K2722" s="27">
        <v>5.2323219999999999</v>
      </c>
      <c r="M2722" s="27">
        <v>800.02289399999995</v>
      </c>
      <c r="O2722" s="27">
        <v>4737.6470060000001</v>
      </c>
      <c r="Q2722" s="27">
        <v>7177.7069620000002</v>
      </c>
      <c r="S2722" s="27">
        <v>1371.8098560000001</v>
      </c>
      <c r="U2722" s="27">
        <v>3.7794300000000001</v>
      </c>
      <c r="W2722" s="27">
        <v>39.186774999999997</v>
      </c>
      <c r="Y2722" s="27">
        <v>7.4894020000000001</v>
      </c>
      <c r="AA2722" s="27">
        <v>546.32272399999999</v>
      </c>
      <c r="AC2722" s="27">
        <v>54.904910000000001</v>
      </c>
      <c r="AE2722" s="27">
        <v>1</v>
      </c>
      <c r="AG2722" s="27">
        <v>7.791804</v>
      </c>
      <c r="AI2722" s="27">
        <v>8.75</v>
      </c>
      <c r="AK2722" s="27">
        <v>24.583046</v>
      </c>
      <c r="AM2722" s="27">
        <v>36.446067999999997</v>
      </c>
      <c r="AO2722" s="27">
        <v>6.7731950000000003</v>
      </c>
    </row>
    <row r="2723" spans="2:41" x14ac:dyDescent="0.25">
      <c r="B2723" s="21">
        <v>44999</v>
      </c>
      <c r="C2723" s="27">
        <v>18.830200000000001</v>
      </c>
      <c r="E2723" s="27">
        <v>0.93304200000000004</v>
      </c>
      <c r="G2723" s="27">
        <v>201.28913800000001</v>
      </c>
      <c r="I2723" s="27">
        <v>6.897888</v>
      </c>
      <c r="K2723" s="27">
        <v>5.2471649999999999</v>
      </c>
      <c r="M2723" s="27">
        <v>802.84144800000001</v>
      </c>
      <c r="O2723" s="27">
        <v>4757.2774760000002</v>
      </c>
      <c r="Q2723" s="27">
        <v>7179.825562</v>
      </c>
      <c r="S2723" s="27">
        <v>1368.3329000000001</v>
      </c>
      <c r="U2723" s="27">
        <v>3.787239</v>
      </c>
      <c r="W2723" s="27">
        <v>39.177737999999998</v>
      </c>
      <c r="Y2723" s="27">
        <v>7.4664859999999997</v>
      </c>
      <c r="AA2723" s="27">
        <v>545.83896200000004</v>
      </c>
      <c r="AC2723" s="27">
        <v>54.839793999999998</v>
      </c>
      <c r="AE2723" s="27">
        <v>1</v>
      </c>
      <c r="AG2723" s="27">
        <v>7.786486</v>
      </c>
      <c r="AI2723" s="27">
        <v>8.75</v>
      </c>
      <c r="AK2723" s="27">
        <v>24.614032000000002</v>
      </c>
      <c r="AM2723" s="27">
        <v>36.487842000000001</v>
      </c>
      <c r="AO2723" s="27">
        <v>6.7749620000000004</v>
      </c>
    </row>
    <row r="2724" spans="2:41" x14ac:dyDescent="0.25">
      <c r="B2724" s="21">
        <v>45000</v>
      </c>
      <c r="C2724" s="27">
        <v>18.642700000000001</v>
      </c>
      <c r="E2724" s="27">
        <v>0.93971000000000005</v>
      </c>
      <c r="G2724" s="27">
        <v>202.29144400000001</v>
      </c>
      <c r="I2724" s="27">
        <v>6.9031599999999997</v>
      </c>
      <c r="K2724" s="27">
        <v>5.2760220000000002</v>
      </c>
      <c r="M2724" s="27">
        <v>810.97515199999998</v>
      </c>
      <c r="O2724" s="27">
        <v>4785.0828629999996</v>
      </c>
      <c r="Q2724" s="27">
        <v>7183.1512780000003</v>
      </c>
      <c r="S2724" s="27">
        <v>1361.4794420000001</v>
      </c>
      <c r="U2724" s="27">
        <v>3.7932809999999999</v>
      </c>
      <c r="W2724" s="27">
        <v>39.279384</v>
      </c>
      <c r="Y2724" s="27">
        <v>7.4449149999999999</v>
      </c>
      <c r="AA2724" s="27">
        <v>545.497074</v>
      </c>
      <c r="AC2724" s="27">
        <v>54.907497999999997</v>
      </c>
      <c r="AE2724" s="27">
        <v>1</v>
      </c>
      <c r="AG2724" s="27">
        <v>7.7915679999999998</v>
      </c>
      <c r="AI2724" s="27">
        <v>8.75</v>
      </c>
      <c r="AK2724" s="27">
        <v>24.653804000000001</v>
      </c>
      <c r="AM2724" s="27">
        <v>36.545816000000002</v>
      </c>
      <c r="AO2724" s="27">
        <v>6.7827380000000002</v>
      </c>
    </row>
    <row r="2725" spans="2:41" x14ac:dyDescent="0.25">
      <c r="B2725" s="21">
        <v>45001</v>
      </c>
      <c r="C2725" s="27">
        <v>18.997199999999999</v>
      </c>
      <c r="E2725" s="27">
        <v>0.94293199999999999</v>
      </c>
      <c r="G2725" s="27">
        <v>202.73267000000001</v>
      </c>
      <c r="I2725" s="27">
        <v>6.9046279999999998</v>
      </c>
      <c r="K2725" s="27">
        <v>5.2746779999999998</v>
      </c>
      <c r="M2725" s="27">
        <v>822.41574400000002</v>
      </c>
      <c r="O2725" s="27">
        <v>4851.7912980000001</v>
      </c>
      <c r="Q2725" s="27">
        <v>7185.3972279999998</v>
      </c>
      <c r="S2725" s="27">
        <v>1362.2520039999999</v>
      </c>
      <c r="U2725" s="27">
        <v>3.7993260000000002</v>
      </c>
      <c r="W2725" s="27">
        <v>39.361496000000002</v>
      </c>
      <c r="Y2725" s="27">
        <v>7.4623790000000003</v>
      </c>
      <c r="AA2725" s="27">
        <v>544.68860199999995</v>
      </c>
      <c r="AC2725" s="27">
        <v>54.822387999999997</v>
      </c>
      <c r="AE2725" s="27">
        <v>1</v>
      </c>
      <c r="AG2725" s="27">
        <v>7.7927619999999997</v>
      </c>
      <c r="AI2725" s="27">
        <v>8.75</v>
      </c>
      <c r="AK2725" s="27">
        <v>24.665694999999999</v>
      </c>
      <c r="AM2725" s="27">
        <v>36.557296999999998</v>
      </c>
      <c r="AO2725" s="27">
        <v>6.7840340000000001</v>
      </c>
    </row>
    <row r="2726" spans="2:41" x14ac:dyDescent="0.25">
      <c r="B2726" s="21">
        <v>45002</v>
      </c>
      <c r="C2726" s="27">
        <v>18.909500000000001</v>
      </c>
      <c r="E2726" s="27">
        <v>0.93915800000000005</v>
      </c>
      <c r="G2726" s="27">
        <v>203.11358200000001</v>
      </c>
      <c r="I2726" s="27">
        <v>6.899686</v>
      </c>
      <c r="K2726" s="27">
        <v>5.2514500000000002</v>
      </c>
      <c r="M2726" s="27">
        <v>827.632698</v>
      </c>
      <c r="O2726" s="27">
        <v>4848.2554090000003</v>
      </c>
      <c r="Q2726" s="27">
        <v>7186.9418519999999</v>
      </c>
      <c r="S2726" s="27">
        <v>1368.5716399999999</v>
      </c>
      <c r="U2726" s="27">
        <v>3.7975120000000002</v>
      </c>
      <c r="W2726" s="27">
        <v>39.367832</v>
      </c>
      <c r="Y2726" s="27">
        <v>7.4965919999999997</v>
      </c>
      <c r="AA2726" s="27">
        <v>542.96263599999997</v>
      </c>
      <c r="AC2726" s="27">
        <v>54.712192000000002</v>
      </c>
      <c r="AE2726" s="27">
        <v>1</v>
      </c>
      <c r="AG2726" s="27">
        <v>7.7862099999999996</v>
      </c>
      <c r="AI2726" s="27">
        <v>8.75</v>
      </c>
      <c r="AK2726" s="27">
        <v>24.658749</v>
      </c>
      <c r="AM2726" s="27">
        <v>36.513680000000001</v>
      </c>
      <c r="AO2726" s="27">
        <v>6.7767910000000002</v>
      </c>
    </row>
    <row r="2727" spans="2:41" x14ac:dyDescent="0.25">
      <c r="B2727" s="21">
        <v>45003</v>
      </c>
      <c r="C2727" s="27">
        <v>18.909500000000001</v>
      </c>
      <c r="E2727" s="27">
        <v>0.93759800000000004</v>
      </c>
      <c r="G2727" s="27">
        <v>203.3338</v>
      </c>
      <c r="I2727" s="27">
        <v>6.888522</v>
      </c>
      <c r="K2727" s="27">
        <v>5.2793999999999999</v>
      </c>
      <c r="M2727" s="27">
        <v>828.78499999999997</v>
      </c>
      <c r="O2727" s="27">
        <v>4849.1625000000004</v>
      </c>
      <c r="Q2727" s="27">
        <v>7184.0779899999998</v>
      </c>
      <c r="S2727" s="27">
        <v>1360.782136</v>
      </c>
      <c r="U2727" s="27">
        <v>3.7922479999999998</v>
      </c>
      <c r="W2727" s="27">
        <v>39.419865999999999</v>
      </c>
      <c r="Y2727" s="27">
        <v>7.4667539999999999</v>
      </c>
      <c r="AA2727" s="27">
        <v>541.73354099999995</v>
      </c>
      <c r="AC2727" s="27">
        <v>54.604937999999997</v>
      </c>
      <c r="AE2727" s="27">
        <v>1</v>
      </c>
      <c r="AG2727" s="27">
        <v>7.7753180000000004</v>
      </c>
      <c r="AI2727" s="27">
        <v>8.75</v>
      </c>
      <c r="AK2727" s="27">
        <v>24.677250000000001</v>
      </c>
      <c r="AM2727" s="27">
        <v>36.443959999999997</v>
      </c>
      <c r="AO2727" s="27">
        <v>6.7660819999999999</v>
      </c>
    </row>
    <row r="2728" spans="2:41" x14ac:dyDescent="0.25">
      <c r="B2728" s="21">
        <v>45004</v>
      </c>
      <c r="C2728" s="27">
        <v>18.909500000000001</v>
      </c>
      <c r="E2728" s="27">
        <v>0.93744400000000006</v>
      </c>
      <c r="G2728" s="27">
        <v>203.16708700000001</v>
      </c>
      <c r="I2728" s="27">
        <v>6.888522</v>
      </c>
      <c r="K2728" s="27">
        <v>5.2793999999999999</v>
      </c>
      <c r="M2728" s="27">
        <v>828.83777799999996</v>
      </c>
      <c r="O2728" s="27">
        <v>4849.1625000000004</v>
      </c>
      <c r="Q2728" s="27">
        <v>7184.0779899999998</v>
      </c>
      <c r="S2728" s="27">
        <v>1360.7823069999999</v>
      </c>
      <c r="U2728" s="27">
        <v>3.7922539999999998</v>
      </c>
      <c r="W2728" s="27">
        <v>39.419865999999999</v>
      </c>
      <c r="Y2728" s="27">
        <v>7.466755</v>
      </c>
      <c r="AA2728" s="27">
        <v>541.73354099999995</v>
      </c>
      <c r="AC2728" s="27">
        <v>54.604937999999997</v>
      </c>
      <c r="AE2728" s="27">
        <v>1</v>
      </c>
      <c r="AG2728" s="27">
        <v>7.7753870000000003</v>
      </c>
      <c r="AI2728" s="27">
        <v>8.75</v>
      </c>
      <c r="AK2728" s="27">
        <v>24.677289999999999</v>
      </c>
      <c r="AM2728" s="27">
        <v>36.443959999999997</v>
      </c>
      <c r="AO2728" s="27">
        <v>6.7660819999999999</v>
      </c>
    </row>
    <row r="2729" spans="2:41" x14ac:dyDescent="0.25">
      <c r="B2729" s="21">
        <v>45005</v>
      </c>
      <c r="C2729" s="27">
        <v>18.909500000000001</v>
      </c>
      <c r="E2729" s="27">
        <v>0.93486000000000002</v>
      </c>
      <c r="G2729" s="27">
        <v>203.519823</v>
      </c>
      <c r="I2729" s="27">
        <v>6.8713790000000001</v>
      </c>
      <c r="K2729" s="27">
        <v>5.2600170000000004</v>
      </c>
      <c r="M2729" s="27">
        <v>827.54653099999996</v>
      </c>
      <c r="O2729" s="27">
        <v>4835.494702</v>
      </c>
      <c r="Q2729" s="27">
        <v>7169.4456559999999</v>
      </c>
      <c r="S2729" s="27">
        <v>1363.016854</v>
      </c>
      <c r="U2729" s="27">
        <v>3.7828349999999999</v>
      </c>
      <c r="W2729" s="27">
        <v>39.534312</v>
      </c>
      <c r="Y2729" s="27">
        <v>7.5160359999999997</v>
      </c>
      <c r="AA2729" s="27">
        <v>542.23310300000003</v>
      </c>
      <c r="AC2729" s="27">
        <v>54.538038</v>
      </c>
      <c r="AE2729" s="27">
        <v>1</v>
      </c>
      <c r="AG2729" s="27">
        <v>7.7683660000000003</v>
      </c>
      <c r="AI2729" s="27">
        <v>8.75</v>
      </c>
      <c r="AK2729" s="27">
        <v>24.554354</v>
      </c>
      <c r="AM2729" s="27">
        <v>36.415387000000003</v>
      </c>
      <c r="AO2729" s="27">
        <v>6.7500660000000003</v>
      </c>
    </row>
    <row r="2730" spans="2:41" x14ac:dyDescent="0.25">
      <c r="B2730" s="21">
        <v>45006</v>
      </c>
      <c r="C2730" s="27">
        <v>18.8977</v>
      </c>
      <c r="E2730" s="27">
        <v>0.93038699999999996</v>
      </c>
      <c r="G2730" s="27">
        <v>204.72706600000001</v>
      </c>
      <c r="I2730" s="27">
        <v>6.8576420000000002</v>
      </c>
      <c r="K2730" s="27">
        <v>5.2393679999999998</v>
      </c>
      <c r="M2730" s="27">
        <v>823.71294899999998</v>
      </c>
      <c r="O2730" s="27">
        <v>4814.7398080000003</v>
      </c>
      <c r="Q2730" s="27">
        <v>7154.9455319999997</v>
      </c>
      <c r="S2730" s="27">
        <v>1365.6206340000001</v>
      </c>
      <c r="U2730" s="27">
        <v>3.7670599999999999</v>
      </c>
      <c r="W2730" s="27">
        <v>39.510973999999997</v>
      </c>
      <c r="Y2730" s="27">
        <v>7.5411999999999999</v>
      </c>
      <c r="AA2730" s="27">
        <v>540.45521299999996</v>
      </c>
      <c r="AC2730" s="27">
        <v>54.468248000000003</v>
      </c>
      <c r="AE2730" s="27">
        <v>1</v>
      </c>
      <c r="AG2730" s="27">
        <v>7.7428980000000003</v>
      </c>
      <c r="AI2730" s="27">
        <v>8.75</v>
      </c>
      <c r="AK2730" s="27">
        <v>24.485263</v>
      </c>
      <c r="AM2730" s="27">
        <v>36.310952</v>
      </c>
      <c r="AO2730" s="27">
        <v>6.7383660000000001</v>
      </c>
    </row>
    <row r="2731" spans="2:41" x14ac:dyDescent="0.25">
      <c r="B2731" s="21">
        <v>45007</v>
      </c>
      <c r="C2731" s="27">
        <v>18.6755</v>
      </c>
      <c r="E2731" s="27">
        <v>0.92589900000000003</v>
      </c>
      <c r="G2731" s="27">
        <v>205.14078000000001</v>
      </c>
      <c r="I2731" s="27">
        <v>6.8722820000000002</v>
      </c>
      <c r="K2731" s="27">
        <v>5.2432809999999996</v>
      </c>
      <c r="M2731" s="27">
        <v>819.06941400000005</v>
      </c>
      <c r="O2731" s="27">
        <v>4798.1327609999998</v>
      </c>
      <c r="Q2731" s="27">
        <v>7157.2548399999996</v>
      </c>
      <c r="S2731" s="27">
        <v>1365.042422</v>
      </c>
      <c r="U2731" s="27">
        <v>3.7635939999999999</v>
      </c>
      <c r="W2731" s="27">
        <v>39.281140000000001</v>
      </c>
      <c r="Y2731" s="27">
        <v>7.4917400000000001</v>
      </c>
      <c r="AA2731" s="27">
        <v>539.72201199999995</v>
      </c>
      <c r="AC2731" s="27">
        <v>54.446725999999998</v>
      </c>
      <c r="AE2731" s="27">
        <v>1</v>
      </c>
      <c r="AG2731" s="27">
        <v>7.7435029999999996</v>
      </c>
      <c r="AI2731" s="27">
        <v>8.75</v>
      </c>
      <c r="AK2731" s="27">
        <v>24.489018000000002</v>
      </c>
      <c r="AM2731" s="27">
        <v>36.317196000000003</v>
      </c>
      <c r="AO2731" s="27">
        <v>6.7419880000000001</v>
      </c>
    </row>
    <row r="2732" spans="2:41" x14ac:dyDescent="0.25">
      <c r="B2732" s="21">
        <v>45008</v>
      </c>
      <c r="C2732" s="27">
        <v>18.543700000000001</v>
      </c>
      <c r="E2732" s="27">
        <v>0.91925199999999996</v>
      </c>
      <c r="G2732" s="27">
        <v>205.54906800000001</v>
      </c>
      <c r="I2732" s="27">
        <v>6.9045100000000001</v>
      </c>
      <c r="K2732" s="27">
        <v>5.2563599999999999</v>
      </c>
      <c r="M2732" s="27">
        <v>808.39370299999996</v>
      </c>
      <c r="O2732" s="27">
        <v>4764.5101549999999</v>
      </c>
      <c r="Q2732" s="27">
        <v>7174.2611470000002</v>
      </c>
      <c r="S2732" s="27">
        <v>1364.880868</v>
      </c>
      <c r="U2732" s="27">
        <v>3.7726139999999999</v>
      </c>
      <c r="W2732" s="27">
        <v>39.095587999999999</v>
      </c>
      <c r="Y2732" s="27">
        <v>7.4378029999999997</v>
      </c>
      <c r="AA2732" s="27">
        <v>539.39505799999995</v>
      </c>
      <c r="AC2732" s="27">
        <v>54.668433999999998</v>
      </c>
      <c r="AE2732" s="27">
        <v>1</v>
      </c>
      <c r="AG2732" s="27">
        <v>7.7871779999999999</v>
      </c>
      <c r="AI2732" s="27">
        <v>8.75</v>
      </c>
      <c r="AK2732" s="27">
        <v>24.480136000000002</v>
      </c>
      <c r="AM2732" s="27">
        <v>36.500318</v>
      </c>
      <c r="AO2732" s="27">
        <v>6.7419399999999996</v>
      </c>
    </row>
    <row r="2733" spans="2:41" x14ac:dyDescent="0.25">
      <c r="B2733" s="21">
        <v>45009</v>
      </c>
      <c r="C2733" s="27">
        <v>18.490200000000002</v>
      </c>
      <c r="E2733" s="27">
        <v>0.92760299999999996</v>
      </c>
      <c r="G2733" s="27">
        <v>205.72013000000001</v>
      </c>
      <c r="I2733" s="27">
        <v>6.9042529999999998</v>
      </c>
      <c r="K2733" s="27">
        <v>5.2825879999999996</v>
      </c>
      <c r="M2733" s="27">
        <v>809.34434199999998</v>
      </c>
      <c r="O2733" s="27">
        <v>4753.2914719999999</v>
      </c>
      <c r="Q2733" s="27">
        <v>7180.2833579999997</v>
      </c>
      <c r="S2733" s="27">
        <v>1359.2443559999999</v>
      </c>
      <c r="U2733" s="27">
        <v>3.7696420000000002</v>
      </c>
      <c r="W2733" s="27">
        <v>39.000717999999999</v>
      </c>
      <c r="Y2733" s="27">
        <v>7.3829140000000004</v>
      </c>
      <c r="AA2733" s="27">
        <v>539.54755899999998</v>
      </c>
      <c r="AC2733" s="27">
        <v>54.722079999999998</v>
      </c>
      <c r="AE2733" s="27">
        <v>1</v>
      </c>
      <c r="AG2733" s="27">
        <v>7.7917860000000001</v>
      </c>
      <c r="AI2733" s="27">
        <v>8.75</v>
      </c>
      <c r="AK2733" s="27">
        <v>24.610854</v>
      </c>
      <c r="AM2733" s="27">
        <v>36.535587999999997</v>
      </c>
      <c r="AO2733" s="27">
        <v>6.784643</v>
      </c>
    </row>
    <row r="2734" spans="2:41" x14ac:dyDescent="0.25">
      <c r="B2734" s="21">
        <v>45010</v>
      </c>
      <c r="C2734" s="27">
        <v>18.490200000000002</v>
      </c>
      <c r="E2734" s="27">
        <v>0.92938100000000001</v>
      </c>
      <c r="G2734" s="27">
        <v>205.67054999999999</v>
      </c>
      <c r="I2734" s="27">
        <v>6.90801</v>
      </c>
      <c r="K2734" s="27">
        <v>5.2461349999999998</v>
      </c>
      <c r="M2734" s="27">
        <v>810.5</v>
      </c>
      <c r="O2734" s="27">
        <v>4749.2075000000004</v>
      </c>
      <c r="Q2734" s="27">
        <v>7185.3126179999999</v>
      </c>
      <c r="S2734" s="27">
        <v>1369.648876</v>
      </c>
      <c r="U2734" s="27">
        <v>3.7718780000000001</v>
      </c>
      <c r="W2734" s="27">
        <v>38.89049</v>
      </c>
      <c r="Y2734" s="27">
        <v>7.4132020000000001</v>
      </c>
      <c r="AA2734" s="27">
        <v>539.98403199999996</v>
      </c>
      <c r="AC2734" s="27">
        <v>54.773035</v>
      </c>
      <c r="AE2734" s="27">
        <v>1</v>
      </c>
      <c r="AG2734" s="27">
        <v>7.7998779999999996</v>
      </c>
      <c r="AI2734" s="27">
        <v>8.75</v>
      </c>
      <c r="AK2734" s="27">
        <v>24.635190000000001</v>
      </c>
      <c r="AM2734" s="27">
        <v>36.56955</v>
      </c>
      <c r="AO2734" s="27">
        <v>6.79216</v>
      </c>
    </row>
    <row r="2735" spans="2:41" x14ac:dyDescent="0.25">
      <c r="B2735" s="21">
        <v>45011</v>
      </c>
      <c r="C2735" s="27">
        <v>18.490200000000002</v>
      </c>
      <c r="E2735" s="27">
        <v>0.92923</v>
      </c>
      <c r="G2735" s="27">
        <v>205.65310199999999</v>
      </c>
      <c r="I2735" s="27">
        <v>6.90801</v>
      </c>
      <c r="K2735" s="27">
        <v>5.2462619999999998</v>
      </c>
      <c r="M2735" s="27">
        <v>810.52092600000003</v>
      </c>
      <c r="O2735" s="27">
        <v>4749.2528510000002</v>
      </c>
      <c r="Q2735" s="27">
        <v>7185.3126179999999</v>
      </c>
      <c r="S2735" s="27">
        <v>1369.61628</v>
      </c>
      <c r="U2735" s="27">
        <v>3.7718780000000001</v>
      </c>
      <c r="W2735" s="27">
        <v>38.89049</v>
      </c>
      <c r="Y2735" s="27">
        <v>7.4130250000000002</v>
      </c>
      <c r="AA2735" s="27">
        <v>539.98403199999996</v>
      </c>
      <c r="AC2735" s="27">
        <v>54.773035</v>
      </c>
      <c r="AE2735" s="27">
        <v>1</v>
      </c>
      <c r="AG2735" s="27">
        <v>7.7998779999999996</v>
      </c>
      <c r="AI2735" s="27">
        <v>8.75</v>
      </c>
      <c r="AK2735" s="27">
        <v>24.635190000000001</v>
      </c>
      <c r="AM2735" s="27">
        <v>36.56955</v>
      </c>
      <c r="AO2735" s="27">
        <v>6.79216</v>
      </c>
    </row>
    <row r="2736" spans="2:41" x14ac:dyDescent="0.25">
      <c r="B2736" s="21">
        <v>45012</v>
      </c>
      <c r="C2736" s="27">
        <v>18.517800000000001</v>
      </c>
      <c r="E2736" s="27">
        <v>0.92776599999999998</v>
      </c>
      <c r="G2736" s="27">
        <v>206.10743400000001</v>
      </c>
      <c r="I2736" s="27">
        <v>6.9061159999999999</v>
      </c>
      <c r="K2736" s="27">
        <v>5.2381279999999997</v>
      </c>
      <c r="M2736" s="27">
        <v>809.40136800000005</v>
      </c>
      <c r="O2736" s="27">
        <v>4732.1264739999997</v>
      </c>
      <c r="Q2736" s="27">
        <v>7176.6948620000003</v>
      </c>
      <c r="S2736" s="27">
        <v>1370.0970930000001</v>
      </c>
      <c r="U2736" s="27">
        <v>3.7705639999999998</v>
      </c>
      <c r="W2736" s="27">
        <v>38.811475000000002</v>
      </c>
      <c r="Y2736" s="27">
        <v>7.4094499999999996</v>
      </c>
      <c r="AA2736" s="27">
        <v>540.21524999999997</v>
      </c>
      <c r="AC2736" s="27">
        <v>54.737203999999998</v>
      </c>
      <c r="AE2736" s="27">
        <v>1</v>
      </c>
      <c r="AG2736" s="27">
        <v>7.7975960000000004</v>
      </c>
      <c r="AI2736" s="27">
        <v>8.75</v>
      </c>
      <c r="AK2736" s="27">
        <v>24.628589999999999</v>
      </c>
      <c r="AM2736" s="27">
        <v>36.543650999999997</v>
      </c>
      <c r="AO2736" s="27">
        <v>6.7906899999999997</v>
      </c>
    </row>
    <row r="2737" spans="2:41" x14ac:dyDescent="0.25">
      <c r="B2737" s="21">
        <v>45013</v>
      </c>
      <c r="C2737" s="27">
        <v>18.382999999999999</v>
      </c>
      <c r="E2737" s="27">
        <v>0.92352699999999999</v>
      </c>
      <c r="G2737" s="27">
        <v>207.075073</v>
      </c>
      <c r="I2737" s="27">
        <v>6.9036819999999999</v>
      </c>
      <c r="K2737" s="27">
        <v>5.1982390000000001</v>
      </c>
      <c r="M2737" s="27">
        <v>804.53947800000003</v>
      </c>
      <c r="O2737" s="27">
        <v>4690.9138560000001</v>
      </c>
      <c r="Q2737" s="27">
        <v>7172.8852610000004</v>
      </c>
      <c r="S2737" s="27">
        <v>1379.8774940000001</v>
      </c>
      <c r="U2737" s="27">
        <v>3.7677260000000001</v>
      </c>
      <c r="W2737" s="27">
        <v>38.80153</v>
      </c>
      <c r="Y2737" s="27">
        <v>7.4643920000000001</v>
      </c>
      <c r="AA2737" s="27">
        <v>540.99512500000003</v>
      </c>
      <c r="AC2737" s="27">
        <v>54.732343</v>
      </c>
      <c r="AE2737" s="27">
        <v>1</v>
      </c>
      <c r="AG2737" s="27">
        <v>7.7914320000000004</v>
      </c>
      <c r="AI2737" s="27">
        <v>8.75</v>
      </c>
      <c r="AK2737" s="27">
        <v>24.626086999999998</v>
      </c>
      <c r="AM2737" s="27">
        <v>36.516815999999999</v>
      </c>
      <c r="AO2737" s="27">
        <v>6.7846650000000004</v>
      </c>
    </row>
    <row r="2738" spans="2:41" x14ac:dyDescent="0.25">
      <c r="B2738" s="21">
        <v>45014</v>
      </c>
      <c r="C2738" s="27">
        <v>18.252300000000002</v>
      </c>
      <c r="E2738" s="27">
        <v>0.9224</v>
      </c>
      <c r="G2738" s="27">
        <v>208.025193</v>
      </c>
      <c r="I2738" s="27">
        <v>6.9047679999999998</v>
      </c>
      <c r="K2738" s="27">
        <v>5.1551879999999999</v>
      </c>
      <c r="M2738" s="27">
        <v>795.58353599999998</v>
      </c>
      <c r="O2738" s="27">
        <v>4653.153714</v>
      </c>
      <c r="Q2738" s="27">
        <v>7176.0262460000004</v>
      </c>
      <c r="S2738" s="27">
        <v>1392.008979</v>
      </c>
      <c r="U2738" s="27">
        <v>3.762308</v>
      </c>
      <c r="W2738" s="27">
        <v>38.822690000000001</v>
      </c>
      <c r="Y2738" s="27">
        <v>7.5308320000000002</v>
      </c>
      <c r="AA2738" s="27">
        <v>540.98289</v>
      </c>
      <c r="AC2738" s="27">
        <v>54.790002000000001</v>
      </c>
      <c r="AE2738" s="27">
        <v>1</v>
      </c>
      <c r="AG2738" s="27">
        <v>7.7887579999999996</v>
      </c>
      <c r="AI2738" s="27">
        <v>8.75</v>
      </c>
      <c r="AK2738" s="27">
        <v>24.641062000000002</v>
      </c>
      <c r="AM2738" s="27">
        <v>36.545999999999999</v>
      </c>
      <c r="AO2738" s="27">
        <v>6.7829980000000001</v>
      </c>
    </row>
    <row r="2739" spans="2:41" x14ac:dyDescent="0.25">
      <c r="B2739" s="21">
        <v>45015</v>
      </c>
      <c r="C2739" s="27">
        <v>18.1052</v>
      </c>
      <c r="E2739" s="27">
        <v>0.91941200000000001</v>
      </c>
      <c r="G2739" s="27">
        <v>208.42624799999999</v>
      </c>
      <c r="I2739" s="27">
        <v>6.90883</v>
      </c>
      <c r="K2739" s="27">
        <v>5.1199440000000003</v>
      </c>
      <c r="M2739" s="27">
        <v>790.85157400000003</v>
      </c>
      <c r="O2739" s="27">
        <v>4635.5994039999996</v>
      </c>
      <c r="Q2739" s="27">
        <v>7175.1115300000001</v>
      </c>
      <c r="S2739" s="27">
        <v>1401.4128499999999</v>
      </c>
      <c r="U2739" s="27">
        <v>3.754788</v>
      </c>
      <c r="W2739" s="27">
        <v>38.775846000000001</v>
      </c>
      <c r="Y2739" s="27">
        <v>7.5735200000000003</v>
      </c>
      <c r="AA2739" s="27">
        <v>540.50025800000003</v>
      </c>
      <c r="AC2739" s="27">
        <v>54.790692</v>
      </c>
      <c r="AE2739" s="27">
        <v>1</v>
      </c>
      <c r="AG2739" s="27">
        <v>7.7935299999999996</v>
      </c>
      <c r="AI2739" s="27">
        <v>8.75</v>
      </c>
      <c r="AK2739" s="27">
        <v>24.648617999999999</v>
      </c>
      <c r="AM2739" s="27">
        <v>36.572840999999997</v>
      </c>
      <c r="AO2739" s="27">
        <v>6.7870660000000003</v>
      </c>
    </row>
    <row r="2740" spans="2:41" x14ac:dyDescent="0.25">
      <c r="B2740" s="21">
        <v>45016</v>
      </c>
      <c r="C2740" s="27">
        <v>18.0932</v>
      </c>
      <c r="E2740" s="27">
        <v>0.91929799999999995</v>
      </c>
      <c r="G2740" s="27">
        <v>208.75639000000001</v>
      </c>
      <c r="I2740" s="27">
        <v>6.9038339999999998</v>
      </c>
      <c r="K2740" s="27">
        <v>5.0824639999999999</v>
      </c>
      <c r="M2740" s="27">
        <v>790.29363599999999</v>
      </c>
      <c r="O2740" s="27">
        <v>4645.9620789999999</v>
      </c>
      <c r="Q2740" s="27">
        <v>7156.2469860000001</v>
      </c>
      <c r="S2740" s="27">
        <v>1408.037102</v>
      </c>
      <c r="U2740" s="27">
        <v>3.7571569999999999</v>
      </c>
      <c r="W2740" s="27">
        <v>38.814467</v>
      </c>
      <c r="Y2740" s="27">
        <v>7.6369720000000001</v>
      </c>
      <c r="AA2740" s="27">
        <v>540.25048400000003</v>
      </c>
      <c r="AC2740" s="27">
        <v>54.798161999999998</v>
      </c>
      <c r="AE2740" s="27">
        <v>1</v>
      </c>
      <c r="AG2740" s="27">
        <v>7.7900499999999999</v>
      </c>
      <c r="AI2740" s="27">
        <v>8.75</v>
      </c>
      <c r="AK2740" s="27">
        <v>24.644380000000002</v>
      </c>
      <c r="AM2740" s="27">
        <v>36.566229999999997</v>
      </c>
      <c r="AO2740" s="27">
        <v>6.7820989999999997</v>
      </c>
    </row>
    <row r="2741" spans="2:41" ht="13" x14ac:dyDescent="0.3">
      <c r="B2741" s="25" t="s">
        <v>215</v>
      </c>
      <c r="C2741" s="19">
        <v>18.407299999999999</v>
      </c>
      <c r="E2741" s="19">
        <v>0.93459999999999999</v>
      </c>
      <c r="G2741" s="19">
        <v>202.5719</v>
      </c>
      <c r="I2741" s="19">
        <v>6.9005000000000001</v>
      </c>
      <c r="K2741" s="19">
        <v>5.2159000000000004</v>
      </c>
      <c r="M2741" s="19">
        <v>808.70439999999996</v>
      </c>
      <c r="O2741" s="19">
        <v>4765.9404000000004</v>
      </c>
      <c r="Q2741" s="19">
        <v>7199.4603999999999</v>
      </c>
      <c r="S2741" s="19">
        <v>1380.4475</v>
      </c>
      <c r="U2741" s="19">
        <v>3.7791999999999999</v>
      </c>
      <c r="W2741" s="19">
        <v>39.1252</v>
      </c>
      <c r="Y2741" s="19">
        <v>7.5016999999999996</v>
      </c>
      <c r="AA2741" s="19">
        <v>546.59280000000001</v>
      </c>
      <c r="AC2741" s="19">
        <v>54.929000000000002</v>
      </c>
      <c r="AE2741" s="19">
        <v>1</v>
      </c>
      <c r="AG2741" s="19">
        <v>7.7923</v>
      </c>
      <c r="AI2741" s="19">
        <v>8.75</v>
      </c>
      <c r="AK2741" s="19">
        <v>24.621600000000001</v>
      </c>
      <c r="AM2741" s="19">
        <v>36.479500000000002</v>
      </c>
      <c r="AO2741" s="19">
        <v>6.7767999999999997</v>
      </c>
    </row>
    <row r="2742" spans="2:41" x14ac:dyDescent="0.25">
      <c r="B2742" s="21">
        <v>45017</v>
      </c>
      <c r="C2742" s="27">
        <v>18.0932</v>
      </c>
      <c r="E2742" s="27">
        <v>0.92232599999999998</v>
      </c>
      <c r="G2742" s="27">
        <v>208.9854</v>
      </c>
      <c r="I2742" s="27">
        <v>6.8977000000000004</v>
      </c>
      <c r="K2742" s="27">
        <v>5.0633020000000002</v>
      </c>
      <c r="M2742" s="27">
        <v>792.9</v>
      </c>
      <c r="O2742" s="27">
        <v>4650.1274999999996</v>
      </c>
      <c r="Q2742" s="27">
        <v>7141.6226299999998</v>
      </c>
      <c r="S2742" s="27">
        <v>1410.484248</v>
      </c>
      <c r="U2742" s="27">
        <v>3.761698</v>
      </c>
      <c r="W2742" s="27">
        <v>38.806181000000002</v>
      </c>
      <c r="Y2742" s="27">
        <v>7.6642619999999999</v>
      </c>
      <c r="AA2742" s="27">
        <v>539.85035000000005</v>
      </c>
      <c r="AC2742" s="27">
        <v>54.797499999999999</v>
      </c>
      <c r="AE2742" s="27">
        <v>1</v>
      </c>
      <c r="AG2742" s="27">
        <v>7.7848160000000002</v>
      </c>
      <c r="AI2742" s="27">
        <v>8.75</v>
      </c>
      <c r="AK2742" s="27">
        <v>24.659749999999999</v>
      </c>
      <c r="AM2742" s="27">
        <v>36.577249999999999</v>
      </c>
      <c r="AO2742" s="27">
        <v>6.7759580000000001</v>
      </c>
    </row>
    <row r="2743" spans="2:41" x14ac:dyDescent="0.25">
      <c r="B2743" s="21">
        <v>45018</v>
      </c>
      <c r="C2743" s="27">
        <v>18.0932</v>
      </c>
      <c r="E2743" s="27">
        <v>0.92248200000000002</v>
      </c>
      <c r="G2743" s="27">
        <v>209.01808600000001</v>
      </c>
      <c r="I2743" s="27">
        <v>6.897729</v>
      </c>
      <c r="K2743" s="27">
        <v>5.0633590000000002</v>
      </c>
      <c r="M2743" s="27">
        <v>792.77947400000005</v>
      </c>
      <c r="O2743" s="27">
        <v>4650.4552759999997</v>
      </c>
      <c r="Q2743" s="27">
        <v>7141.7062239999996</v>
      </c>
      <c r="S2743" s="27">
        <v>1410.4835399999999</v>
      </c>
      <c r="U2743" s="27">
        <v>3.761682</v>
      </c>
      <c r="W2743" s="27">
        <v>38.806885999999999</v>
      </c>
      <c r="Y2743" s="27">
        <v>7.6643119999999998</v>
      </c>
      <c r="AA2743" s="27">
        <v>539.854152</v>
      </c>
      <c r="AC2743" s="27">
        <v>54.797469999999997</v>
      </c>
      <c r="AE2743" s="27">
        <v>1</v>
      </c>
      <c r="AG2743" s="27">
        <v>7.7848420000000003</v>
      </c>
      <c r="AI2743" s="27">
        <v>8.75</v>
      </c>
      <c r="AK2743" s="27">
        <v>24.659746999999999</v>
      </c>
      <c r="AM2743" s="27">
        <v>36.577277000000002</v>
      </c>
      <c r="AO2743" s="27">
        <v>6.7759900000000002</v>
      </c>
    </row>
    <row r="2744" spans="2:41" x14ac:dyDescent="0.25">
      <c r="B2744" s="21">
        <v>45019</v>
      </c>
      <c r="C2744" s="27">
        <v>18.041499999999999</v>
      </c>
      <c r="E2744" s="27">
        <v>0.92108000000000001</v>
      </c>
      <c r="G2744" s="27">
        <v>209.76286500000001</v>
      </c>
      <c r="I2744" s="27">
        <v>6.9062799999999998</v>
      </c>
      <c r="K2744" s="27">
        <v>5.0646250000000004</v>
      </c>
      <c r="M2744" s="27">
        <v>799.221048</v>
      </c>
      <c r="O2744" s="27">
        <v>4637.598911</v>
      </c>
      <c r="Q2744" s="27">
        <v>7157.7837920000002</v>
      </c>
      <c r="S2744" s="27">
        <v>1413.298088</v>
      </c>
      <c r="U2744" s="27">
        <v>3.7613940000000001</v>
      </c>
      <c r="W2744" s="27">
        <v>38.817072000000003</v>
      </c>
      <c r="Y2744" s="27">
        <v>7.6643840000000001</v>
      </c>
      <c r="AA2744" s="27">
        <v>539.97948399999996</v>
      </c>
      <c r="AC2744" s="27">
        <v>54.793784000000002</v>
      </c>
      <c r="AE2744" s="27">
        <v>1</v>
      </c>
      <c r="AG2744" s="27">
        <v>7.7948279999999999</v>
      </c>
      <c r="AI2744" s="27">
        <v>8.75</v>
      </c>
      <c r="AK2744" s="27">
        <v>24.646063999999999</v>
      </c>
      <c r="AM2744" s="27">
        <v>36.573507999999997</v>
      </c>
      <c r="AO2744" s="27">
        <v>6.7832319999999999</v>
      </c>
    </row>
    <row r="2745" spans="2:41" x14ac:dyDescent="0.25">
      <c r="B2745" s="21">
        <v>45020</v>
      </c>
      <c r="C2745" s="27">
        <v>18.106999999999999</v>
      </c>
      <c r="E2745" s="27">
        <v>0.91535100000000003</v>
      </c>
      <c r="G2745" s="27">
        <v>210.54508300000001</v>
      </c>
      <c r="I2745" s="27">
        <v>6.9159480000000002</v>
      </c>
      <c r="K2745" s="27">
        <v>5.0710220000000001</v>
      </c>
      <c r="M2745" s="27">
        <v>809.84785199999999</v>
      </c>
      <c r="O2745" s="27">
        <v>4597.8983600000001</v>
      </c>
      <c r="Q2745" s="27">
        <v>7181.9099459999998</v>
      </c>
      <c r="S2745" s="27">
        <v>1416.2728810000001</v>
      </c>
      <c r="U2745" s="27">
        <v>3.7684280000000001</v>
      </c>
      <c r="W2745" s="27">
        <v>38.712305999999998</v>
      </c>
      <c r="Y2745" s="27">
        <v>7.6340560000000002</v>
      </c>
      <c r="AA2745" s="27">
        <v>541.33411899999999</v>
      </c>
      <c r="AC2745" s="27">
        <v>54.788764</v>
      </c>
      <c r="AE2745" s="27">
        <v>1</v>
      </c>
      <c r="AG2745" s="27">
        <v>7.8071979999999996</v>
      </c>
      <c r="AI2745" s="27">
        <v>8.75</v>
      </c>
      <c r="AK2745" s="27">
        <v>24.60999</v>
      </c>
      <c r="AM2745" s="27">
        <v>36.586500000000001</v>
      </c>
      <c r="AO2745" s="27">
        <v>6.7775850000000002</v>
      </c>
    </row>
    <row r="2746" spans="2:41" x14ac:dyDescent="0.25">
      <c r="B2746" s="21">
        <v>45021</v>
      </c>
      <c r="C2746" s="27">
        <v>18.118500000000001</v>
      </c>
      <c r="E2746" s="27">
        <v>0.91449999999999998</v>
      </c>
      <c r="G2746" s="27">
        <v>210.97502</v>
      </c>
      <c r="I2746" s="27">
        <v>6.9279679999999999</v>
      </c>
      <c r="K2746" s="27">
        <v>5.0599499999999997</v>
      </c>
      <c r="M2746" s="27">
        <v>809.36891300000002</v>
      </c>
      <c r="O2746" s="27">
        <v>4585.4652340000002</v>
      </c>
      <c r="Q2746" s="27">
        <v>7179.9872249999999</v>
      </c>
      <c r="S2746" s="27">
        <v>1418.992191</v>
      </c>
      <c r="U2746" s="27">
        <v>3.77196</v>
      </c>
      <c r="W2746" s="27">
        <v>38.662261000000001</v>
      </c>
      <c r="Y2746" s="27">
        <v>7.6408670000000001</v>
      </c>
      <c r="AA2746" s="27">
        <v>540.488562</v>
      </c>
      <c r="AC2746" s="27">
        <v>54.791221999999998</v>
      </c>
      <c r="AE2746" s="27">
        <v>1</v>
      </c>
      <c r="AG2746" s="27">
        <v>7.8067880000000001</v>
      </c>
      <c r="AI2746" s="27">
        <v>8.75</v>
      </c>
      <c r="AK2746" s="27">
        <v>24.585391999999999</v>
      </c>
      <c r="AM2746" s="27">
        <v>36.577064</v>
      </c>
      <c r="AO2746" s="27">
        <v>6.7747580000000003</v>
      </c>
    </row>
    <row r="2747" spans="2:41" x14ac:dyDescent="0.25">
      <c r="B2747" s="21">
        <v>45022</v>
      </c>
      <c r="C2747" s="27">
        <v>18.118500000000001</v>
      </c>
      <c r="E2747" s="27">
        <v>0.91667600000000005</v>
      </c>
      <c r="G2747" s="27">
        <v>211.22926200000001</v>
      </c>
      <c r="I2747" s="27">
        <v>6.9215220000000004</v>
      </c>
      <c r="K2747" s="27">
        <v>5.0480020000000003</v>
      </c>
      <c r="M2747" s="27">
        <v>814.00538300000005</v>
      </c>
      <c r="O2747" s="27">
        <v>4578.9777100000001</v>
      </c>
      <c r="Q2747" s="27">
        <v>7168.0085719999997</v>
      </c>
      <c r="S2747" s="27">
        <v>1419.9781559999999</v>
      </c>
      <c r="U2747" s="27">
        <v>3.7686519999999999</v>
      </c>
      <c r="W2747" s="27">
        <v>38.712896999999998</v>
      </c>
      <c r="Y2747" s="27">
        <v>7.668984</v>
      </c>
      <c r="AA2747" s="27">
        <v>538.30453999999997</v>
      </c>
      <c r="AC2747" s="27">
        <v>54.828198999999998</v>
      </c>
      <c r="AE2747" s="27">
        <v>1</v>
      </c>
      <c r="AG2747" s="27">
        <v>7.7982300000000002</v>
      </c>
      <c r="AI2747" s="27">
        <v>8.75</v>
      </c>
      <c r="AK2747" s="27">
        <v>24.581855999999998</v>
      </c>
      <c r="AM2747" s="27">
        <v>36.555483000000002</v>
      </c>
      <c r="AO2747" s="27">
        <v>6.7791600000000001</v>
      </c>
    </row>
    <row r="2748" spans="2:41" x14ac:dyDescent="0.25">
      <c r="B2748" s="21">
        <v>45023</v>
      </c>
      <c r="C2748" s="27">
        <v>18.118500000000001</v>
      </c>
      <c r="E2748" s="27">
        <v>0.91647400000000001</v>
      </c>
      <c r="G2748" s="27">
        <v>211.23235</v>
      </c>
      <c r="I2748" s="27">
        <v>6.9107159999999999</v>
      </c>
      <c r="K2748" s="27">
        <v>5.0583340000000003</v>
      </c>
      <c r="M2748" s="27">
        <v>818.97639800000002</v>
      </c>
      <c r="O2748" s="27">
        <v>4572.3901020000003</v>
      </c>
      <c r="Q2748" s="27">
        <v>7168.9158260000004</v>
      </c>
      <c r="S2748" s="27">
        <v>1417.2559799999999</v>
      </c>
      <c r="U2748" s="27">
        <v>3.7644329999999999</v>
      </c>
      <c r="W2748" s="27">
        <v>38.722496</v>
      </c>
      <c r="Y2748" s="27">
        <v>7.6552129999999998</v>
      </c>
      <c r="AA2748" s="27">
        <v>538.10469499999999</v>
      </c>
      <c r="AC2748" s="27">
        <v>54.845444999999998</v>
      </c>
      <c r="AE2748" s="27">
        <v>1</v>
      </c>
      <c r="AG2748" s="27">
        <v>7.7966819999999997</v>
      </c>
      <c r="AI2748" s="27">
        <v>8.75</v>
      </c>
      <c r="AK2748" s="27">
        <v>24.579927999999999</v>
      </c>
      <c r="AM2748" s="27">
        <v>36.534596000000001</v>
      </c>
      <c r="AO2748" s="27">
        <v>6.7828840000000001</v>
      </c>
    </row>
    <row r="2749" spans="2:41" x14ac:dyDescent="0.25">
      <c r="B2749" s="21">
        <v>45024</v>
      </c>
      <c r="C2749" s="27">
        <v>18.118500000000001</v>
      </c>
      <c r="E2749" s="27">
        <v>0.91732999999999998</v>
      </c>
      <c r="G2749" s="27">
        <v>211.2063</v>
      </c>
      <c r="I2749" s="27">
        <v>6.9129680000000002</v>
      </c>
      <c r="K2749" s="27">
        <v>5.0559000000000003</v>
      </c>
      <c r="M2749" s="27">
        <v>818.34249999999997</v>
      </c>
      <c r="O2749" s="27">
        <v>4567.1674999999996</v>
      </c>
      <c r="Q2749" s="27">
        <v>7171.2633320000004</v>
      </c>
      <c r="S2749" s="27">
        <v>1418.402126</v>
      </c>
      <c r="U2749" s="27">
        <v>3.7604980000000001</v>
      </c>
      <c r="W2749" s="27">
        <v>38.719710999999997</v>
      </c>
      <c r="Y2749" s="27">
        <v>7.6583459999999999</v>
      </c>
      <c r="AA2749" s="27">
        <v>538.26093400000002</v>
      </c>
      <c r="AC2749" s="27">
        <v>54.792499999999997</v>
      </c>
      <c r="AE2749" s="27">
        <v>1</v>
      </c>
      <c r="AG2749" s="27">
        <v>7.7994120000000002</v>
      </c>
      <c r="AI2749" s="27">
        <v>8.75</v>
      </c>
      <c r="AK2749" s="27">
        <v>24.574750000000002</v>
      </c>
      <c r="AM2749" s="27">
        <v>36.509749999999997</v>
      </c>
      <c r="AO2749" s="27">
        <v>6.7880099999999999</v>
      </c>
    </row>
    <row r="2750" spans="2:41" x14ac:dyDescent="0.25">
      <c r="B2750" s="21">
        <v>45025</v>
      </c>
      <c r="C2750" s="27">
        <v>18.118500000000001</v>
      </c>
      <c r="E2750" s="27">
        <v>0.91727000000000003</v>
      </c>
      <c r="G2750" s="27">
        <v>211.19938999999999</v>
      </c>
      <c r="I2750" s="27">
        <v>6.9129880000000004</v>
      </c>
      <c r="K2750" s="27">
        <v>5.0559349999999998</v>
      </c>
      <c r="M2750" s="27">
        <v>818.18017999999995</v>
      </c>
      <c r="O2750" s="27">
        <v>4566.4697530000003</v>
      </c>
      <c r="Q2750" s="27">
        <v>7171.2720939999999</v>
      </c>
      <c r="S2750" s="27">
        <v>1418.3943919999999</v>
      </c>
      <c r="U2750" s="27">
        <v>3.7594460000000001</v>
      </c>
      <c r="W2750" s="27">
        <v>38.720081999999998</v>
      </c>
      <c r="Y2750" s="27">
        <v>7.6583680000000003</v>
      </c>
      <c r="AA2750" s="27">
        <v>538.26490699999999</v>
      </c>
      <c r="AC2750" s="27">
        <v>54.780633999999999</v>
      </c>
      <c r="AE2750" s="27">
        <v>1</v>
      </c>
      <c r="AG2750" s="27">
        <v>7.7994199999999996</v>
      </c>
      <c r="AI2750" s="27">
        <v>8.75</v>
      </c>
      <c r="AK2750" s="27">
        <v>24.567692999999998</v>
      </c>
      <c r="AM2750" s="27">
        <v>36.500706000000001</v>
      </c>
      <c r="AO2750" s="27">
        <v>6.7866860000000004</v>
      </c>
    </row>
    <row r="2751" spans="2:41" x14ac:dyDescent="0.25">
      <c r="B2751" s="21">
        <v>45026</v>
      </c>
      <c r="C2751" s="27">
        <v>18.3323</v>
      </c>
      <c r="E2751" s="27">
        <v>0.91916799999999999</v>
      </c>
      <c r="G2751" s="27">
        <v>211.831322</v>
      </c>
      <c r="I2751" s="27">
        <v>6.9151619999999996</v>
      </c>
      <c r="K2751" s="27">
        <v>5.0645600000000002</v>
      </c>
      <c r="M2751" s="27">
        <v>819.46439499999997</v>
      </c>
      <c r="O2751" s="27">
        <v>4568.3597120000004</v>
      </c>
      <c r="Q2751" s="27">
        <v>7173.7819419999996</v>
      </c>
      <c r="S2751" s="27">
        <v>1416.4761000000001</v>
      </c>
      <c r="U2751" s="27">
        <v>3.7479650000000002</v>
      </c>
      <c r="W2751" s="27">
        <v>38.742182</v>
      </c>
      <c r="Y2751" s="27">
        <v>7.6497000000000002</v>
      </c>
      <c r="AA2751" s="27">
        <v>538.40524000000005</v>
      </c>
      <c r="AC2751" s="27">
        <v>54.741714000000002</v>
      </c>
      <c r="AE2751" s="27">
        <v>1</v>
      </c>
      <c r="AG2751" s="27">
        <v>7.802047</v>
      </c>
      <c r="AI2751" s="27">
        <v>8.75</v>
      </c>
      <c r="AK2751" s="27">
        <v>24.505545999999999</v>
      </c>
      <c r="AM2751" s="27">
        <v>36.487645999999998</v>
      </c>
      <c r="AO2751" s="27">
        <v>6.7758620000000001</v>
      </c>
    </row>
    <row r="2752" spans="2:41" x14ac:dyDescent="0.25">
      <c r="B2752" s="21">
        <v>45027</v>
      </c>
      <c r="C2752" s="27">
        <v>18.176500000000001</v>
      </c>
      <c r="E2752" s="27">
        <v>0.91724300000000003</v>
      </c>
      <c r="G2752" s="27">
        <v>213.26199</v>
      </c>
      <c r="I2752" s="27">
        <v>6.9202659999999998</v>
      </c>
      <c r="K2752" s="27">
        <v>5.0382999999999996</v>
      </c>
      <c r="M2752" s="27">
        <v>815.25244499999997</v>
      </c>
      <c r="O2752" s="27">
        <v>4539.6393179999995</v>
      </c>
      <c r="Q2752" s="27">
        <v>7172.9221120000002</v>
      </c>
      <c r="S2752" s="27">
        <v>1423.6872719999999</v>
      </c>
      <c r="U2752" s="27">
        <v>3.7585120000000001</v>
      </c>
      <c r="W2752" s="27">
        <v>38.720554</v>
      </c>
      <c r="Y2752" s="27">
        <v>7.685276</v>
      </c>
      <c r="AA2752" s="27">
        <v>538.00403800000004</v>
      </c>
      <c r="AC2752" s="27">
        <v>54.823475000000002</v>
      </c>
      <c r="AE2752" s="27">
        <v>1</v>
      </c>
      <c r="AG2752" s="27">
        <v>7.801126</v>
      </c>
      <c r="AI2752" s="27">
        <v>8.75</v>
      </c>
      <c r="AK2752" s="27">
        <v>24.543028</v>
      </c>
      <c r="AM2752" s="27">
        <v>36.568570000000001</v>
      </c>
      <c r="AO2752" s="27">
        <v>6.7831659999999996</v>
      </c>
    </row>
    <row r="2753" spans="2:41" x14ac:dyDescent="0.25">
      <c r="B2753" s="21">
        <v>45028</v>
      </c>
      <c r="C2753" s="27">
        <v>18.187000000000001</v>
      </c>
      <c r="E2753" s="27">
        <v>0.91278000000000004</v>
      </c>
      <c r="G2753" s="27">
        <v>213.970878</v>
      </c>
      <c r="I2753" s="27">
        <v>6.9232019999999999</v>
      </c>
      <c r="K2753" s="27">
        <v>4.9708220000000001</v>
      </c>
      <c r="M2753" s="27">
        <v>805.83989999999994</v>
      </c>
      <c r="O2753" s="27">
        <v>4485.4757810000001</v>
      </c>
      <c r="Q2753" s="27">
        <v>7169.8580570000004</v>
      </c>
      <c r="S2753" s="27">
        <v>1442.397737</v>
      </c>
      <c r="U2753" s="27">
        <v>3.77902</v>
      </c>
      <c r="W2753" s="27">
        <v>38.709026000000001</v>
      </c>
      <c r="Y2753" s="27">
        <v>7.7872810000000001</v>
      </c>
      <c r="AA2753" s="27">
        <v>537.68390799999997</v>
      </c>
      <c r="AC2753" s="27">
        <v>54.844667999999999</v>
      </c>
      <c r="AE2753" s="27">
        <v>1</v>
      </c>
      <c r="AG2753" s="27">
        <v>7.7981959999999999</v>
      </c>
      <c r="AI2753" s="27">
        <v>8.75</v>
      </c>
      <c r="AK2753" s="27">
        <v>24.590989</v>
      </c>
      <c r="AM2753" s="27">
        <v>36.511566000000002</v>
      </c>
      <c r="AO2753" s="27">
        <v>6.7883560000000003</v>
      </c>
    </row>
    <row r="2754" spans="2:41" x14ac:dyDescent="0.25">
      <c r="B2754" s="21">
        <v>45029</v>
      </c>
      <c r="C2754" s="27">
        <v>18.065999999999999</v>
      </c>
      <c r="E2754" s="27">
        <v>0.90704799999999997</v>
      </c>
      <c r="G2754" s="27">
        <v>214.428403</v>
      </c>
      <c r="I2754" s="27">
        <v>6.915972</v>
      </c>
      <c r="K2754" s="27">
        <v>4.9190180000000003</v>
      </c>
      <c r="M2754" s="27">
        <v>798.92650400000002</v>
      </c>
      <c r="O2754" s="27">
        <v>4437.2011060000004</v>
      </c>
      <c r="Q2754" s="27">
        <v>7163.3494600000004</v>
      </c>
      <c r="S2754" s="27">
        <v>1456.2657369999999</v>
      </c>
      <c r="U2754" s="27">
        <v>3.7748059999999999</v>
      </c>
      <c r="W2754" s="27">
        <v>38.713152000000001</v>
      </c>
      <c r="Y2754" s="27">
        <v>7.8701340000000002</v>
      </c>
      <c r="AA2754" s="27">
        <v>537.03794200000004</v>
      </c>
      <c r="AC2754" s="27">
        <v>54.833469000000001</v>
      </c>
      <c r="AE2754" s="27">
        <v>1</v>
      </c>
      <c r="AG2754" s="27">
        <v>7.7965119999999999</v>
      </c>
      <c r="AI2754" s="27">
        <v>8.75</v>
      </c>
      <c r="AK2754" s="27">
        <v>24.610125</v>
      </c>
      <c r="AM2754" s="27">
        <v>36.493898000000002</v>
      </c>
      <c r="AO2754" s="27">
        <v>6.7874920000000003</v>
      </c>
    </row>
    <row r="2755" spans="2:41" x14ac:dyDescent="0.25">
      <c r="B2755" s="21">
        <v>45030</v>
      </c>
      <c r="C2755" s="27">
        <v>18.0152</v>
      </c>
      <c r="E2755" s="27">
        <v>0.90647999999999995</v>
      </c>
      <c r="G2755" s="27">
        <v>214.863598</v>
      </c>
      <c r="I2755" s="27">
        <v>6.9124059999999998</v>
      </c>
      <c r="K2755" s="27">
        <v>4.9273600000000002</v>
      </c>
      <c r="M2755" s="27">
        <v>795.410214</v>
      </c>
      <c r="O2755" s="27">
        <v>4421.0735519999998</v>
      </c>
      <c r="Q2755" s="27">
        <v>7155.2370959999998</v>
      </c>
      <c r="S2755" s="27">
        <v>1452.152865</v>
      </c>
      <c r="U2755" s="27">
        <v>3.7739940000000001</v>
      </c>
      <c r="W2755" s="27">
        <v>38.706724999999999</v>
      </c>
      <c r="Y2755" s="27">
        <v>7.8555020000000004</v>
      </c>
      <c r="AA2755" s="27">
        <v>536.70496100000003</v>
      </c>
      <c r="AC2755" s="27">
        <v>54.776654000000001</v>
      </c>
      <c r="AE2755" s="27">
        <v>1</v>
      </c>
      <c r="AG2755" s="27">
        <v>7.7987500000000001</v>
      </c>
      <c r="AI2755" s="27">
        <v>8.75</v>
      </c>
      <c r="AK2755" s="27">
        <v>24.619024</v>
      </c>
      <c r="AM2755" s="27">
        <v>36.510832000000001</v>
      </c>
      <c r="AO2755" s="27">
        <v>6.7897420000000004</v>
      </c>
    </row>
    <row r="2756" spans="2:41" x14ac:dyDescent="0.25">
      <c r="B2756" s="21">
        <v>45031</v>
      </c>
      <c r="C2756" s="27">
        <v>18.0152</v>
      </c>
      <c r="E2756" s="27">
        <v>0.90955399999999997</v>
      </c>
      <c r="G2756" s="27">
        <v>215.08539999999999</v>
      </c>
      <c r="I2756" s="27">
        <v>6.9143249999999998</v>
      </c>
      <c r="K2756" s="27">
        <v>4.9084479999999999</v>
      </c>
      <c r="M2756" s="27">
        <v>797.29</v>
      </c>
      <c r="O2756" s="27">
        <v>4423.3424999999997</v>
      </c>
      <c r="Q2756" s="27">
        <v>7152.087595</v>
      </c>
      <c r="S2756" s="27">
        <v>1457.1077809999999</v>
      </c>
      <c r="U2756" s="27">
        <v>3.7729979999999999</v>
      </c>
      <c r="W2756" s="27">
        <v>38.731091999999997</v>
      </c>
      <c r="Y2756" s="27">
        <v>7.890746</v>
      </c>
      <c r="AA2756" s="27">
        <v>536.95261200000004</v>
      </c>
      <c r="AC2756" s="27">
        <v>54.752499999999998</v>
      </c>
      <c r="AE2756" s="27">
        <v>1</v>
      </c>
      <c r="AG2756" s="27">
        <v>7.8012740000000003</v>
      </c>
      <c r="AI2756" s="27">
        <v>8.75</v>
      </c>
      <c r="AK2756" s="27">
        <v>24.61975</v>
      </c>
      <c r="AM2756" s="27">
        <v>36.504750000000001</v>
      </c>
      <c r="AO2756" s="27">
        <v>6.7919200000000002</v>
      </c>
    </row>
    <row r="2757" spans="2:41" x14ac:dyDescent="0.25">
      <c r="B2757" s="21">
        <v>45032</v>
      </c>
      <c r="C2757" s="27">
        <v>18.0152</v>
      </c>
      <c r="E2757" s="27">
        <v>0.90960600000000003</v>
      </c>
      <c r="G2757" s="27">
        <v>215.102272</v>
      </c>
      <c r="I2757" s="27">
        <v>6.9134310000000001</v>
      </c>
      <c r="K2757" s="27">
        <v>4.9085200000000002</v>
      </c>
      <c r="M2757" s="27">
        <v>797.28737799999999</v>
      </c>
      <c r="O2757" s="27">
        <v>4423.1788299999998</v>
      </c>
      <c r="Q2757" s="27">
        <v>7152.134728</v>
      </c>
      <c r="S2757" s="27">
        <v>1457.095591</v>
      </c>
      <c r="U2757" s="27">
        <v>3.7724739999999999</v>
      </c>
      <c r="W2757" s="27">
        <v>38.722954000000001</v>
      </c>
      <c r="Y2757" s="27">
        <v>7.8889699999999996</v>
      </c>
      <c r="AA2757" s="27">
        <v>536.87258599999996</v>
      </c>
      <c r="AC2757" s="27">
        <v>54.746105999999997</v>
      </c>
      <c r="AE2757" s="27">
        <v>1</v>
      </c>
      <c r="AG2757" s="27">
        <v>7.8002359999999999</v>
      </c>
      <c r="AI2757" s="27">
        <v>8.75</v>
      </c>
      <c r="AK2757" s="27">
        <v>24.613562000000002</v>
      </c>
      <c r="AM2757" s="27">
        <v>36.501261999999997</v>
      </c>
      <c r="AO2757" s="27">
        <v>6.7910880000000002</v>
      </c>
    </row>
    <row r="2758" spans="2:41" x14ac:dyDescent="0.25">
      <c r="B2758" s="21">
        <v>45033</v>
      </c>
      <c r="C2758" s="27">
        <v>18.063800000000001</v>
      </c>
      <c r="E2758" s="27">
        <v>0.91280600000000001</v>
      </c>
      <c r="G2758" s="27">
        <v>215.87871899999999</v>
      </c>
      <c r="I2758" s="27">
        <v>6.9340820000000001</v>
      </c>
      <c r="K2758" s="27">
        <v>4.9244089999999998</v>
      </c>
      <c r="M2758" s="27">
        <v>799.07939799999997</v>
      </c>
      <c r="O2758" s="27">
        <v>4422.6315400000003</v>
      </c>
      <c r="Q2758" s="27">
        <v>7161.0252119999996</v>
      </c>
      <c r="S2758" s="27">
        <v>1454.198705</v>
      </c>
      <c r="U2758" s="27">
        <v>3.7815340000000002</v>
      </c>
      <c r="W2758" s="27">
        <v>38.866473999999997</v>
      </c>
      <c r="Y2758" s="27">
        <v>7.8926489999999996</v>
      </c>
      <c r="AA2758" s="27">
        <v>537.07481399999995</v>
      </c>
      <c r="AC2758" s="27">
        <v>54.813378999999998</v>
      </c>
      <c r="AE2758" s="27">
        <v>1</v>
      </c>
      <c r="AG2758" s="27">
        <v>7.8122790000000002</v>
      </c>
      <c r="AI2758" s="27">
        <v>8.75</v>
      </c>
      <c r="AK2758" s="27">
        <v>24.622997999999999</v>
      </c>
      <c r="AM2758" s="27">
        <v>36.571314000000001</v>
      </c>
      <c r="AO2758" s="27">
        <v>6.801304</v>
      </c>
    </row>
    <row r="2759" spans="2:41" x14ac:dyDescent="0.25">
      <c r="B2759" s="21">
        <v>45034</v>
      </c>
      <c r="C2759" s="27">
        <v>18.0868</v>
      </c>
      <c r="E2759" s="27">
        <v>0.91252</v>
      </c>
      <c r="G2759" s="27">
        <v>216.613652</v>
      </c>
      <c r="I2759" s="27">
        <v>6.9414999999999996</v>
      </c>
      <c r="K2759" s="27">
        <v>4.9576820000000001</v>
      </c>
      <c r="M2759" s="27">
        <v>798.15077099999996</v>
      </c>
      <c r="O2759" s="27">
        <v>4451.7638720000004</v>
      </c>
      <c r="Q2759" s="27">
        <v>7152.6787700000004</v>
      </c>
      <c r="S2759" s="27">
        <v>1442.755404</v>
      </c>
      <c r="U2759" s="27">
        <v>3.787048</v>
      </c>
      <c r="W2759" s="27">
        <v>38.968466999999997</v>
      </c>
      <c r="Y2759" s="27">
        <v>7.8602499999999997</v>
      </c>
      <c r="AA2759" s="27">
        <v>536.796515</v>
      </c>
      <c r="AC2759" s="27">
        <v>54.798914000000003</v>
      </c>
      <c r="AE2759" s="27">
        <v>1</v>
      </c>
      <c r="AG2759" s="27">
        <v>7.8213119999999998</v>
      </c>
      <c r="AI2759" s="27">
        <v>8.75</v>
      </c>
      <c r="AK2759" s="27">
        <v>24.661144</v>
      </c>
      <c r="AM2759" s="27">
        <v>36.623677999999998</v>
      </c>
      <c r="AO2759" s="27">
        <v>6.8082200000000004</v>
      </c>
    </row>
    <row r="2760" spans="2:41" x14ac:dyDescent="0.25">
      <c r="B2760" s="21">
        <v>45035</v>
      </c>
      <c r="C2760" s="27">
        <v>18.062999999999999</v>
      </c>
      <c r="E2760" s="27">
        <v>0.91261000000000003</v>
      </c>
      <c r="G2760" s="27">
        <v>217.17430899999999</v>
      </c>
      <c r="I2760" s="27">
        <v>6.9164430000000001</v>
      </c>
      <c r="K2760" s="27">
        <v>5.0223490000000002</v>
      </c>
      <c r="M2760" s="27">
        <v>795.10783600000002</v>
      </c>
      <c r="O2760" s="27">
        <v>4506.305386</v>
      </c>
      <c r="Q2760" s="27">
        <v>7132.9429799999998</v>
      </c>
      <c r="S2760" s="27">
        <v>1420.2487699999999</v>
      </c>
      <c r="U2760" s="27">
        <v>3.7813599999999998</v>
      </c>
      <c r="W2760" s="27">
        <v>38.954751999999999</v>
      </c>
      <c r="Y2760" s="27">
        <v>7.75631</v>
      </c>
      <c r="AA2760" s="27">
        <v>535.06651599999998</v>
      </c>
      <c r="AC2760" s="27">
        <v>54.712786999999999</v>
      </c>
      <c r="AE2760" s="27">
        <v>1</v>
      </c>
      <c r="AG2760" s="27">
        <v>7.8048859999999998</v>
      </c>
      <c r="AI2760" s="27">
        <v>8.75</v>
      </c>
      <c r="AK2760" s="27">
        <v>24.589441999999998</v>
      </c>
      <c r="AM2760" s="27">
        <v>36.567799999999998</v>
      </c>
      <c r="AO2760" s="27">
        <v>6.7939179999999997</v>
      </c>
    </row>
    <row r="2761" spans="2:41" x14ac:dyDescent="0.25">
      <c r="B2761" s="21">
        <v>45036</v>
      </c>
      <c r="C2761" s="27">
        <v>18.044799999999999</v>
      </c>
      <c r="E2761" s="27">
        <v>0.91201200000000004</v>
      </c>
      <c r="G2761" s="27">
        <v>217.715092</v>
      </c>
      <c r="I2761" s="27">
        <v>6.9093479999999996</v>
      </c>
      <c r="K2761" s="27">
        <v>5.0631969999999997</v>
      </c>
      <c r="M2761" s="27">
        <v>793.61800300000004</v>
      </c>
      <c r="O2761" s="27">
        <v>4531.856401</v>
      </c>
      <c r="Q2761" s="27">
        <v>7127.1922000000004</v>
      </c>
      <c r="S2761" s="27">
        <v>1407.6550279999999</v>
      </c>
      <c r="U2761" s="27">
        <v>3.7710110000000001</v>
      </c>
      <c r="W2761" s="27">
        <v>38.93139</v>
      </c>
      <c r="Y2761" s="27">
        <v>7.6891259999999999</v>
      </c>
      <c r="AA2761" s="27">
        <v>533.95642199999998</v>
      </c>
      <c r="AC2761" s="27">
        <v>54.615188000000003</v>
      </c>
      <c r="AE2761" s="27">
        <v>1</v>
      </c>
      <c r="AG2761" s="27">
        <v>7.7956469999999998</v>
      </c>
      <c r="AI2761" s="27">
        <v>8.75</v>
      </c>
      <c r="AK2761" s="27">
        <v>24.579035000000001</v>
      </c>
      <c r="AM2761" s="27">
        <v>36.519258000000001</v>
      </c>
      <c r="AO2761" s="27">
        <v>6.7876010000000004</v>
      </c>
    </row>
    <row r="2762" spans="2:41" x14ac:dyDescent="0.25">
      <c r="B2762" s="21">
        <v>45037</v>
      </c>
      <c r="C2762" s="27">
        <v>18.009</v>
      </c>
      <c r="E2762" s="27">
        <v>0.91144499999999995</v>
      </c>
      <c r="G2762" s="27">
        <v>218.21747199999999</v>
      </c>
      <c r="I2762" s="27">
        <v>6.9121579999999998</v>
      </c>
      <c r="K2762" s="27">
        <v>5.049436</v>
      </c>
      <c r="M2762" s="27">
        <v>794.93101200000001</v>
      </c>
      <c r="O2762" s="27">
        <v>4524.3628019999996</v>
      </c>
      <c r="Q2762" s="27">
        <v>7129.4495619999998</v>
      </c>
      <c r="S2762" s="27">
        <v>1411.9381739999999</v>
      </c>
      <c r="U2762" s="27">
        <v>3.7691859999999999</v>
      </c>
      <c r="W2762" s="27">
        <v>38.964346999999997</v>
      </c>
      <c r="Y2762" s="27">
        <v>7.7166059999999996</v>
      </c>
      <c r="AA2762" s="27">
        <v>533.57324100000005</v>
      </c>
      <c r="AC2762" s="27">
        <v>54.669716000000001</v>
      </c>
      <c r="AE2762" s="27">
        <v>1</v>
      </c>
      <c r="AG2762" s="27">
        <v>7.7967360000000001</v>
      </c>
      <c r="AI2762" s="27">
        <v>8.75</v>
      </c>
      <c r="AK2762" s="27">
        <v>24.603653999999999</v>
      </c>
      <c r="AM2762" s="27">
        <v>36.531306000000001</v>
      </c>
      <c r="AO2762" s="27">
        <v>6.7890100000000002</v>
      </c>
    </row>
    <row r="2763" spans="2:41" x14ac:dyDescent="0.25">
      <c r="B2763" s="21">
        <v>45038</v>
      </c>
      <c r="C2763" s="27">
        <v>18.009</v>
      </c>
      <c r="E2763" s="27">
        <v>0.909972</v>
      </c>
      <c r="G2763" s="27">
        <v>218.506</v>
      </c>
      <c r="I2763" s="27">
        <v>6.9105629999999998</v>
      </c>
      <c r="K2763" s="27">
        <v>5.0495999999999999</v>
      </c>
      <c r="M2763" s="27">
        <v>802.7</v>
      </c>
      <c r="O2763" s="27">
        <v>4516.0625</v>
      </c>
      <c r="Q2763" s="27">
        <v>7125.3163640000002</v>
      </c>
      <c r="S2763" s="27">
        <v>1411.0726030000001</v>
      </c>
      <c r="U2763" s="27">
        <v>3.7619980000000002</v>
      </c>
      <c r="W2763" s="27">
        <v>38.976393000000002</v>
      </c>
      <c r="Y2763" s="27">
        <v>7.7187400000000004</v>
      </c>
      <c r="AA2763" s="27">
        <v>533.30445399999996</v>
      </c>
      <c r="AC2763" s="27">
        <v>54.597499999999997</v>
      </c>
      <c r="AE2763" s="27">
        <v>1</v>
      </c>
      <c r="AG2763" s="27">
        <v>7.7948219999999999</v>
      </c>
      <c r="AI2763" s="27">
        <v>8.75</v>
      </c>
      <c r="AK2763" s="27">
        <v>24.622250000000001</v>
      </c>
      <c r="AM2763" s="27">
        <v>36.479750000000003</v>
      </c>
      <c r="AO2763" s="27">
        <v>6.7861739999999999</v>
      </c>
    </row>
    <row r="2764" spans="2:41" x14ac:dyDescent="0.25">
      <c r="B2764" s="21">
        <v>45039</v>
      </c>
      <c r="C2764" s="27">
        <v>18.009</v>
      </c>
      <c r="E2764" s="27">
        <v>0.90995000000000004</v>
      </c>
      <c r="G2764" s="27">
        <v>218.49986799999999</v>
      </c>
      <c r="I2764" s="27">
        <v>6.9102600000000001</v>
      </c>
      <c r="K2764" s="27">
        <v>5.0495939999999999</v>
      </c>
      <c r="M2764" s="27">
        <v>802.69605899999999</v>
      </c>
      <c r="O2764" s="27">
        <v>4516.063623</v>
      </c>
      <c r="Q2764" s="27">
        <v>7125.0574340000003</v>
      </c>
      <c r="S2764" s="27">
        <v>1411.023422</v>
      </c>
      <c r="U2764" s="27">
        <v>3.7619980000000002</v>
      </c>
      <c r="W2764" s="27">
        <v>38.975234</v>
      </c>
      <c r="Y2764" s="27">
        <v>7.7185220000000001</v>
      </c>
      <c r="AA2764" s="27">
        <v>533.28025200000002</v>
      </c>
      <c r="AC2764" s="27">
        <v>54.597470000000001</v>
      </c>
      <c r="AE2764" s="27">
        <v>1</v>
      </c>
      <c r="AG2764" s="27">
        <v>7.7946</v>
      </c>
      <c r="AI2764" s="27">
        <v>8.75</v>
      </c>
      <c r="AK2764" s="27">
        <v>24.622218</v>
      </c>
      <c r="AM2764" s="27">
        <v>36.479747000000003</v>
      </c>
      <c r="AO2764" s="27">
        <v>6.7859879999999997</v>
      </c>
    </row>
    <row r="2765" spans="2:41" x14ac:dyDescent="0.25">
      <c r="B2765" s="21">
        <v>45040</v>
      </c>
      <c r="C2765" s="27">
        <v>17.998799999999999</v>
      </c>
      <c r="E2765" s="27">
        <v>0.90797799999999995</v>
      </c>
      <c r="G2765" s="27">
        <v>219.136066</v>
      </c>
      <c r="I2765" s="27">
        <v>6.9067530000000001</v>
      </c>
      <c r="K2765" s="27">
        <v>5.0492970000000001</v>
      </c>
      <c r="M2765" s="27">
        <v>808.4932</v>
      </c>
      <c r="O2765" s="27">
        <v>4501.2250780000004</v>
      </c>
      <c r="Q2765" s="27">
        <v>7129.5412580000002</v>
      </c>
      <c r="S2765" s="27">
        <v>1411.995688</v>
      </c>
      <c r="U2765" s="27">
        <v>3.7609940000000002</v>
      </c>
      <c r="W2765" s="27">
        <v>38.959471999999998</v>
      </c>
      <c r="Y2765" s="27">
        <v>7.7158559999999996</v>
      </c>
      <c r="AA2765" s="27">
        <v>532.21192799999994</v>
      </c>
      <c r="AC2765" s="27">
        <v>54.551270000000002</v>
      </c>
      <c r="AE2765" s="27">
        <v>1</v>
      </c>
      <c r="AG2765" s="27">
        <v>7.7926640000000003</v>
      </c>
      <c r="AI2765" s="27">
        <v>8.75</v>
      </c>
      <c r="AK2765" s="27">
        <v>24.545840999999999</v>
      </c>
      <c r="AM2765" s="27">
        <v>36.502403000000001</v>
      </c>
      <c r="AO2765" s="27">
        <v>6.7809999999999997</v>
      </c>
    </row>
    <row r="2766" spans="2:41" x14ac:dyDescent="0.25">
      <c r="B2766" s="21">
        <v>45041</v>
      </c>
      <c r="C2766" s="27">
        <v>18.008199999999999</v>
      </c>
      <c r="E2766" s="27">
        <v>0.90801799999999999</v>
      </c>
      <c r="G2766" s="27">
        <v>220.51454000000001</v>
      </c>
      <c r="I2766" s="27">
        <v>6.8952679999999997</v>
      </c>
      <c r="K2766" s="27">
        <v>5.0484140000000002</v>
      </c>
      <c r="M2766" s="27">
        <v>810.79559600000005</v>
      </c>
      <c r="O2766" s="27">
        <v>4486.1752319999996</v>
      </c>
      <c r="Q2766" s="27">
        <v>7149.6056820000003</v>
      </c>
      <c r="S2766" s="27">
        <v>1416.2166050000001</v>
      </c>
      <c r="U2766" s="27">
        <v>3.7521520000000002</v>
      </c>
      <c r="W2766" s="27">
        <v>38.882001000000002</v>
      </c>
      <c r="Y2766" s="27">
        <v>7.7018560000000003</v>
      </c>
      <c r="AA2766" s="27">
        <v>531.39877200000001</v>
      </c>
      <c r="AC2766" s="27">
        <v>54.489213999999997</v>
      </c>
      <c r="AE2766" s="27">
        <v>1</v>
      </c>
      <c r="AG2766" s="27">
        <v>7.7835340000000004</v>
      </c>
      <c r="AI2766" s="27">
        <v>8.75</v>
      </c>
      <c r="AK2766" s="27">
        <v>24.558038</v>
      </c>
      <c r="AM2766" s="27">
        <v>36.501154</v>
      </c>
      <c r="AO2766" s="27">
        <v>6.7807940000000002</v>
      </c>
    </row>
    <row r="2767" spans="2:41" x14ac:dyDescent="0.25">
      <c r="B2767" s="21">
        <v>45042</v>
      </c>
      <c r="C2767" s="27">
        <v>18.089200000000002</v>
      </c>
      <c r="E2767" s="27">
        <v>0.90706600000000004</v>
      </c>
      <c r="G2767" s="27">
        <v>221.17129399999999</v>
      </c>
      <c r="I2767" s="27">
        <v>6.9247589999999999</v>
      </c>
      <c r="K2767" s="27">
        <v>5.0527709999999999</v>
      </c>
      <c r="M2767" s="27">
        <v>809.04012</v>
      </c>
      <c r="O2767" s="27">
        <v>4529.658684</v>
      </c>
      <c r="Q2767" s="27">
        <v>7180.4321559999998</v>
      </c>
      <c r="S2767" s="27">
        <v>1421.0965880000001</v>
      </c>
      <c r="U2767" s="27">
        <v>3.7555230000000002</v>
      </c>
      <c r="W2767" s="27">
        <v>38.973466000000002</v>
      </c>
      <c r="Y2767" s="27">
        <v>7.7133159999999998</v>
      </c>
      <c r="AA2767" s="27">
        <v>532.49762199999998</v>
      </c>
      <c r="AC2767" s="27">
        <v>54.707149000000001</v>
      </c>
      <c r="AE2767" s="27">
        <v>1</v>
      </c>
      <c r="AG2767" s="27">
        <v>7.8076759999999998</v>
      </c>
      <c r="AI2767" s="27">
        <v>8.75</v>
      </c>
      <c r="AK2767" s="27">
        <v>24.636264000000001</v>
      </c>
      <c r="AM2767" s="27">
        <v>36.640006999999997</v>
      </c>
      <c r="AO2767" s="27">
        <v>6.800332</v>
      </c>
    </row>
    <row r="2768" spans="2:41" x14ac:dyDescent="0.25">
      <c r="B2768" s="21">
        <v>45043</v>
      </c>
      <c r="C2768" s="27">
        <v>18.103000000000002</v>
      </c>
      <c r="E2768" s="27">
        <v>0.90621799999999997</v>
      </c>
      <c r="G2768" s="27">
        <v>221.74286599999999</v>
      </c>
      <c r="I2768" s="27">
        <v>6.9120799999999996</v>
      </c>
      <c r="K2768" s="27">
        <v>5.0203800000000003</v>
      </c>
      <c r="M2768" s="27">
        <v>803.87682600000005</v>
      </c>
      <c r="O2768" s="27">
        <v>4646.6723240000001</v>
      </c>
      <c r="Q2768" s="27">
        <v>7189.239122</v>
      </c>
      <c r="S2768" s="27">
        <v>1432.0197250000001</v>
      </c>
      <c r="U2768" s="27">
        <v>3.7421570000000002</v>
      </c>
      <c r="W2768" s="27">
        <v>38.809196</v>
      </c>
      <c r="Y2768" s="27">
        <v>7.7303620000000004</v>
      </c>
      <c r="AA2768" s="27">
        <v>532.43469500000003</v>
      </c>
      <c r="AC2768" s="27">
        <v>54.609909999999999</v>
      </c>
      <c r="AE2768" s="27">
        <v>1</v>
      </c>
      <c r="AG2768" s="27">
        <v>7.8001100000000001</v>
      </c>
      <c r="AI2768" s="27">
        <v>8.75</v>
      </c>
      <c r="AK2768" s="27">
        <v>24.595808000000002</v>
      </c>
      <c r="AM2768" s="27">
        <v>36.568871000000001</v>
      </c>
      <c r="AO2768" s="27">
        <v>6.7920499999999997</v>
      </c>
    </row>
    <row r="2769" spans="2:41" x14ac:dyDescent="0.25">
      <c r="B2769" s="21">
        <v>45044</v>
      </c>
      <c r="C2769" s="27">
        <v>18.072299999999998</v>
      </c>
      <c r="E2769" s="27">
        <v>0.90806399999999998</v>
      </c>
      <c r="G2769" s="27">
        <v>222.27736300000001</v>
      </c>
      <c r="I2769" s="27">
        <v>6.9113720000000001</v>
      </c>
      <c r="K2769" s="27">
        <v>4.9859939999999998</v>
      </c>
      <c r="M2769" s="27">
        <v>804.29645400000004</v>
      </c>
      <c r="O2769" s="27">
        <v>4671.0771960000002</v>
      </c>
      <c r="Q2769" s="27">
        <v>7195.0130239999999</v>
      </c>
      <c r="S2769" s="27">
        <v>1443.0539940000001</v>
      </c>
      <c r="U2769" s="27">
        <v>3.7198440000000002</v>
      </c>
      <c r="W2769" s="27">
        <v>38.719368000000003</v>
      </c>
      <c r="Y2769" s="27">
        <v>7.7656599999999996</v>
      </c>
      <c r="AA2769" s="27">
        <v>535.16670999999997</v>
      </c>
      <c r="AC2769" s="27">
        <v>54.615940000000002</v>
      </c>
      <c r="AE2769" s="27">
        <v>1</v>
      </c>
      <c r="AG2769" s="27">
        <v>7.8019020000000001</v>
      </c>
      <c r="AI2769" s="27">
        <v>8.75</v>
      </c>
      <c r="AK2769" s="27">
        <v>24.605616999999999</v>
      </c>
      <c r="AM2769" s="27">
        <v>36.578719999999997</v>
      </c>
      <c r="AO2769" s="27">
        <v>6.7934760000000001</v>
      </c>
    </row>
    <row r="2770" spans="2:41" x14ac:dyDescent="0.25">
      <c r="B2770" s="21">
        <v>45045</v>
      </c>
      <c r="C2770" s="27">
        <v>18.072299999999998</v>
      </c>
      <c r="E2770" s="27">
        <v>0.90768400000000005</v>
      </c>
      <c r="G2770" s="27">
        <v>222.64498699999999</v>
      </c>
      <c r="I2770" s="27">
        <v>6.9111419999999999</v>
      </c>
      <c r="K2770" s="27">
        <v>4.9873250000000002</v>
      </c>
      <c r="M2770" s="27">
        <v>807</v>
      </c>
      <c r="O2770" s="27">
        <v>4701.4575000000004</v>
      </c>
      <c r="Q2770" s="27">
        <v>7188.0332310000003</v>
      </c>
      <c r="S2770" s="27">
        <v>1441.2708070000001</v>
      </c>
      <c r="U2770" s="27">
        <v>3.7082480000000002</v>
      </c>
      <c r="W2770" s="27">
        <v>38.680796000000001</v>
      </c>
      <c r="Y2770" s="27">
        <v>7.7558670000000003</v>
      </c>
      <c r="AA2770" s="27">
        <v>536.33334600000001</v>
      </c>
      <c r="AC2770" s="27">
        <v>54.472499999999997</v>
      </c>
      <c r="AE2770" s="27">
        <v>1</v>
      </c>
      <c r="AG2770" s="27">
        <v>7.8022650000000002</v>
      </c>
      <c r="AI2770" s="27">
        <v>8.75</v>
      </c>
      <c r="AK2770" s="27">
        <v>24.614750000000001</v>
      </c>
      <c r="AM2770" s="27">
        <v>36.53725</v>
      </c>
      <c r="AO2770" s="27">
        <v>6.7932540000000001</v>
      </c>
    </row>
    <row r="2771" spans="2:41" x14ac:dyDescent="0.25">
      <c r="B2771" s="21">
        <v>45046</v>
      </c>
      <c r="C2771" s="27">
        <v>18.072299999999998</v>
      </c>
      <c r="E2771" s="27">
        <v>0.90769999999999995</v>
      </c>
      <c r="G2771" s="27">
        <v>222.48581200000001</v>
      </c>
      <c r="I2771" s="27">
        <v>6.9111599999999997</v>
      </c>
      <c r="K2771" s="27">
        <v>4.9874179999999999</v>
      </c>
      <c r="M2771" s="27">
        <v>807</v>
      </c>
      <c r="O2771" s="27">
        <v>4701.3422860000001</v>
      </c>
      <c r="Q2771" s="27">
        <v>7187.3500139999996</v>
      </c>
      <c r="S2771" s="27">
        <v>1441.1076270000001</v>
      </c>
      <c r="U2771" s="27">
        <v>3.7080259999999998</v>
      </c>
      <c r="W2771" s="27">
        <v>38.688816000000003</v>
      </c>
      <c r="Y2771" s="27">
        <v>7.7573340000000002</v>
      </c>
      <c r="AA2771" s="27">
        <v>536.25140199999998</v>
      </c>
      <c r="AC2771" s="27">
        <v>54.472762000000003</v>
      </c>
      <c r="AE2771" s="27">
        <v>1</v>
      </c>
      <c r="AG2771" s="27">
        <v>7.8022400000000003</v>
      </c>
      <c r="AI2771" s="27">
        <v>8.75</v>
      </c>
      <c r="AK2771" s="27">
        <v>24.614806000000002</v>
      </c>
      <c r="AM2771" s="27">
        <v>36.537275999999999</v>
      </c>
      <c r="AO2771" s="27">
        <v>6.7932360000000003</v>
      </c>
    </row>
    <row r="2772" spans="2:41" ht="13" x14ac:dyDescent="0.3">
      <c r="B2772" s="25" t="s">
        <v>216</v>
      </c>
      <c r="C2772" s="19">
        <v>18.081199999999999</v>
      </c>
      <c r="E2772" s="19">
        <v>0.91259999999999997</v>
      </c>
      <c r="G2772" s="19">
        <v>215.50919999999999</v>
      </c>
      <c r="I2772" s="19">
        <v>6.9142000000000001</v>
      </c>
      <c r="K2772" s="19">
        <v>5.0175000000000001</v>
      </c>
      <c r="M2772" s="19">
        <v>804.6626</v>
      </c>
      <c r="O2772" s="19">
        <v>4547.0492000000004</v>
      </c>
      <c r="Q2772" s="19">
        <v>7159.8239000000003</v>
      </c>
      <c r="S2772" s="19">
        <v>1427.1466</v>
      </c>
      <c r="U2772" s="19">
        <v>3.7606000000000002</v>
      </c>
      <c r="W2772" s="19">
        <v>38.802500000000002</v>
      </c>
      <c r="Y2772" s="19">
        <v>7.7343000000000002</v>
      </c>
      <c r="AA2772" s="19">
        <v>536.51499999999999</v>
      </c>
      <c r="AC2772" s="19">
        <v>54.715299999999999</v>
      </c>
      <c r="AE2772" s="19">
        <v>1</v>
      </c>
      <c r="AG2772" s="19">
        <v>7.7994000000000003</v>
      </c>
      <c r="AI2772" s="19">
        <v>8.75</v>
      </c>
      <c r="AK2772" s="19">
        <v>24.601299999999998</v>
      </c>
      <c r="AM2772" s="19">
        <v>36.540300000000002</v>
      </c>
      <c r="AO2772" s="19">
        <v>6.7873000000000001</v>
      </c>
    </row>
    <row r="2773" spans="2:41" x14ac:dyDescent="0.25">
      <c r="B2773" s="21">
        <v>45047</v>
      </c>
      <c r="C2773" s="27">
        <v>18.072299999999998</v>
      </c>
      <c r="E2773" s="27">
        <v>0.90966499999999995</v>
      </c>
      <c r="G2773" s="27">
        <v>221.82610600000001</v>
      </c>
      <c r="I2773" s="27">
        <v>6.8967780000000003</v>
      </c>
      <c r="K2773" s="27">
        <v>4.9885060000000001</v>
      </c>
      <c r="M2773" s="27">
        <v>806.95122200000003</v>
      </c>
      <c r="O2773" s="27">
        <v>4700.3380159999997</v>
      </c>
      <c r="Q2773" s="27">
        <v>7181.7341740000002</v>
      </c>
      <c r="S2773" s="27">
        <v>1439.6661730000001</v>
      </c>
      <c r="U2773" s="27">
        <v>3.712882</v>
      </c>
      <c r="W2773" s="27">
        <v>38.691400999999999</v>
      </c>
      <c r="Y2773" s="27">
        <v>7.7561439999999999</v>
      </c>
      <c r="AA2773" s="27">
        <v>535.38305000000003</v>
      </c>
      <c r="AC2773" s="27">
        <v>54.553316000000002</v>
      </c>
      <c r="AE2773" s="27">
        <v>1</v>
      </c>
      <c r="AG2773" s="27">
        <v>7.7898800000000001</v>
      </c>
      <c r="AI2773" s="27">
        <v>8.75</v>
      </c>
      <c r="AK2773" s="27">
        <v>24.578790000000001</v>
      </c>
      <c r="AM2773" s="27">
        <v>36.510981999999998</v>
      </c>
      <c r="AO2773" s="27">
        <v>6.7821980000000002</v>
      </c>
    </row>
    <row r="2774" spans="2:41" x14ac:dyDescent="0.25">
      <c r="B2774" s="21">
        <v>45048</v>
      </c>
      <c r="C2774" s="27">
        <v>17.997499999999999</v>
      </c>
      <c r="E2774" s="27">
        <v>0.91029099999999996</v>
      </c>
      <c r="G2774" s="27">
        <v>223.62240800000001</v>
      </c>
      <c r="I2774" s="27">
        <v>6.9049889999999996</v>
      </c>
      <c r="K2774" s="27">
        <v>5.0140940000000001</v>
      </c>
      <c r="M2774" s="27">
        <v>807.64545399999997</v>
      </c>
      <c r="O2774" s="27">
        <v>4709.5579959999995</v>
      </c>
      <c r="Q2774" s="27">
        <v>7219.1020330000001</v>
      </c>
      <c r="S2774" s="27">
        <v>1439.7705599999999</v>
      </c>
      <c r="U2774" s="27">
        <v>3.7074340000000001</v>
      </c>
      <c r="W2774" s="27">
        <v>38.732537999999998</v>
      </c>
      <c r="Y2774" s="27">
        <v>7.7247680000000001</v>
      </c>
      <c r="AA2774" s="27">
        <v>538.81783700000005</v>
      </c>
      <c r="AC2774" s="27">
        <v>54.465955999999998</v>
      </c>
      <c r="AE2774" s="27">
        <v>1</v>
      </c>
      <c r="AG2774" s="27">
        <v>7.7914180000000002</v>
      </c>
      <c r="AI2774" s="27">
        <v>8.75</v>
      </c>
      <c r="AK2774" s="27">
        <v>24.611650999999998</v>
      </c>
      <c r="AM2774" s="27">
        <v>36.535536999999998</v>
      </c>
      <c r="AO2774" s="27">
        <v>6.7756379999999998</v>
      </c>
    </row>
    <row r="2775" spans="2:41" x14ac:dyDescent="0.25">
      <c r="B2775" s="21">
        <v>45049</v>
      </c>
      <c r="C2775" s="27">
        <v>18.032499999999999</v>
      </c>
      <c r="E2775" s="27">
        <v>0.90572600000000003</v>
      </c>
      <c r="G2775" s="27">
        <v>224.86228</v>
      </c>
      <c r="I2775" s="27">
        <v>6.8999519999999999</v>
      </c>
      <c r="K2775" s="27">
        <v>5.0234319999999997</v>
      </c>
      <c r="M2775" s="27">
        <v>807.38656600000002</v>
      </c>
      <c r="O2775" s="27">
        <v>4685.44038</v>
      </c>
      <c r="Q2775" s="27">
        <v>7191.5832989999999</v>
      </c>
      <c r="S2775" s="27">
        <v>1431.616066</v>
      </c>
      <c r="U2775" s="27">
        <v>3.698636</v>
      </c>
      <c r="W2775" s="27">
        <v>38.752155999999999</v>
      </c>
      <c r="Y2775" s="27">
        <v>7.7143100000000002</v>
      </c>
      <c r="AA2775" s="27">
        <v>539.402466</v>
      </c>
      <c r="AC2775" s="27">
        <v>54.370767999999998</v>
      </c>
      <c r="AE2775" s="27">
        <v>1</v>
      </c>
      <c r="AG2775" s="27">
        <v>7.7849760000000003</v>
      </c>
      <c r="AI2775" s="27">
        <v>8.75</v>
      </c>
      <c r="AK2775" s="27">
        <v>24.571999999999999</v>
      </c>
      <c r="AM2775" s="27">
        <v>36.466797999999997</v>
      </c>
      <c r="AO2775" s="27">
        <v>6.7671469999999996</v>
      </c>
    </row>
    <row r="2776" spans="2:41" x14ac:dyDescent="0.25">
      <c r="B2776" s="21">
        <v>45050</v>
      </c>
      <c r="C2776" s="27">
        <v>17.905999999999999</v>
      </c>
      <c r="E2776" s="27">
        <v>0.90534000000000003</v>
      </c>
      <c r="G2776" s="27">
        <v>225.407456</v>
      </c>
      <c r="I2776" s="27">
        <v>6.8976300000000004</v>
      </c>
      <c r="K2776" s="27">
        <v>4.995984</v>
      </c>
      <c r="M2776" s="27">
        <v>802.68418299999996</v>
      </c>
      <c r="O2776" s="27">
        <v>4637.5020119999999</v>
      </c>
      <c r="Q2776" s="27">
        <v>7167.063682</v>
      </c>
      <c r="S2776" s="27">
        <v>1434.5737119999999</v>
      </c>
      <c r="U2776" s="27">
        <v>3.7063480000000002</v>
      </c>
      <c r="W2776" s="27">
        <v>38.862718000000001</v>
      </c>
      <c r="Y2776" s="27">
        <v>7.7788300000000001</v>
      </c>
      <c r="AA2776" s="27">
        <v>540.99982799999998</v>
      </c>
      <c r="AC2776" s="27">
        <v>54.396889999999999</v>
      </c>
      <c r="AE2776" s="27">
        <v>1</v>
      </c>
      <c r="AG2776" s="27">
        <v>7.7896859999999997</v>
      </c>
      <c r="AI2776" s="27">
        <v>8.75</v>
      </c>
      <c r="AK2776" s="27">
        <v>24.553768000000002</v>
      </c>
      <c r="AM2776" s="27">
        <v>36.494332</v>
      </c>
      <c r="AO2776" s="27">
        <v>6.7750069999999996</v>
      </c>
    </row>
    <row r="2777" spans="2:41" x14ac:dyDescent="0.25">
      <c r="B2777" s="21">
        <v>45051</v>
      </c>
      <c r="C2777" s="27">
        <v>17.9575</v>
      </c>
      <c r="E2777" s="27">
        <v>0.90719700000000003</v>
      </c>
      <c r="G2777" s="27">
        <v>225.91626500000001</v>
      </c>
      <c r="I2777" s="27">
        <v>6.9151319999999998</v>
      </c>
      <c r="K2777" s="27">
        <v>4.9693379999999996</v>
      </c>
      <c r="M2777" s="27">
        <v>796.84386900000004</v>
      </c>
      <c r="O2777" s="27">
        <v>4587.4338900000002</v>
      </c>
      <c r="Q2777" s="27">
        <v>7176.274394</v>
      </c>
      <c r="S2777" s="27">
        <v>1444.1192530000001</v>
      </c>
      <c r="U2777" s="27">
        <v>3.714048</v>
      </c>
      <c r="W2777" s="27">
        <v>38.996288</v>
      </c>
      <c r="Y2777" s="27">
        <v>7.8474180000000002</v>
      </c>
      <c r="AA2777" s="27">
        <v>542.397198</v>
      </c>
      <c r="AC2777" s="27">
        <v>54.546878</v>
      </c>
      <c r="AE2777" s="27">
        <v>1</v>
      </c>
      <c r="AG2777" s="27">
        <v>7.8102580000000001</v>
      </c>
      <c r="AI2777" s="27">
        <v>8.75</v>
      </c>
      <c r="AK2777" s="27">
        <v>24.650901999999999</v>
      </c>
      <c r="AM2777" s="27">
        <v>36.593248000000003</v>
      </c>
      <c r="AO2777" s="27">
        <v>6.7896489999999998</v>
      </c>
    </row>
    <row r="2778" spans="2:41" x14ac:dyDescent="0.25">
      <c r="B2778" s="21">
        <v>45052</v>
      </c>
      <c r="C2778" s="27">
        <v>17.9575</v>
      </c>
      <c r="E2778" s="27">
        <v>0.90753600000000001</v>
      </c>
      <c r="G2778" s="27">
        <v>226.23009999999999</v>
      </c>
      <c r="I2778" s="27">
        <v>6.9078179999999998</v>
      </c>
      <c r="K2778" s="27">
        <v>4.9516</v>
      </c>
      <c r="M2778" s="27">
        <v>794.03</v>
      </c>
      <c r="O2778" s="27">
        <v>4546.7974999999997</v>
      </c>
      <c r="Q2778" s="27">
        <v>7172.4594939999997</v>
      </c>
      <c r="S2778" s="27">
        <v>1448.520859</v>
      </c>
      <c r="U2778" s="27">
        <v>3.7007720000000002</v>
      </c>
      <c r="W2778" s="27">
        <v>39.029161999999999</v>
      </c>
      <c r="Y2778" s="27">
        <v>7.8821640000000004</v>
      </c>
      <c r="AA2778" s="27">
        <v>542.19095600000003</v>
      </c>
      <c r="AC2778" s="27">
        <v>54.407499999999999</v>
      </c>
      <c r="AE2778" s="27">
        <v>1</v>
      </c>
      <c r="AG2778" s="27">
        <v>7.8025500000000001</v>
      </c>
      <c r="AI2778" s="27">
        <v>8.75</v>
      </c>
      <c r="AK2778" s="27">
        <v>24.679749999999999</v>
      </c>
      <c r="AM2778" s="27">
        <v>36.499749999999999</v>
      </c>
      <c r="AO2778" s="27">
        <v>6.7800960000000003</v>
      </c>
    </row>
    <row r="2779" spans="2:41" x14ac:dyDescent="0.25">
      <c r="B2779" s="21">
        <v>45053</v>
      </c>
      <c r="C2779" s="27">
        <v>17.9575</v>
      </c>
      <c r="E2779" s="27">
        <v>0.907528</v>
      </c>
      <c r="G2779" s="27">
        <v>226.22790599999999</v>
      </c>
      <c r="I2779" s="27">
        <v>6.9078059999999999</v>
      </c>
      <c r="K2779" s="27">
        <v>4.9517059999999997</v>
      </c>
      <c r="M2779" s="27">
        <v>794.02797599999997</v>
      </c>
      <c r="O2779" s="27">
        <v>4545.3501880000003</v>
      </c>
      <c r="Q2779" s="27">
        <v>7172.5087489999996</v>
      </c>
      <c r="S2779" s="27">
        <v>1448.500172</v>
      </c>
      <c r="U2779" s="27">
        <v>3.7007780000000001</v>
      </c>
      <c r="W2779" s="27">
        <v>39.014220000000002</v>
      </c>
      <c r="Y2779" s="27">
        <v>7.8789800000000003</v>
      </c>
      <c r="AA2779" s="27">
        <v>542.18606799999998</v>
      </c>
      <c r="AC2779" s="27">
        <v>54.407352000000003</v>
      </c>
      <c r="AE2779" s="27">
        <v>1</v>
      </c>
      <c r="AG2779" s="27">
        <v>7.8025200000000003</v>
      </c>
      <c r="AI2779" s="27">
        <v>8.75</v>
      </c>
      <c r="AK2779" s="27">
        <v>24.678795000000001</v>
      </c>
      <c r="AM2779" s="27">
        <v>36.501173999999999</v>
      </c>
      <c r="AO2779" s="27">
        <v>6.7800859999999998</v>
      </c>
    </row>
    <row r="2780" spans="2:41" x14ac:dyDescent="0.25">
      <c r="B2780" s="21">
        <v>45054</v>
      </c>
      <c r="C2780" s="27">
        <v>17.786300000000001</v>
      </c>
      <c r="E2780" s="27">
        <v>0.90686199999999995</v>
      </c>
      <c r="G2780" s="27">
        <v>226.69878299999999</v>
      </c>
      <c r="I2780" s="27">
        <v>6.9088779999999996</v>
      </c>
      <c r="K2780" s="27">
        <v>4.9725219999999997</v>
      </c>
      <c r="M2780" s="27">
        <v>794.40824099999998</v>
      </c>
      <c r="O2780" s="27">
        <v>4514.3756940000003</v>
      </c>
      <c r="Q2780" s="27">
        <v>7164.7143960000003</v>
      </c>
      <c r="S2780" s="27">
        <v>1440.8703720000001</v>
      </c>
      <c r="U2780" s="27">
        <v>3.7059920000000002</v>
      </c>
      <c r="W2780" s="27">
        <v>38.964466000000002</v>
      </c>
      <c r="Y2780" s="27">
        <v>7.8359909999999999</v>
      </c>
      <c r="AA2780" s="27">
        <v>542.58455200000003</v>
      </c>
      <c r="AC2780" s="27">
        <v>54.494224000000003</v>
      </c>
      <c r="AE2780" s="27">
        <v>1</v>
      </c>
      <c r="AG2780" s="27">
        <v>7.8045309999999999</v>
      </c>
      <c r="AI2780" s="27">
        <v>8.75</v>
      </c>
      <c r="AK2780" s="27">
        <v>24.613507999999999</v>
      </c>
      <c r="AM2780" s="27">
        <v>36.564878999999998</v>
      </c>
      <c r="AO2780" s="27">
        <v>6.7695860000000003</v>
      </c>
    </row>
    <row r="2781" spans="2:41" x14ac:dyDescent="0.25">
      <c r="B2781" s="21">
        <v>45055</v>
      </c>
      <c r="C2781" s="27">
        <v>17.821300000000001</v>
      </c>
      <c r="E2781" s="27">
        <v>0.91127400000000003</v>
      </c>
      <c r="G2781" s="27">
        <v>227.82639900000001</v>
      </c>
      <c r="I2781" s="27">
        <v>6.92293</v>
      </c>
      <c r="K2781" s="27">
        <v>5.0015400000000003</v>
      </c>
      <c r="M2781" s="27">
        <v>794.38687400000003</v>
      </c>
      <c r="O2781" s="27">
        <v>4525.910014</v>
      </c>
      <c r="Q2781" s="27">
        <v>7168.7236380000004</v>
      </c>
      <c r="S2781" s="27">
        <v>1433.3114</v>
      </c>
      <c r="U2781" s="27">
        <v>3.704987</v>
      </c>
      <c r="W2781" s="27">
        <v>38.959201999999998</v>
      </c>
      <c r="Y2781" s="27">
        <v>7.7894690000000004</v>
      </c>
      <c r="AA2781" s="27">
        <v>542.62106600000004</v>
      </c>
      <c r="AC2781" s="27">
        <v>54.533169000000001</v>
      </c>
      <c r="AE2781" s="27">
        <v>1</v>
      </c>
      <c r="AG2781" s="27">
        <v>7.8134420000000002</v>
      </c>
      <c r="AI2781" s="27">
        <v>8.75</v>
      </c>
      <c r="AK2781" s="27">
        <v>24.647535000000001</v>
      </c>
      <c r="AM2781" s="27">
        <v>36.693280000000001</v>
      </c>
      <c r="AO2781" s="27">
        <v>6.7864019999999998</v>
      </c>
    </row>
    <row r="2782" spans="2:41" x14ac:dyDescent="0.25">
      <c r="B2782" s="21">
        <v>45056</v>
      </c>
      <c r="C2782" s="27">
        <v>17.7608</v>
      </c>
      <c r="E2782" s="27">
        <v>0.91138600000000003</v>
      </c>
      <c r="G2782" s="27">
        <v>228.28499099999999</v>
      </c>
      <c r="I2782" s="27">
        <v>6.9150710000000002</v>
      </c>
      <c r="K2782" s="27">
        <v>4.9698979999999997</v>
      </c>
      <c r="M2782" s="27">
        <v>790.21666500000003</v>
      </c>
      <c r="O2782" s="27">
        <v>4558.8699479999996</v>
      </c>
      <c r="Q2782" s="27">
        <v>7171.0183139999999</v>
      </c>
      <c r="S2782" s="27">
        <v>1442.8988179999999</v>
      </c>
      <c r="U2782" s="27">
        <v>3.698337</v>
      </c>
      <c r="W2782" s="27">
        <v>38.831702</v>
      </c>
      <c r="Y2782" s="27">
        <v>7.8134119999999996</v>
      </c>
      <c r="AA2782" s="27">
        <v>539.07381299999997</v>
      </c>
      <c r="AC2782" s="27">
        <v>54.581456000000003</v>
      </c>
      <c r="AE2782" s="27">
        <v>1</v>
      </c>
      <c r="AG2782" s="27">
        <v>7.8068280000000003</v>
      </c>
      <c r="AI2782" s="27">
        <v>8.75</v>
      </c>
      <c r="AK2782" s="27">
        <v>24.600114000000001</v>
      </c>
      <c r="AM2782" s="27">
        <v>36.595961000000003</v>
      </c>
      <c r="AO2782" s="27">
        <v>6.7915760000000001</v>
      </c>
    </row>
    <row r="2783" spans="2:41" x14ac:dyDescent="0.25">
      <c r="B2783" s="21">
        <v>45057</v>
      </c>
      <c r="C2783" s="27">
        <v>17.584499999999998</v>
      </c>
      <c r="E2783" s="27">
        <v>0.91425299999999998</v>
      </c>
      <c r="G2783" s="27">
        <v>228.732122</v>
      </c>
      <c r="I2783" s="27">
        <v>6.9023779999999997</v>
      </c>
      <c r="K2783" s="27">
        <v>4.9468800000000002</v>
      </c>
      <c r="M2783" s="27">
        <v>791.72047799999996</v>
      </c>
      <c r="O2783" s="27">
        <v>4569.5900940000001</v>
      </c>
      <c r="Q2783" s="27">
        <v>7175.1523719999996</v>
      </c>
      <c r="S2783" s="27">
        <v>1450.448684</v>
      </c>
      <c r="U2783" s="27">
        <v>3.664631</v>
      </c>
      <c r="W2783" s="27">
        <v>38.825730999999998</v>
      </c>
      <c r="Y2783" s="27">
        <v>7.8485659999999999</v>
      </c>
      <c r="AA2783" s="27">
        <v>536.20135400000004</v>
      </c>
      <c r="AC2783" s="27">
        <v>54.505710999999998</v>
      </c>
      <c r="AE2783" s="27">
        <v>1</v>
      </c>
      <c r="AG2783" s="27">
        <v>7.7926710000000003</v>
      </c>
      <c r="AI2783" s="27">
        <v>8.75</v>
      </c>
      <c r="AK2783" s="27">
        <v>24.646422000000001</v>
      </c>
      <c r="AM2783" s="27">
        <v>36.542363999999999</v>
      </c>
      <c r="AO2783" s="27">
        <v>6.7806559999999996</v>
      </c>
    </row>
    <row r="2784" spans="2:41" x14ac:dyDescent="0.25">
      <c r="B2784" s="21">
        <v>45058</v>
      </c>
      <c r="C2784" s="27">
        <v>17.628699999999998</v>
      </c>
      <c r="E2784" s="27">
        <v>0.91835999999999995</v>
      </c>
      <c r="G2784" s="27">
        <v>229.11845400000001</v>
      </c>
      <c r="I2784" s="27">
        <v>6.9130640000000003</v>
      </c>
      <c r="K2784" s="27">
        <v>4.9285329999999998</v>
      </c>
      <c r="M2784" s="27">
        <v>790.96046000000001</v>
      </c>
      <c r="O2784" s="27">
        <v>4583.6847459999999</v>
      </c>
      <c r="Q2784" s="27">
        <v>7198.4736679999996</v>
      </c>
      <c r="S2784" s="27">
        <v>1460.5798239999999</v>
      </c>
      <c r="U2784" s="27">
        <v>3.653899</v>
      </c>
      <c r="W2784" s="27">
        <v>38.943508000000001</v>
      </c>
      <c r="Y2784" s="27">
        <v>7.901675</v>
      </c>
      <c r="AA2784" s="27">
        <v>536.17036399999995</v>
      </c>
      <c r="AC2784" s="27">
        <v>54.519474000000002</v>
      </c>
      <c r="AE2784" s="27">
        <v>1</v>
      </c>
      <c r="AG2784" s="27">
        <v>7.8042199999999999</v>
      </c>
      <c r="AI2784" s="27">
        <v>8.75</v>
      </c>
      <c r="AK2784" s="27">
        <v>24.621276000000002</v>
      </c>
      <c r="AM2784" s="27">
        <v>36.557561999999997</v>
      </c>
      <c r="AO2784" s="27">
        <v>6.7907250000000001</v>
      </c>
    </row>
    <row r="2785" spans="2:41" x14ac:dyDescent="0.25">
      <c r="B2785" s="21">
        <v>45059</v>
      </c>
      <c r="C2785" s="27">
        <v>17.628699999999998</v>
      </c>
      <c r="E2785" s="27">
        <v>0.92167200000000005</v>
      </c>
      <c r="G2785" s="27">
        <v>229.24359999999999</v>
      </c>
      <c r="I2785" s="27">
        <v>6.9153320000000003</v>
      </c>
      <c r="K2785" s="27">
        <v>4.9207999999999998</v>
      </c>
      <c r="M2785" s="27">
        <v>785.75</v>
      </c>
      <c r="O2785" s="27">
        <v>4563.6225000000004</v>
      </c>
      <c r="Q2785" s="27">
        <v>7206.421531</v>
      </c>
      <c r="S2785" s="27">
        <v>1464.4891929999999</v>
      </c>
      <c r="U2785" s="27">
        <v>3.6499980000000001</v>
      </c>
      <c r="W2785" s="27">
        <v>38.984962000000003</v>
      </c>
      <c r="Y2785" s="27">
        <v>7.9225180000000002</v>
      </c>
      <c r="AA2785" s="27">
        <v>535.90732600000001</v>
      </c>
      <c r="AC2785" s="27">
        <v>54.422499999999999</v>
      </c>
      <c r="AE2785" s="27">
        <v>1</v>
      </c>
      <c r="AG2785" s="27">
        <v>7.8061800000000003</v>
      </c>
      <c r="AI2785" s="27">
        <v>8.75</v>
      </c>
      <c r="AK2785" s="27">
        <v>24.679749999999999</v>
      </c>
      <c r="AM2785" s="27">
        <v>36.52225</v>
      </c>
      <c r="AO2785" s="27">
        <v>6.7910139999999997</v>
      </c>
    </row>
    <row r="2786" spans="2:41" x14ac:dyDescent="0.25">
      <c r="B2786" s="21">
        <v>45060</v>
      </c>
      <c r="C2786" s="27">
        <v>17.628699999999998</v>
      </c>
      <c r="E2786" s="27">
        <v>0.92164599999999997</v>
      </c>
      <c r="G2786" s="27">
        <v>229.34895</v>
      </c>
      <c r="I2786" s="27">
        <v>6.9140969999999999</v>
      </c>
      <c r="K2786" s="27">
        <v>4.9208780000000001</v>
      </c>
      <c r="M2786" s="27">
        <v>785.75</v>
      </c>
      <c r="O2786" s="27">
        <v>4563.5754209999996</v>
      </c>
      <c r="Q2786" s="27">
        <v>7206.9476720000002</v>
      </c>
      <c r="S2786" s="27">
        <v>1464.574584</v>
      </c>
      <c r="U2786" s="27">
        <v>3.6499980000000001</v>
      </c>
      <c r="W2786" s="27">
        <v>38.976897000000001</v>
      </c>
      <c r="Y2786" s="27">
        <v>7.9207599999999996</v>
      </c>
      <c r="AA2786" s="27">
        <v>535.78042800000003</v>
      </c>
      <c r="AC2786" s="27">
        <v>54.4236</v>
      </c>
      <c r="AE2786" s="27">
        <v>1</v>
      </c>
      <c r="AG2786" s="27">
        <v>7.8047240000000002</v>
      </c>
      <c r="AI2786" s="27">
        <v>8.75</v>
      </c>
      <c r="AK2786" s="27">
        <v>24.679749999999999</v>
      </c>
      <c r="AM2786" s="27">
        <v>36.519599999999997</v>
      </c>
      <c r="AO2786" s="27">
        <v>6.7899130000000003</v>
      </c>
    </row>
    <row r="2787" spans="2:41" x14ac:dyDescent="0.25">
      <c r="B2787" s="21">
        <v>45061</v>
      </c>
      <c r="C2787" s="27">
        <v>17.6142</v>
      </c>
      <c r="E2787" s="27">
        <v>0.91996599999999995</v>
      </c>
      <c r="G2787" s="27">
        <v>230.034435</v>
      </c>
      <c r="I2787" s="27">
        <v>6.9225209999999997</v>
      </c>
      <c r="K2787" s="27">
        <v>4.911562</v>
      </c>
      <c r="M2787" s="27">
        <v>785.14490599999999</v>
      </c>
      <c r="O2787" s="27">
        <v>4541.0144959999998</v>
      </c>
      <c r="Q2787" s="27">
        <v>7229.5498559999996</v>
      </c>
      <c r="S2787" s="27">
        <v>1471.9563720000001</v>
      </c>
      <c r="U2787" s="27">
        <v>3.6642290000000002</v>
      </c>
      <c r="W2787" s="27">
        <v>39.019190000000002</v>
      </c>
      <c r="Y2787" s="27">
        <v>7.9443999999999999</v>
      </c>
      <c r="AA2787" s="27">
        <v>535.995678</v>
      </c>
      <c r="AC2787" s="27">
        <v>54.679431999999998</v>
      </c>
      <c r="AE2787" s="27">
        <v>1</v>
      </c>
      <c r="AG2787" s="27">
        <v>7.8136400000000004</v>
      </c>
      <c r="AI2787" s="27">
        <v>8.75</v>
      </c>
      <c r="AK2787" s="27">
        <v>24.629930999999999</v>
      </c>
      <c r="AM2787" s="27">
        <v>36.613079999999997</v>
      </c>
      <c r="AO2787" s="27">
        <v>6.7995950000000001</v>
      </c>
    </row>
    <row r="2788" spans="2:41" x14ac:dyDescent="0.25">
      <c r="B2788" s="21">
        <v>45062</v>
      </c>
      <c r="C2788" s="27">
        <v>17.538</v>
      </c>
      <c r="E2788" s="27">
        <v>0.91950399999999999</v>
      </c>
      <c r="G2788" s="27">
        <v>230.867772</v>
      </c>
      <c r="I2788" s="27">
        <v>6.9098090000000001</v>
      </c>
      <c r="K2788" s="27">
        <v>4.909389</v>
      </c>
      <c r="M2788" s="27">
        <v>789.882159</v>
      </c>
      <c r="O2788" s="27">
        <v>4516.3814149999998</v>
      </c>
      <c r="Q2788" s="27">
        <v>7210.3538280000002</v>
      </c>
      <c r="S2788" s="27">
        <v>1468.6957500000001</v>
      </c>
      <c r="U2788" s="27">
        <v>3.6617320000000002</v>
      </c>
      <c r="W2788" s="27">
        <v>38.965133999999999</v>
      </c>
      <c r="Y2788" s="27">
        <v>7.9368939999999997</v>
      </c>
      <c r="AA2788" s="27">
        <v>534.67559100000005</v>
      </c>
      <c r="AC2788" s="27">
        <v>54.613599999999998</v>
      </c>
      <c r="AE2788" s="27">
        <v>1</v>
      </c>
      <c r="AG2788" s="27">
        <v>7.7997940000000003</v>
      </c>
      <c r="AI2788" s="27">
        <v>8.75</v>
      </c>
      <c r="AK2788" s="27">
        <v>24.581901999999999</v>
      </c>
      <c r="AM2788" s="27">
        <v>36.565192000000003</v>
      </c>
      <c r="AO2788" s="27">
        <v>6.785596</v>
      </c>
    </row>
    <row r="2789" spans="2:41" x14ac:dyDescent="0.25">
      <c r="B2789" s="21">
        <v>45063</v>
      </c>
      <c r="C2789" s="27">
        <v>17.467199999999998</v>
      </c>
      <c r="E2789" s="27">
        <v>0.92216799999999999</v>
      </c>
      <c r="G2789" s="27">
        <v>231.351392</v>
      </c>
      <c r="I2789" s="27">
        <v>6.9152500000000003</v>
      </c>
      <c r="K2789" s="27">
        <v>4.9408620000000001</v>
      </c>
      <c r="M2789" s="27">
        <v>797.42691000000002</v>
      </c>
      <c r="O2789" s="27">
        <v>4531.0522179999998</v>
      </c>
      <c r="Q2789" s="27">
        <v>7204.9135679999999</v>
      </c>
      <c r="S2789" s="27">
        <v>1458.23882</v>
      </c>
      <c r="U2789" s="27">
        <v>3.6747000000000001</v>
      </c>
      <c r="W2789" s="27">
        <v>38.994114000000003</v>
      </c>
      <c r="Y2789" s="27">
        <v>7.8922040000000004</v>
      </c>
      <c r="AA2789" s="27">
        <v>534.70521299999996</v>
      </c>
      <c r="AC2789" s="27">
        <v>54.570950000000003</v>
      </c>
      <c r="AE2789" s="27">
        <v>1</v>
      </c>
      <c r="AG2789" s="27">
        <v>7.8060499999999999</v>
      </c>
      <c r="AI2789" s="27">
        <v>8.75</v>
      </c>
      <c r="AK2789" s="27">
        <v>24.635041000000001</v>
      </c>
      <c r="AM2789" s="27">
        <v>36.589711999999999</v>
      </c>
      <c r="AO2789" s="27">
        <v>6.7906649999999997</v>
      </c>
    </row>
    <row r="2790" spans="2:41" x14ac:dyDescent="0.25">
      <c r="B2790" s="21">
        <v>45064</v>
      </c>
      <c r="C2790" s="27">
        <v>17.587199999999999</v>
      </c>
      <c r="E2790" s="27">
        <v>0.925732</v>
      </c>
      <c r="G2790" s="27">
        <v>231.86770999999999</v>
      </c>
      <c r="I2790" s="27">
        <v>6.9088989999999999</v>
      </c>
      <c r="K2790" s="27">
        <v>4.9530539999999998</v>
      </c>
      <c r="M2790" s="27">
        <v>794.24679400000002</v>
      </c>
      <c r="O2790" s="27">
        <v>4517.8640560000003</v>
      </c>
      <c r="Q2790" s="27">
        <v>7195.7477840000001</v>
      </c>
      <c r="S2790" s="27">
        <v>1452.7986920000001</v>
      </c>
      <c r="U2790" s="27">
        <v>3.6934040000000001</v>
      </c>
      <c r="W2790" s="27">
        <v>38.939801000000003</v>
      </c>
      <c r="Y2790" s="27">
        <v>7.8618079999999999</v>
      </c>
      <c r="AA2790" s="27">
        <v>534.11867800000005</v>
      </c>
      <c r="AC2790" s="27">
        <v>54.488813999999998</v>
      </c>
      <c r="AE2790" s="27">
        <v>1</v>
      </c>
      <c r="AG2790" s="27">
        <v>7.7988850000000003</v>
      </c>
      <c r="AI2790" s="27">
        <v>8.75</v>
      </c>
      <c r="AK2790" s="27">
        <v>24.602513999999999</v>
      </c>
      <c r="AM2790" s="27">
        <v>36.552511000000003</v>
      </c>
      <c r="AO2790" s="27">
        <v>6.7858099999999997</v>
      </c>
    </row>
    <row r="2791" spans="2:41" x14ac:dyDescent="0.25">
      <c r="B2791" s="21">
        <v>45065</v>
      </c>
      <c r="C2791" s="27">
        <v>17.734200000000001</v>
      </c>
      <c r="E2791" s="27">
        <v>0.92654599999999998</v>
      </c>
      <c r="G2791" s="27">
        <v>232.417855</v>
      </c>
      <c r="I2791" s="27">
        <v>6.9201779999999999</v>
      </c>
      <c r="K2791" s="27">
        <v>4.9782539999999997</v>
      </c>
      <c r="M2791" s="27">
        <v>796.92560200000003</v>
      </c>
      <c r="O2791" s="27">
        <v>4528.9039869999997</v>
      </c>
      <c r="Q2791" s="27">
        <v>7225.6802960000005</v>
      </c>
      <c r="S2791" s="27">
        <v>1451.4578100000001</v>
      </c>
      <c r="U2791" s="27">
        <v>3.7048230000000002</v>
      </c>
      <c r="W2791" s="27">
        <v>38.994812000000003</v>
      </c>
      <c r="Y2791" s="27">
        <v>7.8330650000000004</v>
      </c>
      <c r="AA2791" s="27">
        <v>535.10532599999999</v>
      </c>
      <c r="AC2791" s="27">
        <v>54.661149999999999</v>
      </c>
      <c r="AE2791" s="27">
        <v>1</v>
      </c>
      <c r="AG2791" s="27">
        <v>7.8136020000000004</v>
      </c>
      <c r="AI2791" s="27">
        <v>8.75</v>
      </c>
      <c r="AK2791" s="27">
        <v>24.643695999999998</v>
      </c>
      <c r="AM2791" s="27">
        <v>36.621454</v>
      </c>
      <c r="AO2791" s="27">
        <v>6.796818</v>
      </c>
    </row>
    <row r="2792" spans="2:41" x14ac:dyDescent="0.25">
      <c r="B2792" s="21">
        <v>45066</v>
      </c>
      <c r="C2792" s="27">
        <v>17.734200000000001</v>
      </c>
      <c r="E2792" s="27">
        <v>0.92539800000000005</v>
      </c>
      <c r="G2792" s="27">
        <v>232.819625</v>
      </c>
      <c r="I2792" s="27">
        <v>6.9121759999999997</v>
      </c>
      <c r="K2792" s="27">
        <v>5.0002550000000001</v>
      </c>
      <c r="M2792" s="27">
        <v>798.64499999999998</v>
      </c>
      <c r="O2792" s="27">
        <v>4534.4025000000001</v>
      </c>
      <c r="Q2792" s="27">
        <v>7227.4317220000003</v>
      </c>
      <c r="S2792" s="27">
        <v>1445.4229479999999</v>
      </c>
      <c r="U2792" s="27">
        <v>3.702248</v>
      </c>
      <c r="W2792" s="27">
        <v>38.860787000000002</v>
      </c>
      <c r="Y2792" s="27">
        <v>7.7718059999999998</v>
      </c>
      <c r="AA2792" s="27">
        <v>534.53285000000005</v>
      </c>
      <c r="AC2792" s="27">
        <v>54.497500000000002</v>
      </c>
      <c r="AE2792" s="27">
        <v>1</v>
      </c>
      <c r="AG2792" s="27">
        <v>7.8062100000000001</v>
      </c>
      <c r="AI2792" s="27">
        <v>8.75</v>
      </c>
      <c r="AK2792" s="27">
        <v>24.624749999999999</v>
      </c>
      <c r="AM2792" s="27">
        <v>36.539749999999998</v>
      </c>
      <c r="AO2792" s="27">
        <v>6.7888320000000002</v>
      </c>
    </row>
    <row r="2793" spans="2:41" x14ac:dyDescent="0.25">
      <c r="B2793" s="21">
        <v>45067</v>
      </c>
      <c r="C2793" s="27">
        <v>17.734200000000001</v>
      </c>
      <c r="E2793" s="27">
        <v>0.92530599999999996</v>
      </c>
      <c r="G2793" s="27">
        <v>232.67951600000001</v>
      </c>
      <c r="I2793" s="27">
        <v>6.9115659999999997</v>
      </c>
      <c r="K2793" s="27">
        <v>5.000146</v>
      </c>
      <c r="M2793" s="27">
        <v>798.64238399999999</v>
      </c>
      <c r="O2793" s="27">
        <v>4534.1501200000002</v>
      </c>
      <c r="Q2793" s="27">
        <v>7226.791346</v>
      </c>
      <c r="S2793" s="27">
        <v>1445.326996</v>
      </c>
      <c r="U2793" s="27">
        <v>3.701635</v>
      </c>
      <c r="W2793" s="27">
        <v>38.863988999999997</v>
      </c>
      <c r="Y2793" s="27">
        <v>7.7726199999999999</v>
      </c>
      <c r="AA2793" s="27">
        <v>534.48261600000001</v>
      </c>
      <c r="AC2793" s="27">
        <v>54.495328999999998</v>
      </c>
      <c r="AE2793" s="27">
        <v>1</v>
      </c>
      <c r="AG2793" s="27">
        <v>7.805536</v>
      </c>
      <c r="AI2793" s="27">
        <v>8.75</v>
      </c>
      <c r="AK2793" s="27">
        <v>24.620334</v>
      </c>
      <c r="AM2793" s="27">
        <v>36.537058000000002</v>
      </c>
      <c r="AO2793" s="27">
        <v>6.7882290000000003</v>
      </c>
    </row>
    <row r="2794" spans="2:41" x14ac:dyDescent="0.25">
      <c r="B2794" s="21">
        <v>45068</v>
      </c>
      <c r="C2794" s="27">
        <v>17.693000000000001</v>
      </c>
      <c r="E2794" s="27">
        <v>0.92460399999999998</v>
      </c>
      <c r="G2794" s="27">
        <v>233.21601799999999</v>
      </c>
      <c r="I2794" s="27">
        <v>6.9045189999999996</v>
      </c>
      <c r="K2794" s="27">
        <v>4.9832029999999996</v>
      </c>
      <c r="M2794" s="27">
        <v>798.842266</v>
      </c>
      <c r="O2794" s="27">
        <v>4536.1964559999997</v>
      </c>
      <c r="Q2794" s="27">
        <v>7223.6804279999997</v>
      </c>
      <c r="S2794" s="27">
        <v>1449.6152709999999</v>
      </c>
      <c r="U2794" s="27">
        <v>3.6901760000000001</v>
      </c>
      <c r="W2794" s="27">
        <v>38.885474000000002</v>
      </c>
      <c r="Y2794" s="27">
        <v>7.8033440000000001</v>
      </c>
      <c r="AA2794" s="27">
        <v>533.89932899999997</v>
      </c>
      <c r="AC2794" s="27">
        <v>54.492375000000003</v>
      </c>
      <c r="AE2794" s="27">
        <v>1</v>
      </c>
      <c r="AG2794" s="27">
        <v>7.7978500000000004</v>
      </c>
      <c r="AI2794" s="27">
        <v>8.75</v>
      </c>
      <c r="AK2794" s="27">
        <v>24.569675</v>
      </c>
      <c r="AM2794" s="27">
        <v>36.509599999999999</v>
      </c>
      <c r="AO2794" s="27">
        <v>6.7802769999999999</v>
      </c>
    </row>
    <row r="2795" spans="2:41" x14ac:dyDescent="0.25">
      <c r="B2795" s="21">
        <v>45069</v>
      </c>
      <c r="C2795" s="27">
        <v>17.867999999999999</v>
      </c>
      <c r="E2795" s="27">
        <v>0.92703599999999997</v>
      </c>
      <c r="G2795" s="27">
        <v>234.589496</v>
      </c>
      <c r="I2795" s="27">
        <v>6.9120100000000004</v>
      </c>
      <c r="K2795" s="27">
        <v>4.9682870000000001</v>
      </c>
      <c r="M2795" s="27">
        <v>799.128286</v>
      </c>
      <c r="O2795" s="27">
        <v>4511.8670110000003</v>
      </c>
      <c r="Q2795" s="27">
        <v>7235.9953230000001</v>
      </c>
      <c r="S2795" s="27">
        <v>1456.4455399999999</v>
      </c>
      <c r="U2795" s="27">
        <v>3.690267</v>
      </c>
      <c r="W2795" s="27">
        <v>38.910207</v>
      </c>
      <c r="Y2795" s="27">
        <v>7.8317459999999999</v>
      </c>
      <c r="AA2795" s="27">
        <v>535.39323899999999</v>
      </c>
      <c r="AC2795" s="27">
        <v>54.568370000000002</v>
      </c>
      <c r="AE2795" s="27">
        <v>1</v>
      </c>
      <c r="AG2795" s="27">
        <v>7.8072920000000003</v>
      </c>
      <c r="AI2795" s="27">
        <v>8.75</v>
      </c>
      <c r="AK2795" s="27">
        <v>24.628965000000001</v>
      </c>
      <c r="AM2795" s="27">
        <v>36.571373999999999</v>
      </c>
      <c r="AO2795" s="27">
        <v>6.7865799999999998</v>
      </c>
    </row>
    <row r="2796" spans="2:41" x14ac:dyDescent="0.25">
      <c r="B2796" s="21">
        <v>45070</v>
      </c>
      <c r="C2796" s="27">
        <v>17.968699999999998</v>
      </c>
      <c r="E2796" s="27">
        <v>0.92865399999999998</v>
      </c>
      <c r="G2796" s="27">
        <v>235.268216</v>
      </c>
      <c r="I2796" s="27">
        <v>6.9072620000000002</v>
      </c>
      <c r="K2796" s="27">
        <v>4.9626419999999998</v>
      </c>
      <c r="M2796" s="27">
        <v>803.59121000000005</v>
      </c>
      <c r="O2796" s="27">
        <v>4466.8574490000001</v>
      </c>
      <c r="Q2796" s="27">
        <v>7226.5904209999999</v>
      </c>
      <c r="S2796" s="27">
        <v>1456.2070739999999</v>
      </c>
      <c r="U2796" s="27">
        <v>3.6833290000000001</v>
      </c>
      <c r="W2796" s="27">
        <v>38.818815999999998</v>
      </c>
      <c r="Y2796" s="27">
        <v>7.8222420000000001</v>
      </c>
      <c r="AA2796" s="27">
        <v>536.19743300000005</v>
      </c>
      <c r="AC2796" s="27">
        <v>54.605007999999998</v>
      </c>
      <c r="AE2796" s="27">
        <v>1</v>
      </c>
      <c r="AG2796" s="27">
        <v>7.8024420000000001</v>
      </c>
      <c r="AI2796" s="27">
        <v>8.75</v>
      </c>
      <c r="AK2796" s="27">
        <v>24.600947999999999</v>
      </c>
      <c r="AM2796" s="27">
        <v>36.555314000000003</v>
      </c>
      <c r="AO2796" s="27">
        <v>6.7822950000000004</v>
      </c>
    </row>
    <row r="2797" spans="2:41" x14ac:dyDescent="0.25">
      <c r="B2797" s="21">
        <v>45071</v>
      </c>
      <c r="C2797" s="27">
        <v>17.819500000000001</v>
      </c>
      <c r="E2797" s="27">
        <v>0.93204399999999998</v>
      </c>
      <c r="G2797" s="27">
        <v>235.716871</v>
      </c>
      <c r="I2797" s="27">
        <v>6.909116</v>
      </c>
      <c r="K2797" s="27">
        <v>4.9888709999999996</v>
      </c>
      <c r="M2797" s="27">
        <v>807.92028400000004</v>
      </c>
      <c r="O2797" s="27">
        <v>4460.2982840000004</v>
      </c>
      <c r="Q2797" s="27">
        <v>7231.9422439999998</v>
      </c>
      <c r="S2797" s="27">
        <v>1449.623497</v>
      </c>
      <c r="U2797" s="27">
        <v>3.683449</v>
      </c>
      <c r="W2797" s="27">
        <v>38.758301000000003</v>
      </c>
      <c r="Y2797" s="27">
        <v>7.7689820000000003</v>
      </c>
      <c r="AA2797" s="27">
        <v>536.65709300000003</v>
      </c>
      <c r="AC2797" s="27">
        <v>54.606377999999999</v>
      </c>
      <c r="AE2797" s="27">
        <v>1</v>
      </c>
      <c r="AG2797" s="27">
        <v>7.8039820000000004</v>
      </c>
      <c r="AI2797" s="27">
        <v>8.75</v>
      </c>
      <c r="AK2797" s="27">
        <v>24.612732000000001</v>
      </c>
      <c r="AM2797" s="27">
        <v>36.546169999999996</v>
      </c>
      <c r="AO2797" s="27">
        <v>6.7904179999999998</v>
      </c>
    </row>
    <row r="2798" spans="2:41" x14ac:dyDescent="0.25">
      <c r="B2798" s="21">
        <v>45072</v>
      </c>
      <c r="C2798" s="27">
        <v>17.825199999999999</v>
      </c>
      <c r="E2798" s="27">
        <v>0.93193300000000001</v>
      </c>
      <c r="G2798" s="27">
        <v>235.72445400000001</v>
      </c>
      <c r="I2798" s="27">
        <v>6.9090199999999999</v>
      </c>
      <c r="K2798" s="27">
        <v>5.0180199999999999</v>
      </c>
      <c r="M2798" s="27">
        <v>805.42899199999999</v>
      </c>
      <c r="O2798" s="27">
        <v>4475.9654570000002</v>
      </c>
      <c r="Q2798" s="27">
        <v>7225.2123300000003</v>
      </c>
      <c r="S2798" s="27">
        <v>1439.862404</v>
      </c>
      <c r="U2798" s="27">
        <v>3.6828379999999998</v>
      </c>
      <c r="W2798" s="27">
        <v>38.698251999999997</v>
      </c>
      <c r="Y2798" s="27">
        <v>7.7118900000000004</v>
      </c>
      <c r="AA2798" s="27">
        <v>536.73837600000002</v>
      </c>
      <c r="AC2798" s="27">
        <v>54.585590000000003</v>
      </c>
      <c r="AE2798" s="27">
        <v>1</v>
      </c>
      <c r="AG2798" s="27">
        <v>7.8035810000000003</v>
      </c>
      <c r="AI2798" s="27">
        <v>8.75</v>
      </c>
      <c r="AK2798" s="27">
        <v>24.653662000000001</v>
      </c>
      <c r="AM2798" s="27">
        <v>36.532169000000003</v>
      </c>
      <c r="AO2798" s="27">
        <v>6.7914190000000003</v>
      </c>
    </row>
    <row r="2799" spans="2:41" x14ac:dyDescent="0.25">
      <c r="B2799" s="21">
        <v>45073</v>
      </c>
      <c r="C2799" s="27">
        <v>17.825199999999999</v>
      </c>
      <c r="E2799" s="27">
        <v>0.93238799999999999</v>
      </c>
      <c r="G2799" s="27">
        <v>235.74051399999999</v>
      </c>
      <c r="I2799" s="27">
        <v>6.9096080000000004</v>
      </c>
      <c r="K2799" s="27">
        <v>4.9950460000000003</v>
      </c>
      <c r="M2799" s="27">
        <v>799.42499999999995</v>
      </c>
      <c r="O2799" s="27">
        <v>4447.1475</v>
      </c>
      <c r="Q2799" s="27">
        <v>7215.7697440000002</v>
      </c>
      <c r="S2799" s="27">
        <v>1444.5985029999999</v>
      </c>
      <c r="U2799" s="27">
        <v>3.6707480000000001</v>
      </c>
      <c r="W2799" s="27">
        <v>38.767440999999998</v>
      </c>
      <c r="Y2799" s="27">
        <v>7.7612360000000002</v>
      </c>
      <c r="AA2799" s="27">
        <v>536.82448199999999</v>
      </c>
      <c r="AC2799" s="27">
        <v>54.572499999999998</v>
      </c>
      <c r="AE2799" s="27">
        <v>1</v>
      </c>
      <c r="AG2799" s="27">
        <v>7.80403</v>
      </c>
      <c r="AI2799" s="27">
        <v>8.75</v>
      </c>
      <c r="AK2799" s="27">
        <v>24.67475</v>
      </c>
      <c r="AM2799" s="27">
        <v>36.499749999999999</v>
      </c>
      <c r="AO2799" s="27">
        <v>6.7872019999999997</v>
      </c>
    </row>
    <row r="2800" spans="2:41" x14ac:dyDescent="0.25">
      <c r="B2800" s="21">
        <v>45074</v>
      </c>
      <c r="C2800" s="27">
        <v>17.825199999999999</v>
      </c>
      <c r="E2800" s="27">
        <v>0.93240999999999996</v>
      </c>
      <c r="G2800" s="27">
        <v>235.798282</v>
      </c>
      <c r="I2800" s="27">
        <v>6.9096080000000004</v>
      </c>
      <c r="K2800" s="27">
        <v>4.9948880000000004</v>
      </c>
      <c r="M2800" s="27">
        <v>799.47576000000004</v>
      </c>
      <c r="O2800" s="27">
        <v>4447.5679380000001</v>
      </c>
      <c r="Q2800" s="27">
        <v>7215.7697440000002</v>
      </c>
      <c r="S2800" s="27">
        <v>1444.6433380000001</v>
      </c>
      <c r="U2800" s="27">
        <v>3.6707480000000001</v>
      </c>
      <c r="W2800" s="27">
        <v>38.767440999999998</v>
      </c>
      <c r="Y2800" s="27">
        <v>7.7614780000000003</v>
      </c>
      <c r="AA2800" s="27">
        <v>536.82448199999999</v>
      </c>
      <c r="AC2800" s="27">
        <v>54.572499999999998</v>
      </c>
      <c r="AE2800" s="27">
        <v>1</v>
      </c>
      <c r="AG2800" s="27">
        <v>7.80403</v>
      </c>
      <c r="AI2800" s="27">
        <v>8.75</v>
      </c>
      <c r="AK2800" s="27">
        <v>24.67475</v>
      </c>
      <c r="AM2800" s="27">
        <v>36.499749999999999</v>
      </c>
      <c r="AO2800" s="27">
        <v>6.7872019999999997</v>
      </c>
    </row>
    <row r="2801" spans="2:41" x14ac:dyDescent="0.25">
      <c r="B2801" s="21">
        <v>45075</v>
      </c>
      <c r="C2801" s="27">
        <v>17.6723</v>
      </c>
      <c r="E2801" s="27">
        <v>0.93291800000000003</v>
      </c>
      <c r="G2801" s="27">
        <v>236.928179</v>
      </c>
      <c r="I2801" s="27">
        <v>6.9168539999999998</v>
      </c>
      <c r="K2801" s="27">
        <v>5.0009439999999996</v>
      </c>
      <c r="M2801" s="27">
        <v>800.30739000000005</v>
      </c>
      <c r="O2801" s="27">
        <v>4461.5764600000002</v>
      </c>
      <c r="Q2801" s="27">
        <v>7219.7005490000001</v>
      </c>
      <c r="S2801" s="27">
        <v>1443.6766319999999</v>
      </c>
      <c r="U2801" s="27">
        <v>3.680596</v>
      </c>
      <c r="W2801" s="27">
        <v>38.805062</v>
      </c>
      <c r="Y2801" s="27">
        <v>7.759582</v>
      </c>
      <c r="AA2801" s="27">
        <v>537.889815</v>
      </c>
      <c r="AC2801" s="27">
        <v>54.722442000000001</v>
      </c>
      <c r="AE2801" s="27">
        <v>1</v>
      </c>
      <c r="AG2801" s="27">
        <v>7.816859</v>
      </c>
      <c r="AI2801" s="27">
        <v>8.75</v>
      </c>
      <c r="AK2801" s="27">
        <v>24.613153000000001</v>
      </c>
      <c r="AM2801" s="27">
        <v>36.607543999999997</v>
      </c>
      <c r="AO2801" s="27">
        <v>6.7949339999999996</v>
      </c>
    </row>
    <row r="2802" spans="2:41" x14ac:dyDescent="0.25">
      <c r="B2802" s="21">
        <v>45076</v>
      </c>
      <c r="C2802" s="27">
        <v>17.560500000000001</v>
      </c>
      <c r="E2802" s="27">
        <v>0.93292699999999995</v>
      </c>
      <c r="G2802" s="27">
        <v>238.51031499999999</v>
      </c>
      <c r="I2802" s="27">
        <v>6.9136540000000002</v>
      </c>
      <c r="K2802" s="27">
        <v>5.0324059999999999</v>
      </c>
      <c r="M2802" s="27">
        <v>805.32287199999996</v>
      </c>
      <c r="O2802" s="27">
        <v>4423.2423120000003</v>
      </c>
      <c r="Q2802" s="27">
        <v>7217.2151629999998</v>
      </c>
      <c r="S2802" s="27">
        <v>1434.156751</v>
      </c>
      <c r="U2802" s="27">
        <v>3.68255</v>
      </c>
      <c r="W2802" s="27">
        <v>38.837580000000003</v>
      </c>
      <c r="Y2802" s="27">
        <v>7.7175289999999999</v>
      </c>
      <c r="AA2802" s="27">
        <v>538.74102100000005</v>
      </c>
      <c r="AC2802" s="27">
        <v>54.701495999999999</v>
      </c>
      <c r="AE2802" s="27">
        <v>1</v>
      </c>
      <c r="AG2802" s="27">
        <v>7.8187309999999997</v>
      </c>
      <c r="AI2802" s="27">
        <v>8.75</v>
      </c>
      <c r="AK2802" s="27">
        <v>24.594570000000001</v>
      </c>
      <c r="AM2802" s="27">
        <v>36.592329999999997</v>
      </c>
      <c r="AO2802" s="27">
        <v>6.7927299999999997</v>
      </c>
    </row>
    <row r="2803" spans="2:41" x14ac:dyDescent="0.25">
      <c r="B2803" s="21">
        <v>45077</v>
      </c>
      <c r="C2803" s="27">
        <v>17.653199999999998</v>
      </c>
      <c r="E2803" s="27">
        <v>0.93596400000000002</v>
      </c>
      <c r="G2803" s="27">
        <v>239.10774599999999</v>
      </c>
      <c r="I2803" s="27">
        <v>6.9096380000000002</v>
      </c>
      <c r="K2803" s="27">
        <v>5.0563120000000001</v>
      </c>
      <c r="M2803" s="27">
        <v>807.22138800000005</v>
      </c>
      <c r="O2803" s="27">
        <v>4410.980012</v>
      </c>
      <c r="Q2803" s="27">
        <v>7229.2129299999997</v>
      </c>
      <c r="S2803" s="27">
        <v>1429.748515</v>
      </c>
      <c r="U2803" s="27">
        <v>3.6749499999999999</v>
      </c>
      <c r="W2803" s="27">
        <v>38.806033999999997</v>
      </c>
      <c r="Y2803" s="27">
        <v>7.6748000000000003</v>
      </c>
      <c r="AA2803" s="27">
        <v>539.70801600000004</v>
      </c>
      <c r="AC2803" s="27">
        <v>54.598517999999999</v>
      </c>
      <c r="AE2803" s="27">
        <v>1</v>
      </c>
      <c r="AG2803" s="27">
        <v>7.8167679999999997</v>
      </c>
      <c r="AI2803" s="27">
        <v>8.75</v>
      </c>
      <c r="AK2803" s="27">
        <v>24.598395</v>
      </c>
      <c r="AM2803" s="27">
        <v>36.556182</v>
      </c>
      <c r="AO2803" s="27">
        <v>6.7891959999999996</v>
      </c>
    </row>
    <row r="2804" spans="2:41" ht="13" x14ac:dyDescent="0.3">
      <c r="B2804" s="25" t="s">
        <v>217</v>
      </c>
      <c r="C2804" s="19">
        <v>17.768999999999998</v>
      </c>
      <c r="E2804" s="19">
        <v>0.92049999999999998</v>
      </c>
      <c r="G2804" s="19">
        <v>230.8382</v>
      </c>
      <c r="I2804" s="19">
        <v>6.9104000000000001</v>
      </c>
      <c r="K2804" s="19">
        <v>4.9757999999999996</v>
      </c>
      <c r="M2804" s="19">
        <v>797.75289999999995</v>
      </c>
      <c r="O2804" s="19">
        <v>4536.6940999999997</v>
      </c>
      <c r="Q2804" s="19">
        <v>7204.3140000000003</v>
      </c>
      <c r="S2804" s="19">
        <v>1447.9489000000001</v>
      </c>
      <c r="U2804" s="19">
        <v>3.6865000000000001</v>
      </c>
      <c r="W2804" s="19">
        <v>38.879300000000001</v>
      </c>
      <c r="Y2804" s="19">
        <v>7.8141999999999996</v>
      </c>
      <c r="AA2804" s="19">
        <v>537.4905</v>
      </c>
      <c r="AC2804" s="19">
        <v>54.537399999999998</v>
      </c>
      <c r="AE2804" s="19">
        <v>1</v>
      </c>
      <c r="AG2804" s="19">
        <v>7.8040000000000003</v>
      </c>
      <c r="AI2804" s="19">
        <v>8.75</v>
      </c>
      <c r="AK2804" s="19">
        <v>24.625</v>
      </c>
      <c r="AM2804" s="19">
        <v>36.551200000000001</v>
      </c>
      <c r="AO2804" s="19">
        <v>6.7859999999999996</v>
      </c>
    </row>
    <row r="2805" spans="2:41" x14ac:dyDescent="0.25">
      <c r="B2805" s="21">
        <v>45078</v>
      </c>
      <c r="C2805" s="27">
        <v>17.741800000000001</v>
      </c>
      <c r="E2805" s="27">
        <v>0.93298800000000004</v>
      </c>
      <c r="G2805" s="27">
        <v>239.77199999999999</v>
      </c>
      <c r="I2805" s="27">
        <v>6.9074</v>
      </c>
      <c r="K2805" s="27">
        <v>5.03904</v>
      </c>
      <c r="M2805" s="27">
        <v>807.54499999999996</v>
      </c>
      <c r="O2805" s="27">
        <v>4425.82</v>
      </c>
      <c r="Q2805" s="27">
        <v>7267.12</v>
      </c>
      <c r="S2805" s="27">
        <v>1442.17</v>
      </c>
      <c r="U2805" s="27">
        <v>3.6721900000000001</v>
      </c>
      <c r="W2805" s="27">
        <v>38.763800000000003</v>
      </c>
      <c r="Y2805" s="27">
        <v>7.6927099999999999</v>
      </c>
      <c r="AA2805" s="27">
        <v>539.25</v>
      </c>
      <c r="AC2805" s="27">
        <v>54.610999999999997</v>
      </c>
      <c r="AE2805" s="27">
        <v>1</v>
      </c>
      <c r="AG2805" s="27">
        <v>7.8197999999999999</v>
      </c>
      <c r="AI2805" s="27">
        <v>8.75</v>
      </c>
      <c r="AK2805" s="27">
        <v>24.571200000000001</v>
      </c>
      <c r="AM2805" s="27">
        <v>36.549999999999997</v>
      </c>
      <c r="AO2805" s="27">
        <v>6.7774999999999999</v>
      </c>
    </row>
    <row r="2806" spans="2:41" x14ac:dyDescent="0.25">
      <c r="B2806" s="21">
        <v>45079</v>
      </c>
      <c r="C2806" s="27">
        <v>17.567299999999999</v>
      </c>
      <c r="E2806" s="27">
        <v>0.930782</v>
      </c>
      <c r="G2806" s="27">
        <v>240.46</v>
      </c>
      <c r="I2806" s="27">
        <v>6.8992699999999996</v>
      </c>
      <c r="K2806" s="27">
        <v>4.9875600000000002</v>
      </c>
      <c r="M2806" s="27">
        <v>801.47500000000002</v>
      </c>
      <c r="O2806" s="27">
        <v>4375.63</v>
      </c>
      <c r="Q2806" s="27">
        <v>7244.44</v>
      </c>
      <c r="S2806" s="27">
        <v>1452.5</v>
      </c>
      <c r="U2806" s="27">
        <v>3.6729799999999999</v>
      </c>
      <c r="W2806" s="27">
        <v>38.699100000000001</v>
      </c>
      <c r="Y2806" s="27">
        <v>7.7591400000000004</v>
      </c>
      <c r="AA2806" s="27">
        <v>538.29399999999998</v>
      </c>
      <c r="AC2806" s="27">
        <v>54.512799999999999</v>
      </c>
      <c r="AE2806" s="27">
        <v>1</v>
      </c>
      <c r="AG2806" s="27">
        <v>7.8177500000000002</v>
      </c>
      <c r="AI2806" s="27">
        <v>8.75</v>
      </c>
      <c r="AK2806" s="27">
        <v>24.58</v>
      </c>
      <c r="AM2806" s="27">
        <v>36.498699999999999</v>
      </c>
      <c r="AO2806" s="27">
        <v>6.7589600000000001</v>
      </c>
    </row>
    <row r="2807" spans="2:41" x14ac:dyDescent="0.25">
      <c r="B2807" s="21">
        <v>45080</v>
      </c>
      <c r="C2807" s="27">
        <v>17.567299999999999</v>
      </c>
      <c r="E2807" s="27">
        <v>0.933894</v>
      </c>
      <c r="G2807" s="27">
        <v>240.815</v>
      </c>
      <c r="I2807" s="27">
        <v>6.9109400000000001</v>
      </c>
      <c r="K2807" s="27">
        <v>4.9579399999999998</v>
      </c>
      <c r="M2807" s="27">
        <v>798.92499999999995</v>
      </c>
      <c r="O2807" s="27">
        <v>4346.1000000000004</v>
      </c>
      <c r="Q2807" s="27">
        <v>7244.12</v>
      </c>
      <c r="S2807" s="27">
        <v>1461.12</v>
      </c>
      <c r="U2807" s="27">
        <v>3.6832500000000001</v>
      </c>
      <c r="W2807" s="27">
        <v>38.807400000000001</v>
      </c>
      <c r="Y2807" s="27">
        <v>7.8273700000000002</v>
      </c>
      <c r="AA2807" s="27">
        <v>538.93799999999999</v>
      </c>
      <c r="AC2807" s="27">
        <v>54.484999999999999</v>
      </c>
      <c r="AE2807" s="27">
        <v>1</v>
      </c>
      <c r="AG2807" s="27">
        <v>7.8313800000000002</v>
      </c>
      <c r="AI2807" s="27">
        <v>8.75</v>
      </c>
      <c r="AK2807" s="27">
        <v>24.719799999999999</v>
      </c>
      <c r="AM2807" s="27">
        <v>36.549799999999998</v>
      </c>
      <c r="AO2807" s="27">
        <v>6.7775800000000004</v>
      </c>
    </row>
    <row r="2808" spans="2:41" x14ac:dyDescent="0.25">
      <c r="B2808" s="21">
        <v>45081</v>
      </c>
      <c r="C2808" s="27">
        <v>17.567299999999999</v>
      </c>
      <c r="E2808" s="27">
        <v>0.93393499999999996</v>
      </c>
      <c r="G2808" s="27">
        <v>240.91399999999999</v>
      </c>
      <c r="I2808" s="27">
        <v>6.9121300000000003</v>
      </c>
      <c r="K2808" s="27">
        <v>4.9578600000000002</v>
      </c>
      <c r="M2808" s="27">
        <v>798.92399999999998</v>
      </c>
      <c r="O2808" s="27">
        <v>4348.9799999999996</v>
      </c>
      <c r="Q2808" s="27">
        <v>7245.1</v>
      </c>
      <c r="S2808" s="27">
        <v>1461.34</v>
      </c>
      <c r="U2808" s="27">
        <v>3.68404</v>
      </c>
      <c r="W2808" s="27">
        <v>38.813499999999998</v>
      </c>
      <c r="Y2808" s="27">
        <v>7.8287300000000002</v>
      </c>
      <c r="AA2808" s="27">
        <v>539.03200000000004</v>
      </c>
      <c r="AC2808" s="27">
        <v>54.503399999999999</v>
      </c>
      <c r="AE2808" s="27">
        <v>1</v>
      </c>
      <c r="AG2808" s="27">
        <v>7.8327400000000003</v>
      </c>
      <c r="AI2808" s="27">
        <v>8.75</v>
      </c>
      <c r="AK2808" s="27">
        <v>24.717600000000001</v>
      </c>
      <c r="AM2808" s="27">
        <v>36.557600000000001</v>
      </c>
      <c r="AO2808" s="27">
        <v>6.7792700000000004</v>
      </c>
    </row>
    <row r="2809" spans="2:41" x14ac:dyDescent="0.25">
      <c r="B2809" s="21">
        <v>45082</v>
      </c>
      <c r="C2809" s="27">
        <v>17.5063</v>
      </c>
      <c r="E2809" s="27">
        <v>0.93445299999999998</v>
      </c>
      <c r="G2809" s="27">
        <v>241.78200000000001</v>
      </c>
      <c r="I2809" s="27">
        <v>6.9281600000000001</v>
      </c>
      <c r="K2809" s="27">
        <v>4.9428900000000002</v>
      </c>
      <c r="M2809" s="27">
        <v>798.38</v>
      </c>
      <c r="O2809" s="27">
        <v>4343.96</v>
      </c>
      <c r="Q2809" s="27">
        <v>7260.09</v>
      </c>
      <c r="S2809" s="27">
        <v>1468.8</v>
      </c>
      <c r="U2809" s="27">
        <v>3.69278</v>
      </c>
      <c r="W2809" s="27">
        <v>38.867199999999997</v>
      </c>
      <c r="Y2809" s="27">
        <v>7.8632999999999997</v>
      </c>
      <c r="AA2809" s="27">
        <v>539.91800000000001</v>
      </c>
      <c r="AC2809" s="27">
        <v>54.884999999999998</v>
      </c>
      <c r="AE2809" s="27">
        <v>1</v>
      </c>
      <c r="AG2809" s="27">
        <v>7.8509399999999996</v>
      </c>
      <c r="AI2809" s="27">
        <v>8.75</v>
      </c>
      <c r="AK2809" s="27">
        <v>24.719799999999999</v>
      </c>
      <c r="AM2809" s="27">
        <v>36.664400000000001</v>
      </c>
      <c r="AO2809" s="27">
        <v>6.7950400000000002</v>
      </c>
    </row>
    <row r="2810" spans="2:41" x14ac:dyDescent="0.25">
      <c r="B2810" s="21">
        <v>45083</v>
      </c>
      <c r="C2810" s="27">
        <v>17.473199999999999</v>
      </c>
      <c r="E2810" s="27">
        <v>0.93460399999999999</v>
      </c>
      <c r="G2810" s="27">
        <v>242.79400000000001</v>
      </c>
      <c r="I2810" s="27">
        <v>6.9087199999999998</v>
      </c>
      <c r="K2810" s="27">
        <v>4.9223999999999997</v>
      </c>
      <c r="M2810" s="27">
        <v>797.55799999999999</v>
      </c>
      <c r="O2810" s="27">
        <v>4270.3999999999996</v>
      </c>
      <c r="Q2810" s="27">
        <v>7237.82</v>
      </c>
      <c r="S2810" s="27">
        <v>1470.4</v>
      </c>
      <c r="U2810" s="27">
        <v>3.6801900000000001</v>
      </c>
      <c r="W2810" s="27">
        <v>38.766500000000001</v>
      </c>
      <c r="Y2810" s="27">
        <v>7.8755600000000001</v>
      </c>
      <c r="AA2810" s="27">
        <v>538.17700000000002</v>
      </c>
      <c r="AC2810" s="27">
        <v>54.733800000000002</v>
      </c>
      <c r="AE2810" s="27">
        <v>1</v>
      </c>
      <c r="AG2810" s="27">
        <v>7.8285999999999998</v>
      </c>
      <c r="AI2810" s="27">
        <v>8.75</v>
      </c>
      <c r="AK2810" s="27">
        <v>24.6599</v>
      </c>
      <c r="AM2810" s="27">
        <v>36.533000000000001</v>
      </c>
      <c r="AO2810" s="27">
        <v>6.7775800000000004</v>
      </c>
    </row>
    <row r="2811" spans="2:41" x14ac:dyDescent="0.25">
      <c r="B2811" s="21">
        <v>45084</v>
      </c>
      <c r="C2811" s="27">
        <v>17.4192</v>
      </c>
      <c r="E2811" s="27">
        <v>0.93466800000000005</v>
      </c>
      <c r="G2811" s="27">
        <v>243.39099999999999</v>
      </c>
      <c r="I2811" s="27">
        <v>6.9098800000000002</v>
      </c>
      <c r="K2811" s="27">
        <v>4.9153000000000002</v>
      </c>
      <c r="M2811" s="27">
        <v>794.678</v>
      </c>
      <c r="O2811" s="27">
        <v>4218.05</v>
      </c>
      <c r="Q2811" s="27">
        <v>7236.56</v>
      </c>
      <c r="S2811" s="27">
        <v>1472.26</v>
      </c>
      <c r="U2811" s="27">
        <v>3.67624</v>
      </c>
      <c r="W2811" s="27">
        <v>38.810600000000001</v>
      </c>
      <c r="Y2811" s="27">
        <v>7.8958899999999996</v>
      </c>
      <c r="AA2811" s="27">
        <v>538.798</v>
      </c>
      <c r="AC2811" s="27">
        <v>54.732399999999998</v>
      </c>
      <c r="AE2811" s="27">
        <v>1</v>
      </c>
      <c r="AG2811" s="27">
        <v>7.8299799999999999</v>
      </c>
      <c r="AI2811" s="27">
        <v>8.75</v>
      </c>
      <c r="AK2811" s="27">
        <v>24.645199999999999</v>
      </c>
      <c r="AM2811" s="27">
        <v>36.547600000000003</v>
      </c>
      <c r="AO2811" s="27">
        <v>6.7809499999999998</v>
      </c>
    </row>
    <row r="2812" spans="2:41" x14ac:dyDescent="0.25">
      <c r="B2812" s="21">
        <v>45085</v>
      </c>
      <c r="C2812" s="27">
        <v>17.360800000000001</v>
      </c>
      <c r="E2812" s="27">
        <v>0.93067</v>
      </c>
      <c r="G2812" s="27">
        <v>243.93</v>
      </c>
      <c r="I2812" s="27">
        <v>6.9122199999999996</v>
      </c>
      <c r="K2812" s="27">
        <v>4.9238</v>
      </c>
      <c r="M2812" s="27">
        <v>790.83600000000001</v>
      </c>
      <c r="O2812" s="27">
        <v>4204.5600000000004</v>
      </c>
      <c r="Q2812" s="27">
        <v>7236.32</v>
      </c>
      <c r="S2812" s="27">
        <v>1469.67</v>
      </c>
      <c r="U2812" s="27">
        <v>3.6655600000000002</v>
      </c>
      <c r="W2812" s="27">
        <v>38.911999999999999</v>
      </c>
      <c r="Y2812" s="27">
        <v>7.9028799999999997</v>
      </c>
      <c r="AA2812" s="27">
        <v>538.85799999999995</v>
      </c>
      <c r="AC2812" s="27">
        <v>54.772199999999998</v>
      </c>
      <c r="AE2812" s="27">
        <v>1</v>
      </c>
      <c r="AG2812" s="27">
        <v>7.8329599999999999</v>
      </c>
      <c r="AI2812" s="27">
        <v>8.75</v>
      </c>
      <c r="AK2812" s="27">
        <v>24.613800000000001</v>
      </c>
      <c r="AM2812" s="27">
        <v>36.584400000000002</v>
      </c>
      <c r="AO2812" s="27">
        <v>6.7821600000000002</v>
      </c>
    </row>
    <row r="2813" spans="2:41" x14ac:dyDescent="0.25">
      <c r="B2813" s="21">
        <v>45086</v>
      </c>
      <c r="C2813" s="27">
        <v>17.4085</v>
      </c>
      <c r="E2813" s="27">
        <v>0.92901199999999995</v>
      </c>
      <c r="G2813" s="27">
        <v>244.654</v>
      </c>
      <c r="I2813" s="27">
        <v>6.8966000000000003</v>
      </c>
      <c r="K2813" s="27">
        <v>4.9037699999999997</v>
      </c>
      <c r="M2813" s="27">
        <v>788.44600000000003</v>
      </c>
      <c r="O2813" s="27">
        <v>4182.13</v>
      </c>
      <c r="Q2813" s="27">
        <v>7220.16</v>
      </c>
      <c r="S2813" s="27">
        <v>1472.38</v>
      </c>
      <c r="U2813" s="27">
        <v>3.6517599999999999</v>
      </c>
      <c r="W2813" s="27">
        <v>38.886400000000002</v>
      </c>
      <c r="Y2813" s="27">
        <v>7.9299200000000001</v>
      </c>
      <c r="AA2813" s="27">
        <v>537.51499999999999</v>
      </c>
      <c r="AC2813" s="27">
        <v>54.680599999999998</v>
      </c>
      <c r="AE2813" s="27">
        <v>1</v>
      </c>
      <c r="AG2813" s="27">
        <v>7.8151400000000004</v>
      </c>
      <c r="AI2813" s="27">
        <v>8.75</v>
      </c>
      <c r="AK2813" s="27">
        <v>24.637799999999999</v>
      </c>
      <c r="AM2813" s="27">
        <v>36.536799999999999</v>
      </c>
      <c r="AO2813" s="27">
        <v>6.7683200000000001</v>
      </c>
    </row>
    <row r="2814" spans="2:41" x14ac:dyDescent="0.25">
      <c r="B2814" s="21">
        <v>45087</v>
      </c>
      <c r="C2814" s="27">
        <v>17.4085</v>
      </c>
      <c r="E2814" s="27">
        <v>0.93026799999999998</v>
      </c>
      <c r="G2814" s="27">
        <v>244.96700000000001</v>
      </c>
      <c r="I2814" s="27">
        <v>6.9053800000000001</v>
      </c>
      <c r="K2814" s="27">
        <v>4.8817000000000004</v>
      </c>
      <c r="M2814" s="27">
        <v>788.5</v>
      </c>
      <c r="O2814" s="27">
        <v>4186.3999999999996</v>
      </c>
      <c r="Q2814" s="27">
        <v>7236</v>
      </c>
      <c r="S2814" s="27">
        <v>1482.28</v>
      </c>
      <c r="U2814" s="27">
        <v>3.6505000000000001</v>
      </c>
      <c r="W2814" s="27">
        <v>38.934800000000003</v>
      </c>
      <c r="Y2814" s="27">
        <v>7.9756999999999998</v>
      </c>
      <c r="AA2814" s="27">
        <v>537.81200000000001</v>
      </c>
      <c r="AC2814" s="27">
        <v>54.74</v>
      </c>
      <c r="AE2814" s="27">
        <v>1</v>
      </c>
      <c r="AG2814" s="27">
        <v>7.8247600000000004</v>
      </c>
      <c r="AI2814" s="27">
        <v>8.75</v>
      </c>
      <c r="AK2814" s="27">
        <v>24.724799999999998</v>
      </c>
      <c r="AM2814" s="27">
        <v>36.529800000000002</v>
      </c>
      <c r="AO2814" s="27">
        <v>6.7725</v>
      </c>
    </row>
    <row r="2815" spans="2:41" x14ac:dyDescent="0.25">
      <c r="B2815" s="21">
        <v>45088</v>
      </c>
      <c r="C2815" s="27">
        <v>17.4085</v>
      </c>
      <c r="E2815" s="27">
        <v>0.93029200000000001</v>
      </c>
      <c r="G2815" s="27">
        <v>244.93600000000001</v>
      </c>
      <c r="I2815" s="27">
        <v>6.9054399999999996</v>
      </c>
      <c r="K2815" s="27">
        <v>4.8815799999999996</v>
      </c>
      <c r="M2815" s="27">
        <v>788.49800000000005</v>
      </c>
      <c r="O2815" s="27">
        <v>4185.63</v>
      </c>
      <c r="Q2815" s="27">
        <v>7236.22</v>
      </c>
      <c r="S2815" s="27">
        <v>1482.36</v>
      </c>
      <c r="U2815" s="27">
        <v>3.6505700000000001</v>
      </c>
      <c r="W2815" s="27">
        <v>38.9345</v>
      </c>
      <c r="Y2815" s="27">
        <v>7.9758399999999998</v>
      </c>
      <c r="AA2815" s="27">
        <v>537.81600000000003</v>
      </c>
      <c r="AC2815" s="27">
        <v>54.744799999999998</v>
      </c>
      <c r="AE2815" s="27">
        <v>1</v>
      </c>
      <c r="AG2815" s="27">
        <v>7.82484</v>
      </c>
      <c r="AI2815" s="27">
        <v>8.75</v>
      </c>
      <c r="AK2815" s="27">
        <v>24.719000000000001</v>
      </c>
      <c r="AM2815" s="27">
        <v>36.531300000000002</v>
      </c>
      <c r="AO2815" s="27">
        <v>6.7725600000000004</v>
      </c>
    </row>
    <row r="2816" spans="2:41" x14ac:dyDescent="0.25">
      <c r="B2816" s="21">
        <v>45089</v>
      </c>
      <c r="C2816" s="27">
        <v>17.283999999999999</v>
      </c>
      <c r="E2816" s="27">
        <v>0.92971300000000001</v>
      </c>
      <c r="G2816" s="27">
        <v>245.73400000000001</v>
      </c>
      <c r="I2816" s="27">
        <v>6.9115399999999996</v>
      </c>
      <c r="K2816" s="27">
        <v>4.8758400000000002</v>
      </c>
      <c r="M2816" s="27">
        <v>790.18200000000002</v>
      </c>
      <c r="O2816" s="27">
        <v>4178.5200000000004</v>
      </c>
      <c r="Q2816" s="27">
        <v>7244.95</v>
      </c>
      <c r="S2816" s="27">
        <v>1485.9</v>
      </c>
      <c r="U2816" s="27">
        <v>3.6520000000000001</v>
      </c>
      <c r="W2816" s="27">
        <v>38.8628</v>
      </c>
      <c r="Y2816" s="27">
        <v>7.97051</v>
      </c>
      <c r="AA2816" s="27">
        <v>538.30399999999997</v>
      </c>
      <c r="AC2816" s="27">
        <v>54.788200000000003</v>
      </c>
      <c r="AE2816" s="27">
        <v>1</v>
      </c>
      <c r="AG2816" s="27">
        <v>7.8331400000000002</v>
      </c>
      <c r="AI2816" s="27">
        <v>8.75</v>
      </c>
      <c r="AK2816" s="27">
        <v>24.661999999999999</v>
      </c>
      <c r="AM2816" s="27">
        <v>36.577199999999998</v>
      </c>
      <c r="AO2816" s="27">
        <v>6.7801400000000003</v>
      </c>
    </row>
    <row r="2817" spans="2:41" x14ac:dyDescent="0.25">
      <c r="B2817" s="21">
        <v>45090</v>
      </c>
      <c r="C2817" s="27">
        <v>17.312000000000001</v>
      </c>
      <c r="E2817" s="27">
        <v>0.926736</v>
      </c>
      <c r="G2817" s="27">
        <v>246.93</v>
      </c>
      <c r="I2817" s="27">
        <v>6.9133300000000002</v>
      </c>
      <c r="K2817" s="27">
        <v>4.8610600000000002</v>
      </c>
      <c r="M2817" s="27">
        <v>795.37599999999998</v>
      </c>
      <c r="O2817" s="27">
        <v>4176.3599999999997</v>
      </c>
      <c r="Q2817" s="27">
        <v>7246.92</v>
      </c>
      <c r="S2817" s="27">
        <v>1490.82</v>
      </c>
      <c r="U2817" s="27">
        <v>3.6447400000000001</v>
      </c>
      <c r="W2817" s="27">
        <v>38.7395</v>
      </c>
      <c r="Y2817" s="27">
        <v>7.9693800000000001</v>
      </c>
      <c r="AA2817" s="27">
        <v>539.41200000000003</v>
      </c>
      <c r="AC2817" s="27">
        <v>54.763599999999997</v>
      </c>
      <c r="AE2817" s="27">
        <v>1</v>
      </c>
      <c r="AG2817" s="27">
        <v>7.8377400000000002</v>
      </c>
      <c r="AI2817" s="27">
        <v>8.75</v>
      </c>
      <c r="AK2817" s="27">
        <v>24.608000000000001</v>
      </c>
      <c r="AM2817" s="27">
        <v>36.598599999999998</v>
      </c>
      <c r="AO2817" s="27">
        <v>6.78688</v>
      </c>
    </row>
    <row r="2818" spans="2:41" x14ac:dyDescent="0.25">
      <c r="B2818" s="21">
        <v>45091</v>
      </c>
      <c r="C2818" s="27">
        <v>17.218499999999999</v>
      </c>
      <c r="E2818" s="27">
        <v>0.92455600000000004</v>
      </c>
      <c r="G2818" s="27">
        <v>247.46799999999999</v>
      </c>
      <c r="I2818" s="27">
        <v>6.9120900000000001</v>
      </c>
      <c r="K2818" s="27">
        <v>4.84816</v>
      </c>
      <c r="M2818" s="27">
        <v>802.53599999999994</v>
      </c>
      <c r="O2818" s="27">
        <v>4180.62</v>
      </c>
      <c r="Q2818" s="27">
        <v>7246.54</v>
      </c>
      <c r="S2818" s="27">
        <v>1494.71</v>
      </c>
      <c r="U2818" s="27">
        <v>3.6453000000000002</v>
      </c>
      <c r="W2818" s="27">
        <v>38.665799999999997</v>
      </c>
      <c r="Y2818" s="27">
        <v>7.9753800000000004</v>
      </c>
      <c r="AA2818" s="27">
        <v>540.73500000000001</v>
      </c>
      <c r="AC2818" s="27">
        <v>54.748800000000003</v>
      </c>
      <c r="AE2818" s="27">
        <v>1</v>
      </c>
      <c r="AG2818" s="27">
        <v>7.8369099999999996</v>
      </c>
      <c r="AI2818" s="27">
        <v>8.75</v>
      </c>
      <c r="AK2818" s="27">
        <v>24.672499999999999</v>
      </c>
      <c r="AM2818" s="27">
        <v>36.579000000000001</v>
      </c>
      <c r="AO2818" s="27">
        <v>6.78498</v>
      </c>
    </row>
    <row r="2819" spans="2:41" x14ac:dyDescent="0.25">
      <c r="B2819" s="21">
        <v>45092</v>
      </c>
      <c r="C2819" s="27">
        <v>17.124700000000001</v>
      </c>
      <c r="E2819" s="27">
        <v>0.91945299999999996</v>
      </c>
      <c r="G2819" s="27">
        <v>248.20599999999999</v>
      </c>
      <c r="I2819" s="27">
        <v>6.9054799999999998</v>
      </c>
      <c r="K2819" s="27">
        <v>4.8138899999999998</v>
      </c>
      <c r="M2819" s="27">
        <v>799.01499999999999</v>
      </c>
      <c r="O2819" s="27">
        <v>4168.8900000000003</v>
      </c>
      <c r="Q2819" s="27">
        <v>7235.44</v>
      </c>
      <c r="S2819" s="27">
        <v>1503.04</v>
      </c>
      <c r="U2819" s="27">
        <v>3.6435599999999999</v>
      </c>
      <c r="W2819" s="27">
        <v>38.4681</v>
      </c>
      <c r="Y2819" s="27">
        <v>7.9911099999999999</v>
      </c>
      <c r="AA2819" s="27">
        <v>540.80399999999997</v>
      </c>
      <c r="AC2819" s="27">
        <v>54.757199999999997</v>
      </c>
      <c r="AE2819" s="27">
        <v>1</v>
      </c>
      <c r="AG2819" s="27">
        <v>7.8295199999999996</v>
      </c>
      <c r="AI2819" s="27">
        <v>8.75</v>
      </c>
      <c r="AK2819" s="27">
        <v>24.635200000000001</v>
      </c>
      <c r="AM2819" s="27">
        <v>36.525399999999998</v>
      </c>
      <c r="AO2819" s="27">
        <v>6.7774200000000002</v>
      </c>
    </row>
    <row r="2820" spans="2:41" x14ac:dyDescent="0.25">
      <c r="B2820" s="21">
        <v>45093</v>
      </c>
      <c r="C2820" s="27">
        <v>17.176200000000001</v>
      </c>
      <c r="E2820" s="27">
        <v>0.91382399999999997</v>
      </c>
      <c r="G2820" s="27">
        <v>248.822</v>
      </c>
      <c r="I2820" s="27">
        <v>6.8941699999999999</v>
      </c>
      <c r="K2820" s="27">
        <v>4.8175600000000003</v>
      </c>
      <c r="M2820" s="27">
        <v>793.53399999999999</v>
      </c>
      <c r="O2820" s="27">
        <v>4150.8599999999997</v>
      </c>
      <c r="Q2820" s="27">
        <v>7222.46</v>
      </c>
      <c r="S2820" s="27">
        <v>1499.2</v>
      </c>
      <c r="U2820" s="27">
        <v>3.6316600000000001</v>
      </c>
      <c r="W2820" s="27">
        <v>38.241100000000003</v>
      </c>
      <c r="Y2820" s="27">
        <v>7.9378900000000003</v>
      </c>
      <c r="AA2820" s="27">
        <v>539.572</v>
      </c>
      <c r="AC2820" s="27">
        <v>54.715400000000002</v>
      </c>
      <c r="AE2820" s="27">
        <v>1</v>
      </c>
      <c r="AG2820" s="27">
        <v>7.8167299999999997</v>
      </c>
      <c r="AI2820" s="27">
        <v>8.75</v>
      </c>
      <c r="AK2820" s="27">
        <v>24.616599999999998</v>
      </c>
      <c r="AM2820" s="27">
        <v>36.472000000000001</v>
      </c>
      <c r="AO2820" s="27">
        <v>6.7695999999999996</v>
      </c>
    </row>
    <row r="2821" spans="2:41" x14ac:dyDescent="0.25">
      <c r="B2821" s="21">
        <v>45094</v>
      </c>
      <c r="C2821" s="27">
        <v>17.176200000000001</v>
      </c>
      <c r="E2821" s="27">
        <v>0.91394299999999995</v>
      </c>
      <c r="G2821" s="27">
        <v>249.298</v>
      </c>
      <c r="I2821" s="27">
        <v>6.9043000000000001</v>
      </c>
      <c r="K2821" s="27">
        <v>4.8216999999999999</v>
      </c>
      <c r="M2821" s="27">
        <v>794.04</v>
      </c>
      <c r="O2821" s="27">
        <v>4162.29</v>
      </c>
      <c r="Q2821" s="27">
        <v>7235.64</v>
      </c>
      <c r="S2821" s="27">
        <v>1500.65</v>
      </c>
      <c r="U2821" s="27">
        <v>3.6225499999999999</v>
      </c>
      <c r="W2821" s="27">
        <v>38.108800000000002</v>
      </c>
      <c r="Y2821" s="27">
        <v>7.9036400000000002</v>
      </c>
      <c r="AA2821" s="27">
        <v>540.09699999999998</v>
      </c>
      <c r="AC2821" s="27">
        <v>54.797499999999999</v>
      </c>
      <c r="AE2821" s="27">
        <v>1</v>
      </c>
      <c r="AG2821" s="27">
        <v>7.82822</v>
      </c>
      <c r="AI2821" s="27">
        <v>8.75</v>
      </c>
      <c r="AK2821" s="27">
        <v>24.719799999999999</v>
      </c>
      <c r="AM2821" s="27">
        <v>36.549799999999998</v>
      </c>
      <c r="AO2821" s="27">
        <v>6.7813600000000003</v>
      </c>
    </row>
    <row r="2822" spans="2:41" x14ac:dyDescent="0.25">
      <c r="B2822" s="21">
        <v>45095</v>
      </c>
      <c r="C2822" s="27">
        <v>17.176200000000001</v>
      </c>
      <c r="E2822" s="27">
        <v>0.91395700000000002</v>
      </c>
      <c r="G2822" s="27">
        <v>249.21</v>
      </c>
      <c r="I2822" s="27">
        <v>6.9039599999999997</v>
      </c>
      <c r="K2822" s="27">
        <v>4.8211199999999996</v>
      </c>
      <c r="M2822" s="27">
        <v>794.005</v>
      </c>
      <c r="O2822" s="27">
        <v>4161.26</v>
      </c>
      <c r="Q2822" s="27">
        <v>7235.29</v>
      </c>
      <c r="S2822" s="27">
        <v>1500.76</v>
      </c>
      <c r="U2822" s="27">
        <v>3.6228400000000001</v>
      </c>
      <c r="W2822" s="27">
        <v>38.106999999999999</v>
      </c>
      <c r="Y2822" s="27">
        <v>7.9042300000000001</v>
      </c>
      <c r="AA2822" s="27">
        <v>540.06899999999996</v>
      </c>
      <c r="AC2822" s="27">
        <v>54.798900000000003</v>
      </c>
      <c r="AE2822" s="27">
        <v>1</v>
      </c>
      <c r="AG2822" s="27">
        <v>7.8278400000000001</v>
      </c>
      <c r="AI2822" s="27">
        <v>8.75</v>
      </c>
      <c r="AK2822" s="27">
        <v>24.712800000000001</v>
      </c>
      <c r="AM2822" s="27">
        <v>36.547600000000003</v>
      </c>
      <c r="AO2822" s="27">
        <v>6.7810199999999998</v>
      </c>
    </row>
    <row r="2823" spans="2:41" x14ac:dyDescent="0.25">
      <c r="B2823" s="21">
        <v>45096</v>
      </c>
      <c r="C2823" s="27">
        <v>17.0792</v>
      </c>
      <c r="E2823" s="27">
        <v>0.91521600000000003</v>
      </c>
      <c r="G2823" s="27">
        <v>249.154</v>
      </c>
      <c r="I2823" s="27">
        <v>6.9108999999999998</v>
      </c>
      <c r="K2823" s="27">
        <v>4.7991400000000004</v>
      </c>
      <c r="M2823" s="27">
        <v>794.67399999999998</v>
      </c>
      <c r="O2823" s="27">
        <v>4163.3999999999996</v>
      </c>
      <c r="Q2823" s="27">
        <v>7246.22</v>
      </c>
      <c r="S2823" s="27">
        <v>1509.91</v>
      </c>
      <c r="U2823" s="27">
        <v>3.6327600000000002</v>
      </c>
      <c r="W2823" s="27">
        <v>38.184600000000003</v>
      </c>
      <c r="Y2823" s="27">
        <v>7.95662</v>
      </c>
      <c r="AA2823" s="27">
        <v>540.58299999999997</v>
      </c>
      <c r="AC2823" s="27">
        <v>54.926099999999998</v>
      </c>
      <c r="AE2823" s="27">
        <v>1</v>
      </c>
      <c r="AG2823" s="27">
        <v>7.83582</v>
      </c>
      <c r="AI2823" s="27">
        <v>8.75</v>
      </c>
      <c r="AK2823" s="27">
        <v>24.635000000000002</v>
      </c>
      <c r="AM2823" s="27">
        <v>36.563400000000001</v>
      </c>
      <c r="AO2823" s="27">
        <v>6.7836100000000004</v>
      </c>
    </row>
    <row r="2824" spans="2:41" x14ac:dyDescent="0.25">
      <c r="B2824" s="21">
        <v>45097</v>
      </c>
      <c r="C2824" s="27">
        <v>17.0945</v>
      </c>
      <c r="E2824" s="27">
        <v>0.91578199999999998</v>
      </c>
      <c r="G2824" s="27">
        <v>249.31200000000001</v>
      </c>
      <c r="I2824" s="27">
        <v>6.9097</v>
      </c>
      <c r="K2824" s="27">
        <v>4.7843900000000001</v>
      </c>
      <c r="M2824" s="27">
        <v>798.00800000000004</v>
      </c>
      <c r="O2824" s="27">
        <v>4160.74</v>
      </c>
      <c r="Q2824" s="27">
        <v>7243.3</v>
      </c>
      <c r="S2824" s="27">
        <v>1513.96</v>
      </c>
      <c r="U2824" s="27">
        <v>3.6275900000000001</v>
      </c>
      <c r="W2824" s="27">
        <v>38.150399999999998</v>
      </c>
      <c r="Y2824" s="27">
        <v>7.9739399999999998</v>
      </c>
      <c r="AA2824" s="27">
        <v>540.34400000000005</v>
      </c>
      <c r="AC2824" s="27">
        <v>54.932400000000001</v>
      </c>
      <c r="AE2824" s="27">
        <v>1</v>
      </c>
      <c r="AG2824" s="27">
        <v>7.8318899999999996</v>
      </c>
      <c r="AI2824" s="27">
        <v>8.75</v>
      </c>
      <c r="AK2824" s="27">
        <v>24.665199999999999</v>
      </c>
      <c r="AM2824" s="27">
        <v>36.549399999999999</v>
      </c>
      <c r="AO2824" s="27">
        <v>6.7791199999999998</v>
      </c>
    </row>
    <row r="2825" spans="2:41" x14ac:dyDescent="0.25">
      <c r="B2825" s="21">
        <v>45098</v>
      </c>
      <c r="C2825" s="27">
        <v>17.2043</v>
      </c>
      <c r="E2825" s="27">
        <v>0.91395099999999996</v>
      </c>
      <c r="G2825" s="27">
        <v>250.476</v>
      </c>
      <c r="I2825" s="27">
        <v>6.9125399999999999</v>
      </c>
      <c r="K2825" s="27">
        <v>4.7818800000000001</v>
      </c>
      <c r="M2825" s="27">
        <v>802.66</v>
      </c>
      <c r="O2825" s="27">
        <v>4152.5</v>
      </c>
      <c r="Q2825" s="27">
        <v>7249.18</v>
      </c>
      <c r="S2825" s="27">
        <v>1515.98</v>
      </c>
      <c r="U2825" s="27">
        <v>3.6322700000000001</v>
      </c>
      <c r="W2825" s="27">
        <v>38.052</v>
      </c>
      <c r="Y2825" s="27">
        <v>7.9575800000000001</v>
      </c>
      <c r="AA2825" s="27">
        <v>540.51400000000001</v>
      </c>
      <c r="AC2825" s="27">
        <v>54.970199999999998</v>
      </c>
      <c r="AE2825" s="27">
        <v>1</v>
      </c>
      <c r="AG2825" s="27">
        <v>7.8371399999999998</v>
      </c>
      <c r="AI2825" s="27">
        <v>8.75</v>
      </c>
      <c r="AK2825" s="27">
        <v>24.674199999999999</v>
      </c>
      <c r="AM2825" s="27">
        <v>36.579799999999999</v>
      </c>
      <c r="AO2825" s="27">
        <v>6.7845599999999999</v>
      </c>
    </row>
    <row r="2826" spans="2:41" x14ac:dyDescent="0.25">
      <c r="B2826" s="21">
        <v>45099</v>
      </c>
      <c r="C2826" s="27">
        <v>17.154699999999998</v>
      </c>
      <c r="E2826" s="27">
        <v>0.91096600000000005</v>
      </c>
      <c r="G2826" s="27">
        <v>252.17</v>
      </c>
      <c r="I2826" s="27">
        <v>6.9009400000000003</v>
      </c>
      <c r="K2826" s="27">
        <v>4.7681800000000001</v>
      </c>
      <c r="M2826" s="27">
        <v>803.41399999999999</v>
      </c>
      <c r="O2826" s="27">
        <v>4140.24</v>
      </c>
      <c r="Q2826" s="27">
        <v>7236.83</v>
      </c>
      <c r="S2826" s="27">
        <v>1517.74</v>
      </c>
      <c r="U2826" s="27">
        <v>3.6194799999999998</v>
      </c>
      <c r="W2826" s="27">
        <v>37.875399999999999</v>
      </c>
      <c r="Y2826" s="27">
        <v>7.9433999999999996</v>
      </c>
      <c r="AA2826" s="27">
        <v>539.68499999999995</v>
      </c>
      <c r="AC2826" s="27">
        <v>54.797800000000002</v>
      </c>
      <c r="AE2826" s="27">
        <v>1</v>
      </c>
      <c r="AG2826" s="27">
        <v>7.8291500000000003</v>
      </c>
      <c r="AI2826" s="27">
        <v>8.75</v>
      </c>
      <c r="AK2826" s="27">
        <v>24.606300000000001</v>
      </c>
      <c r="AM2826" s="27">
        <v>36.4542</v>
      </c>
      <c r="AO2826" s="27">
        <v>6.7771999999999997</v>
      </c>
    </row>
    <row r="2827" spans="2:41" x14ac:dyDescent="0.25">
      <c r="B2827" s="21">
        <v>45100</v>
      </c>
      <c r="C2827" s="27">
        <v>17.171299999999999</v>
      </c>
      <c r="E2827" s="27">
        <v>0.91737800000000003</v>
      </c>
      <c r="G2827" s="27">
        <v>252.77600000000001</v>
      </c>
      <c r="I2827" s="27">
        <v>6.9232399999999998</v>
      </c>
      <c r="K2827" s="27">
        <v>4.7784399999999998</v>
      </c>
      <c r="M2827" s="27">
        <v>804.71799999999996</v>
      </c>
      <c r="O2827" s="27">
        <v>4125.8599999999997</v>
      </c>
      <c r="Q2827" s="27">
        <v>7290.58</v>
      </c>
      <c r="S2827" s="27">
        <v>1525.74</v>
      </c>
      <c r="U2827" s="27">
        <v>3.6366900000000002</v>
      </c>
      <c r="W2827" s="27">
        <v>38.006799999999998</v>
      </c>
      <c r="Y2827" s="27">
        <v>7.9538700000000002</v>
      </c>
      <c r="AA2827" s="27">
        <v>541.80600000000004</v>
      </c>
      <c r="AC2827" s="27">
        <v>55.046500000000002</v>
      </c>
      <c r="AE2827" s="27">
        <v>1</v>
      </c>
      <c r="AG2827" s="27">
        <v>7.8554500000000003</v>
      </c>
      <c r="AI2827" s="27">
        <v>8.75</v>
      </c>
      <c r="AK2827" s="27">
        <v>24.715800000000002</v>
      </c>
      <c r="AM2827" s="27">
        <v>36.633800000000001</v>
      </c>
      <c r="AO2827" s="27">
        <v>6.8045</v>
      </c>
    </row>
    <row r="2828" spans="2:41" x14ac:dyDescent="0.25">
      <c r="B2828" s="21">
        <v>45101</v>
      </c>
      <c r="C2828" s="27">
        <v>17.171299999999999</v>
      </c>
      <c r="E2828" s="27">
        <v>0.91776800000000003</v>
      </c>
      <c r="G2828" s="27">
        <v>252.99</v>
      </c>
      <c r="I2828" s="27">
        <v>6.9128600000000002</v>
      </c>
      <c r="K2828" s="27">
        <v>4.7858999999999998</v>
      </c>
      <c r="M2828" s="27">
        <v>804.9</v>
      </c>
      <c r="O2828" s="27">
        <v>4143.87</v>
      </c>
      <c r="Q2828" s="27">
        <v>7286.16</v>
      </c>
      <c r="S2828" s="27">
        <v>1522.43</v>
      </c>
      <c r="U2828" s="27">
        <v>3.6302500000000002</v>
      </c>
      <c r="W2828" s="27">
        <v>37.949300000000001</v>
      </c>
      <c r="Y2828" s="27">
        <v>7.9294200000000004</v>
      </c>
      <c r="AA2828" s="27">
        <v>541.298</v>
      </c>
      <c r="AC2828" s="27">
        <v>55.022500000000001</v>
      </c>
      <c r="AE2828" s="27">
        <v>1</v>
      </c>
      <c r="AG2828" s="27">
        <v>7.8435199999999998</v>
      </c>
      <c r="AI2828" s="27">
        <v>8.75</v>
      </c>
      <c r="AK2828" s="27">
        <v>24.719799999999999</v>
      </c>
      <c r="AM2828" s="27">
        <v>36.544800000000002</v>
      </c>
      <c r="AO2828" s="27">
        <v>6.7980499999999999</v>
      </c>
    </row>
    <row r="2829" spans="2:41" x14ac:dyDescent="0.25">
      <c r="B2829" s="21">
        <v>45102</v>
      </c>
      <c r="C2829" s="27">
        <v>17.171299999999999</v>
      </c>
      <c r="E2829" s="27">
        <v>0.91768700000000003</v>
      </c>
      <c r="G2829" s="27">
        <v>252.958</v>
      </c>
      <c r="I2829" s="27">
        <v>6.9128600000000002</v>
      </c>
      <c r="K2829" s="27">
        <v>4.7859600000000002</v>
      </c>
      <c r="M2829" s="27">
        <v>804.822</v>
      </c>
      <c r="O2829" s="27">
        <v>4144.34</v>
      </c>
      <c r="Q2829" s="27">
        <v>7283.74</v>
      </c>
      <c r="S2829" s="27">
        <v>1521.91</v>
      </c>
      <c r="U2829" s="27">
        <v>3.6302500000000002</v>
      </c>
      <c r="W2829" s="27">
        <v>37.949300000000001</v>
      </c>
      <c r="Y2829" s="27">
        <v>7.9293399999999998</v>
      </c>
      <c r="AA2829" s="27">
        <v>541.13300000000004</v>
      </c>
      <c r="AC2829" s="27">
        <v>55.022500000000001</v>
      </c>
      <c r="AE2829" s="27">
        <v>1</v>
      </c>
      <c r="AG2829" s="27">
        <v>7.8435199999999998</v>
      </c>
      <c r="AI2829" s="27">
        <v>8.75</v>
      </c>
      <c r="AK2829" s="27">
        <v>24.719799999999999</v>
      </c>
      <c r="AM2829" s="27">
        <v>36.535600000000002</v>
      </c>
      <c r="AO2829" s="27">
        <v>6.79596</v>
      </c>
    </row>
    <row r="2830" spans="2:41" x14ac:dyDescent="0.25">
      <c r="B2830" s="21">
        <v>45103</v>
      </c>
      <c r="C2830" s="27">
        <v>17.179500000000001</v>
      </c>
      <c r="E2830" s="27">
        <v>0.91686800000000002</v>
      </c>
      <c r="G2830" s="27">
        <v>253.28399999999999</v>
      </c>
      <c r="I2830" s="27">
        <v>6.8955200000000003</v>
      </c>
      <c r="K2830" s="27">
        <v>4.7781399999999996</v>
      </c>
      <c r="M2830" s="27">
        <v>804.81399999999996</v>
      </c>
      <c r="O2830" s="27">
        <v>4171.46</v>
      </c>
      <c r="Q2830" s="27">
        <v>7257.14</v>
      </c>
      <c r="S2830" s="27">
        <v>1518.83</v>
      </c>
      <c r="U2830" s="27">
        <v>3.6273200000000001</v>
      </c>
      <c r="W2830" s="27">
        <v>37.696599999999997</v>
      </c>
      <c r="Y2830" s="27">
        <v>7.8894200000000003</v>
      </c>
      <c r="AA2830" s="27">
        <v>540.15599999999995</v>
      </c>
      <c r="AC2830" s="27">
        <v>55.058100000000003</v>
      </c>
      <c r="AE2830" s="27">
        <v>1</v>
      </c>
      <c r="AG2830" s="27">
        <v>7.8236600000000003</v>
      </c>
      <c r="AI2830" s="27">
        <v>8.75</v>
      </c>
      <c r="AK2830" s="27">
        <v>24.645</v>
      </c>
      <c r="AM2830" s="27">
        <v>36.4878</v>
      </c>
      <c r="AO2830" s="27">
        <v>6.7796900000000004</v>
      </c>
    </row>
    <row r="2831" spans="2:41" x14ac:dyDescent="0.25">
      <c r="B2831" s="21">
        <v>45104</v>
      </c>
      <c r="C2831" s="27">
        <v>17.144500000000001</v>
      </c>
      <c r="E2831" s="27">
        <v>0.91370600000000002</v>
      </c>
      <c r="G2831" s="27">
        <v>254.76</v>
      </c>
      <c r="I2831" s="27">
        <v>6.9060499999999996</v>
      </c>
      <c r="K2831" s="27">
        <v>4.7824</v>
      </c>
      <c r="M2831" s="27">
        <v>802.96</v>
      </c>
      <c r="O2831" s="27">
        <v>4163.96</v>
      </c>
      <c r="Q2831" s="27">
        <v>7261.28</v>
      </c>
      <c r="S2831" s="27">
        <v>1518.34</v>
      </c>
      <c r="U2831" s="27">
        <v>3.6403799999999999</v>
      </c>
      <c r="W2831" s="27">
        <v>37.669400000000003</v>
      </c>
      <c r="Y2831" s="27">
        <v>7.8766999999999996</v>
      </c>
      <c r="AA2831" s="27">
        <v>541.31600000000003</v>
      </c>
      <c r="AC2831" s="27">
        <v>55.078000000000003</v>
      </c>
      <c r="AE2831" s="27">
        <v>1</v>
      </c>
      <c r="AG2831" s="27">
        <v>7.8357200000000002</v>
      </c>
      <c r="AI2831" s="27">
        <v>8.75</v>
      </c>
      <c r="AK2831" s="27">
        <v>24.663799999999998</v>
      </c>
      <c r="AM2831" s="27">
        <v>36.552</v>
      </c>
      <c r="AO2831" s="27">
        <v>6.7922799999999999</v>
      </c>
    </row>
    <row r="2832" spans="2:41" x14ac:dyDescent="0.25">
      <c r="B2832" s="21">
        <v>45105</v>
      </c>
      <c r="C2832" s="27">
        <v>17.101299999999998</v>
      </c>
      <c r="E2832" s="27">
        <v>0.91451199999999999</v>
      </c>
      <c r="G2832" s="27">
        <v>255.506</v>
      </c>
      <c r="I2832" s="27">
        <v>6.9073500000000001</v>
      </c>
      <c r="K2832" s="27">
        <v>4.8308799999999996</v>
      </c>
      <c r="M2832" s="27">
        <v>798.89</v>
      </c>
      <c r="O2832" s="27">
        <v>4162.3100000000004</v>
      </c>
      <c r="Q2832" s="27">
        <v>7271.68</v>
      </c>
      <c r="S2832" s="27">
        <v>1505.26</v>
      </c>
      <c r="U2832" s="27">
        <v>3.6405400000000001</v>
      </c>
      <c r="W2832" s="27">
        <v>37.582799999999999</v>
      </c>
      <c r="Y2832" s="27">
        <v>7.7797400000000003</v>
      </c>
      <c r="AA2832" s="27">
        <v>541.71600000000001</v>
      </c>
      <c r="AC2832" s="27">
        <v>55.188600000000001</v>
      </c>
      <c r="AE2832" s="27">
        <v>1</v>
      </c>
      <c r="AG2832" s="27">
        <v>7.8399200000000002</v>
      </c>
      <c r="AI2832" s="27">
        <v>8.75</v>
      </c>
      <c r="AK2832" s="27">
        <v>24.647099999999998</v>
      </c>
      <c r="AM2832" s="27">
        <v>36.571599999999997</v>
      </c>
      <c r="AO2832" s="27">
        <v>6.7913199999999998</v>
      </c>
    </row>
    <row r="2833" spans="2:41" x14ac:dyDescent="0.25">
      <c r="B2833" s="21">
        <v>45106</v>
      </c>
      <c r="C2833" s="27">
        <v>17.071999999999999</v>
      </c>
      <c r="E2833" s="27">
        <v>0.91815599999999997</v>
      </c>
      <c r="G2833" s="27">
        <v>256.036</v>
      </c>
      <c r="I2833" s="27">
        <v>6.9145300000000001</v>
      </c>
      <c r="K2833" s="27">
        <v>4.8543599999999998</v>
      </c>
      <c r="M2833" s="27">
        <v>801.50400000000002</v>
      </c>
      <c r="O2833" s="27">
        <v>4161.7</v>
      </c>
      <c r="Q2833" s="27">
        <v>7285.68</v>
      </c>
      <c r="S2833" s="27">
        <v>1500.86</v>
      </c>
      <c r="U2833" s="27">
        <v>3.6369500000000001</v>
      </c>
      <c r="W2833" s="27">
        <v>37.643000000000001</v>
      </c>
      <c r="Y2833" s="27">
        <v>7.7545000000000002</v>
      </c>
      <c r="AA2833" s="27">
        <v>542.78800000000001</v>
      </c>
      <c r="AC2833" s="27">
        <v>55.349400000000003</v>
      </c>
      <c r="AE2833" s="27">
        <v>1</v>
      </c>
      <c r="AG2833" s="27">
        <v>7.8502599999999996</v>
      </c>
      <c r="AI2833" s="27">
        <v>8.75</v>
      </c>
      <c r="AK2833" s="27">
        <v>24.715399999999999</v>
      </c>
      <c r="AM2833" s="27">
        <v>36.631100000000004</v>
      </c>
      <c r="AO2833" s="27">
        <v>6.79948</v>
      </c>
    </row>
    <row r="2834" spans="2:41" x14ac:dyDescent="0.25">
      <c r="B2834" s="21">
        <v>45107</v>
      </c>
      <c r="C2834" s="27">
        <v>17.1187</v>
      </c>
      <c r="E2834" s="27">
        <v>0.91866800000000004</v>
      </c>
      <c r="G2834" s="27">
        <v>256.44600000000003</v>
      </c>
      <c r="I2834" s="27">
        <v>6.9173</v>
      </c>
      <c r="K2834" s="27">
        <v>4.8303399999999996</v>
      </c>
      <c r="M2834" s="27">
        <v>802.52200000000005</v>
      </c>
      <c r="O2834" s="27">
        <v>4172.51</v>
      </c>
      <c r="Q2834" s="27">
        <v>7282.27</v>
      </c>
      <c r="S2834" s="27">
        <v>1507.62</v>
      </c>
      <c r="U2834" s="27">
        <v>3.63523</v>
      </c>
      <c r="W2834" s="27">
        <v>37.635800000000003</v>
      </c>
      <c r="Y2834" s="27">
        <v>7.7915799999999997</v>
      </c>
      <c r="AA2834" s="27">
        <v>543.35799999999995</v>
      </c>
      <c r="AC2834" s="27">
        <v>55.445599999999999</v>
      </c>
      <c r="AE2834" s="27">
        <v>1</v>
      </c>
      <c r="AG2834" s="27">
        <v>7.85344</v>
      </c>
      <c r="AI2834" s="27">
        <v>8.75</v>
      </c>
      <c r="AK2834" s="27">
        <v>24.717400000000001</v>
      </c>
      <c r="AM2834" s="27">
        <v>36.653300000000002</v>
      </c>
      <c r="AO2834" s="27">
        <v>6.7947699999999998</v>
      </c>
    </row>
    <row r="2835" spans="2:41" ht="13" x14ac:dyDescent="0.3">
      <c r="B2835" s="25" t="s">
        <v>218</v>
      </c>
      <c r="C2835" s="19">
        <v>17.285299999999999</v>
      </c>
      <c r="E2835" s="19">
        <v>0.92290000000000005</v>
      </c>
      <c r="G2835" s="19">
        <v>247.9984</v>
      </c>
      <c r="I2835" s="19">
        <v>6.9088000000000003</v>
      </c>
      <c r="K2835" s="19">
        <v>4.8578000000000001</v>
      </c>
      <c r="M2835" s="19">
        <v>798.21130000000005</v>
      </c>
      <c r="O2835" s="19">
        <v>4204.3117000000002</v>
      </c>
      <c r="Q2835" s="19">
        <v>7250.8416999999999</v>
      </c>
      <c r="S2835" s="19">
        <v>1492.9647</v>
      </c>
      <c r="U2835" s="19">
        <v>3.6476999999999999</v>
      </c>
      <c r="W2835" s="19">
        <v>38.359499999999997</v>
      </c>
      <c r="Y2835" s="19">
        <v>7.8971999999999998</v>
      </c>
      <c r="AA2835" s="19">
        <v>539.9366</v>
      </c>
      <c r="AC2835" s="19">
        <v>54.8536</v>
      </c>
      <c r="AE2835" s="19">
        <v>1</v>
      </c>
      <c r="AG2835" s="19">
        <v>7.8333000000000004</v>
      </c>
      <c r="AI2835" s="19">
        <v>8.75</v>
      </c>
      <c r="AK2835" s="19">
        <v>24.668700000000001</v>
      </c>
      <c r="AM2835" s="19">
        <v>36.5563</v>
      </c>
      <c r="AO2835" s="19">
        <v>6.7827999999999999</v>
      </c>
    </row>
    <row r="2836" spans="2:41" x14ac:dyDescent="0.25">
      <c r="B2836" s="21">
        <v>45108</v>
      </c>
      <c r="C2836" s="27">
        <v>17.1187</v>
      </c>
      <c r="E2836" s="27">
        <v>0.91650200000000004</v>
      </c>
      <c r="G2836" s="27">
        <v>256.74</v>
      </c>
      <c r="I2836" s="27">
        <v>6.9108599999999996</v>
      </c>
      <c r="K2836" s="27">
        <v>4.7880000000000003</v>
      </c>
      <c r="M2836" s="27">
        <v>801.6</v>
      </c>
      <c r="O2836" s="27">
        <v>4167.5600000000004</v>
      </c>
      <c r="Q2836" s="27">
        <v>7270.88</v>
      </c>
      <c r="S2836" s="27">
        <v>1518.57</v>
      </c>
      <c r="U2836" s="27">
        <v>3.62425</v>
      </c>
      <c r="W2836" s="27">
        <v>37.557699999999997</v>
      </c>
      <c r="Y2836" s="27">
        <v>7.8441599999999996</v>
      </c>
      <c r="AA2836" s="27">
        <v>542.91600000000005</v>
      </c>
      <c r="AC2836" s="27">
        <v>55.357500000000002</v>
      </c>
      <c r="AE2836" s="27">
        <v>1</v>
      </c>
      <c r="AG2836" s="27">
        <v>7.84612</v>
      </c>
      <c r="AI2836" s="27">
        <v>8.75</v>
      </c>
      <c r="AK2836" s="27">
        <v>24.719799999999999</v>
      </c>
      <c r="AM2836" s="27">
        <v>36.577199999999998</v>
      </c>
      <c r="AO2836" s="27">
        <v>6.7827700000000002</v>
      </c>
    </row>
    <row r="2837" spans="2:41" x14ac:dyDescent="0.25">
      <c r="B2837" s="21">
        <v>45109</v>
      </c>
      <c r="C2837" s="27">
        <v>17.1187</v>
      </c>
      <c r="E2837" s="27">
        <v>0.91651400000000005</v>
      </c>
      <c r="G2837" s="27">
        <v>256.512</v>
      </c>
      <c r="I2837" s="27">
        <v>6.9108499999999999</v>
      </c>
      <c r="K2837" s="27">
        <v>4.7879199999999997</v>
      </c>
      <c r="M2837" s="27">
        <v>801.59199999999998</v>
      </c>
      <c r="O2837" s="27">
        <v>4167.38</v>
      </c>
      <c r="Q2837" s="27">
        <v>7270.88</v>
      </c>
      <c r="S2837" s="27">
        <v>1518.6</v>
      </c>
      <c r="U2837" s="27">
        <v>3.6237400000000002</v>
      </c>
      <c r="W2837" s="27">
        <v>37.565100000000001</v>
      </c>
      <c r="Y2837" s="27">
        <v>7.8458600000000001</v>
      </c>
      <c r="AA2837" s="27">
        <v>542.91600000000005</v>
      </c>
      <c r="AC2837" s="27">
        <v>55.344200000000001</v>
      </c>
      <c r="AE2837" s="27">
        <v>1</v>
      </c>
      <c r="AG2837" s="27">
        <v>7.84612</v>
      </c>
      <c r="AI2837" s="27">
        <v>8.75</v>
      </c>
      <c r="AK2837" s="27">
        <v>24.719799999999999</v>
      </c>
      <c r="AM2837" s="27">
        <v>36.568600000000004</v>
      </c>
      <c r="AO2837" s="27">
        <v>6.7827799999999998</v>
      </c>
    </row>
    <row r="2838" spans="2:41" x14ac:dyDescent="0.25">
      <c r="B2838" s="21">
        <v>45110</v>
      </c>
      <c r="C2838" s="27">
        <v>17.1358</v>
      </c>
      <c r="E2838" s="27">
        <v>0.91695599999999999</v>
      </c>
      <c r="G2838" s="27">
        <v>256.88200000000001</v>
      </c>
      <c r="I2838" s="27">
        <v>6.8922499999999998</v>
      </c>
      <c r="K2838" s="27">
        <v>4.7908600000000003</v>
      </c>
      <c r="M2838" s="27">
        <v>800.62400000000002</v>
      </c>
      <c r="O2838" s="27">
        <v>4172.84</v>
      </c>
      <c r="Q2838" s="27">
        <v>7241.44</v>
      </c>
      <c r="S2838" s="27">
        <v>1511.52</v>
      </c>
      <c r="U2838" s="27">
        <v>3.6196600000000001</v>
      </c>
      <c r="W2838" s="27">
        <v>37.502699999999997</v>
      </c>
      <c r="Y2838" s="27">
        <v>7.8280200000000004</v>
      </c>
      <c r="AA2838" s="27">
        <v>541.25800000000004</v>
      </c>
      <c r="AC2838" s="27">
        <v>55.159399999999998</v>
      </c>
      <c r="AE2838" s="27">
        <v>1</v>
      </c>
      <c r="AG2838" s="27">
        <v>7.8248199999999999</v>
      </c>
      <c r="AI2838" s="27">
        <v>8.75</v>
      </c>
      <c r="AK2838" s="27">
        <v>24.634</v>
      </c>
      <c r="AM2838" s="27">
        <v>36.480600000000003</v>
      </c>
      <c r="AO2838" s="27">
        <v>6.7708000000000004</v>
      </c>
    </row>
    <row r="2839" spans="2:41" x14ac:dyDescent="0.25">
      <c r="B2839" s="21">
        <v>45111</v>
      </c>
      <c r="C2839" s="27">
        <v>17.0517</v>
      </c>
      <c r="E2839" s="27">
        <v>0.91766000000000003</v>
      </c>
      <c r="G2839" s="27">
        <v>258.46800000000002</v>
      </c>
      <c r="I2839" s="27">
        <v>6.90334</v>
      </c>
      <c r="K2839" s="27">
        <v>4.8163099999999996</v>
      </c>
      <c r="M2839" s="27">
        <v>798.92</v>
      </c>
      <c r="O2839" s="27">
        <v>4166.62</v>
      </c>
      <c r="Q2839" s="27">
        <v>7251.88</v>
      </c>
      <c r="S2839" s="27">
        <v>1505.7</v>
      </c>
      <c r="U2839" s="27">
        <v>3.6233300000000002</v>
      </c>
      <c r="W2839" s="27">
        <v>37.503799999999998</v>
      </c>
      <c r="Y2839" s="27">
        <v>7.7868599999999999</v>
      </c>
      <c r="AA2839" s="27">
        <v>542.01199999999994</v>
      </c>
      <c r="AC2839" s="27">
        <v>55.093600000000002</v>
      </c>
      <c r="AE2839" s="27">
        <v>1</v>
      </c>
      <c r="AG2839" s="27">
        <v>7.8373999999999997</v>
      </c>
      <c r="AI2839" s="27">
        <v>8.75</v>
      </c>
      <c r="AK2839" s="27">
        <v>24.642399999999999</v>
      </c>
      <c r="AM2839" s="27">
        <v>36.552199999999999</v>
      </c>
      <c r="AO2839" s="27">
        <v>6.7842799999999999</v>
      </c>
    </row>
    <row r="2840" spans="2:41" x14ac:dyDescent="0.25">
      <c r="B2840" s="21">
        <v>45112</v>
      </c>
      <c r="C2840" s="27">
        <v>17.026</v>
      </c>
      <c r="E2840" s="27">
        <v>0.91961400000000004</v>
      </c>
      <c r="G2840" s="27">
        <v>259.41199999999998</v>
      </c>
      <c r="I2840" s="27">
        <v>6.9081000000000001</v>
      </c>
      <c r="K2840" s="27">
        <v>4.84619</v>
      </c>
      <c r="M2840" s="27">
        <v>798.56700000000001</v>
      </c>
      <c r="O2840" s="27">
        <v>4144.84</v>
      </c>
      <c r="Q2840" s="27">
        <v>7255.9</v>
      </c>
      <c r="S2840" s="27">
        <v>1497.25</v>
      </c>
      <c r="U2840" s="27">
        <v>3.6284800000000001</v>
      </c>
      <c r="W2840" s="27">
        <v>37.495899999999999</v>
      </c>
      <c r="Y2840" s="27">
        <v>7.7372199999999998</v>
      </c>
      <c r="AA2840" s="27">
        <v>542.48099999999999</v>
      </c>
      <c r="AC2840" s="27">
        <v>55.365000000000002</v>
      </c>
      <c r="AE2840" s="27">
        <v>1</v>
      </c>
      <c r="AG2840" s="27">
        <v>7.8409800000000001</v>
      </c>
      <c r="AI2840" s="27">
        <v>8.75</v>
      </c>
      <c r="AK2840" s="27">
        <v>24.6922</v>
      </c>
      <c r="AM2840" s="27">
        <v>36.576500000000003</v>
      </c>
      <c r="AO2840" s="27">
        <v>6.7829199999999998</v>
      </c>
    </row>
    <row r="2841" spans="2:41" x14ac:dyDescent="0.25">
      <c r="B2841" s="21">
        <v>45113</v>
      </c>
      <c r="C2841" s="27">
        <v>17.004000000000001</v>
      </c>
      <c r="E2841" s="27">
        <v>0.92009099999999999</v>
      </c>
      <c r="G2841" s="27">
        <v>259.92700000000002</v>
      </c>
      <c r="I2841" s="27">
        <v>6.9146400000000003</v>
      </c>
      <c r="K2841" s="27">
        <v>4.8808699999999998</v>
      </c>
      <c r="M2841" s="27">
        <v>799.846</v>
      </c>
      <c r="O2841" s="27">
        <v>4149.2700000000004</v>
      </c>
      <c r="Q2841" s="27">
        <v>7269.45</v>
      </c>
      <c r="S2841" s="27">
        <v>1489.38</v>
      </c>
      <c r="U2841" s="27">
        <v>3.6358700000000002</v>
      </c>
      <c r="W2841" s="27">
        <v>37.6008</v>
      </c>
      <c r="Y2841" s="27">
        <v>7.7037399999999998</v>
      </c>
      <c r="AA2841" s="27">
        <v>542.904</v>
      </c>
      <c r="AC2841" s="27">
        <v>55.676000000000002</v>
      </c>
      <c r="AE2841" s="27">
        <v>1</v>
      </c>
      <c r="AG2841" s="27">
        <v>7.8476800000000004</v>
      </c>
      <c r="AI2841" s="27">
        <v>8.75</v>
      </c>
      <c r="AK2841" s="27">
        <v>24.7074</v>
      </c>
      <c r="AM2841" s="27">
        <v>36.6098</v>
      </c>
      <c r="AO2841" s="27">
        <v>6.7863600000000002</v>
      </c>
    </row>
    <row r="2842" spans="2:41" x14ac:dyDescent="0.25">
      <c r="B2842" s="21">
        <v>45114</v>
      </c>
      <c r="C2842" s="27">
        <v>17.282499999999999</v>
      </c>
      <c r="E2842" s="27">
        <v>0.91573599999999999</v>
      </c>
      <c r="G2842" s="27">
        <v>260.63499999999999</v>
      </c>
      <c r="I2842" s="27">
        <v>6.9098100000000002</v>
      </c>
      <c r="K2842" s="27">
        <v>4.8953199999999999</v>
      </c>
      <c r="M2842" s="27">
        <v>805.22</v>
      </c>
      <c r="O2842" s="27">
        <v>4187.1899999999996</v>
      </c>
      <c r="Q2842" s="27">
        <v>7279.42</v>
      </c>
      <c r="S2842" s="27">
        <v>1487.02</v>
      </c>
      <c r="U2842" s="27">
        <v>3.6368299999999998</v>
      </c>
      <c r="W2842" s="27">
        <v>37.772599999999997</v>
      </c>
      <c r="Y2842" s="27">
        <v>7.7160900000000003</v>
      </c>
      <c r="AA2842" s="27">
        <v>542.74199999999996</v>
      </c>
      <c r="AC2842" s="27">
        <v>55.740400000000001</v>
      </c>
      <c r="AE2842" s="27">
        <v>1</v>
      </c>
      <c r="AG2842" s="27">
        <v>7.8428899999999997</v>
      </c>
      <c r="AI2842" s="27">
        <v>8.75</v>
      </c>
      <c r="AK2842" s="27">
        <v>24.635200000000001</v>
      </c>
      <c r="AM2842" s="27">
        <v>36.554699999999997</v>
      </c>
      <c r="AO2842" s="27">
        <v>6.7834700000000003</v>
      </c>
    </row>
    <row r="2843" spans="2:41" x14ac:dyDescent="0.25">
      <c r="B2843" s="21">
        <v>45115</v>
      </c>
      <c r="C2843" s="27">
        <v>17.282499999999999</v>
      </c>
      <c r="E2843" s="27">
        <v>0.91167699999999996</v>
      </c>
      <c r="G2843" s="27">
        <v>260.95999999999998</v>
      </c>
      <c r="I2843" s="27">
        <v>6.9101800000000004</v>
      </c>
      <c r="K2843" s="27">
        <v>4.8727999999999998</v>
      </c>
      <c r="M2843" s="27">
        <v>806.89</v>
      </c>
      <c r="O2843" s="27">
        <v>4178.0200000000004</v>
      </c>
      <c r="Q2843" s="27">
        <v>7286.89</v>
      </c>
      <c r="S2843" s="27">
        <v>1495.43</v>
      </c>
      <c r="U2843" s="27">
        <v>3.6405500000000002</v>
      </c>
      <c r="W2843" s="27">
        <v>38.017800000000001</v>
      </c>
      <c r="Y2843" s="27">
        <v>7.8020800000000001</v>
      </c>
      <c r="AA2843" s="27">
        <v>543.06200000000001</v>
      </c>
      <c r="AC2843" s="27">
        <v>55.762500000000003</v>
      </c>
      <c r="AE2843" s="27">
        <v>1</v>
      </c>
      <c r="AG2843" s="27">
        <v>7.8430999999999997</v>
      </c>
      <c r="AI2843" s="27">
        <v>8.75</v>
      </c>
      <c r="AK2843" s="27">
        <v>24.719799999999999</v>
      </c>
      <c r="AM2843" s="27">
        <v>36.544800000000002</v>
      </c>
      <c r="AO2843" s="27">
        <v>6.7854799999999997</v>
      </c>
    </row>
    <row r="2844" spans="2:41" x14ac:dyDescent="0.25">
      <c r="B2844" s="21">
        <v>45116</v>
      </c>
      <c r="C2844" s="27">
        <v>17.282499999999999</v>
      </c>
      <c r="E2844" s="27">
        <v>0.91170700000000005</v>
      </c>
      <c r="G2844" s="27">
        <v>260.79399999999998</v>
      </c>
      <c r="I2844" s="27">
        <v>6.9101600000000003</v>
      </c>
      <c r="K2844" s="27">
        <v>4.8727600000000004</v>
      </c>
      <c r="M2844" s="27">
        <v>806.92100000000005</v>
      </c>
      <c r="O2844" s="27">
        <v>4178.04</v>
      </c>
      <c r="Q2844" s="27">
        <v>7286.89</v>
      </c>
      <c r="S2844" s="27">
        <v>1495.44</v>
      </c>
      <c r="U2844" s="27">
        <v>3.64072</v>
      </c>
      <c r="W2844" s="27">
        <v>38.017800000000001</v>
      </c>
      <c r="Y2844" s="27">
        <v>7.8021399999999996</v>
      </c>
      <c r="AA2844" s="27">
        <v>543.41399999999999</v>
      </c>
      <c r="AC2844" s="27">
        <v>55.762599999999999</v>
      </c>
      <c r="AE2844" s="27">
        <v>1</v>
      </c>
      <c r="AG2844" s="27">
        <v>7.8430999999999997</v>
      </c>
      <c r="AI2844" s="27">
        <v>8.75</v>
      </c>
      <c r="AK2844" s="27">
        <v>24.719799999999999</v>
      </c>
      <c r="AM2844" s="27">
        <v>36.544800000000002</v>
      </c>
      <c r="AO2844" s="27">
        <v>6.7854700000000001</v>
      </c>
    </row>
    <row r="2845" spans="2:41" x14ac:dyDescent="0.25">
      <c r="B2845" s="21">
        <v>45117</v>
      </c>
      <c r="C2845" s="27">
        <v>17.101199999999999</v>
      </c>
      <c r="E2845" s="27">
        <v>0.91134899999999996</v>
      </c>
      <c r="G2845" s="27">
        <v>261.685</v>
      </c>
      <c r="I2845" s="27">
        <v>6.8767800000000001</v>
      </c>
      <c r="K2845" s="27">
        <v>4.8772799999999998</v>
      </c>
      <c r="M2845" s="27">
        <v>809.42399999999998</v>
      </c>
      <c r="O2845" s="27">
        <v>4168.0600000000004</v>
      </c>
      <c r="Q2845" s="27">
        <v>7260.88</v>
      </c>
      <c r="S2845" s="27">
        <v>1488.72</v>
      </c>
      <c r="U2845" s="27">
        <v>3.6356799999999998</v>
      </c>
      <c r="W2845" s="27">
        <v>38.072699999999998</v>
      </c>
      <c r="Y2845" s="27">
        <v>7.8061800000000003</v>
      </c>
      <c r="AA2845" s="27">
        <v>547.11800000000005</v>
      </c>
      <c r="AC2845" s="27">
        <v>55.549900000000001</v>
      </c>
      <c r="AE2845" s="27">
        <v>1</v>
      </c>
      <c r="AG2845" s="27">
        <v>7.80898</v>
      </c>
      <c r="AI2845" s="27">
        <v>8.75</v>
      </c>
      <c r="AK2845" s="27">
        <v>24.522600000000001</v>
      </c>
      <c r="AM2845" s="27">
        <v>36.427599999999998</v>
      </c>
      <c r="AO2845" s="27">
        <v>6.7525199999999996</v>
      </c>
    </row>
    <row r="2846" spans="2:41" x14ac:dyDescent="0.25">
      <c r="B2846" s="21">
        <v>45118</v>
      </c>
      <c r="C2846" s="27">
        <v>17.060500000000001</v>
      </c>
      <c r="E2846" s="27">
        <v>0.90868599999999999</v>
      </c>
      <c r="G2846" s="27">
        <v>262.86799999999999</v>
      </c>
      <c r="I2846" s="27">
        <v>6.9003899999999998</v>
      </c>
      <c r="K2846" s="27">
        <v>4.8870100000000001</v>
      </c>
      <c r="M2846" s="27">
        <v>814.23</v>
      </c>
      <c r="O2846" s="27">
        <v>4171.01</v>
      </c>
      <c r="Q2846" s="27">
        <v>7268.41</v>
      </c>
      <c r="S2846" s="27">
        <v>1487.3</v>
      </c>
      <c r="U2846" s="27">
        <v>3.6373000000000002</v>
      </c>
      <c r="W2846" s="27">
        <v>38.0548</v>
      </c>
      <c r="Y2846" s="27">
        <v>7.7869799999999998</v>
      </c>
      <c r="AA2846" s="27">
        <v>547.78399999999999</v>
      </c>
      <c r="AC2846" s="27">
        <v>55.683700000000002</v>
      </c>
      <c r="AE2846" s="27">
        <v>1</v>
      </c>
      <c r="AG2846" s="27">
        <v>7.8325199999999997</v>
      </c>
      <c r="AI2846" s="27">
        <v>8.75</v>
      </c>
      <c r="AK2846" s="27">
        <v>24.5974</v>
      </c>
      <c r="AM2846" s="27">
        <v>36.4878</v>
      </c>
      <c r="AO2846" s="27">
        <v>6.7777200000000004</v>
      </c>
    </row>
    <row r="2847" spans="2:41" x14ac:dyDescent="0.25">
      <c r="B2847" s="21">
        <v>45119</v>
      </c>
      <c r="C2847" s="27">
        <v>17.078299999999999</v>
      </c>
      <c r="E2847" s="27">
        <v>0.90318500000000002</v>
      </c>
      <c r="G2847" s="27">
        <v>263.55900000000003</v>
      </c>
      <c r="I2847" s="27">
        <v>6.9002600000000003</v>
      </c>
      <c r="K2847" s="27">
        <v>4.8344800000000001</v>
      </c>
      <c r="M2847" s="27">
        <v>814.36300000000006</v>
      </c>
      <c r="O2847" s="27">
        <v>4168.5</v>
      </c>
      <c r="Q2847" s="27">
        <v>7264.88</v>
      </c>
      <c r="S2847" s="27">
        <v>1502.72</v>
      </c>
      <c r="U2847" s="27">
        <v>3.62784</v>
      </c>
      <c r="W2847" s="27">
        <v>37.9788</v>
      </c>
      <c r="Y2847" s="27">
        <v>7.8558399999999997</v>
      </c>
      <c r="AA2847" s="27">
        <v>546.23</v>
      </c>
      <c r="AC2847" s="27">
        <v>55.7502</v>
      </c>
      <c r="AE2847" s="27">
        <v>1</v>
      </c>
      <c r="AG2847" s="27">
        <v>7.8313600000000001</v>
      </c>
      <c r="AI2847" s="27">
        <v>8.75</v>
      </c>
      <c r="AK2847" s="27">
        <v>24.6264</v>
      </c>
      <c r="AM2847" s="27">
        <v>36.5428</v>
      </c>
      <c r="AO2847" s="27">
        <v>6.7788500000000003</v>
      </c>
    </row>
    <row r="2848" spans="2:41" x14ac:dyDescent="0.25">
      <c r="B2848" s="21">
        <v>45120</v>
      </c>
      <c r="C2848" s="27">
        <v>16.8537</v>
      </c>
      <c r="E2848" s="27">
        <v>0.89450200000000002</v>
      </c>
      <c r="G2848" s="27">
        <v>264.17700000000002</v>
      </c>
      <c r="I2848" s="27">
        <v>6.8586</v>
      </c>
      <c r="K2848" s="27">
        <v>4.8095400000000001</v>
      </c>
      <c r="M2848" s="27">
        <v>810.75400000000002</v>
      </c>
      <c r="O2848" s="27">
        <v>4123.72</v>
      </c>
      <c r="Q2848" s="27">
        <v>7221.43</v>
      </c>
      <c r="S2848" s="27">
        <v>1501.48</v>
      </c>
      <c r="U2848" s="27">
        <v>3.5807199999999999</v>
      </c>
      <c r="W2848" s="27">
        <v>37.9114</v>
      </c>
      <c r="Y2848" s="27">
        <v>7.8825500000000002</v>
      </c>
      <c r="AA2848" s="27">
        <v>542.71799999999996</v>
      </c>
      <c r="AC2848" s="27">
        <v>55.607799999999997</v>
      </c>
      <c r="AE2848" s="27">
        <v>1</v>
      </c>
      <c r="AG2848" s="27">
        <v>7.7843999999999998</v>
      </c>
      <c r="AI2848" s="27">
        <v>8.75</v>
      </c>
      <c r="AK2848" s="27">
        <v>24.6236</v>
      </c>
      <c r="AM2848" s="27">
        <v>36.454700000000003</v>
      </c>
      <c r="AO2848" s="27">
        <v>6.7370999999999999</v>
      </c>
    </row>
    <row r="2849" spans="2:41" x14ac:dyDescent="0.25">
      <c r="B2849" s="21">
        <v>45121</v>
      </c>
      <c r="C2849" s="27">
        <v>16.890499999999999</v>
      </c>
      <c r="E2849" s="27">
        <v>0.89057399999999998</v>
      </c>
      <c r="G2849" s="27">
        <v>264.68400000000003</v>
      </c>
      <c r="I2849" s="27">
        <v>6.8870800000000001</v>
      </c>
      <c r="K2849" s="27">
        <v>4.7962199999999999</v>
      </c>
      <c r="M2849" s="27">
        <v>811.68399999999997</v>
      </c>
      <c r="O2849" s="27">
        <v>4095.17</v>
      </c>
      <c r="Q2849" s="27">
        <v>7240.5</v>
      </c>
      <c r="S2849" s="27">
        <v>1509.64</v>
      </c>
      <c r="U2849" s="27">
        <v>3.56806</v>
      </c>
      <c r="W2849" s="27">
        <v>38.054000000000002</v>
      </c>
      <c r="Y2849" s="27">
        <v>7.9342199999999998</v>
      </c>
      <c r="AA2849" s="27">
        <v>543.053</v>
      </c>
      <c r="AC2849" s="27">
        <v>55.790399999999998</v>
      </c>
      <c r="AE2849" s="27">
        <v>1</v>
      </c>
      <c r="AG2849" s="27">
        <v>7.8187699999999998</v>
      </c>
      <c r="AI2849" s="27">
        <v>8.75</v>
      </c>
      <c r="AK2849" s="27">
        <v>24.600999999999999</v>
      </c>
      <c r="AM2849" s="27">
        <v>36.480600000000003</v>
      </c>
      <c r="AO2849" s="27">
        <v>6.7658899999999997</v>
      </c>
    </row>
    <row r="2850" spans="2:41" x14ac:dyDescent="0.25">
      <c r="B2850" s="21">
        <v>45122</v>
      </c>
      <c r="C2850" s="27">
        <v>16.890499999999999</v>
      </c>
      <c r="E2850" s="27">
        <v>0.89067799999999997</v>
      </c>
      <c r="G2850" s="27">
        <v>265.05200000000002</v>
      </c>
      <c r="I2850" s="27">
        <v>6.8978799999999998</v>
      </c>
      <c r="K2850" s="27">
        <v>4.7925399999999998</v>
      </c>
      <c r="M2850" s="27">
        <v>814.25</v>
      </c>
      <c r="O2850" s="27">
        <v>4084.78</v>
      </c>
      <c r="Q2850" s="27">
        <v>7245.97</v>
      </c>
      <c r="S2850" s="27">
        <v>1511.93</v>
      </c>
      <c r="U2850" s="27">
        <v>3.5723500000000001</v>
      </c>
      <c r="W2850" s="27">
        <v>38.115200000000002</v>
      </c>
      <c r="Y2850" s="27">
        <v>7.9530399999999997</v>
      </c>
      <c r="AA2850" s="27">
        <v>543.40599999999995</v>
      </c>
      <c r="AC2850" s="27">
        <v>55.922499999999999</v>
      </c>
      <c r="AE2850" s="27">
        <v>1</v>
      </c>
      <c r="AG2850" s="27">
        <v>7.8328800000000003</v>
      </c>
      <c r="AI2850" s="27">
        <v>8.75</v>
      </c>
      <c r="AK2850" s="27">
        <v>24.5869</v>
      </c>
      <c r="AM2850" s="27">
        <v>36.535800000000002</v>
      </c>
      <c r="AO2850" s="27">
        <v>6.7773399999999997</v>
      </c>
    </row>
    <row r="2851" spans="2:41" x14ac:dyDescent="0.25">
      <c r="B2851" s="21">
        <v>45123</v>
      </c>
      <c r="C2851" s="27">
        <v>16.890499999999999</v>
      </c>
      <c r="E2851" s="27">
        <v>0.89067399999999997</v>
      </c>
      <c r="G2851" s="27">
        <v>265.05200000000002</v>
      </c>
      <c r="I2851" s="27">
        <v>6.8976600000000001</v>
      </c>
      <c r="K2851" s="27">
        <v>4.7928699999999997</v>
      </c>
      <c r="M2851" s="27">
        <v>814.23599999999999</v>
      </c>
      <c r="O2851" s="27">
        <v>4084.56</v>
      </c>
      <c r="Q2851" s="27">
        <v>7245.62</v>
      </c>
      <c r="S2851" s="27">
        <v>1511.76</v>
      </c>
      <c r="U2851" s="27">
        <v>3.5721599999999998</v>
      </c>
      <c r="W2851" s="27">
        <v>38.112000000000002</v>
      </c>
      <c r="Y2851" s="27">
        <v>7.9518399999999998</v>
      </c>
      <c r="AA2851" s="27">
        <v>543.37900000000002</v>
      </c>
      <c r="AC2851" s="27">
        <v>55.918799999999997</v>
      </c>
      <c r="AE2851" s="27">
        <v>1</v>
      </c>
      <c r="AG2851" s="27">
        <v>7.8326599999999997</v>
      </c>
      <c r="AI2851" s="27">
        <v>8.75</v>
      </c>
      <c r="AK2851" s="27">
        <v>24.585699999999999</v>
      </c>
      <c r="AM2851" s="27">
        <v>36.533999999999999</v>
      </c>
      <c r="AO2851" s="27">
        <v>6.7771400000000002</v>
      </c>
    </row>
    <row r="2852" spans="2:41" x14ac:dyDescent="0.25">
      <c r="B2852" s="21">
        <v>45124</v>
      </c>
      <c r="C2852" s="27">
        <v>16.789200000000001</v>
      </c>
      <c r="E2852" s="27">
        <v>0.89022999999999997</v>
      </c>
      <c r="G2852" s="27">
        <v>265.69400000000002</v>
      </c>
      <c r="I2852" s="27">
        <v>6.9007500000000004</v>
      </c>
      <c r="K2852" s="27">
        <v>4.8033000000000001</v>
      </c>
      <c r="M2852" s="27">
        <v>816.69399999999996</v>
      </c>
      <c r="O2852" s="27">
        <v>4058.62</v>
      </c>
      <c r="Q2852" s="27">
        <v>7251.4</v>
      </c>
      <c r="S2852" s="27">
        <v>1509.68</v>
      </c>
      <c r="U2852" s="27">
        <v>3.56786</v>
      </c>
      <c r="W2852" s="27">
        <v>38.109400000000001</v>
      </c>
      <c r="Y2852" s="27">
        <v>7.9340599999999997</v>
      </c>
      <c r="AA2852" s="27">
        <v>542.40599999999995</v>
      </c>
      <c r="AC2852" s="27">
        <v>55.9084</v>
      </c>
      <c r="AE2852" s="27">
        <v>1</v>
      </c>
      <c r="AG2852" s="27">
        <v>7.8366499999999997</v>
      </c>
      <c r="AI2852" s="27">
        <v>8.75</v>
      </c>
      <c r="AK2852" s="27">
        <v>24.6036</v>
      </c>
      <c r="AM2852" s="27">
        <v>36.533900000000003</v>
      </c>
      <c r="AO2852" s="27">
        <v>6.77813</v>
      </c>
    </row>
    <row r="2853" spans="2:41" x14ac:dyDescent="0.25">
      <c r="B2853" s="21">
        <v>45125</v>
      </c>
      <c r="C2853" s="27">
        <v>16.785799999999998</v>
      </c>
      <c r="E2853" s="27">
        <v>0.88973400000000002</v>
      </c>
      <c r="G2853" s="27">
        <v>267.10899999999998</v>
      </c>
      <c r="I2853" s="27">
        <v>6.9055</v>
      </c>
      <c r="K2853" s="27">
        <v>4.8083200000000001</v>
      </c>
      <c r="M2853" s="27">
        <v>817.05</v>
      </c>
      <c r="O2853" s="27">
        <v>4010.84</v>
      </c>
      <c r="Q2853" s="27">
        <v>7261.32</v>
      </c>
      <c r="S2853" s="27">
        <v>1510.17</v>
      </c>
      <c r="U2853" s="27">
        <v>3.5608</v>
      </c>
      <c r="W2853" s="27">
        <v>38.083199999999998</v>
      </c>
      <c r="Y2853" s="27">
        <v>7.9203000000000001</v>
      </c>
      <c r="AA2853" s="27">
        <v>540.91600000000005</v>
      </c>
      <c r="AC2853" s="27">
        <v>55.956499999999998</v>
      </c>
      <c r="AE2853" s="27">
        <v>1</v>
      </c>
      <c r="AG2853" s="27">
        <v>7.8391900000000003</v>
      </c>
      <c r="AI2853" s="27">
        <v>8.75</v>
      </c>
      <c r="AK2853" s="27">
        <v>24.6294</v>
      </c>
      <c r="AM2853" s="27">
        <v>36.545699999999997</v>
      </c>
      <c r="AO2853" s="27">
        <v>6.78</v>
      </c>
    </row>
    <row r="2854" spans="2:41" x14ac:dyDescent="0.25">
      <c r="B2854" s="21">
        <v>45126</v>
      </c>
      <c r="C2854" s="27">
        <v>16.748000000000001</v>
      </c>
      <c r="E2854" s="27">
        <v>0.89183800000000002</v>
      </c>
      <c r="G2854" s="27">
        <v>267.80799999999999</v>
      </c>
      <c r="I2854" s="27">
        <v>6.9167199999999998</v>
      </c>
      <c r="K2854" s="27">
        <v>4.8022600000000004</v>
      </c>
      <c r="M2854" s="27">
        <v>812.71299999999997</v>
      </c>
      <c r="O2854" s="27">
        <v>3993.92</v>
      </c>
      <c r="Q2854" s="27">
        <v>7267.86</v>
      </c>
      <c r="S2854" s="27">
        <v>1513.43</v>
      </c>
      <c r="U2854" s="27">
        <v>3.5673599999999999</v>
      </c>
      <c r="W2854" s="27">
        <v>38.102600000000002</v>
      </c>
      <c r="Y2854" s="27">
        <v>7.9343199999999996</v>
      </c>
      <c r="AA2854" s="27">
        <v>539.226</v>
      </c>
      <c r="AC2854" s="27">
        <v>56.075000000000003</v>
      </c>
      <c r="AE2854" s="27">
        <v>1</v>
      </c>
      <c r="AG2854" s="27">
        <v>7.8509200000000003</v>
      </c>
      <c r="AI2854" s="27">
        <v>8.75</v>
      </c>
      <c r="AK2854" s="27">
        <v>24.678799999999999</v>
      </c>
      <c r="AM2854" s="27">
        <v>36.595199999999998</v>
      </c>
      <c r="AO2854" s="27">
        <v>6.7884399999999996</v>
      </c>
    </row>
    <row r="2855" spans="2:41" x14ac:dyDescent="0.25">
      <c r="B2855" s="21">
        <v>45127</v>
      </c>
      <c r="C2855" s="27">
        <v>16.7667</v>
      </c>
      <c r="E2855" s="27">
        <v>0.89453700000000003</v>
      </c>
      <c r="G2855" s="27">
        <v>268.38</v>
      </c>
      <c r="I2855" s="27">
        <v>6.9172200000000004</v>
      </c>
      <c r="K2855" s="27">
        <v>4.7943300000000004</v>
      </c>
      <c r="M2855" s="27">
        <v>809.36699999999996</v>
      </c>
      <c r="O2855" s="27">
        <v>3977.44</v>
      </c>
      <c r="Q2855" s="27">
        <v>7267.83</v>
      </c>
      <c r="S2855" s="27">
        <v>1515.93</v>
      </c>
      <c r="U2855" s="27">
        <v>3.5793400000000002</v>
      </c>
      <c r="W2855" s="27">
        <v>38.057200000000002</v>
      </c>
      <c r="Y2855" s="27">
        <v>7.9379999999999997</v>
      </c>
      <c r="AA2855" s="27">
        <v>538.57299999999998</v>
      </c>
      <c r="AC2855" s="27">
        <v>56.036799999999999</v>
      </c>
      <c r="AE2855" s="27">
        <v>1</v>
      </c>
      <c r="AG2855" s="27">
        <v>7.8480600000000003</v>
      </c>
      <c r="AI2855" s="27">
        <v>8.75</v>
      </c>
      <c r="AK2855" s="27">
        <v>24.6401</v>
      </c>
      <c r="AM2855" s="27">
        <v>36.553199999999997</v>
      </c>
      <c r="AO2855" s="27">
        <v>6.7841800000000001</v>
      </c>
    </row>
    <row r="2856" spans="2:41" x14ac:dyDescent="0.25">
      <c r="B2856" s="21">
        <v>45128</v>
      </c>
      <c r="C2856" s="27">
        <v>16.846</v>
      </c>
      <c r="E2856" s="27">
        <v>0.89856199999999997</v>
      </c>
      <c r="G2856" s="27">
        <v>268.98</v>
      </c>
      <c r="I2856" s="27">
        <v>6.9253200000000001</v>
      </c>
      <c r="K2856" s="27">
        <v>4.7873599999999996</v>
      </c>
      <c r="M2856" s="27">
        <v>819.50699999999995</v>
      </c>
      <c r="O2856" s="27">
        <v>3975.06</v>
      </c>
      <c r="Q2856" s="27">
        <v>7284.55</v>
      </c>
      <c r="S2856" s="27">
        <v>1521.64</v>
      </c>
      <c r="U2856" s="27">
        <v>3.5940300000000001</v>
      </c>
      <c r="W2856" s="27">
        <v>38.1248</v>
      </c>
      <c r="Y2856" s="27">
        <v>7.9636899999999997</v>
      </c>
      <c r="AA2856" s="27">
        <v>538.24900000000002</v>
      </c>
      <c r="AC2856" s="27">
        <v>56.248800000000003</v>
      </c>
      <c r="AE2856" s="27">
        <v>1</v>
      </c>
      <c r="AG2856" s="27">
        <v>7.8606800000000003</v>
      </c>
      <c r="AI2856" s="27">
        <v>8.75</v>
      </c>
      <c r="AK2856" s="27">
        <v>24.688300000000002</v>
      </c>
      <c r="AM2856" s="27">
        <v>36.665199999999999</v>
      </c>
      <c r="AO2856" s="27">
        <v>6.7961900000000002</v>
      </c>
    </row>
    <row r="2857" spans="2:41" x14ac:dyDescent="0.25">
      <c r="B2857" s="21">
        <v>45129</v>
      </c>
      <c r="C2857" s="27">
        <v>16.846</v>
      </c>
      <c r="E2857" s="27">
        <v>0.89883999999999997</v>
      </c>
      <c r="G2857" s="27">
        <v>269.38900000000001</v>
      </c>
      <c r="I2857" s="27">
        <v>6.9119000000000002</v>
      </c>
      <c r="K2857" s="27">
        <v>4.7806300000000004</v>
      </c>
      <c r="M2857" s="27">
        <v>822.8</v>
      </c>
      <c r="O2857" s="27">
        <v>3964.22</v>
      </c>
      <c r="Q2857" s="27">
        <v>7276.94</v>
      </c>
      <c r="S2857" s="27">
        <v>1522.18</v>
      </c>
      <c r="U2857" s="27">
        <v>3.59</v>
      </c>
      <c r="W2857" s="27">
        <v>37.985500000000002</v>
      </c>
      <c r="Y2857" s="27">
        <v>7.9457599999999999</v>
      </c>
      <c r="AA2857" s="27">
        <v>536.98599999999999</v>
      </c>
      <c r="AC2857" s="27">
        <v>56.022500000000001</v>
      </c>
      <c r="AE2857" s="27">
        <v>1</v>
      </c>
      <c r="AG2857" s="27">
        <v>7.8523800000000001</v>
      </c>
      <c r="AI2857" s="27">
        <v>8.75</v>
      </c>
      <c r="AK2857" s="27">
        <v>24.6248</v>
      </c>
      <c r="AM2857" s="27">
        <v>36.517200000000003</v>
      </c>
      <c r="AO2857" s="27">
        <v>6.78878</v>
      </c>
    </row>
    <row r="2858" spans="2:41" x14ac:dyDescent="0.25">
      <c r="B2858" s="21">
        <v>45130</v>
      </c>
      <c r="C2858" s="27">
        <v>16.846</v>
      </c>
      <c r="E2858" s="27">
        <v>0.89881299999999997</v>
      </c>
      <c r="G2858" s="27">
        <v>269.286</v>
      </c>
      <c r="I2858" s="27">
        <v>6.9119000000000002</v>
      </c>
      <c r="K2858" s="27">
        <v>4.7806199999999999</v>
      </c>
      <c r="M2858" s="27">
        <v>822.77099999999996</v>
      </c>
      <c r="O2858" s="27">
        <v>3964.32</v>
      </c>
      <c r="Q2858" s="27">
        <v>7276.94</v>
      </c>
      <c r="S2858" s="27">
        <v>1522.18</v>
      </c>
      <c r="U2858" s="27">
        <v>3.59</v>
      </c>
      <c r="W2858" s="27">
        <v>37.985500000000002</v>
      </c>
      <c r="Y2858" s="27">
        <v>7.9457800000000001</v>
      </c>
      <c r="AA2858" s="27">
        <v>536.98599999999999</v>
      </c>
      <c r="AC2858" s="27">
        <v>56.022500000000001</v>
      </c>
      <c r="AE2858" s="27">
        <v>1</v>
      </c>
      <c r="AG2858" s="27">
        <v>7.8523800000000001</v>
      </c>
      <c r="AI2858" s="27">
        <v>8.75</v>
      </c>
      <c r="AK2858" s="27">
        <v>24.6248</v>
      </c>
      <c r="AM2858" s="27">
        <v>36.517200000000003</v>
      </c>
      <c r="AO2858" s="27">
        <v>6.78878</v>
      </c>
    </row>
    <row r="2859" spans="2:41" x14ac:dyDescent="0.25">
      <c r="B2859" s="21">
        <v>45131</v>
      </c>
      <c r="C2859" s="27">
        <v>16.939299999999999</v>
      </c>
      <c r="E2859" s="27">
        <v>0.90151599999999998</v>
      </c>
      <c r="G2859" s="27">
        <v>269.98500000000001</v>
      </c>
      <c r="I2859" s="27">
        <v>6.9090600000000002</v>
      </c>
      <c r="K2859" s="27">
        <v>4.7581800000000003</v>
      </c>
      <c r="M2859" s="27">
        <v>823.71199999999999</v>
      </c>
      <c r="O2859" s="27">
        <v>3966.03</v>
      </c>
      <c r="Q2859" s="27">
        <v>7273.1</v>
      </c>
      <c r="S2859" s="27">
        <v>1528.56</v>
      </c>
      <c r="U2859" s="27">
        <v>3.5889600000000002</v>
      </c>
      <c r="W2859" s="27">
        <v>37.9861</v>
      </c>
      <c r="Y2859" s="27">
        <v>7.9833499999999997</v>
      </c>
      <c r="AA2859" s="27">
        <v>536.46400000000006</v>
      </c>
      <c r="AC2859" s="27">
        <v>56.101900000000001</v>
      </c>
      <c r="AE2859" s="27">
        <v>1</v>
      </c>
      <c r="AG2859" s="27">
        <v>7.8492600000000001</v>
      </c>
      <c r="AI2859" s="27">
        <v>8.75</v>
      </c>
      <c r="AK2859" s="27">
        <v>24.620799999999999</v>
      </c>
      <c r="AM2859" s="27">
        <v>36.56</v>
      </c>
      <c r="AO2859" s="27">
        <v>6.7876899999999996</v>
      </c>
    </row>
    <row r="2860" spans="2:41" x14ac:dyDescent="0.25">
      <c r="B2860" s="21">
        <v>45132</v>
      </c>
      <c r="C2860" s="27">
        <v>16.8367</v>
      </c>
      <c r="E2860" s="27">
        <v>0.90441400000000005</v>
      </c>
      <c r="G2860" s="27">
        <v>271.30700000000002</v>
      </c>
      <c r="I2860" s="27">
        <v>6.9178199999999999</v>
      </c>
      <c r="K2860" s="27">
        <v>4.73665</v>
      </c>
      <c r="M2860" s="27">
        <v>828.64800000000002</v>
      </c>
      <c r="O2860" s="27">
        <v>3959.9</v>
      </c>
      <c r="Q2860" s="27">
        <v>7280.58</v>
      </c>
      <c r="S2860" s="27">
        <v>1537.08</v>
      </c>
      <c r="U2860" s="27">
        <v>3.5968800000000001</v>
      </c>
      <c r="W2860" s="27">
        <v>37.973599999999998</v>
      </c>
      <c r="Y2860" s="27">
        <v>8.0169999999999995</v>
      </c>
      <c r="AA2860" s="27">
        <v>536.25800000000004</v>
      </c>
      <c r="AC2860" s="27">
        <v>56.085099999999997</v>
      </c>
      <c r="AE2860" s="27">
        <v>1</v>
      </c>
      <c r="AG2860" s="27">
        <v>7.8594400000000002</v>
      </c>
      <c r="AI2860" s="27">
        <v>8.75</v>
      </c>
      <c r="AK2860" s="27">
        <v>24.635999999999999</v>
      </c>
      <c r="AM2860" s="27">
        <v>36.590499999999999</v>
      </c>
      <c r="AO2860" s="27">
        <v>6.8009300000000001</v>
      </c>
    </row>
    <row r="2861" spans="2:41" x14ac:dyDescent="0.25">
      <c r="B2861" s="21">
        <v>45133</v>
      </c>
      <c r="C2861" s="27">
        <v>16.907499999999999</v>
      </c>
      <c r="E2861" s="27">
        <v>0.90351800000000004</v>
      </c>
      <c r="G2861" s="27">
        <v>271.98700000000002</v>
      </c>
      <c r="I2861" s="27">
        <v>6.91188</v>
      </c>
      <c r="K2861" s="27">
        <v>4.7434200000000004</v>
      </c>
      <c r="M2861" s="27">
        <v>827.19100000000003</v>
      </c>
      <c r="O2861" s="27">
        <v>3958.36</v>
      </c>
      <c r="Q2861" s="27">
        <v>7277.82</v>
      </c>
      <c r="S2861" s="27">
        <v>1534.31</v>
      </c>
      <c r="U2861" s="27">
        <v>3.60094</v>
      </c>
      <c r="W2861" s="27">
        <v>37.880400000000002</v>
      </c>
      <c r="Y2861" s="27">
        <v>7.9859200000000001</v>
      </c>
      <c r="AA2861" s="27">
        <v>537.07899999999995</v>
      </c>
      <c r="AC2861" s="27">
        <v>55.95</v>
      </c>
      <c r="AE2861" s="27">
        <v>1</v>
      </c>
      <c r="AG2861" s="27">
        <v>7.8526199999999999</v>
      </c>
      <c r="AI2861" s="27">
        <v>8.75</v>
      </c>
      <c r="AK2861" s="27">
        <v>24.6248</v>
      </c>
      <c r="AM2861" s="27">
        <v>36.565100000000001</v>
      </c>
      <c r="AO2861" s="27">
        <v>6.7964200000000003</v>
      </c>
    </row>
    <row r="2862" spans="2:41" x14ac:dyDescent="0.25">
      <c r="B2862" s="21">
        <v>45134</v>
      </c>
      <c r="C2862" s="27">
        <v>16.8825</v>
      </c>
      <c r="E2862" s="27">
        <v>0.904609</v>
      </c>
      <c r="G2862" s="27">
        <v>272.72199999999998</v>
      </c>
      <c r="I2862" s="27">
        <v>6.9123599999999996</v>
      </c>
      <c r="K2862" s="27">
        <v>4.7351200000000002</v>
      </c>
      <c r="M2862" s="27">
        <v>825.66800000000001</v>
      </c>
      <c r="O2862" s="27">
        <v>3947.43</v>
      </c>
      <c r="Q2862" s="27">
        <v>7278.53</v>
      </c>
      <c r="S2862" s="27">
        <v>1537.15</v>
      </c>
      <c r="U2862" s="27">
        <v>3.6010800000000001</v>
      </c>
      <c r="W2862" s="27">
        <v>37.762</v>
      </c>
      <c r="Y2862" s="27">
        <v>7.9749100000000004</v>
      </c>
      <c r="AA2862" s="27">
        <v>538.56799999999998</v>
      </c>
      <c r="AC2862" s="27">
        <v>56.052</v>
      </c>
      <c r="AE2862" s="27">
        <v>1</v>
      </c>
      <c r="AG2862" s="27">
        <v>7.8507699999999998</v>
      </c>
      <c r="AI2862" s="27">
        <v>8.75</v>
      </c>
      <c r="AK2862" s="27">
        <v>24.619800000000001</v>
      </c>
      <c r="AM2862" s="27">
        <v>36.561999999999998</v>
      </c>
      <c r="AO2862" s="27">
        <v>6.7917500000000004</v>
      </c>
    </row>
    <row r="2863" spans="2:41" x14ac:dyDescent="0.25">
      <c r="B2863" s="21">
        <v>45135</v>
      </c>
      <c r="C2863" s="27">
        <v>16.733799999999999</v>
      </c>
      <c r="E2863" s="27">
        <v>0.90918600000000005</v>
      </c>
      <c r="G2863" s="27">
        <v>273.30599999999998</v>
      </c>
      <c r="I2863" s="27">
        <v>6.9288999999999996</v>
      </c>
      <c r="K2863" s="27">
        <v>4.7360199999999999</v>
      </c>
      <c r="M2863" s="27">
        <v>828.64800000000002</v>
      </c>
      <c r="O2863" s="27">
        <v>3936.7</v>
      </c>
      <c r="Q2863" s="27">
        <v>7298.65</v>
      </c>
      <c r="S2863" s="27">
        <v>1541.1</v>
      </c>
      <c r="U2863" s="27">
        <v>3.6087400000000001</v>
      </c>
      <c r="W2863" s="27">
        <v>37.849800000000002</v>
      </c>
      <c r="Y2863" s="27">
        <v>7.9919200000000004</v>
      </c>
      <c r="AA2863" s="27">
        <v>543.57000000000005</v>
      </c>
      <c r="AC2863" s="27">
        <v>56.380800000000001</v>
      </c>
      <c r="AE2863" s="27">
        <v>1</v>
      </c>
      <c r="AG2863" s="27">
        <v>7.8718000000000004</v>
      </c>
      <c r="AI2863" s="27">
        <v>8.75</v>
      </c>
      <c r="AK2863" s="27">
        <v>24.854199999999999</v>
      </c>
      <c r="AM2863" s="27">
        <v>36.927199999999999</v>
      </c>
      <c r="AO2863" s="27">
        <v>6.80844</v>
      </c>
    </row>
    <row r="2864" spans="2:41" x14ac:dyDescent="0.25">
      <c r="B2864" s="21">
        <v>45136</v>
      </c>
      <c r="C2864" s="27">
        <v>16.733799999999999</v>
      </c>
      <c r="E2864" s="27">
        <v>0.90768000000000004</v>
      </c>
      <c r="G2864" s="27">
        <v>273.64600000000002</v>
      </c>
      <c r="I2864" s="27">
        <v>6.90137</v>
      </c>
      <c r="K2864" s="27">
        <v>4.7312000000000003</v>
      </c>
      <c r="M2864" s="27">
        <v>828.4</v>
      </c>
      <c r="O2864" s="27">
        <v>3913.5</v>
      </c>
      <c r="Q2864" s="27">
        <v>7274.7</v>
      </c>
      <c r="S2864" s="27">
        <v>1537.61</v>
      </c>
      <c r="U2864" s="27">
        <v>3.5948799999999999</v>
      </c>
      <c r="W2864" s="27">
        <v>37.699800000000003</v>
      </c>
      <c r="Y2864" s="27">
        <v>7.9683599999999997</v>
      </c>
      <c r="AA2864" s="27">
        <v>541.97799999999995</v>
      </c>
      <c r="AC2864" s="27">
        <v>56.197499999999998</v>
      </c>
      <c r="AE2864" s="27">
        <v>1</v>
      </c>
      <c r="AG2864" s="27">
        <v>7.8442600000000002</v>
      </c>
      <c r="AI2864" s="27">
        <v>8.75</v>
      </c>
      <c r="AK2864" s="27">
        <v>24.792200000000001</v>
      </c>
      <c r="AM2864" s="27">
        <v>36.805799999999998</v>
      </c>
      <c r="AO2864" s="27">
        <v>6.7850999999999999</v>
      </c>
    </row>
    <row r="2865" spans="2:41" x14ac:dyDescent="0.25">
      <c r="B2865" s="21">
        <v>45137</v>
      </c>
      <c r="C2865" s="27">
        <v>16.733799999999999</v>
      </c>
      <c r="E2865" s="27">
        <v>0.907613</v>
      </c>
      <c r="G2865" s="27">
        <v>273.47800000000001</v>
      </c>
      <c r="I2865" s="27">
        <v>6.9010800000000003</v>
      </c>
      <c r="K2865" s="27">
        <v>4.7311899999999998</v>
      </c>
      <c r="M2865" s="27">
        <v>828.26800000000003</v>
      </c>
      <c r="O2865" s="27">
        <v>3913.62</v>
      </c>
      <c r="Q2865" s="27">
        <v>7274.39</v>
      </c>
      <c r="S2865" s="27">
        <v>1537.55</v>
      </c>
      <c r="U2865" s="27">
        <v>3.5949</v>
      </c>
      <c r="W2865" s="27">
        <v>37.700000000000003</v>
      </c>
      <c r="Y2865" s="27">
        <v>7.9684200000000001</v>
      </c>
      <c r="AA2865" s="27">
        <v>541.98699999999997</v>
      </c>
      <c r="AC2865" s="27">
        <v>56.192799999999998</v>
      </c>
      <c r="AE2865" s="27">
        <v>1</v>
      </c>
      <c r="AG2865" s="27">
        <v>7.8439300000000003</v>
      </c>
      <c r="AI2865" s="27">
        <v>8.75</v>
      </c>
      <c r="AK2865" s="27">
        <v>24.774000000000001</v>
      </c>
      <c r="AM2865" s="27">
        <v>36.779499999999999</v>
      </c>
      <c r="AO2865" s="27">
        <v>6.7848199999999999</v>
      </c>
    </row>
    <row r="2866" spans="2:41" x14ac:dyDescent="0.25">
      <c r="B2866" s="21">
        <v>45138</v>
      </c>
      <c r="C2866" s="27">
        <v>16.689499999999999</v>
      </c>
      <c r="E2866" s="27">
        <v>0.90783499999999995</v>
      </c>
      <c r="G2866" s="27">
        <v>274.096</v>
      </c>
      <c r="I2866" s="27">
        <v>6.9138999999999999</v>
      </c>
      <c r="K2866" s="27">
        <v>4.7313799999999997</v>
      </c>
      <c r="M2866" s="27">
        <v>833.8</v>
      </c>
      <c r="O2866" s="27">
        <v>3915.94</v>
      </c>
      <c r="Q2866" s="27">
        <v>7271.9</v>
      </c>
      <c r="S2866" s="27">
        <v>1536.98</v>
      </c>
      <c r="U2866" s="27">
        <v>3.5996600000000001</v>
      </c>
      <c r="W2866" s="27">
        <v>37.681399999999996</v>
      </c>
      <c r="Y2866" s="27">
        <v>7.9642400000000002</v>
      </c>
      <c r="AA2866" s="27">
        <v>542.43899999999996</v>
      </c>
      <c r="AC2866" s="27">
        <v>56.119599999999998</v>
      </c>
      <c r="AE2866" s="27">
        <v>1</v>
      </c>
      <c r="AG2866" s="27">
        <v>7.8464900000000002</v>
      </c>
      <c r="AI2866" s="27">
        <v>8.75</v>
      </c>
      <c r="AK2866" s="27">
        <v>24.587700000000002</v>
      </c>
      <c r="AM2866" s="27">
        <v>36.523200000000003</v>
      </c>
      <c r="AO2866" s="27">
        <v>6.78376</v>
      </c>
    </row>
    <row r="2867" spans="2:41" ht="13" x14ac:dyDescent="0.3">
      <c r="B2867" s="25" t="s">
        <v>219</v>
      </c>
      <c r="C2867" s="19">
        <v>16.9404</v>
      </c>
      <c r="E2867" s="19">
        <v>0.90469999999999995</v>
      </c>
      <c r="G2867" s="19">
        <v>265.63159999999999</v>
      </c>
      <c r="I2867" s="19">
        <v>6.9055999999999997</v>
      </c>
      <c r="K2867" s="19">
        <v>4.8</v>
      </c>
      <c r="M2867" s="19">
        <v>814.6567</v>
      </c>
      <c r="O2867" s="19">
        <v>4060.1116000000002</v>
      </c>
      <c r="Q2867" s="19">
        <v>7267.0267999999996</v>
      </c>
      <c r="S2867" s="19">
        <v>1514.1294</v>
      </c>
      <c r="U2867" s="19">
        <v>3.6032999999999999</v>
      </c>
      <c r="W2867" s="19">
        <v>37.881100000000004</v>
      </c>
      <c r="Y2867" s="19">
        <v>7.8926999999999996</v>
      </c>
      <c r="AA2867" s="19">
        <v>541.58320000000003</v>
      </c>
      <c r="AC2867" s="19">
        <v>55.833399999999997</v>
      </c>
      <c r="AE2867" s="19">
        <v>1</v>
      </c>
      <c r="AG2867" s="19">
        <v>7.8411</v>
      </c>
      <c r="AI2867" s="19">
        <v>8.75</v>
      </c>
      <c r="AK2867" s="19">
        <v>24.655899999999999</v>
      </c>
      <c r="AM2867" s="19">
        <v>36.571399999999997</v>
      </c>
      <c r="AO2867" s="19">
        <v>6.7824</v>
      </c>
    </row>
    <row r="2868" spans="2:41" x14ac:dyDescent="0.25">
      <c r="B2868" s="21">
        <v>45139</v>
      </c>
      <c r="C2868" s="27">
        <v>16.7303</v>
      </c>
      <c r="E2868" s="27">
        <v>0.91059999999999997</v>
      </c>
      <c r="G2868" s="27">
        <v>275.66800000000001</v>
      </c>
      <c r="I2868" s="27">
        <v>6.9271799999999999</v>
      </c>
      <c r="K2868" s="27">
        <v>4.7554299999999996</v>
      </c>
      <c r="M2868" s="27">
        <v>841.40499999999997</v>
      </c>
      <c r="O2868" s="27">
        <v>3948.35</v>
      </c>
      <c r="Q2868" s="27">
        <v>7285.69</v>
      </c>
      <c r="S2868" s="27">
        <v>1532.08</v>
      </c>
      <c r="U2868" s="27">
        <v>3.6164399999999999</v>
      </c>
      <c r="W2868" s="27">
        <v>37.749400000000001</v>
      </c>
      <c r="Y2868" s="27">
        <v>7.93818</v>
      </c>
      <c r="AA2868" s="27">
        <v>544.29999999999995</v>
      </c>
      <c r="AC2868" s="27">
        <v>56.298499999999997</v>
      </c>
      <c r="AE2868" s="27">
        <v>1</v>
      </c>
      <c r="AG2868" s="27">
        <v>7.8692799999999998</v>
      </c>
      <c r="AI2868" s="27">
        <v>8.75</v>
      </c>
      <c r="AK2868" s="27">
        <v>24.661000000000001</v>
      </c>
      <c r="AM2868" s="27">
        <v>36.639600000000002</v>
      </c>
      <c r="AO2868" s="27">
        <v>6.7995000000000001</v>
      </c>
    </row>
    <row r="2869" spans="2:41" x14ac:dyDescent="0.25">
      <c r="B2869" s="21">
        <v>45140</v>
      </c>
      <c r="C2869" s="27">
        <v>16.853300000000001</v>
      </c>
      <c r="E2869" s="27">
        <v>0.91190800000000005</v>
      </c>
      <c r="G2869" s="27">
        <v>276.69600000000003</v>
      </c>
      <c r="I2869" s="27">
        <v>6.9124400000000001</v>
      </c>
      <c r="K2869" s="27">
        <v>4.7998099999999999</v>
      </c>
      <c r="M2869" s="27">
        <v>842.77200000000005</v>
      </c>
      <c r="O2869" s="27">
        <v>4016.46</v>
      </c>
      <c r="Q2869" s="27">
        <v>7274.75</v>
      </c>
      <c r="S2869" s="27">
        <v>1515.64</v>
      </c>
      <c r="U2869" s="27">
        <v>3.6396199999999999</v>
      </c>
      <c r="W2869" s="27">
        <v>37.585999999999999</v>
      </c>
      <c r="Y2869" s="27">
        <v>7.8307700000000002</v>
      </c>
      <c r="AA2869" s="27">
        <v>544.94799999999998</v>
      </c>
      <c r="AC2869" s="27">
        <v>56.273200000000003</v>
      </c>
      <c r="AE2869" s="27">
        <v>1</v>
      </c>
      <c r="AG2869" s="27">
        <v>7.8635999999999999</v>
      </c>
      <c r="AI2869" s="27">
        <v>8.75</v>
      </c>
      <c r="AK2869" s="27">
        <v>24.601700000000001</v>
      </c>
      <c r="AM2869" s="27">
        <v>36.589199999999998</v>
      </c>
      <c r="AO2869" s="27">
        <v>6.7933000000000003</v>
      </c>
    </row>
    <row r="2870" spans="2:41" x14ac:dyDescent="0.25">
      <c r="B2870" s="21">
        <v>45141</v>
      </c>
      <c r="C2870" s="27">
        <v>17.019300000000001</v>
      </c>
      <c r="E2870" s="27">
        <v>0.914238</v>
      </c>
      <c r="G2870" s="27">
        <v>277.74</v>
      </c>
      <c r="I2870" s="27">
        <v>6.9185600000000003</v>
      </c>
      <c r="K2870" s="27">
        <v>4.8510799999999996</v>
      </c>
      <c r="M2870" s="27">
        <v>848.83199999999999</v>
      </c>
      <c r="O2870" s="27">
        <v>4089.67</v>
      </c>
      <c r="Q2870" s="27">
        <v>7282.7</v>
      </c>
      <c r="S2870" s="27">
        <v>1501.26</v>
      </c>
      <c r="U2870" s="27">
        <v>3.6597599999999999</v>
      </c>
      <c r="W2870" s="27">
        <v>37.631399999999999</v>
      </c>
      <c r="Y2870" s="27">
        <v>7.7573499999999997</v>
      </c>
      <c r="AA2870" s="27">
        <v>545.26900000000001</v>
      </c>
      <c r="AC2870" s="27">
        <v>56.407400000000003</v>
      </c>
      <c r="AE2870" s="27">
        <v>1</v>
      </c>
      <c r="AG2870" s="27">
        <v>7.8716400000000002</v>
      </c>
      <c r="AI2870" s="27">
        <v>8.75</v>
      </c>
      <c r="AK2870" s="27">
        <v>24.645800000000001</v>
      </c>
      <c r="AM2870" s="27">
        <v>36.6218</v>
      </c>
      <c r="AO2870" s="27">
        <v>6.7948199999999996</v>
      </c>
    </row>
    <row r="2871" spans="2:41" x14ac:dyDescent="0.25">
      <c r="B2871" s="21">
        <v>45142</v>
      </c>
      <c r="C2871" s="27">
        <v>17.289200000000001</v>
      </c>
      <c r="E2871" s="27">
        <v>0.91060399999999997</v>
      </c>
      <c r="G2871" s="27">
        <v>278.61599999999999</v>
      </c>
      <c r="I2871" s="27">
        <v>6.9074600000000004</v>
      </c>
      <c r="K2871" s="27">
        <v>4.8924399999999997</v>
      </c>
      <c r="M2871" s="27">
        <v>851.12</v>
      </c>
      <c r="O2871" s="27">
        <v>4119.49</v>
      </c>
      <c r="Q2871" s="27">
        <v>7277.54</v>
      </c>
      <c r="S2871" s="27">
        <v>1487.52</v>
      </c>
      <c r="U2871" s="27">
        <v>3.6808399999999999</v>
      </c>
      <c r="W2871" s="27">
        <v>37.761600000000001</v>
      </c>
      <c r="Y2871" s="27">
        <v>7.7183799999999998</v>
      </c>
      <c r="AA2871" s="27">
        <v>543.62400000000002</v>
      </c>
      <c r="AC2871" s="27">
        <v>56.425600000000003</v>
      </c>
      <c r="AE2871" s="27">
        <v>1</v>
      </c>
      <c r="AG2871" s="27">
        <v>7.8591199999999999</v>
      </c>
      <c r="AI2871" s="27">
        <v>8.75</v>
      </c>
      <c r="AK2871" s="27">
        <v>24.575800000000001</v>
      </c>
      <c r="AM2871" s="27">
        <v>36.565199999999997</v>
      </c>
      <c r="AO2871" s="27">
        <v>6.7785399999999996</v>
      </c>
    </row>
    <row r="2872" spans="2:41" x14ac:dyDescent="0.25">
      <c r="B2872" s="21">
        <v>45143</v>
      </c>
      <c r="C2872" s="27">
        <v>17.289200000000001</v>
      </c>
      <c r="E2872" s="27">
        <v>0.90834800000000004</v>
      </c>
      <c r="G2872" s="27">
        <v>279.25400000000002</v>
      </c>
      <c r="I2872" s="27">
        <v>6.9125899999999998</v>
      </c>
      <c r="K2872" s="27">
        <v>4.8735999999999997</v>
      </c>
      <c r="M2872" s="27">
        <v>852.125</v>
      </c>
      <c r="O2872" s="27">
        <v>4070.48</v>
      </c>
      <c r="Q2872" s="27">
        <v>7286.22</v>
      </c>
      <c r="S2872" s="27">
        <v>1495.05</v>
      </c>
      <c r="U2872" s="27">
        <v>3.68893</v>
      </c>
      <c r="W2872" s="27">
        <v>38.079500000000003</v>
      </c>
      <c r="Y2872" s="27">
        <v>7.8134600000000001</v>
      </c>
      <c r="AA2872" s="27">
        <v>543.30999999999995</v>
      </c>
      <c r="AC2872" s="27">
        <v>56.471600000000002</v>
      </c>
      <c r="AE2872" s="27">
        <v>1</v>
      </c>
      <c r="AG2872" s="27">
        <v>7.86496</v>
      </c>
      <c r="AI2872" s="27">
        <v>8.75</v>
      </c>
      <c r="AK2872" s="27">
        <v>24.5932</v>
      </c>
      <c r="AM2872" s="27">
        <v>36.595599999999997</v>
      </c>
      <c r="AO2872" s="27">
        <v>6.78376</v>
      </c>
    </row>
    <row r="2873" spans="2:41" x14ac:dyDescent="0.25">
      <c r="B2873" s="21">
        <v>45144</v>
      </c>
      <c r="C2873" s="27">
        <v>17.289200000000001</v>
      </c>
      <c r="E2873" s="27">
        <v>0.90835399999999999</v>
      </c>
      <c r="G2873" s="27">
        <v>279.024</v>
      </c>
      <c r="I2873" s="27">
        <v>6.9069000000000003</v>
      </c>
      <c r="K2873" s="27">
        <v>4.8750600000000004</v>
      </c>
      <c r="M2873" s="27">
        <v>851.78399999999999</v>
      </c>
      <c r="O2873" s="27">
        <v>4073.68</v>
      </c>
      <c r="Q2873" s="27">
        <v>7280.57</v>
      </c>
      <c r="S2873" s="27">
        <v>1493.45</v>
      </c>
      <c r="U2873" s="27">
        <v>3.6861600000000001</v>
      </c>
      <c r="W2873" s="27">
        <v>38.026000000000003</v>
      </c>
      <c r="Y2873" s="27">
        <v>7.80016</v>
      </c>
      <c r="AA2873" s="27">
        <v>543.11400000000003</v>
      </c>
      <c r="AC2873" s="27">
        <v>56.447000000000003</v>
      </c>
      <c r="AE2873" s="27">
        <v>1</v>
      </c>
      <c r="AG2873" s="27">
        <v>7.8585000000000003</v>
      </c>
      <c r="AI2873" s="27">
        <v>8.75</v>
      </c>
      <c r="AK2873" s="27">
        <v>24.573799999999999</v>
      </c>
      <c r="AM2873" s="27">
        <v>36.565600000000003</v>
      </c>
      <c r="AO2873" s="27">
        <v>6.7779699999999998</v>
      </c>
    </row>
    <row r="2874" spans="2:41" x14ac:dyDescent="0.25">
      <c r="B2874" s="21">
        <v>45145</v>
      </c>
      <c r="C2874" s="27">
        <v>17.055499999999999</v>
      </c>
      <c r="E2874" s="27">
        <v>0.90954800000000002</v>
      </c>
      <c r="G2874" s="27">
        <v>280.37400000000002</v>
      </c>
      <c r="I2874" s="27">
        <v>6.8818900000000003</v>
      </c>
      <c r="K2874" s="27">
        <v>4.8893399999999998</v>
      </c>
      <c r="M2874" s="27">
        <v>853.46400000000006</v>
      </c>
      <c r="O2874" s="27">
        <v>4045.96</v>
      </c>
      <c r="Q2874" s="27">
        <v>7249.44</v>
      </c>
      <c r="S2874" s="27">
        <v>1482.74</v>
      </c>
      <c r="U2874" s="27">
        <v>3.6735799999999998</v>
      </c>
      <c r="W2874" s="27">
        <v>38.000700000000002</v>
      </c>
      <c r="Y2874" s="27">
        <v>7.7722800000000003</v>
      </c>
      <c r="AA2874" s="27">
        <v>540.91999999999996</v>
      </c>
      <c r="AC2874" s="27">
        <v>56.196599999999997</v>
      </c>
      <c r="AE2874" s="27">
        <v>1</v>
      </c>
      <c r="AG2874" s="27">
        <v>7.8224799999999997</v>
      </c>
      <c r="AI2874" s="27">
        <v>8.75</v>
      </c>
      <c r="AK2874" s="27">
        <v>24.492000000000001</v>
      </c>
      <c r="AM2874" s="27">
        <v>36.433199999999999</v>
      </c>
      <c r="AO2874" s="27">
        <v>6.7460199999999997</v>
      </c>
    </row>
    <row r="2875" spans="2:41" x14ac:dyDescent="0.25">
      <c r="B2875" s="21">
        <v>45146</v>
      </c>
      <c r="C2875" s="27">
        <v>17.0608</v>
      </c>
      <c r="E2875" s="27">
        <v>0.91183000000000003</v>
      </c>
      <c r="G2875" s="27">
        <v>283.61599999999999</v>
      </c>
      <c r="I2875" s="27">
        <v>6.8967999999999998</v>
      </c>
      <c r="K2875" s="27">
        <v>4.9035200000000003</v>
      </c>
      <c r="M2875" s="27">
        <v>859.94</v>
      </c>
      <c r="O2875" s="27">
        <v>4038.5</v>
      </c>
      <c r="Q2875" s="27">
        <v>7256.13</v>
      </c>
      <c r="S2875" s="27">
        <v>1479.78</v>
      </c>
      <c r="U2875" s="27">
        <v>3.6816800000000001</v>
      </c>
      <c r="W2875" s="27">
        <v>37.923000000000002</v>
      </c>
      <c r="Y2875" s="27">
        <v>7.73386</v>
      </c>
      <c r="AA2875" s="27">
        <v>541.03099999999995</v>
      </c>
      <c r="AC2875" s="27">
        <v>56.242800000000003</v>
      </c>
      <c r="AE2875" s="27">
        <v>1</v>
      </c>
      <c r="AG2875" s="27">
        <v>7.84816</v>
      </c>
      <c r="AI2875" s="27">
        <v>8.75</v>
      </c>
      <c r="AK2875" s="27">
        <v>24.546600000000002</v>
      </c>
      <c r="AM2875" s="27">
        <v>36.5122</v>
      </c>
      <c r="AO2875" s="27">
        <v>6.77013</v>
      </c>
    </row>
    <row r="2876" spans="2:41" x14ac:dyDescent="0.25">
      <c r="B2876" s="21">
        <v>45147</v>
      </c>
      <c r="C2876" s="27">
        <v>17.112200000000001</v>
      </c>
      <c r="E2876" s="27">
        <v>0.91113100000000002</v>
      </c>
      <c r="G2876" s="27">
        <v>284.60199999999998</v>
      </c>
      <c r="I2876" s="27">
        <v>6.9038199999999996</v>
      </c>
      <c r="K2876" s="27">
        <v>4.9012399999999996</v>
      </c>
      <c r="M2876" s="27">
        <v>860.86800000000005</v>
      </c>
      <c r="O2876" s="27">
        <v>4055.19</v>
      </c>
      <c r="Q2876" s="27">
        <v>7257.98</v>
      </c>
      <c r="S2876" s="27">
        <v>1480.86</v>
      </c>
      <c r="U2876" s="27">
        <v>3.6921599999999999</v>
      </c>
      <c r="W2876" s="27">
        <v>37.892600000000002</v>
      </c>
      <c r="Y2876" s="27">
        <v>7.7312700000000003</v>
      </c>
      <c r="AA2876" s="27">
        <v>539.86599999999999</v>
      </c>
      <c r="AC2876" s="27">
        <v>56.358600000000003</v>
      </c>
      <c r="AE2876" s="27">
        <v>1</v>
      </c>
      <c r="AG2876" s="27">
        <v>7.8574099999999998</v>
      </c>
      <c r="AI2876" s="27">
        <v>8.75</v>
      </c>
      <c r="AK2876" s="27">
        <v>24.570699999999999</v>
      </c>
      <c r="AM2876" s="27">
        <v>36.550199999999997</v>
      </c>
      <c r="AO2876" s="27">
        <v>6.7770700000000001</v>
      </c>
    </row>
    <row r="2877" spans="2:41" x14ac:dyDescent="0.25">
      <c r="B2877" s="21">
        <v>45148</v>
      </c>
      <c r="C2877" s="27">
        <v>17.076699999999999</v>
      </c>
      <c r="E2877" s="27">
        <v>0.90921399999999997</v>
      </c>
      <c r="G2877" s="27">
        <v>285.61599999999999</v>
      </c>
      <c r="I2877" s="27">
        <v>6.9085799999999997</v>
      </c>
      <c r="K2877" s="27">
        <v>4.8871000000000002</v>
      </c>
      <c r="M2877" s="27">
        <v>856.15200000000004</v>
      </c>
      <c r="O2877" s="27">
        <v>4028.21</v>
      </c>
      <c r="Q2877" s="27">
        <v>7266.34</v>
      </c>
      <c r="S2877" s="27">
        <v>1486.85</v>
      </c>
      <c r="U2877" s="27">
        <v>3.6976200000000001</v>
      </c>
      <c r="W2877" s="27">
        <v>38.129600000000003</v>
      </c>
      <c r="Y2877" s="27">
        <v>7.8021099999999999</v>
      </c>
      <c r="AA2877" s="27">
        <v>538.05399999999997</v>
      </c>
      <c r="AC2877" s="27">
        <v>56.617400000000004</v>
      </c>
      <c r="AE2877" s="27">
        <v>1</v>
      </c>
      <c r="AG2877" s="27">
        <v>7.8629800000000003</v>
      </c>
      <c r="AI2877" s="27">
        <v>8.75</v>
      </c>
      <c r="AK2877" s="27">
        <v>24.590800000000002</v>
      </c>
      <c r="AM2877" s="27">
        <v>36.581000000000003</v>
      </c>
      <c r="AO2877" s="27">
        <v>6.7821400000000001</v>
      </c>
    </row>
    <row r="2878" spans="2:41" x14ac:dyDescent="0.25">
      <c r="B2878" s="21">
        <v>45149</v>
      </c>
      <c r="C2878" s="27">
        <v>16.954799999999999</v>
      </c>
      <c r="E2878" s="27">
        <v>0.91128600000000004</v>
      </c>
      <c r="G2878" s="27">
        <v>286.69200000000001</v>
      </c>
      <c r="I2878" s="27">
        <v>6.9178100000000002</v>
      </c>
      <c r="K2878" s="27">
        <v>4.8958199999999996</v>
      </c>
      <c r="M2878" s="27">
        <v>848.74099999999999</v>
      </c>
      <c r="O2878" s="27">
        <v>3975.56</v>
      </c>
      <c r="Q2878" s="27">
        <v>7278.78</v>
      </c>
      <c r="S2878" s="27">
        <v>1486.74</v>
      </c>
      <c r="U2878" s="27">
        <v>3.6949000000000001</v>
      </c>
      <c r="W2878" s="27">
        <v>38.146500000000003</v>
      </c>
      <c r="Y2878" s="27">
        <v>7.7916800000000004</v>
      </c>
      <c r="AA2878" s="27">
        <v>536.86800000000005</v>
      </c>
      <c r="AC2878" s="27">
        <v>56.731299999999997</v>
      </c>
      <c r="AE2878" s="27">
        <v>1</v>
      </c>
      <c r="AG2878" s="27">
        <v>7.8738299999999999</v>
      </c>
      <c r="AI2878" s="27">
        <v>8.75</v>
      </c>
      <c r="AK2878" s="27">
        <v>24.625900000000001</v>
      </c>
      <c r="AM2878" s="27">
        <v>36.629399999999997</v>
      </c>
      <c r="AO2878" s="27">
        <v>6.7941900000000004</v>
      </c>
    </row>
    <row r="2879" spans="2:41" x14ac:dyDescent="0.25">
      <c r="B2879" s="21">
        <v>45150</v>
      </c>
      <c r="C2879" s="27">
        <v>16.954799999999999</v>
      </c>
      <c r="E2879" s="27">
        <v>0.91350500000000001</v>
      </c>
      <c r="G2879" s="27">
        <v>287.363</v>
      </c>
      <c r="I2879" s="27">
        <v>6.9098199999999999</v>
      </c>
      <c r="K2879" s="27">
        <v>4.9077000000000002</v>
      </c>
      <c r="M2879" s="27">
        <v>852.61</v>
      </c>
      <c r="O2879" s="27">
        <v>3963.22</v>
      </c>
      <c r="Q2879" s="27">
        <v>7266.16</v>
      </c>
      <c r="S2879" s="27">
        <v>1480.57</v>
      </c>
      <c r="U2879" s="27">
        <v>3.6852299999999998</v>
      </c>
      <c r="W2879" s="27">
        <v>37.891399999999997</v>
      </c>
      <c r="Y2879" s="27">
        <v>7.7208399999999999</v>
      </c>
      <c r="AA2879" s="27">
        <v>535.51599999999996</v>
      </c>
      <c r="AC2879" s="27">
        <v>56.703299999999999</v>
      </c>
      <c r="AE2879" s="27">
        <v>1</v>
      </c>
      <c r="AG2879" s="27">
        <v>7.8648400000000001</v>
      </c>
      <c r="AI2879" s="27">
        <v>8.75</v>
      </c>
      <c r="AK2879" s="27">
        <v>24.598600000000001</v>
      </c>
      <c r="AM2879" s="27">
        <v>36.585599999999999</v>
      </c>
      <c r="AO2879" s="27">
        <v>6.7870299999999997</v>
      </c>
    </row>
    <row r="2880" spans="2:41" x14ac:dyDescent="0.25">
      <c r="B2880" s="21">
        <v>45151</v>
      </c>
      <c r="C2880" s="27">
        <v>16.954799999999999</v>
      </c>
      <c r="E2880" s="27">
        <v>0.91351000000000004</v>
      </c>
      <c r="G2880" s="27">
        <v>287.36900000000003</v>
      </c>
      <c r="I2880" s="27">
        <v>6.9122000000000003</v>
      </c>
      <c r="K2880" s="27">
        <v>4.9080700000000004</v>
      </c>
      <c r="M2880" s="27">
        <v>852.75199999999995</v>
      </c>
      <c r="O2880" s="27">
        <v>3963.31</v>
      </c>
      <c r="Q2880" s="27">
        <v>7268.58</v>
      </c>
      <c r="S2880" s="27">
        <v>1480.96</v>
      </c>
      <c r="U2880" s="27">
        <v>3.68512</v>
      </c>
      <c r="W2880" s="27">
        <v>37.913400000000003</v>
      </c>
      <c r="Y2880" s="27">
        <v>7.7247700000000004</v>
      </c>
      <c r="AA2880" s="27">
        <v>535.66200000000003</v>
      </c>
      <c r="AC2880" s="27">
        <v>56.726199999999999</v>
      </c>
      <c r="AE2880" s="27">
        <v>1</v>
      </c>
      <c r="AG2880" s="27">
        <v>7.8675600000000001</v>
      </c>
      <c r="AI2880" s="27">
        <v>8.75</v>
      </c>
      <c r="AK2880" s="27">
        <v>24.6068</v>
      </c>
      <c r="AM2880" s="27">
        <v>36.598199999999999</v>
      </c>
      <c r="AO2880" s="27">
        <v>6.7893699999999999</v>
      </c>
    </row>
    <row r="2881" spans="2:41" x14ac:dyDescent="0.25">
      <c r="B2881" s="21">
        <v>45152</v>
      </c>
      <c r="C2881" s="27">
        <v>17.0045</v>
      </c>
      <c r="E2881" s="27">
        <v>0.91531200000000001</v>
      </c>
      <c r="G2881" s="27">
        <v>300.964</v>
      </c>
      <c r="I2881" s="27">
        <v>6.9293399999999998</v>
      </c>
      <c r="K2881" s="27">
        <v>4.93269</v>
      </c>
      <c r="M2881" s="27">
        <v>859.375</v>
      </c>
      <c r="O2881" s="27">
        <v>3993.13</v>
      </c>
      <c r="Q2881" s="27">
        <v>7285.96</v>
      </c>
      <c r="S2881" s="27">
        <v>1477.1</v>
      </c>
      <c r="U2881" s="27">
        <v>3.6916799999999999</v>
      </c>
      <c r="W2881" s="27">
        <v>37.984200000000001</v>
      </c>
      <c r="Y2881" s="27">
        <v>7.7006199999999998</v>
      </c>
      <c r="AA2881" s="27">
        <v>536.66</v>
      </c>
      <c r="AC2881" s="27">
        <v>56.875900000000001</v>
      </c>
      <c r="AE2881" s="27">
        <v>1</v>
      </c>
      <c r="AG2881" s="27">
        <v>7.8860000000000001</v>
      </c>
      <c r="AI2881" s="27">
        <v>8.75</v>
      </c>
      <c r="AK2881" s="27">
        <v>24.661300000000001</v>
      </c>
      <c r="AM2881" s="27">
        <v>36.645200000000003</v>
      </c>
      <c r="AO2881" s="27">
        <v>6.80572</v>
      </c>
    </row>
    <row r="2882" spans="2:41" x14ac:dyDescent="0.25">
      <c r="B2882" s="21">
        <v>45153</v>
      </c>
      <c r="C2882" s="27">
        <v>17.0672</v>
      </c>
      <c r="E2882" s="27">
        <v>0.91591400000000001</v>
      </c>
      <c r="G2882" s="27">
        <v>349.94400000000002</v>
      </c>
      <c r="I2882" s="27">
        <v>6.92293</v>
      </c>
      <c r="K2882" s="27">
        <v>4.9736500000000001</v>
      </c>
      <c r="M2882" s="27">
        <v>860.67600000000004</v>
      </c>
      <c r="O2882" s="27">
        <v>4056.22</v>
      </c>
      <c r="Q2882" s="27">
        <v>7275.06</v>
      </c>
      <c r="S2882" s="27">
        <v>1462.73</v>
      </c>
      <c r="U2882" s="27">
        <v>3.7027800000000002</v>
      </c>
      <c r="W2882" s="27">
        <v>38.029499999999999</v>
      </c>
      <c r="Y2882" s="27">
        <v>7.6462300000000001</v>
      </c>
      <c r="AA2882" s="27">
        <v>536.11</v>
      </c>
      <c r="AC2882" s="27">
        <v>56.875</v>
      </c>
      <c r="AE2882" s="27">
        <v>1</v>
      </c>
      <c r="AG2882" s="27">
        <v>7.8730000000000002</v>
      </c>
      <c r="AI2882" s="27">
        <v>8.75</v>
      </c>
      <c r="AK2882" s="27">
        <v>24.6569</v>
      </c>
      <c r="AM2882" s="27">
        <v>36.631999999999998</v>
      </c>
      <c r="AO2882" s="27">
        <v>6.7927600000000004</v>
      </c>
    </row>
    <row r="2883" spans="2:41" x14ac:dyDescent="0.25">
      <c r="B2883" s="21">
        <v>45154</v>
      </c>
      <c r="C2883" s="27">
        <v>17.1388</v>
      </c>
      <c r="E2883" s="27">
        <v>0.91715800000000003</v>
      </c>
      <c r="G2883" s="27">
        <v>349.976</v>
      </c>
      <c r="I2883" s="27">
        <v>6.9215799999999996</v>
      </c>
      <c r="K2883" s="27">
        <v>4.9825600000000003</v>
      </c>
      <c r="M2883" s="27">
        <v>864.03499999999997</v>
      </c>
      <c r="O2883" s="27">
        <v>4107</v>
      </c>
      <c r="Q2883" s="27">
        <v>7269.5</v>
      </c>
      <c r="S2883" s="27">
        <v>1459</v>
      </c>
      <c r="U2883" s="27">
        <v>3.71373</v>
      </c>
      <c r="W2883" s="27">
        <v>38.170400000000001</v>
      </c>
      <c r="Y2883" s="27">
        <v>7.6608200000000002</v>
      </c>
      <c r="AA2883" s="27">
        <v>536.22</v>
      </c>
      <c r="AC2883" s="27">
        <v>56.7318</v>
      </c>
      <c r="AE2883" s="27">
        <v>1</v>
      </c>
      <c r="AG2883" s="27">
        <v>7.8693400000000002</v>
      </c>
      <c r="AI2883" s="27">
        <v>8.75</v>
      </c>
      <c r="AK2883" s="27">
        <v>24.661999999999999</v>
      </c>
      <c r="AM2883" s="27">
        <v>36.619100000000003</v>
      </c>
      <c r="AO2883" s="27">
        <v>6.7884799999999998</v>
      </c>
    </row>
    <row r="2884" spans="2:41" x14ac:dyDescent="0.25">
      <c r="B2884" s="21">
        <v>45155</v>
      </c>
      <c r="C2884" s="27">
        <v>17.076799999999999</v>
      </c>
      <c r="E2884" s="27">
        <v>0.91947900000000005</v>
      </c>
      <c r="G2884" s="27">
        <v>349.97199999999998</v>
      </c>
      <c r="I2884" s="27">
        <v>6.9241599999999996</v>
      </c>
      <c r="K2884" s="27">
        <v>4.9840200000000001</v>
      </c>
      <c r="M2884" s="27">
        <v>868.03399999999999</v>
      </c>
      <c r="O2884" s="27">
        <v>4112.8999999999996</v>
      </c>
      <c r="Q2884" s="27">
        <v>7276.53</v>
      </c>
      <c r="S2884" s="27">
        <v>1459.98</v>
      </c>
      <c r="U2884" s="27">
        <v>3.7210200000000002</v>
      </c>
      <c r="W2884" s="27">
        <v>38.162199999999999</v>
      </c>
      <c r="Y2884" s="27">
        <v>7.6569599999999998</v>
      </c>
      <c r="AA2884" s="27">
        <v>536.16800000000001</v>
      </c>
      <c r="AC2884" s="27">
        <v>56.759099999999997</v>
      </c>
      <c r="AE2884" s="27">
        <v>1</v>
      </c>
      <c r="AG2884" s="27">
        <v>7.8697400000000002</v>
      </c>
      <c r="AI2884" s="27">
        <v>8.75</v>
      </c>
      <c r="AK2884" s="27">
        <v>24.652200000000001</v>
      </c>
      <c r="AM2884" s="27">
        <v>36.643599999999999</v>
      </c>
      <c r="AO2884" s="27">
        <v>6.7930400000000004</v>
      </c>
    </row>
    <row r="2885" spans="2:41" x14ac:dyDescent="0.25">
      <c r="B2885" s="21">
        <v>45156</v>
      </c>
      <c r="C2885" s="27">
        <v>17.122499999999999</v>
      </c>
      <c r="E2885" s="27">
        <v>0.91956800000000005</v>
      </c>
      <c r="G2885" s="27">
        <v>349.89600000000002</v>
      </c>
      <c r="I2885" s="27">
        <v>6.91404</v>
      </c>
      <c r="K2885" s="27">
        <v>4.9741499999999998</v>
      </c>
      <c r="M2885" s="27">
        <v>866.53200000000004</v>
      </c>
      <c r="O2885" s="27">
        <v>4109.3</v>
      </c>
      <c r="Q2885" s="27">
        <v>7270.06</v>
      </c>
      <c r="S2885" s="27">
        <v>1461.58</v>
      </c>
      <c r="U2885" s="27">
        <v>3.7261199999999999</v>
      </c>
      <c r="W2885" s="27">
        <v>37.953400000000002</v>
      </c>
      <c r="Y2885" s="27">
        <v>7.6301600000000001</v>
      </c>
      <c r="AA2885" s="27">
        <v>534.952</v>
      </c>
      <c r="AC2885" s="27">
        <v>56.624200000000002</v>
      </c>
      <c r="AE2885" s="27">
        <v>1</v>
      </c>
      <c r="AG2885" s="27">
        <v>7.8567200000000001</v>
      </c>
      <c r="AI2885" s="27">
        <v>8.75</v>
      </c>
      <c r="AK2885" s="27">
        <v>24.606400000000001</v>
      </c>
      <c r="AM2885" s="27">
        <v>36.559800000000003</v>
      </c>
      <c r="AO2885" s="27">
        <v>6.7845199999999997</v>
      </c>
    </row>
    <row r="2886" spans="2:41" x14ac:dyDescent="0.25">
      <c r="B2886" s="21">
        <v>45157</v>
      </c>
      <c r="C2886" s="27">
        <v>17.122499999999999</v>
      </c>
      <c r="E2886" s="27">
        <v>0.91973499999999997</v>
      </c>
      <c r="G2886" s="27">
        <v>349.964</v>
      </c>
      <c r="I2886" s="27">
        <v>6.9142200000000003</v>
      </c>
      <c r="K2886" s="27">
        <v>4.9699</v>
      </c>
      <c r="M2886" s="27">
        <v>871.06</v>
      </c>
      <c r="O2886" s="27">
        <v>4119.2</v>
      </c>
      <c r="Q2886" s="27">
        <v>7270.19</v>
      </c>
      <c r="S2886" s="27">
        <v>1462.85</v>
      </c>
      <c r="U2886" s="27">
        <v>3.72925</v>
      </c>
      <c r="W2886" s="27">
        <v>37.860300000000002</v>
      </c>
      <c r="Y2886" s="27">
        <v>7.6179399999999999</v>
      </c>
      <c r="AA2886" s="27">
        <v>534.97299999999996</v>
      </c>
      <c r="AC2886" s="27">
        <v>56.627499999999998</v>
      </c>
      <c r="AE2886" s="27">
        <v>1</v>
      </c>
      <c r="AG2886" s="27">
        <v>7.8570000000000002</v>
      </c>
      <c r="AI2886" s="27">
        <v>8.75</v>
      </c>
      <c r="AK2886" s="27">
        <v>24.6098</v>
      </c>
      <c r="AM2886" s="27">
        <v>36.559800000000003</v>
      </c>
      <c r="AO2886" s="27">
        <v>6.7846900000000003</v>
      </c>
    </row>
    <row r="2887" spans="2:41" x14ac:dyDescent="0.25">
      <c r="B2887" s="21">
        <v>45158</v>
      </c>
      <c r="C2887" s="27">
        <v>17.122499999999999</v>
      </c>
      <c r="E2887" s="27">
        <v>0.91971800000000004</v>
      </c>
      <c r="G2887" s="27">
        <v>349.92</v>
      </c>
      <c r="I2887" s="27">
        <v>6.9129399999999999</v>
      </c>
      <c r="K2887" s="27">
        <v>4.9698399999999996</v>
      </c>
      <c r="M2887" s="27">
        <v>871.06299999999999</v>
      </c>
      <c r="O2887" s="27">
        <v>4118.42</v>
      </c>
      <c r="Q2887" s="27">
        <v>7268.73</v>
      </c>
      <c r="S2887" s="27">
        <v>1462.58</v>
      </c>
      <c r="U2887" s="27">
        <v>3.72838</v>
      </c>
      <c r="W2887" s="27">
        <v>37.860300000000002</v>
      </c>
      <c r="Y2887" s="27">
        <v>7.6180500000000002</v>
      </c>
      <c r="AA2887" s="27">
        <v>534.82000000000005</v>
      </c>
      <c r="AC2887" s="27">
        <v>56.626300000000001</v>
      </c>
      <c r="AE2887" s="27">
        <v>1</v>
      </c>
      <c r="AG2887" s="27">
        <v>7.8553499999999996</v>
      </c>
      <c r="AI2887" s="27">
        <v>8.75</v>
      </c>
      <c r="AK2887" s="27">
        <v>24.6066</v>
      </c>
      <c r="AM2887" s="27">
        <v>36.5563</v>
      </c>
      <c r="AO2887" s="27">
        <v>6.7835200000000002</v>
      </c>
    </row>
    <row r="2888" spans="2:41" x14ac:dyDescent="0.25">
      <c r="B2888" s="21">
        <v>45159</v>
      </c>
      <c r="C2888" s="27">
        <v>17.047699999999999</v>
      </c>
      <c r="E2888" s="27">
        <v>0.91824799999999995</v>
      </c>
      <c r="G2888" s="27">
        <v>349.83100000000002</v>
      </c>
      <c r="I2888" s="27">
        <v>6.9009400000000003</v>
      </c>
      <c r="K2888" s="27">
        <v>4.9750899999999998</v>
      </c>
      <c r="M2888" s="27">
        <v>869.15</v>
      </c>
      <c r="O2888" s="27">
        <v>4095.28</v>
      </c>
      <c r="Q2888" s="27">
        <v>7258.31</v>
      </c>
      <c r="S2888" s="27">
        <v>1458.94</v>
      </c>
      <c r="U2888" s="27">
        <v>3.71536</v>
      </c>
      <c r="W2888" s="27">
        <v>37.785299999999999</v>
      </c>
      <c r="Y2888" s="27">
        <v>7.5949400000000002</v>
      </c>
      <c r="AA2888" s="27">
        <v>532.79300000000001</v>
      </c>
      <c r="AC2888" s="27">
        <v>56.677599999999998</v>
      </c>
      <c r="AE2888" s="27">
        <v>1</v>
      </c>
      <c r="AG2888" s="27">
        <v>7.8399900000000002</v>
      </c>
      <c r="AI2888" s="27">
        <v>8.75</v>
      </c>
      <c r="AK2888" s="27">
        <v>24.5885</v>
      </c>
      <c r="AM2888" s="27">
        <v>36.542900000000003</v>
      </c>
      <c r="AO2888" s="27">
        <v>6.7741600000000002</v>
      </c>
    </row>
    <row r="2889" spans="2:41" x14ac:dyDescent="0.25">
      <c r="B2889" s="21">
        <v>45160</v>
      </c>
      <c r="C2889" s="27">
        <v>17.020199999999999</v>
      </c>
      <c r="E2889" s="27">
        <v>0.91913400000000001</v>
      </c>
      <c r="G2889" s="27">
        <v>349.91399999999999</v>
      </c>
      <c r="I2889" s="27">
        <v>6.9067800000000004</v>
      </c>
      <c r="K2889" s="27">
        <v>4.9595700000000003</v>
      </c>
      <c r="M2889" s="27">
        <v>869.35199999999998</v>
      </c>
      <c r="O2889" s="27">
        <v>4088.86</v>
      </c>
      <c r="Q2889" s="27">
        <v>7264.68</v>
      </c>
      <c r="S2889" s="27">
        <v>1464.79</v>
      </c>
      <c r="U2889" s="27">
        <v>3.71984</v>
      </c>
      <c r="W2889" s="27">
        <v>37.798200000000001</v>
      </c>
      <c r="Y2889" s="27">
        <v>7.6212799999999996</v>
      </c>
      <c r="AA2889" s="27">
        <v>533.88599999999997</v>
      </c>
      <c r="AC2889" s="27">
        <v>56.723100000000002</v>
      </c>
      <c r="AE2889" s="27">
        <v>1</v>
      </c>
      <c r="AG2889" s="27">
        <v>7.8454600000000001</v>
      </c>
      <c r="AI2889" s="27">
        <v>8.75</v>
      </c>
      <c r="AK2889" s="27">
        <v>24.647600000000001</v>
      </c>
      <c r="AM2889" s="27">
        <v>36.568199999999997</v>
      </c>
      <c r="AO2889" s="27">
        <v>6.7784199999999997</v>
      </c>
    </row>
    <row r="2890" spans="2:41" x14ac:dyDescent="0.25">
      <c r="B2890" s="21">
        <v>45161</v>
      </c>
      <c r="C2890" s="27">
        <v>16.9267</v>
      </c>
      <c r="E2890" s="27">
        <v>0.92190499999999997</v>
      </c>
      <c r="G2890" s="27">
        <v>349.96800000000002</v>
      </c>
      <c r="I2890" s="27">
        <v>6.9166800000000004</v>
      </c>
      <c r="K2890" s="27">
        <v>4.9070200000000002</v>
      </c>
      <c r="M2890" s="27">
        <v>867.048</v>
      </c>
      <c r="O2890" s="27">
        <v>4105</v>
      </c>
      <c r="Q2890" s="27">
        <v>7274.06</v>
      </c>
      <c r="S2890" s="27">
        <v>1482.39</v>
      </c>
      <c r="U2890" s="27">
        <v>3.73156</v>
      </c>
      <c r="W2890" s="27">
        <v>37.884300000000003</v>
      </c>
      <c r="Y2890" s="27">
        <v>7.7204600000000001</v>
      </c>
      <c r="AA2890" s="27">
        <v>537.55200000000002</v>
      </c>
      <c r="AC2890" s="27">
        <v>56.857599999999998</v>
      </c>
      <c r="AE2890" s="27">
        <v>1</v>
      </c>
      <c r="AG2890" s="27">
        <v>7.8575600000000003</v>
      </c>
      <c r="AI2890" s="27">
        <v>8.75</v>
      </c>
      <c r="AK2890" s="27">
        <v>24.7089</v>
      </c>
      <c r="AM2890" s="27">
        <v>36.633800000000001</v>
      </c>
      <c r="AO2890" s="27">
        <v>6.7905600000000002</v>
      </c>
    </row>
    <row r="2891" spans="2:41" x14ac:dyDescent="0.25">
      <c r="B2891" s="21">
        <v>45162</v>
      </c>
      <c r="C2891" s="27">
        <v>16.807700000000001</v>
      </c>
      <c r="E2891" s="27">
        <v>0.92245600000000005</v>
      </c>
      <c r="G2891" s="27">
        <v>349.97</v>
      </c>
      <c r="I2891" s="27">
        <v>6.9008799999999999</v>
      </c>
      <c r="K2891" s="27">
        <v>4.8671600000000002</v>
      </c>
      <c r="M2891" s="27">
        <v>856.45799999999997</v>
      </c>
      <c r="O2891" s="27">
        <v>4079</v>
      </c>
      <c r="Q2891" s="27">
        <v>7251.49</v>
      </c>
      <c r="S2891" s="27">
        <v>1489.89</v>
      </c>
      <c r="U2891" s="27">
        <v>3.70112</v>
      </c>
      <c r="W2891" s="27">
        <v>37.720399999999998</v>
      </c>
      <c r="Y2891" s="27">
        <v>7.7500200000000001</v>
      </c>
      <c r="AA2891" s="27">
        <v>537.44399999999996</v>
      </c>
      <c r="AC2891" s="27">
        <v>56.701999999999998</v>
      </c>
      <c r="AE2891" s="27">
        <v>1</v>
      </c>
      <c r="AG2891" s="27">
        <v>7.8418999999999999</v>
      </c>
      <c r="AI2891" s="27">
        <v>8.75</v>
      </c>
      <c r="AK2891" s="27">
        <v>24.782599999999999</v>
      </c>
      <c r="AM2891" s="27">
        <v>36.562899999999999</v>
      </c>
      <c r="AO2891" s="27">
        <v>6.7805600000000004</v>
      </c>
    </row>
    <row r="2892" spans="2:41" x14ac:dyDescent="0.25">
      <c r="B2892" s="21">
        <v>45163</v>
      </c>
      <c r="C2892" s="27">
        <v>16.809000000000001</v>
      </c>
      <c r="E2892" s="27">
        <v>0.92647800000000002</v>
      </c>
      <c r="G2892" s="27">
        <v>349.98200000000003</v>
      </c>
      <c r="I2892" s="27">
        <v>6.9253799999999996</v>
      </c>
      <c r="K2892" s="27">
        <v>4.87819</v>
      </c>
      <c r="M2892" s="27">
        <v>847.38</v>
      </c>
      <c r="O2892" s="27">
        <v>4095.12</v>
      </c>
      <c r="Q2892" s="27">
        <v>7285.12</v>
      </c>
      <c r="S2892" s="27">
        <v>1493.42</v>
      </c>
      <c r="U2892" s="27">
        <v>3.7073</v>
      </c>
      <c r="W2892" s="27">
        <v>37.858199999999997</v>
      </c>
      <c r="Y2892" s="27">
        <v>7.7607499999999998</v>
      </c>
      <c r="AA2892" s="27">
        <v>539.40499999999997</v>
      </c>
      <c r="AC2892" s="27">
        <v>56.904000000000003</v>
      </c>
      <c r="AE2892" s="27">
        <v>1</v>
      </c>
      <c r="AG2892" s="27">
        <v>7.8710599999999999</v>
      </c>
      <c r="AI2892" s="27">
        <v>8.75</v>
      </c>
      <c r="AK2892" s="27">
        <v>24.732600000000001</v>
      </c>
      <c r="AM2892" s="27">
        <v>36.673999999999999</v>
      </c>
      <c r="AO2892" s="27">
        <v>6.8088199999999999</v>
      </c>
    </row>
    <row r="2893" spans="2:41" x14ac:dyDescent="0.25">
      <c r="B2893" s="21">
        <v>45164</v>
      </c>
      <c r="C2893" s="27">
        <v>16.809000000000001</v>
      </c>
      <c r="E2893" s="27">
        <v>0.92640999999999996</v>
      </c>
      <c r="G2893" s="27">
        <v>350.01400000000001</v>
      </c>
      <c r="I2893" s="27">
        <v>6.9114599999999999</v>
      </c>
      <c r="K2893" s="27">
        <v>4.8735999999999997</v>
      </c>
      <c r="M2893" s="27">
        <v>845.39</v>
      </c>
      <c r="O2893" s="27">
        <v>4109.32</v>
      </c>
      <c r="Q2893" s="27">
        <v>7288.12</v>
      </c>
      <c r="S2893" s="27">
        <v>1495.44</v>
      </c>
      <c r="U2893" s="27">
        <v>3.69597</v>
      </c>
      <c r="W2893" s="27">
        <v>37.703400000000002</v>
      </c>
      <c r="Y2893" s="27">
        <v>7.7362799999999998</v>
      </c>
      <c r="AA2893" s="27">
        <v>538.69000000000005</v>
      </c>
      <c r="AC2893" s="27">
        <v>56.817399999999999</v>
      </c>
      <c r="AE2893" s="27">
        <v>1</v>
      </c>
      <c r="AG2893" s="27">
        <v>7.8563000000000001</v>
      </c>
      <c r="AI2893" s="27">
        <v>8.75</v>
      </c>
      <c r="AK2893" s="27">
        <v>24.630400000000002</v>
      </c>
      <c r="AM2893" s="27">
        <v>36.591900000000003</v>
      </c>
      <c r="AO2893" s="27">
        <v>6.7981400000000001</v>
      </c>
    </row>
    <row r="2894" spans="2:41" x14ac:dyDescent="0.25">
      <c r="B2894" s="21">
        <v>45165</v>
      </c>
      <c r="C2894" s="27">
        <v>16.809000000000001</v>
      </c>
      <c r="E2894" s="27">
        <v>0.92637999999999998</v>
      </c>
      <c r="G2894" s="27">
        <v>350.03399999999999</v>
      </c>
      <c r="I2894" s="27">
        <v>6.9114699999999996</v>
      </c>
      <c r="K2894" s="27">
        <v>4.8735400000000002</v>
      </c>
      <c r="M2894" s="27">
        <v>845.38499999999999</v>
      </c>
      <c r="O2894" s="27">
        <v>4109.54</v>
      </c>
      <c r="Q2894" s="27">
        <v>7288.06</v>
      </c>
      <c r="S2894" s="27">
        <v>1495.44</v>
      </c>
      <c r="U2894" s="27">
        <v>3.69597</v>
      </c>
      <c r="W2894" s="27">
        <v>37.705300000000001</v>
      </c>
      <c r="Y2894" s="27">
        <v>7.7367600000000003</v>
      </c>
      <c r="AA2894" s="27">
        <v>538.71799999999996</v>
      </c>
      <c r="AC2894" s="27">
        <v>56.8172</v>
      </c>
      <c r="AE2894" s="27">
        <v>1</v>
      </c>
      <c r="AG2894" s="27">
        <v>7.8563499999999999</v>
      </c>
      <c r="AI2894" s="27">
        <v>8.75</v>
      </c>
      <c r="AK2894" s="27">
        <v>24.629899999999999</v>
      </c>
      <c r="AM2894" s="27">
        <v>36.5914</v>
      </c>
      <c r="AO2894" s="27">
        <v>6.79826</v>
      </c>
    </row>
    <row r="2895" spans="2:41" x14ac:dyDescent="0.25">
      <c r="B2895" s="21">
        <v>45166</v>
      </c>
      <c r="C2895" s="27">
        <v>16.771799999999999</v>
      </c>
      <c r="E2895" s="27">
        <v>0.92500800000000005</v>
      </c>
      <c r="G2895" s="27">
        <v>349.95800000000003</v>
      </c>
      <c r="I2895" s="27">
        <v>6.9111900000000004</v>
      </c>
      <c r="K2895" s="27">
        <v>4.8787000000000003</v>
      </c>
      <c r="M2895" s="27">
        <v>847.447</v>
      </c>
      <c r="O2895" s="27">
        <v>4120.6000000000004</v>
      </c>
      <c r="Q2895" s="27">
        <v>7283.38</v>
      </c>
      <c r="S2895" s="27">
        <v>1492.9</v>
      </c>
      <c r="U2895" s="27">
        <v>3.6966899999999998</v>
      </c>
      <c r="W2895" s="27">
        <v>37.716099999999997</v>
      </c>
      <c r="Y2895" s="27">
        <v>7.7308199999999996</v>
      </c>
      <c r="AA2895" s="27">
        <v>539.00800000000004</v>
      </c>
      <c r="AC2895" s="27">
        <v>56.796599999999998</v>
      </c>
      <c r="AE2895" s="27">
        <v>1</v>
      </c>
      <c r="AG2895" s="27">
        <v>7.8566399999999996</v>
      </c>
      <c r="AI2895" s="27">
        <v>8.75</v>
      </c>
      <c r="AK2895" s="27">
        <v>24.6234</v>
      </c>
      <c r="AM2895" s="27">
        <v>36.590400000000002</v>
      </c>
      <c r="AO2895" s="27">
        <v>6.79887</v>
      </c>
    </row>
    <row r="2896" spans="2:41" x14ac:dyDescent="0.25">
      <c r="B2896" s="21">
        <v>45167</v>
      </c>
      <c r="C2896" s="27">
        <v>16.743200000000002</v>
      </c>
      <c r="E2896" s="27">
        <v>0.92262900000000003</v>
      </c>
      <c r="G2896" s="27">
        <v>349.97199999999998</v>
      </c>
      <c r="I2896" s="27">
        <v>6.9069200000000004</v>
      </c>
      <c r="K2896" s="27">
        <v>4.8689200000000001</v>
      </c>
      <c r="M2896" s="27">
        <v>853.38599999999997</v>
      </c>
      <c r="O2896" s="27">
        <v>4117.97</v>
      </c>
      <c r="Q2896" s="27">
        <v>7274.18</v>
      </c>
      <c r="S2896" s="27">
        <v>1494.01</v>
      </c>
      <c r="U2896" s="27">
        <v>3.69556</v>
      </c>
      <c r="W2896" s="27">
        <v>37.689</v>
      </c>
      <c r="Y2896" s="27">
        <v>7.74078</v>
      </c>
      <c r="AA2896" s="27">
        <v>538.80499999999995</v>
      </c>
      <c r="AC2896" s="27">
        <v>56.747199999999999</v>
      </c>
      <c r="AE2896" s="27">
        <v>1</v>
      </c>
      <c r="AG2896" s="27">
        <v>7.8519600000000001</v>
      </c>
      <c r="AI2896" s="27">
        <v>8.75</v>
      </c>
      <c r="AK2896" s="27">
        <v>24.61</v>
      </c>
      <c r="AM2896" s="27">
        <v>36.571199999999997</v>
      </c>
      <c r="AO2896" s="27">
        <v>6.7949000000000002</v>
      </c>
    </row>
    <row r="2897" spans="2:41" x14ac:dyDescent="0.25">
      <c r="B2897" s="21">
        <v>45168</v>
      </c>
      <c r="C2897" s="27">
        <v>16.840199999999999</v>
      </c>
      <c r="E2897" s="27">
        <v>0.91761999999999999</v>
      </c>
      <c r="G2897" s="27">
        <v>349.952</v>
      </c>
      <c r="I2897" s="27">
        <v>6.9032</v>
      </c>
      <c r="K2897" s="27">
        <v>4.86205</v>
      </c>
      <c r="M2897" s="27">
        <v>855.13699999999994</v>
      </c>
      <c r="O2897" s="27">
        <v>4103.0600000000004</v>
      </c>
      <c r="Q2897" s="27">
        <v>7270.68</v>
      </c>
      <c r="S2897" s="27">
        <v>1495.4</v>
      </c>
      <c r="U2897" s="27">
        <v>3.6867999999999999</v>
      </c>
      <c r="W2897" s="27">
        <v>37.644799999999996</v>
      </c>
      <c r="Y2897" s="27">
        <v>7.7426199999999996</v>
      </c>
      <c r="AA2897" s="27">
        <v>538.65</v>
      </c>
      <c r="AC2897" s="27">
        <v>56.712400000000002</v>
      </c>
      <c r="AE2897" s="27">
        <v>1</v>
      </c>
      <c r="AG2897" s="27">
        <v>7.8475200000000003</v>
      </c>
      <c r="AI2897" s="27">
        <v>8.75</v>
      </c>
      <c r="AK2897" s="27">
        <v>24.599</v>
      </c>
      <c r="AM2897" s="27">
        <v>36.556800000000003</v>
      </c>
      <c r="AO2897" s="27">
        <v>6.7862200000000001</v>
      </c>
    </row>
    <row r="2898" spans="2:41" x14ac:dyDescent="0.25">
      <c r="B2898" s="21">
        <v>45169</v>
      </c>
      <c r="C2898" s="27">
        <v>16.747699999999998</v>
      </c>
      <c r="E2898" s="27">
        <v>0.91940200000000005</v>
      </c>
      <c r="G2898" s="27">
        <v>349.91699999999997</v>
      </c>
      <c r="I2898" s="27">
        <v>6.8992800000000001</v>
      </c>
      <c r="K2898" s="27">
        <v>4.9148399999999999</v>
      </c>
      <c r="M2898" s="27">
        <v>852.85400000000004</v>
      </c>
      <c r="O2898" s="27">
        <v>4096.5600000000004</v>
      </c>
      <c r="Q2898" s="27">
        <v>7276.12</v>
      </c>
      <c r="S2898" s="27">
        <v>1480.44</v>
      </c>
      <c r="U2898" s="27">
        <v>3.6882999999999999</v>
      </c>
      <c r="W2898" s="27">
        <v>37.671399999999998</v>
      </c>
      <c r="Y2898" s="27">
        <v>7.66486</v>
      </c>
      <c r="AA2898" s="27">
        <v>538.39200000000005</v>
      </c>
      <c r="AC2898" s="27">
        <v>56.704799999999999</v>
      </c>
      <c r="AE2898" s="27">
        <v>1</v>
      </c>
      <c r="AG2898" s="27">
        <v>7.8429200000000003</v>
      </c>
      <c r="AI2898" s="27">
        <v>8.75</v>
      </c>
      <c r="AK2898" s="27">
        <v>24.584900000000001</v>
      </c>
      <c r="AM2898" s="27">
        <v>36.538800000000002</v>
      </c>
      <c r="AO2898" s="27">
        <v>6.7805499999999999</v>
      </c>
    </row>
    <row r="2899" spans="2:41" ht="13" x14ac:dyDescent="0.3">
      <c r="B2899" s="25" t="s">
        <v>220</v>
      </c>
      <c r="C2899" s="19">
        <v>16.988</v>
      </c>
      <c r="E2899" s="19">
        <v>0.91669999999999996</v>
      </c>
      <c r="G2899" s="19">
        <v>319.767</v>
      </c>
      <c r="I2899" s="19">
        <v>6.9112999999999998</v>
      </c>
      <c r="K2899" s="19">
        <v>4.9028</v>
      </c>
      <c r="M2899" s="19">
        <v>856.20410000000004</v>
      </c>
      <c r="O2899" s="19">
        <v>4068.5342000000001</v>
      </c>
      <c r="Q2899" s="19">
        <v>7272.9390000000003</v>
      </c>
      <c r="S2899" s="19">
        <v>1483.6251999999999</v>
      </c>
      <c r="U2899" s="19">
        <v>3.6945000000000001</v>
      </c>
      <c r="W2899" s="19">
        <v>37.868600000000001</v>
      </c>
      <c r="Y2899" s="19">
        <v>7.7247000000000003</v>
      </c>
      <c r="AA2899" s="19">
        <v>538.57190000000003</v>
      </c>
      <c r="AC2899" s="19">
        <v>56.628399999999999</v>
      </c>
      <c r="AE2899" s="19">
        <v>1</v>
      </c>
      <c r="AG2899" s="19">
        <v>7.8586999999999998</v>
      </c>
      <c r="AI2899" s="19">
        <v>8.75</v>
      </c>
      <c r="AK2899" s="19">
        <v>24.6218</v>
      </c>
      <c r="AM2899" s="19">
        <v>36.584000000000003</v>
      </c>
      <c r="AO2899" s="19">
        <v>6.7869999999999999</v>
      </c>
    </row>
    <row r="2900" spans="2:41" x14ac:dyDescent="0.25">
      <c r="B2900" s="21">
        <v>45170</v>
      </c>
      <c r="C2900" s="27">
        <v>16.917000000000002</v>
      </c>
      <c r="E2900" s="27">
        <v>0.92411399999999999</v>
      </c>
      <c r="G2900" s="27">
        <v>349.97399999999999</v>
      </c>
      <c r="I2900" s="27">
        <v>6.9172700000000003</v>
      </c>
      <c r="K2900" s="27">
        <v>4.9459400000000002</v>
      </c>
      <c r="M2900" s="27">
        <v>852.01800000000003</v>
      </c>
      <c r="O2900" s="27">
        <v>4081.86</v>
      </c>
      <c r="Q2900" s="27">
        <v>7294.74</v>
      </c>
      <c r="S2900" s="27">
        <v>1474.9</v>
      </c>
      <c r="U2900" s="27">
        <v>3.69848</v>
      </c>
      <c r="W2900" s="27">
        <v>37.780999999999999</v>
      </c>
      <c r="Y2900" s="27">
        <v>7.6388299999999996</v>
      </c>
      <c r="AA2900" s="27">
        <v>539.74</v>
      </c>
      <c r="AC2900" s="27">
        <v>56.8474</v>
      </c>
      <c r="AE2900" s="27">
        <v>1</v>
      </c>
      <c r="AG2900" s="27">
        <v>7.8697299999999997</v>
      </c>
      <c r="AI2900" s="27">
        <v>8.75</v>
      </c>
      <c r="AK2900" s="27">
        <v>24.6494</v>
      </c>
      <c r="AM2900" s="27">
        <v>36.632599999999996</v>
      </c>
      <c r="AO2900" s="27">
        <v>6.80124</v>
      </c>
    </row>
    <row r="2901" spans="2:41" x14ac:dyDescent="0.25">
      <c r="B2901" s="21">
        <v>45171</v>
      </c>
      <c r="C2901" s="27">
        <v>16.917000000000002</v>
      </c>
      <c r="E2901" s="27">
        <v>0.92805199999999999</v>
      </c>
      <c r="G2901" s="27">
        <v>349.92</v>
      </c>
      <c r="I2901" s="27">
        <v>6.9103599999999998</v>
      </c>
      <c r="K2901" s="27">
        <v>4.9482499999999998</v>
      </c>
      <c r="M2901" s="27">
        <v>851.76</v>
      </c>
      <c r="O2901" s="27">
        <v>4073.6</v>
      </c>
      <c r="Q2901" s="27">
        <v>7280.36</v>
      </c>
      <c r="S2901" s="27">
        <v>1471.3</v>
      </c>
      <c r="U2901" s="27">
        <v>3.6930800000000001</v>
      </c>
      <c r="W2901" s="27">
        <v>37.653199999999998</v>
      </c>
      <c r="Y2901" s="27">
        <v>7.6094200000000001</v>
      </c>
      <c r="AA2901" s="27">
        <v>539.19600000000003</v>
      </c>
      <c r="AC2901" s="27">
        <v>56.771599999999999</v>
      </c>
      <c r="AE2901" s="27">
        <v>1</v>
      </c>
      <c r="AG2901" s="27">
        <v>7.8672399999999998</v>
      </c>
      <c r="AI2901" s="27">
        <v>8.75</v>
      </c>
      <c r="AK2901" s="27">
        <v>24.6252</v>
      </c>
      <c r="AM2901" s="27">
        <v>36.5946</v>
      </c>
      <c r="AO2901" s="27">
        <v>6.7944500000000003</v>
      </c>
    </row>
    <row r="2902" spans="2:41" x14ac:dyDescent="0.25">
      <c r="B2902" s="21">
        <v>45172</v>
      </c>
      <c r="C2902" s="27">
        <v>16.917000000000002</v>
      </c>
      <c r="E2902" s="27">
        <v>0.92805400000000005</v>
      </c>
      <c r="G2902" s="27">
        <v>350.214</v>
      </c>
      <c r="I2902" s="27">
        <v>6.9113100000000003</v>
      </c>
      <c r="K2902" s="27">
        <v>4.9487800000000002</v>
      </c>
      <c r="M2902" s="27">
        <v>851.79200000000003</v>
      </c>
      <c r="O2902" s="27">
        <v>4072.8</v>
      </c>
      <c r="Q2902" s="27">
        <v>7280.36</v>
      </c>
      <c r="S2902" s="27">
        <v>1471.15</v>
      </c>
      <c r="U2902" s="27">
        <v>3.69354</v>
      </c>
      <c r="W2902" s="27">
        <v>37.663200000000003</v>
      </c>
      <c r="Y2902" s="27">
        <v>7.6106400000000001</v>
      </c>
      <c r="AA2902" s="27">
        <v>539.19600000000003</v>
      </c>
      <c r="AC2902" s="27">
        <v>56.771599999999999</v>
      </c>
      <c r="AE2902" s="27">
        <v>1</v>
      </c>
      <c r="AG2902" s="27">
        <v>7.86836</v>
      </c>
      <c r="AI2902" s="27">
        <v>8.75</v>
      </c>
      <c r="AK2902" s="27">
        <v>24.6252</v>
      </c>
      <c r="AM2902" s="27">
        <v>36.5946</v>
      </c>
      <c r="AO2902" s="27">
        <v>6.7944500000000003</v>
      </c>
    </row>
    <row r="2903" spans="2:41" x14ac:dyDescent="0.25">
      <c r="B2903" s="21">
        <v>45173</v>
      </c>
      <c r="C2903" s="27">
        <v>17.1113</v>
      </c>
      <c r="E2903" s="27">
        <v>0.92655799999999999</v>
      </c>
      <c r="G2903" s="27">
        <v>350.459</v>
      </c>
      <c r="I2903" s="27">
        <v>6.9283200000000003</v>
      </c>
      <c r="K2903" s="27">
        <v>4.9465599999999998</v>
      </c>
      <c r="M2903" s="27">
        <v>854.93600000000004</v>
      </c>
      <c r="O2903" s="27">
        <v>4058.6</v>
      </c>
      <c r="Q2903" s="27">
        <v>7295.86</v>
      </c>
      <c r="S2903" s="27">
        <v>1474.96</v>
      </c>
      <c r="U2903" s="27">
        <v>3.7061799999999998</v>
      </c>
      <c r="W2903" s="27">
        <v>37.713299999999997</v>
      </c>
      <c r="Y2903" s="27">
        <v>7.6242799999999997</v>
      </c>
      <c r="AA2903" s="27">
        <v>540.05200000000002</v>
      </c>
      <c r="AC2903" s="27">
        <v>56.994500000000002</v>
      </c>
      <c r="AE2903" s="27">
        <v>1</v>
      </c>
      <c r="AG2903" s="27">
        <v>7.8891299999999998</v>
      </c>
      <c r="AI2903" s="27">
        <v>8.75</v>
      </c>
      <c r="AK2903" s="27">
        <v>24.691600000000001</v>
      </c>
      <c r="AM2903" s="27">
        <v>36.6892</v>
      </c>
      <c r="AO2903" s="27">
        <v>6.8049999999999997</v>
      </c>
    </row>
    <row r="2904" spans="2:41" x14ac:dyDescent="0.25">
      <c r="B2904" s="21">
        <v>45174</v>
      </c>
      <c r="C2904" s="27">
        <v>17.175000000000001</v>
      </c>
      <c r="E2904" s="27">
        <v>0.93040199999999995</v>
      </c>
      <c r="G2904" s="27">
        <v>350.00299999999999</v>
      </c>
      <c r="I2904" s="27">
        <v>6.9183399999999997</v>
      </c>
      <c r="K2904" s="27">
        <v>4.9541599999999999</v>
      </c>
      <c r="M2904" s="27">
        <v>865.29600000000005</v>
      </c>
      <c r="O2904" s="27">
        <v>4066.6</v>
      </c>
      <c r="Q2904" s="27">
        <v>7283.3</v>
      </c>
      <c r="S2904" s="27">
        <v>1470.14</v>
      </c>
      <c r="U2904" s="27">
        <v>3.7020900000000001</v>
      </c>
      <c r="W2904" s="27">
        <v>37.6678</v>
      </c>
      <c r="Y2904" s="27">
        <v>7.6032999999999999</v>
      </c>
      <c r="AA2904" s="27">
        <v>537.93499999999995</v>
      </c>
      <c r="AC2904" s="27">
        <v>56.893999999999998</v>
      </c>
      <c r="AE2904" s="27">
        <v>1</v>
      </c>
      <c r="AG2904" s="27">
        <v>7.88286</v>
      </c>
      <c r="AI2904" s="27">
        <v>8.75</v>
      </c>
      <c r="AK2904" s="27">
        <v>24.678599999999999</v>
      </c>
      <c r="AM2904" s="27">
        <v>36.627000000000002</v>
      </c>
      <c r="AO2904" s="27">
        <v>6.7895000000000003</v>
      </c>
    </row>
    <row r="2905" spans="2:41" x14ac:dyDescent="0.25">
      <c r="B2905" s="21">
        <v>45175</v>
      </c>
      <c r="C2905" s="27">
        <v>17.3492</v>
      </c>
      <c r="E2905" s="27">
        <v>0.93218100000000004</v>
      </c>
      <c r="G2905" s="27">
        <v>349.98</v>
      </c>
      <c r="I2905" s="27">
        <v>6.9150600000000004</v>
      </c>
      <c r="K2905" s="27">
        <v>4.97288</v>
      </c>
      <c r="M2905" s="27">
        <v>873.60799999999995</v>
      </c>
      <c r="O2905" s="27">
        <v>4080.26</v>
      </c>
      <c r="Q2905" s="27">
        <v>7275.28</v>
      </c>
      <c r="S2905" s="27">
        <v>1463</v>
      </c>
      <c r="U2905" s="27">
        <v>3.69042</v>
      </c>
      <c r="W2905" s="27">
        <v>37.750700000000002</v>
      </c>
      <c r="Y2905" s="27">
        <v>7.5913599999999999</v>
      </c>
      <c r="AA2905" s="27">
        <v>537.18299999999999</v>
      </c>
      <c r="AC2905" s="27">
        <v>56.8264</v>
      </c>
      <c r="AE2905" s="27">
        <v>1</v>
      </c>
      <c r="AG2905" s="27">
        <v>7.8779300000000001</v>
      </c>
      <c r="AI2905" s="27">
        <v>8.75</v>
      </c>
      <c r="AK2905" s="27">
        <v>24.815999999999999</v>
      </c>
      <c r="AM2905" s="27">
        <v>36.582299999999996</v>
      </c>
      <c r="AO2905" s="27">
        <v>6.7836800000000004</v>
      </c>
    </row>
    <row r="2906" spans="2:41" x14ac:dyDescent="0.25">
      <c r="B2906" s="21">
        <v>45176</v>
      </c>
      <c r="C2906" s="27">
        <v>17.580500000000001</v>
      </c>
      <c r="E2906" s="27">
        <v>0.93379100000000004</v>
      </c>
      <c r="G2906" s="27">
        <v>349.983</v>
      </c>
      <c r="I2906" s="27">
        <v>6.9151600000000002</v>
      </c>
      <c r="K2906" s="27">
        <v>4.9783999999999997</v>
      </c>
      <c r="M2906" s="27">
        <v>876.96900000000005</v>
      </c>
      <c r="O2906" s="27">
        <v>4053.08</v>
      </c>
      <c r="Q2906" s="27">
        <v>7274.1</v>
      </c>
      <c r="S2906" s="27">
        <v>1461.14</v>
      </c>
      <c r="U2906" s="27">
        <v>3.7038199999999999</v>
      </c>
      <c r="W2906" s="27">
        <v>37.856200000000001</v>
      </c>
      <c r="Y2906" s="27">
        <v>7.6041400000000001</v>
      </c>
      <c r="AA2906" s="27">
        <v>536.577</v>
      </c>
      <c r="AC2906" s="27">
        <v>56.801000000000002</v>
      </c>
      <c r="AE2906" s="27">
        <v>1</v>
      </c>
      <c r="AG2906" s="27">
        <v>7.87662</v>
      </c>
      <c r="AI2906" s="27">
        <v>8.75</v>
      </c>
      <c r="AK2906" s="27">
        <v>24.775099999999998</v>
      </c>
      <c r="AM2906" s="27">
        <v>36.609200000000001</v>
      </c>
      <c r="AO2906" s="27">
        <v>6.7768100000000002</v>
      </c>
    </row>
    <row r="2907" spans="2:41" x14ac:dyDescent="0.25">
      <c r="B2907" s="21">
        <v>45177</v>
      </c>
      <c r="C2907" s="27">
        <v>17.554300000000001</v>
      </c>
      <c r="E2907" s="27">
        <v>0.93381999999999998</v>
      </c>
      <c r="G2907" s="27">
        <v>349.99200000000002</v>
      </c>
      <c r="I2907" s="27">
        <v>6.9088799999999999</v>
      </c>
      <c r="K2907" s="27">
        <v>4.9800399999999998</v>
      </c>
      <c r="M2907" s="27">
        <v>888.91800000000001</v>
      </c>
      <c r="O2907" s="27">
        <v>4023.92</v>
      </c>
      <c r="Q2907" s="27">
        <v>7267.33</v>
      </c>
      <c r="S2907" s="27">
        <v>1459.3</v>
      </c>
      <c r="U2907" s="27">
        <v>3.7092200000000002</v>
      </c>
      <c r="W2907" s="27">
        <v>37.909700000000001</v>
      </c>
      <c r="Y2907" s="27">
        <v>7.6123599999999998</v>
      </c>
      <c r="AA2907" s="27">
        <v>535.83000000000004</v>
      </c>
      <c r="AC2907" s="27">
        <v>56.788200000000003</v>
      </c>
      <c r="AE2907" s="27">
        <v>1</v>
      </c>
      <c r="AG2907" s="27">
        <v>7.86937</v>
      </c>
      <c r="AI2907" s="27">
        <v>8.75</v>
      </c>
      <c r="AK2907" s="27">
        <v>24.828900000000001</v>
      </c>
      <c r="AM2907" s="27">
        <v>36.574199999999998</v>
      </c>
      <c r="AO2907" s="27">
        <v>6.7729600000000003</v>
      </c>
    </row>
    <row r="2908" spans="2:41" x14ac:dyDescent="0.25">
      <c r="B2908" s="21">
        <v>45178</v>
      </c>
      <c r="C2908" s="27">
        <v>17.554300000000001</v>
      </c>
      <c r="E2908" s="27">
        <v>0.93464499999999995</v>
      </c>
      <c r="G2908" s="27">
        <v>350.01400000000001</v>
      </c>
      <c r="I2908" s="27">
        <v>6.9096000000000002</v>
      </c>
      <c r="K2908" s="27">
        <v>4.9861000000000004</v>
      </c>
      <c r="M2908" s="27">
        <v>896.07</v>
      </c>
      <c r="O2908" s="27">
        <v>4019.43</v>
      </c>
      <c r="Q2908" s="27">
        <v>7264.77</v>
      </c>
      <c r="S2908" s="27">
        <v>1457.01</v>
      </c>
      <c r="U2908" s="27">
        <v>3.7170000000000001</v>
      </c>
      <c r="W2908" s="27">
        <v>37.957099999999997</v>
      </c>
      <c r="Y2908" s="27">
        <v>7.6125999999999996</v>
      </c>
      <c r="AA2908" s="27">
        <v>535.91</v>
      </c>
      <c r="AC2908" s="27">
        <v>56.797499999999999</v>
      </c>
      <c r="AE2908" s="27">
        <v>1</v>
      </c>
      <c r="AG2908" s="27">
        <v>7.8700700000000001</v>
      </c>
      <c r="AI2908" s="27">
        <v>8.75</v>
      </c>
      <c r="AK2908" s="27">
        <v>24.939800000000002</v>
      </c>
      <c r="AM2908" s="27">
        <v>36.579799999999999</v>
      </c>
      <c r="AO2908" s="27">
        <v>6.7787600000000001</v>
      </c>
    </row>
    <row r="2909" spans="2:41" x14ac:dyDescent="0.25">
      <c r="B2909" s="21">
        <v>45179</v>
      </c>
      <c r="C2909" s="27">
        <v>17.554300000000001</v>
      </c>
      <c r="E2909" s="27">
        <v>0.9345</v>
      </c>
      <c r="G2909" s="27">
        <v>349.98</v>
      </c>
      <c r="I2909" s="27">
        <v>6.9096000000000002</v>
      </c>
      <c r="K2909" s="27">
        <v>4.9860800000000003</v>
      </c>
      <c r="M2909" s="27">
        <v>896.07100000000003</v>
      </c>
      <c r="O2909" s="27">
        <v>4019.38</v>
      </c>
      <c r="Q2909" s="27">
        <v>7264.77</v>
      </c>
      <c r="S2909" s="27">
        <v>1457.02</v>
      </c>
      <c r="U2909" s="27">
        <v>3.7170000000000001</v>
      </c>
      <c r="W2909" s="27">
        <v>37.957099999999997</v>
      </c>
      <c r="Y2909" s="27">
        <v>7.6126399999999999</v>
      </c>
      <c r="AA2909" s="27">
        <v>535.91</v>
      </c>
      <c r="AC2909" s="27">
        <v>56.798000000000002</v>
      </c>
      <c r="AE2909" s="27">
        <v>1</v>
      </c>
      <c r="AG2909" s="27">
        <v>7.8700700000000001</v>
      </c>
      <c r="AI2909" s="27">
        <v>8.75</v>
      </c>
      <c r="AK2909" s="27">
        <v>24.939800000000002</v>
      </c>
      <c r="AM2909" s="27">
        <v>36.579799999999999</v>
      </c>
      <c r="AO2909" s="27">
        <v>6.7787600000000001</v>
      </c>
    </row>
    <row r="2910" spans="2:41" x14ac:dyDescent="0.25">
      <c r="B2910" s="21">
        <v>45180</v>
      </c>
      <c r="C2910" s="27">
        <v>17.576699999999999</v>
      </c>
      <c r="E2910" s="27">
        <v>0.93147000000000002</v>
      </c>
      <c r="G2910" s="27">
        <v>349.858</v>
      </c>
      <c r="I2910" s="27">
        <v>6.9066599999999996</v>
      </c>
      <c r="K2910" s="27">
        <v>4.95566</v>
      </c>
      <c r="M2910" s="27">
        <v>891.83199999999999</v>
      </c>
      <c r="O2910" s="27">
        <v>4006.66</v>
      </c>
      <c r="Q2910" s="27">
        <v>7260.14</v>
      </c>
      <c r="S2910" s="27">
        <v>1465.06</v>
      </c>
      <c r="U2910" s="27">
        <v>3.7079599999999999</v>
      </c>
      <c r="W2910" s="27">
        <v>37.987400000000001</v>
      </c>
      <c r="Y2910" s="27">
        <v>7.6656000000000004</v>
      </c>
      <c r="AA2910" s="27">
        <v>535.82000000000005</v>
      </c>
      <c r="AC2910" s="27">
        <v>56.788200000000003</v>
      </c>
      <c r="AE2910" s="27">
        <v>1</v>
      </c>
      <c r="AG2910" s="27">
        <v>7.86836</v>
      </c>
      <c r="AI2910" s="27">
        <v>8.75</v>
      </c>
      <c r="AK2910" s="27">
        <v>24.680800000000001</v>
      </c>
      <c r="AM2910" s="27">
        <v>36.564999999999998</v>
      </c>
      <c r="AO2910" s="27">
        <v>6.7782999999999998</v>
      </c>
    </row>
    <row r="2911" spans="2:41" x14ac:dyDescent="0.25">
      <c r="B2911" s="21">
        <v>45181</v>
      </c>
      <c r="C2911" s="27">
        <v>17.3813</v>
      </c>
      <c r="E2911" s="27">
        <v>0.93172100000000002</v>
      </c>
      <c r="G2911" s="27">
        <v>349.97399999999999</v>
      </c>
      <c r="I2911" s="27">
        <v>6.9065700000000003</v>
      </c>
      <c r="K2911" s="27">
        <v>4.9403600000000001</v>
      </c>
      <c r="M2911" s="27">
        <v>892.61</v>
      </c>
      <c r="O2911" s="27">
        <v>3986.88</v>
      </c>
      <c r="Q2911" s="27">
        <v>7265.15</v>
      </c>
      <c r="S2911" s="27">
        <v>1470.58</v>
      </c>
      <c r="U2911" s="27">
        <v>3.7056800000000001</v>
      </c>
      <c r="W2911" s="27">
        <v>38.077399999999997</v>
      </c>
      <c r="Y2911" s="27">
        <v>7.7074400000000001</v>
      </c>
      <c r="AA2911" s="27">
        <v>536.48599999999999</v>
      </c>
      <c r="AC2911" s="27">
        <v>56.738300000000002</v>
      </c>
      <c r="AE2911" s="27">
        <v>1</v>
      </c>
      <c r="AG2911" s="27">
        <v>7.8703399999999997</v>
      </c>
      <c r="AI2911" s="27">
        <v>8.75</v>
      </c>
      <c r="AK2911" s="27">
        <v>24.679400000000001</v>
      </c>
      <c r="AM2911" s="27">
        <v>36.566200000000002</v>
      </c>
      <c r="AO2911" s="27">
        <v>6.7804000000000002</v>
      </c>
    </row>
    <row r="2912" spans="2:41" x14ac:dyDescent="0.25">
      <c r="B2912" s="21">
        <v>45182</v>
      </c>
      <c r="C2912" s="27">
        <v>17.255299999999998</v>
      </c>
      <c r="E2912" s="27">
        <v>0.93104100000000001</v>
      </c>
      <c r="G2912" s="27">
        <v>349.99</v>
      </c>
      <c r="I2912" s="27">
        <v>6.90252</v>
      </c>
      <c r="K2912" s="27">
        <v>4.9327199999999998</v>
      </c>
      <c r="M2912" s="27">
        <v>889.577</v>
      </c>
      <c r="O2912" s="27">
        <v>3976.1</v>
      </c>
      <c r="Q2912" s="27">
        <v>7268.44</v>
      </c>
      <c r="S2912" s="27">
        <v>1473.52</v>
      </c>
      <c r="U2912" s="27">
        <v>3.6912600000000002</v>
      </c>
      <c r="W2912" s="27">
        <v>38.083399999999997</v>
      </c>
      <c r="Y2912" s="27">
        <v>7.7206000000000001</v>
      </c>
      <c r="AA2912" s="27">
        <v>535.37300000000005</v>
      </c>
      <c r="AC2912" s="27">
        <v>56.671599999999998</v>
      </c>
      <c r="AE2912" s="27">
        <v>1</v>
      </c>
      <c r="AG2912" s="27">
        <v>7.8638199999999996</v>
      </c>
      <c r="AI2912" s="27">
        <v>8.75</v>
      </c>
      <c r="AK2912" s="27">
        <v>24.596800000000002</v>
      </c>
      <c r="AM2912" s="27">
        <v>36.525399999999998</v>
      </c>
      <c r="AO2912" s="27">
        <v>6.7774799999999997</v>
      </c>
    </row>
    <row r="2913" spans="2:41" x14ac:dyDescent="0.25">
      <c r="B2913" s="21">
        <v>45183</v>
      </c>
      <c r="C2913" s="27">
        <v>17.1235</v>
      </c>
      <c r="E2913" s="27">
        <v>0.93490799999999996</v>
      </c>
      <c r="G2913" s="27">
        <v>349.976</v>
      </c>
      <c r="I2913" s="27">
        <v>6.90984</v>
      </c>
      <c r="K2913" s="27">
        <v>4.8959000000000001</v>
      </c>
      <c r="M2913" s="27">
        <v>884.58600000000001</v>
      </c>
      <c r="O2913" s="27">
        <v>3944.38</v>
      </c>
      <c r="Q2913" s="27">
        <v>7277.86</v>
      </c>
      <c r="S2913" s="27">
        <v>1486.53</v>
      </c>
      <c r="U2913" s="27">
        <v>3.7026300000000001</v>
      </c>
      <c r="W2913" s="27">
        <v>38.182099999999998</v>
      </c>
      <c r="Y2913" s="27">
        <v>7.7988200000000001</v>
      </c>
      <c r="AA2913" s="27">
        <v>534.31600000000003</v>
      </c>
      <c r="AC2913" s="27">
        <v>56.765000000000001</v>
      </c>
      <c r="AE2913" s="27">
        <v>1</v>
      </c>
      <c r="AG2913" s="27">
        <v>7.8704799999999997</v>
      </c>
      <c r="AI2913" s="27">
        <v>8.75</v>
      </c>
      <c r="AK2913" s="27">
        <v>24.656300000000002</v>
      </c>
      <c r="AM2913" s="27">
        <v>36.579799999999999</v>
      </c>
      <c r="AO2913" s="27">
        <v>6.7874400000000001</v>
      </c>
    </row>
    <row r="2914" spans="2:41" x14ac:dyDescent="0.25">
      <c r="B2914" s="21">
        <v>45184</v>
      </c>
      <c r="C2914" s="27">
        <v>17.104199999999999</v>
      </c>
      <c r="E2914" s="27">
        <v>0.93820199999999998</v>
      </c>
      <c r="G2914" s="27">
        <v>349.94600000000003</v>
      </c>
      <c r="I2914" s="27">
        <v>6.9227800000000004</v>
      </c>
      <c r="K2914" s="27">
        <v>4.8688399999999996</v>
      </c>
      <c r="M2914" s="27">
        <v>887.82399999999996</v>
      </c>
      <c r="O2914" s="27">
        <v>3923.1</v>
      </c>
      <c r="Q2914" s="27">
        <v>7290.96</v>
      </c>
      <c r="S2914" s="27">
        <v>1497.48</v>
      </c>
      <c r="U2914" s="27">
        <v>3.7223999999999999</v>
      </c>
      <c r="W2914" s="27">
        <v>38.398000000000003</v>
      </c>
      <c r="Y2914" s="27">
        <v>7.88652</v>
      </c>
      <c r="AA2914" s="27">
        <v>533.84100000000001</v>
      </c>
      <c r="AC2914" s="27">
        <v>56.950800000000001</v>
      </c>
      <c r="AE2914" s="27">
        <v>1</v>
      </c>
      <c r="AG2914" s="27">
        <v>7.8871700000000002</v>
      </c>
      <c r="AI2914" s="27">
        <v>8.75</v>
      </c>
      <c r="AK2914" s="27">
        <v>24.763999999999999</v>
      </c>
      <c r="AM2914" s="27">
        <v>36.654699999999998</v>
      </c>
      <c r="AO2914" s="27">
        <v>6.8003900000000002</v>
      </c>
    </row>
    <row r="2915" spans="2:41" x14ac:dyDescent="0.25">
      <c r="B2915" s="21">
        <v>45185</v>
      </c>
      <c r="C2915" s="27">
        <v>17.104199999999999</v>
      </c>
      <c r="E2915" s="27">
        <v>0.93813400000000002</v>
      </c>
      <c r="G2915" s="27">
        <v>349.83199999999999</v>
      </c>
      <c r="I2915" s="27">
        <v>6.9093999999999998</v>
      </c>
      <c r="K2915" s="27">
        <v>4.8660399999999999</v>
      </c>
      <c r="M2915" s="27">
        <v>884.60500000000002</v>
      </c>
      <c r="O2915" s="27">
        <v>3929.16</v>
      </c>
      <c r="Q2915" s="27">
        <v>7275.36</v>
      </c>
      <c r="S2915" s="27">
        <v>1495.14</v>
      </c>
      <c r="U2915" s="27">
        <v>3.7127500000000002</v>
      </c>
      <c r="W2915" s="27">
        <v>38.2318</v>
      </c>
      <c r="Y2915" s="27">
        <v>7.8569000000000004</v>
      </c>
      <c r="AA2915" s="27">
        <v>532.07500000000005</v>
      </c>
      <c r="AC2915" s="27">
        <v>56.865000000000002</v>
      </c>
      <c r="AE2915" s="27">
        <v>1</v>
      </c>
      <c r="AG2915" s="27">
        <v>7.8738599999999996</v>
      </c>
      <c r="AI2915" s="27">
        <v>8.75</v>
      </c>
      <c r="AK2915" s="27">
        <v>24.844799999999999</v>
      </c>
      <c r="AM2915" s="27">
        <v>36.564799999999998</v>
      </c>
      <c r="AO2915" s="27">
        <v>6.7873999999999999</v>
      </c>
    </row>
    <row r="2916" spans="2:41" x14ac:dyDescent="0.25">
      <c r="B2916" s="21">
        <v>45186</v>
      </c>
      <c r="C2916" s="27">
        <v>17.104199999999999</v>
      </c>
      <c r="E2916" s="27">
        <v>0.93807700000000005</v>
      </c>
      <c r="G2916" s="27">
        <v>349.822</v>
      </c>
      <c r="I2916" s="27">
        <v>6.9088799999999999</v>
      </c>
      <c r="K2916" s="27">
        <v>4.8660600000000001</v>
      </c>
      <c r="M2916" s="27">
        <v>884.60299999999995</v>
      </c>
      <c r="O2916" s="27">
        <v>3928.84</v>
      </c>
      <c r="Q2916" s="27">
        <v>7274.8</v>
      </c>
      <c r="S2916" s="27">
        <v>1495.02</v>
      </c>
      <c r="U2916" s="27">
        <v>3.7126399999999999</v>
      </c>
      <c r="W2916" s="27">
        <v>38.234400000000001</v>
      </c>
      <c r="Y2916" s="27">
        <v>7.8574200000000003</v>
      </c>
      <c r="AA2916" s="27">
        <v>531.98199999999997</v>
      </c>
      <c r="AC2916" s="27">
        <v>56.850299999999997</v>
      </c>
      <c r="AE2916" s="27">
        <v>1</v>
      </c>
      <c r="AG2916" s="27">
        <v>7.87324</v>
      </c>
      <c r="AI2916" s="27">
        <v>8.75</v>
      </c>
      <c r="AK2916" s="27">
        <v>24.844799999999999</v>
      </c>
      <c r="AM2916" s="27">
        <v>36.563299999999998</v>
      </c>
      <c r="AO2916" s="27">
        <v>6.7868899999999996</v>
      </c>
    </row>
    <row r="2917" spans="2:41" x14ac:dyDescent="0.25">
      <c r="B2917" s="21">
        <v>45187</v>
      </c>
      <c r="C2917" s="27">
        <v>17.0807</v>
      </c>
      <c r="E2917" s="27">
        <v>0.93675399999999998</v>
      </c>
      <c r="G2917" s="27">
        <v>349.86099999999999</v>
      </c>
      <c r="I2917" s="27">
        <v>6.9031000000000002</v>
      </c>
      <c r="K2917" s="27">
        <v>4.8605799999999997</v>
      </c>
      <c r="M2917" s="27">
        <v>885.322</v>
      </c>
      <c r="O2917" s="27">
        <v>3918.8</v>
      </c>
      <c r="Q2917" s="27">
        <v>7267.21</v>
      </c>
      <c r="S2917" s="27">
        <v>1495.14</v>
      </c>
      <c r="U2917" s="27">
        <v>3.7117</v>
      </c>
      <c r="W2917" s="27">
        <v>38.169400000000003</v>
      </c>
      <c r="Y2917" s="27">
        <v>7.8528799999999999</v>
      </c>
      <c r="AA2917" s="27">
        <v>530.49099999999999</v>
      </c>
      <c r="AC2917" s="27">
        <v>56.696199999999997</v>
      </c>
      <c r="AE2917" s="27">
        <v>1</v>
      </c>
      <c r="AG2917" s="27">
        <v>7.8660800000000002</v>
      </c>
      <c r="AI2917" s="27">
        <v>8.75</v>
      </c>
      <c r="AK2917" s="27">
        <v>24.7377</v>
      </c>
      <c r="AM2917" s="27">
        <v>36.566600000000001</v>
      </c>
      <c r="AO2917" s="27">
        <v>6.7759</v>
      </c>
    </row>
    <row r="2918" spans="2:41" x14ac:dyDescent="0.25">
      <c r="B2918" s="21">
        <v>45188</v>
      </c>
      <c r="C2918" s="27">
        <v>17.130700000000001</v>
      </c>
      <c r="E2918" s="27">
        <v>0.935778</v>
      </c>
      <c r="G2918" s="27">
        <v>349.976</v>
      </c>
      <c r="I2918" s="27">
        <v>6.9030399999999998</v>
      </c>
      <c r="K2918" s="27">
        <v>4.85928</v>
      </c>
      <c r="M2918" s="27">
        <v>885.58699999999999</v>
      </c>
      <c r="O2918" s="27">
        <v>3903.92</v>
      </c>
      <c r="Q2918" s="27">
        <v>7261.7</v>
      </c>
      <c r="S2918" s="27">
        <v>1494.41</v>
      </c>
      <c r="U2918" s="27">
        <v>3.70953</v>
      </c>
      <c r="W2918" s="27">
        <v>38.0946</v>
      </c>
      <c r="Y2918" s="27">
        <v>7.8395999999999999</v>
      </c>
      <c r="AA2918" s="27">
        <v>530.19000000000005</v>
      </c>
      <c r="AC2918" s="27">
        <v>56.678600000000003</v>
      </c>
      <c r="AE2918" s="27">
        <v>1</v>
      </c>
      <c r="AG2918" s="27">
        <v>7.8642200000000004</v>
      </c>
      <c r="AI2918" s="27">
        <v>8.75</v>
      </c>
      <c r="AK2918" s="27">
        <v>24.722799999999999</v>
      </c>
      <c r="AM2918" s="27">
        <v>36.558900000000001</v>
      </c>
      <c r="AO2918" s="27">
        <v>6.7727199999999996</v>
      </c>
    </row>
    <row r="2919" spans="2:41" x14ac:dyDescent="0.25">
      <c r="B2919" s="21">
        <v>45189</v>
      </c>
      <c r="C2919" s="27">
        <v>17.080500000000001</v>
      </c>
      <c r="E2919" s="27">
        <v>0.93544499999999997</v>
      </c>
      <c r="G2919" s="27">
        <v>349.98599999999999</v>
      </c>
      <c r="I2919" s="27">
        <v>6.9128400000000001</v>
      </c>
      <c r="K2919" s="27">
        <v>4.8648199999999999</v>
      </c>
      <c r="M2919" s="27">
        <v>883.60199999999998</v>
      </c>
      <c r="O2919" s="27">
        <v>3915.48</v>
      </c>
      <c r="Q2919" s="27">
        <v>7273.12</v>
      </c>
      <c r="S2919" s="27">
        <v>1495.06</v>
      </c>
      <c r="U2919" s="27">
        <v>3.71332</v>
      </c>
      <c r="W2919" s="27">
        <v>38.1432</v>
      </c>
      <c r="Y2919" s="27">
        <v>7.8406399999999996</v>
      </c>
      <c r="AA2919" s="27">
        <v>530.86800000000005</v>
      </c>
      <c r="AC2919" s="27">
        <v>56.782699999999998</v>
      </c>
      <c r="AE2919" s="27">
        <v>1</v>
      </c>
      <c r="AG2919" s="27">
        <v>7.8717600000000001</v>
      </c>
      <c r="AI2919" s="27">
        <v>8.75</v>
      </c>
      <c r="AK2919" s="27">
        <v>24.727399999999999</v>
      </c>
      <c r="AM2919" s="27">
        <v>36.610599999999998</v>
      </c>
      <c r="AO2919" s="27">
        <v>6.7837800000000001</v>
      </c>
    </row>
    <row r="2920" spans="2:41" x14ac:dyDescent="0.25">
      <c r="B2920" s="21">
        <v>45190</v>
      </c>
      <c r="C2920" s="27">
        <v>17.024000000000001</v>
      </c>
      <c r="E2920" s="27">
        <v>0.93891000000000002</v>
      </c>
      <c r="G2920" s="27">
        <v>349.99200000000002</v>
      </c>
      <c r="I2920" s="27">
        <v>6.9219299999999997</v>
      </c>
      <c r="K2920" s="27">
        <v>4.9036799999999996</v>
      </c>
      <c r="M2920" s="27">
        <v>886.08699999999999</v>
      </c>
      <c r="O2920" s="27">
        <v>3922.16</v>
      </c>
      <c r="Q2920" s="27">
        <v>7290.74</v>
      </c>
      <c r="S2920" s="27">
        <v>1486.8</v>
      </c>
      <c r="U2920" s="27">
        <v>3.7334399999999999</v>
      </c>
      <c r="W2920" s="27">
        <v>38.248600000000003</v>
      </c>
      <c r="Y2920" s="27">
        <v>7.8000400000000001</v>
      </c>
      <c r="AA2920" s="27">
        <v>532.35799999999995</v>
      </c>
      <c r="AC2920" s="27">
        <v>56.918900000000001</v>
      </c>
      <c r="AE2920" s="27">
        <v>1</v>
      </c>
      <c r="AG2920" s="27">
        <v>7.88</v>
      </c>
      <c r="AI2920" s="27">
        <v>8.75</v>
      </c>
      <c r="AK2920" s="27">
        <v>24.794</v>
      </c>
      <c r="AM2920" s="27">
        <v>36.701500000000003</v>
      </c>
      <c r="AO2920" s="27">
        <v>6.7904799999999996</v>
      </c>
    </row>
    <row r="2921" spans="2:41" x14ac:dyDescent="0.25">
      <c r="B2921" s="21">
        <v>45191</v>
      </c>
      <c r="C2921" s="27">
        <v>17.1675</v>
      </c>
      <c r="E2921" s="27">
        <v>0.93902799999999997</v>
      </c>
      <c r="G2921" s="27">
        <v>350.02600000000001</v>
      </c>
      <c r="I2921" s="27">
        <v>6.9090800000000003</v>
      </c>
      <c r="K2921" s="27">
        <v>4.9313599999999997</v>
      </c>
      <c r="M2921" s="27">
        <v>891.17</v>
      </c>
      <c r="O2921" s="27">
        <v>3952.46</v>
      </c>
      <c r="Q2921" s="27">
        <v>7277.32</v>
      </c>
      <c r="S2921" s="27">
        <v>1475.74</v>
      </c>
      <c r="U2921" s="27">
        <v>3.7395</v>
      </c>
      <c r="W2921" s="27">
        <v>38.085799999999999</v>
      </c>
      <c r="Y2921" s="27">
        <v>7.72323</v>
      </c>
      <c r="AA2921" s="27">
        <v>533.27099999999996</v>
      </c>
      <c r="AC2921" s="27">
        <v>56.757199999999997</v>
      </c>
      <c r="AE2921" s="27">
        <v>1</v>
      </c>
      <c r="AG2921" s="27">
        <v>7.8669399999999996</v>
      </c>
      <c r="AI2921" s="27">
        <v>8.75</v>
      </c>
      <c r="AK2921" s="27">
        <v>24.748000000000001</v>
      </c>
      <c r="AM2921" s="27">
        <v>36.579000000000001</v>
      </c>
      <c r="AO2921" s="27">
        <v>6.7791300000000003</v>
      </c>
    </row>
    <row r="2922" spans="2:41" x14ac:dyDescent="0.25">
      <c r="B2922" s="21">
        <v>45192</v>
      </c>
      <c r="C2922" s="27">
        <v>17.1675</v>
      </c>
      <c r="E2922" s="27">
        <v>0.93941200000000002</v>
      </c>
      <c r="G2922" s="27">
        <v>350.03800000000001</v>
      </c>
      <c r="I2922" s="27">
        <v>6.9099599999999999</v>
      </c>
      <c r="K2922" s="27">
        <v>4.9363000000000001</v>
      </c>
      <c r="M2922" s="27">
        <v>894.52499999999998</v>
      </c>
      <c r="O2922" s="27">
        <v>3976.82</v>
      </c>
      <c r="Q2922" s="27">
        <v>7277.07</v>
      </c>
      <c r="S2922" s="27">
        <v>1474.2</v>
      </c>
      <c r="U2922" s="27">
        <v>3.7465999999999999</v>
      </c>
      <c r="W2922" s="27">
        <v>38.064399999999999</v>
      </c>
      <c r="Y2922" s="27">
        <v>7.7111599999999996</v>
      </c>
      <c r="AA2922" s="27">
        <v>533.97199999999998</v>
      </c>
      <c r="AC2922" s="27">
        <v>56.772500000000001</v>
      </c>
      <c r="AE2922" s="27">
        <v>1</v>
      </c>
      <c r="AG2922" s="27">
        <v>7.86972</v>
      </c>
      <c r="AI2922" s="27">
        <v>8.75</v>
      </c>
      <c r="AK2922" s="27">
        <v>24.829799999999999</v>
      </c>
      <c r="AM2922" s="27">
        <v>36.589799999999997</v>
      </c>
      <c r="AO2922" s="27">
        <v>6.7827999999999999</v>
      </c>
    </row>
    <row r="2923" spans="2:41" x14ac:dyDescent="0.25">
      <c r="B2923" s="21">
        <v>45193</v>
      </c>
      <c r="C2923" s="27">
        <v>17.1675</v>
      </c>
      <c r="E2923" s="27">
        <v>0.93935900000000006</v>
      </c>
      <c r="G2923" s="27">
        <v>349.97800000000001</v>
      </c>
      <c r="I2923" s="27">
        <v>6.9093200000000001</v>
      </c>
      <c r="K2923" s="27">
        <v>4.93621</v>
      </c>
      <c r="M2923" s="27">
        <v>894.50599999999997</v>
      </c>
      <c r="O2923" s="27">
        <v>3977.72</v>
      </c>
      <c r="Q2923" s="27">
        <v>7276.22</v>
      </c>
      <c r="S2923" s="27">
        <v>1474.06</v>
      </c>
      <c r="U2923" s="27">
        <v>3.7455400000000001</v>
      </c>
      <c r="W2923" s="27">
        <v>38.062899999999999</v>
      </c>
      <c r="Y2923" s="27">
        <v>7.7110000000000003</v>
      </c>
      <c r="AA2923" s="27">
        <v>534.01099999999997</v>
      </c>
      <c r="AC2923" s="27">
        <v>56.760800000000003</v>
      </c>
      <c r="AE2923" s="27">
        <v>1</v>
      </c>
      <c r="AG2923" s="27">
        <v>7.8689799999999996</v>
      </c>
      <c r="AI2923" s="27">
        <v>8.75</v>
      </c>
      <c r="AK2923" s="27">
        <v>24.829799999999999</v>
      </c>
      <c r="AM2923" s="27">
        <v>36.583799999999997</v>
      </c>
      <c r="AO2923" s="27">
        <v>6.7821800000000003</v>
      </c>
    </row>
    <row r="2924" spans="2:41" x14ac:dyDescent="0.25">
      <c r="B2924" s="21">
        <v>45194</v>
      </c>
      <c r="C2924" s="27">
        <v>17.1568</v>
      </c>
      <c r="E2924" s="27">
        <v>0.941662</v>
      </c>
      <c r="G2924" s="27">
        <v>349.92399999999998</v>
      </c>
      <c r="I2924" s="27">
        <v>6.9041699999999997</v>
      </c>
      <c r="K2924" s="27">
        <v>4.9496399999999996</v>
      </c>
      <c r="M2924" s="27">
        <v>898.28599999999994</v>
      </c>
      <c r="O2924" s="27">
        <v>4002.88</v>
      </c>
      <c r="Q2924" s="27">
        <v>7275.74</v>
      </c>
      <c r="S2924" s="27">
        <v>1469.96</v>
      </c>
      <c r="U2924" s="27">
        <v>3.74593</v>
      </c>
      <c r="W2924" s="27">
        <v>38.076700000000002</v>
      </c>
      <c r="Y2924" s="27">
        <v>7.6928799999999997</v>
      </c>
      <c r="AA2924" s="27">
        <v>535.06600000000003</v>
      </c>
      <c r="AC2924" s="27">
        <v>56.694400000000002</v>
      </c>
      <c r="AE2924" s="27">
        <v>1</v>
      </c>
      <c r="AG2924" s="27">
        <v>7.8608099999999999</v>
      </c>
      <c r="AI2924" s="27">
        <v>8.75</v>
      </c>
      <c r="AK2924" s="27">
        <v>24.647200000000002</v>
      </c>
      <c r="AM2924" s="27">
        <v>36.543500000000002</v>
      </c>
      <c r="AO2924" s="27">
        <v>6.7774400000000004</v>
      </c>
    </row>
    <row r="2925" spans="2:41" x14ac:dyDescent="0.25">
      <c r="B2925" s="21">
        <v>45195</v>
      </c>
      <c r="C2925" s="27">
        <v>17.3733</v>
      </c>
      <c r="E2925" s="27">
        <v>0.94491400000000003</v>
      </c>
      <c r="G2925" s="27">
        <v>350.02300000000002</v>
      </c>
      <c r="I2925" s="27">
        <v>6.9214500000000001</v>
      </c>
      <c r="K2925" s="27">
        <v>4.9749800000000004</v>
      </c>
      <c r="M2925" s="27">
        <v>904.00599999999997</v>
      </c>
      <c r="O2925" s="27">
        <v>4043.32</v>
      </c>
      <c r="Q2925" s="27">
        <v>7294.22</v>
      </c>
      <c r="S2925" s="27">
        <v>1466.19</v>
      </c>
      <c r="U2925" s="27">
        <v>3.77149</v>
      </c>
      <c r="W2925" s="27">
        <v>38.226500000000001</v>
      </c>
      <c r="Y2925" s="27">
        <v>7.6837799999999996</v>
      </c>
      <c r="AA2925" s="27">
        <v>536.58199999999999</v>
      </c>
      <c r="AC2925" s="27">
        <v>56.899299999999997</v>
      </c>
      <c r="AE2925" s="27">
        <v>1</v>
      </c>
      <c r="AG2925" s="27">
        <v>7.8762800000000004</v>
      </c>
      <c r="AI2925" s="27">
        <v>8.75</v>
      </c>
      <c r="AK2925" s="27">
        <v>24.777799999999999</v>
      </c>
      <c r="AM2925" s="27">
        <v>36.660800000000002</v>
      </c>
      <c r="AO2925" s="27">
        <v>6.7944399999999998</v>
      </c>
    </row>
    <row r="2926" spans="2:41" x14ac:dyDescent="0.25">
      <c r="B2926" s="21">
        <v>45196</v>
      </c>
      <c r="C2926" s="27">
        <v>17.4758</v>
      </c>
      <c r="E2926" s="27">
        <v>0.94909600000000005</v>
      </c>
      <c r="G2926" s="27">
        <v>350.01799999999997</v>
      </c>
      <c r="I2926" s="27">
        <v>6.9203400000000004</v>
      </c>
      <c r="K2926" s="27">
        <v>5.0142499999999997</v>
      </c>
      <c r="M2926" s="27">
        <v>905.98199999999997</v>
      </c>
      <c r="O2926" s="27">
        <v>4081.88</v>
      </c>
      <c r="Q2926" s="27">
        <v>7298.36</v>
      </c>
      <c r="S2926" s="27">
        <v>1455.54</v>
      </c>
      <c r="U2926" s="27">
        <v>3.78586</v>
      </c>
      <c r="W2926" s="27">
        <v>38.294800000000002</v>
      </c>
      <c r="Y2926" s="27">
        <v>7.6372299999999997</v>
      </c>
      <c r="AA2926" s="27">
        <v>537.822</v>
      </c>
      <c r="AC2926" s="27">
        <v>56.842100000000002</v>
      </c>
      <c r="AE2926" s="27">
        <v>1</v>
      </c>
      <c r="AG2926" s="27">
        <v>7.8730799999999999</v>
      </c>
      <c r="AI2926" s="27">
        <v>8.75</v>
      </c>
      <c r="AK2926" s="27">
        <v>24.762</v>
      </c>
      <c r="AM2926" s="27">
        <v>36.631</v>
      </c>
      <c r="AO2926" s="27">
        <v>6.7951800000000002</v>
      </c>
    </row>
    <row r="2927" spans="2:41" x14ac:dyDescent="0.25">
      <c r="B2927" s="21">
        <v>45197</v>
      </c>
      <c r="C2927" s="27">
        <v>17.7287</v>
      </c>
      <c r="E2927" s="27">
        <v>0.94908400000000004</v>
      </c>
      <c r="G2927" s="27">
        <v>350.01</v>
      </c>
      <c r="I2927" s="27">
        <v>6.9196400000000002</v>
      </c>
      <c r="K2927" s="27">
        <v>5.0430200000000003</v>
      </c>
      <c r="M2927" s="27">
        <v>907.74800000000005</v>
      </c>
      <c r="O2927" s="27">
        <v>4095.6</v>
      </c>
      <c r="Q2927" s="27">
        <v>7298.56</v>
      </c>
      <c r="S2927" s="27">
        <v>1447.26</v>
      </c>
      <c r="U2927" s="27">
        <v>3.79114</v>
      </c>
      <c r="W2927" s="27">
        <v>38.381599999999999</v>
      </c>
      <c r="Y2927" s="27">
        <v>7.6108599999999997</v>
      </c>
      <c r="AA2927" s="27">
        <v>538.678</v>
      </c>
      <c r="AC2927" s="27">
        <v>56.843400000000003</v>
      </c>
      <c r="AE2927" s="27">
        <v>1</v>
      </c>
      <c r="AG2927" s="27">
        <v>7.8720400000000001</v>
      </c>
      <c r="AI2927" s="27">
        <v>8.75</v>
      </c>
      <c r="AK2927" s="27">
        <v>24.773</v>
      </c>
      <c r="AM2927" s="27">
        <v>36.634399999999999</v>
      </c>
      <c r="AO2927" s="27">
        <v>6.7964000000000002</v>
      </c>
    </row>
    <row r="2928" spans="2:41" x14ac:dyDescent="0.25">
      <c r="B2928" s="21">
        <v>45198</v>
      </c>
      <c r="C2928" s="27">
        <v>17.619499999999999</v>
      </c>
      <c r="E2928" s="27">
        <v>0.94489500000000004</v>
      </c>
      <c r="G2928" s="27">
        <v>350.01799999999997</v>
      </c>
      <c r="I2928" s="27">
        <v>6.9090600000000002</v>
      </c>
      <c r="K2928" s="27">
        <v>5.0263799999999996</v>
      </c>
      <c r="M2928" s="27">
        <v>899.47199999999998</v>
      </c>
      <c r="O2928" s="27">
        <v>4073.2</v>
      </c>
      <c r="Q2928" s="27">
        <v>7291.78</v>
      </c>
      <c r="S2928" s="27">
        <v>1450.71</v>
      </c>
      <c r="U2928" s="27">
        <v>3.7873399999999999</v>
      </c>
      <c r="W2928" s="27">
        <v>38.308</v>
      </c>
      <c r="Y2928" s="27">
        <v>7.6214199999999996</v>
      </c>
      <c r="AA2928" s="27">
        <v>536.88199999999995</v>
      </c>
      <c r="AC2928" s="27">
        <v>56.725999999999999</v>
      </c>
      <c r="AE2928" s="27">
        <v>1</v>
      </c>
      <c r="AG2928" s="27">
        <v>7.8596000000000004</v>
      </c>
      <c r="AI2928" s="27">
        <v>8.75</v>
      </c>
      <c r="AK2928" s="27">
        <v>24.754000000000001</v>
      </c>
      <c r="AM2928" s="27">
        <v>36.552599999999998</v>
      </c>
      <c r="AO2928" s="27">
        <v>6.7857200000000004</v>
      </c>
    </row>
    <row r="2929" spans="2:41" x14ac:dyDescent="0.25">
      <c r="B2929" s="21">
        <v>45199</v>
      </c>
      <c r="C2929" s="27">
        <v>17.619499999999999</v>
      </c>
      <c r="E2929" s="27">
        <v>0.94567999999999997</v>
      </c>
      <c r="G2929" s="27">
        <v>350.05700000000002</v>
      </c>
      <c r="I2929" s="27">
        <v>6.9171500000000004</v>
      </c>
      <c r="K2929" s="27">
        <v>5.0330000000000004</v>
      </c>
      <c r="M2929" s="27">
        <v>891.15</v>
      </c>
      <c r="O2929" s="27">
        <v>4074.24</v>
      </c>
      <c r="Q2929" s="27">
        <v>7303.85</v>
      </c>
      <c r="S2929" s="27">
        <v>1451.2</v>
      </c>
      <c r="U2929" s="27">
        <v>3.78775</v>
      </c>
      <c r="W2929" s="27">
        <v>38.358199999999997</v>
      </c>
      <c r="Y2929" s="27">
        <v>7.6213600000000001</v>
      </c>
      <c r="AA2929" s="27">
        <v>536.37800000000004</v>
      </c>
      <c r="AC2929" s="27">
        <v>56.797499999999999</v>
      </c>
      <c r="AE2929" s="27">
        <v>1</v>
      </c>
      <c r="AG2929" s="27">
        <v>7.8688399999999996</v>
      </c>
      <c r="AI2929" s="27">
        <v>8.75</v>
      </c>
      <c r="AK2929" s="27">
        <v>24.8522</v>
      </c>
      <c r="AM2929" s="27">
        <v>36.579799999999999</v>
      </c>
      <c r="AO2929" s="27">
        <v>6.79331</v>
      </c>
    </row>
    <row r="2930" spans="2:41" ht="13" x14ac:dyDescent="0.3">
      <c r="B2930" s="25" t="s">
        <v>221</v>
      </c>
      <c r="C2930" s="19">
        <v>17.268999999999998</v>
      </c>
      <c r="E2930" s="19">
        <v>0.93630000000000002</v>
      </c>
      <c r="G2930" s="19">
        <v>349.9941</v>
      </c>
      <c r="I2930" s="19">
        <v>6.9123999999999999</v>
      </c>
      <c r="K2930" s="19">
        <v>4.9435000000000002</v>
      </c>
      <c r="M2930" s="19">
        <v>885.01729999999998</v>
      </c>
      <c r="O2930" s="19">
        <v>4006.1043</v>
      </c>
      <c r="Q2930" s="19">
        <v>7279.3157000000001</v>
      </c>
      <c r="S2930" s="19">
        <v>1472.6506999999999</v>
      </c>
      <c r="U2930" s="19">
        <v>3.7252000000000001</v>
      </c>
      <c r="W2930" s="19">
        <v>38.054000000000002</v>
      </c>
      <c r="Y2930" s="19">
        <v>7.6985999999999999</v>
      </c>
      <c r="AA2930" s="19">
        <v>535.46640000000002</v>
      </c>
      <c r="AC2930" s="19">
        <v>56.802999999999997</v>
      </c>
      <c r="AE2930" s="19">
        <v>1</v>
      </c>
      <c r="AG2930" s="19">
        <v>7.8715999999999999</v>
      </c>
      <c r="AI2930" s="19">
        <v>8.75</v>
      </c>
      <c r="AK2930" s="19">
        <v>24.7531</v>
      </c>
      <c r="AM2930" s="19">
        <v>36.595799999999997</v>
      </c>
      <c r="AO2930" s="19">
        <v>6.7861000000000002</v>
      </c>
    </row>
    <row r="2931" spans="2:41" x14ac:dyDescent="0.25">
      <c r="B2931" s="21">
        <v>45200</v>
      </c>
      <c r="C2931" s="27">
        <v>17.619499999999999</v>
      </c>
      <c r="E2931" s="27">
        <v>0.94579100000000005</v>
      </c>
      <c r="G2931" s="27">
        <v>350.238</v>
      </c>
      <c r="I2931" s="27">
        <v>6.9175199999999997</v>
      </c>
      <c r="K2931" s="27">
        <v>5.0331799999999998</v>
      </c>
      <c r="M2931" s="27">
        <v>891.15</v>
      </c>
      <c r="O2931" s="27">
        <v>4074.14</v>
      </c>
      <c r="Q2931" s="27">
        <v>7304.41</v>
      </c>
      <c r="S2931" s="27">
        <v>1451.26</v>
      </c>
      <c r="U2931" s="27">
        <v>3.7882199999999999</v>
      </c>
      <c r="W2931" s="27">
        <v>38.372599999999998</v>
      </c>
      <c r="Y2931" s="27">
        <v>7.6239600000000003</v>
      </c>
      <c r="AA2931" s="27">
        <v>536.30600000000004</v>
      </c>
      <c r="AC2931" s="27">
        <v>56.802500000000002</v>
      </c>
      <c r="AE2931" s="27">
        <v>1</v>
      </c>
      <c r="AG2931" s="27">
        <v>7.8692200000000003</v>
      </c>
      <c r="AI2931" s="27">
        <v>8.75</v>
      </c>
      <c r="AK2931" s="27">
        <v>24.845800000000001</v>
      </c>
      <c r="AM2931" s="27">
        <v>36.584000000000003</v>
      </c>
      <c r="AO2931" s="27">
        <v>6.7937000000000003</v>
      </c>
    </row>
    <row r="2932" spans="2:41" x14ac:dyDescent="0.25">
      <c r="B2932" s="21">
        <v>45201</v>
      </c>
      <c r="C2932" s="27">
        <v>17.412700000000001</v>
      </c>
      <c r="E2932" s="27">
        <v>0.94972199999999996</v>
      </c>
      <c r="G2932" s="27">
        <v>350.31700000000001</v>
      </c>
      <c r="I2932" s="27">
        <v>6.9242999999999997</v>
      </c>
      <c r="K2932" s="27">
        <v>5.05199</v>
      </c>
      <c r="M2932" s="27">
        <v>898.38300000000004</v>
      </c>
      <c r="O2932" s="27">
        <v>4111.32</v>
      </c>
      <c r="Q2932" s="27">
        <v>7313.44</v>
      </c>
      <c r="S2932" s="27">
        <v>1447.68</v>
      </c>
      <c r="U2932" s="27">
        <v>3.7978000000000001</v>
      </c>
      <c r="W2932" s="27">
        <v>38.552399999999999</v>
      </c>
      <c r="Y2932" s="27">
        <v>7.6312699999999998</v>
      </c>
      <c r="AA2932" s="27">
        <v>535.58000000000004</v>
      </c>
      <c r="AC2932" s="27">
        <v>56.911000000000001</v>
      </c>
      <c r="AE2932" s="27">
        <v>1</v>
      </c>
      <c r="AG2932" s="27">
        <v>7.8760199999999996</v>
      </c>
      <c r="AI2932" s="27">
        <v>8.75</v>
      </c>
      <c r="AK2932" s="27">
        <v>24.735499999999998</v>
      </c>
      <c r="AM2932" s="27">
        <v>36.651800000000001</v>
      </c>
      <c r="AO2932" s="27">
        <v>6.8005000000000004</v>
      </c>
    </row>
    <row r="2933" spans="2:41" x14ac:dyDescent="0.25">
      <c r="B2933" s="21">
        <v>45202</v>
      </c>
      <c r="C2933" s="27">
        <v>17.591999999999999</v>
      </c>
      <c r="E2933" s="27">
        <v>0.95503199999999999</v>
      </c>
      <c r="G2933" s="27">
        <v>350.01</v>
      </c>
      <c r="I2933" s="27">
        <v>6.9306400000000004</v>
      </c>
      <c r="K2933" s="27">
        <v>5.0993700000000004</v>
      </c>
      <c r="M2933" s="27">
        <v>912.53399999999999</v>
      </c>
      <c r="O2933" s="27">
        <v>4181.8100000000004</v>
      </c>
      <c r="Q2933" s="27">
        <v>7314.87</v>
      </c>
      <c r="S2933" s="27">
        <v>1434.48</v>
      </c>
      <c r="U2933" s="27">
        <v>3.80016</v>
      </c>
      <c r="W2933" s="27">
        <v>38.672199999999997</v>
      </c>
      <c r="Y2933" s="27">
        <v>7.5837599999999998</v>
      </c>
      <c r="AA2933" s="27">
        <v>536.69799999999998</v>
      </c>
      <c r="AC2933" s="27">
        <v>56.9116</v>
      </c>
      <c r="AE2933" s="27">
        <v>1</v>
      </c>
      <c r="AG2933" s="27">
        <v>7.8819400000000002</v>
      </c>
      <c r="AI2933" s="27">
        <v>8.75</v>
      </c>
      <c r="AK2933" s="27">
        <v>24.7879</v>
      </c>
      <c r="AM2933" s="27">
        <v>36.699399999999997</v>
      </c>
      <c r="AO2933" s="27">
        <v>6.8069899999999999</v>
      </c>
    </row>
    <row r="2934" spans="2:41" x14ac:dyDescent="0.25">
      <c r="B2934" s="21">
        <v>45203</v>
      </c>
      <c r="C2934" s="27">
        <v>17.9025</v>
      </c>
      <c r="E2934" s="27">
        <v>0.95305899999999999</v>
      </c>
      <c r="G2934" s="27">
        <v>350.02199999999999</v>
      </c>
      <c r="I2934" s="27">
        <v>6.9082999999999997</v>
      </c>
      <c r="K2934" s="27">
        <v>5.1586600000000002</v>
      </c>
      <c r="M2934" s="27">
        <v>916.21600000000001</v>
      </c>
      <c r="O2934" s="27">
        <v>4232.12</v>
      </c>
      <c r="Q2934" s="27">
        <v>7288.36</v>
      </c>
      <c r="S2934" s="27">
        <v>1412.85</v>
      </c>
      <c r="U2934" s="27">
        <v>3.7981699999999998</v>
      </c>
      <c r="W2934" s="27">
        <v>38.735799999999998</v>
      </c>
      <c r="Y2934" s="27">
        <v>7.5089199999999998</v>
      </c>
      <c r="AA2934" s="27">
        <v>535.19299999999998</v>
      </c>
      <c r="AC2934" s="27">
        <v>56.798000000000002</v>
      </c>
      <c r="AE2934" s="27">
        <v>1</v>
      </c>
      <c r="AG2934" s="27">
        <v>7.8526400000000001</v>
      </c>
      <c r="AI2934" s="27">
        <v>8.75</v>
      </c>
      <c r="AK2934" s="27">
        <v>24.699400000000001</v>
      </c>
      <c r="AM2934" s="27">
        <v>36.603999999999999</v>
      </c>
      <c r="AO2934" s="27">
        <v>6.7816599999999996</v>
      </c>
    </row>
    <row r="2935" spans="2:41" x14ac:dyDescent="0.25">
      <c r="B2935" s="21">
        <v>45204</v>
      </c>
      <c r="C2935" s="27">
        <v>18.016999999999999</v>
      </c>
      <c r="E2935" s="27">
        <v>0.94993399999999995</v>
      </c>
      <c r="G2935" s="27">
        <v>350.01799999999997</v>
      </c>
      <c r="I2935" s="27">
        <v>6.9034399999999998</v>
      </c>
      <c r="K2935" s="27">
        <v>5.1624600000000003</v>
      </c>
      <c r="M2935" s="27">
        <v>915.87400000000002</v>
      </c>
      <c r="O2935" s="27">
        <v>4309.74</v>
      </c>
      <c r="Q2935" s="27">
        <v>7290.94</v>
      </c>
      <c r="S2935" s="27">
        <v>1412.31</v>
      </c>
      <c r="U2935" s="27">
        <v>3.8047200000000001</v>
      </c>
      <c r="W2935" s="27">
        <v>38.912599999999998</v>
      </c>
      <c r="Y2935" s="27">
        <v>7.5376399999999997</v>
      </c>
      <c r="AA2935" s="27">
        <v>532.37699999999995</v>
      </c>
      <c r="AC2935" s="27">
        <v>56.726999999999997</v>
      </c>
      <c r="AE2935" s="27">
        <v>1</v>
      </c>
      <c r="AG2935" s="27">
        <v>7.8424199999999997</v>
      </c>
      <c r="AI2935" s="27">
        <v>8.75</v>
      </c>
      <c r="AK2935" s="27">
        <v>24.723600000000001</v>
      </c>
      <c r="AM2935" s="27">
        <v>36.573599999999999</v>
      </c>
      <c r="AO2935" s="27">
        <v>6.7724700000000002</v>
      </c>
    </row>
    <row r="2936" spans="2:41" x14ac:dyDescent="0.25">
      <c r="B2936" s="21">
        <v>45205</v>
      </c>
      <c r="C2936" s="27">
        <v>18.2407</v>
      </c>
      <c r="E2936" s="27">
        <v>0.94711800000000002</v>
      </c>
      <c r="G2936" s="27">
        <v>350.00400000000002</v>
      </c>
      <c r="I2936" s="27">
        <v>6.9028700000000001</v>
      </c>
      <c r="K2936" s="27">
        <v>5.1665400000000004</v>
      </c>
      <c r="M2936" s="27">
        <v>917.84900000000005</v>
      </c>
      <c r="O2936" s="27">
        <v>4331.6499999999996</v>
      </c>
      <c r="Q2936" s="27">
        <v>7299.7</v>
      </c>
      <c r="S2936" s="27">
        <v>1412.88</v>
      </c>
      <c r="U2936" s="27">
        <v>3.8142399999999999</v>
      </c>
      <c r="W2936" s="27">
        <v>39.121200000000002</v>
      </c>
      <c r="Y2936" s="27">
        <v>7.5720400000000003</v>
      </c>
      <c r="AA2936" s="27">
        <v>532.66999999999996</v>
      </c>
      <c r="AC2936" s="27">
        <v>56.740400000000001</v>
      </c>
      <c r="AE2936" s="27">
        <v>1</v>
      </c>
      <c r="AG2936" s="27">
        <v>7.8389199999999999</v>
      </c>
      <c r="AI2936" s="27">
        <v>8.75</v>
      </c>
      <c r="AK2936" s="27">
        <v>24.670400000000001</v>
      </c>
      <c r="AM2936" s="27">
        <v>36.5608</v>
      </c>
      <c r="AO2936" s="27">
        <v>6.7701000000000002</v>
      </c>
    </row>
    <row r="2937" spans="2:41" x14ac:dyDescent="0.25">
      <c r="B2937" s="21">
        <v>45206</v>
      </c>
      <c r="C2937" s="27">
        <v>18.2407</v>
      </c>
      <c r="E2937" s="27">
        <v>0.94454199999999999</v>
      </c>
      <c r="G2937" s="27">
        <v>349.90199999999999</v>
      </c>
      <c r="I2937" s="27">
        <v>6.9093600000000004</v>
      </c>
      <c r="K2937" s="27">
        <v>5.1494999999999997</v>
      </c>
      <c r="M2937" s="27">
        <v>923.5</v>
      </c>
      <c r="O2937" s="27">
        <v>4326.18</v>
      </c>
      <c r="Q2937" s="27">
        <v>7308.32</v>
      </c>
      <c r="S2937" s="27">
        <v>1419.24</v>
      </c>
      <c r="U2937" s="27">
        <v>3.81975</v>
      </c>
      <c r="W2937" s="27">
        <v>39.165199999999999</v>
      </c>
      <c r="Y2937" s="27">
        <v>7.6056600000000003</v>
      </c>
      <c r="AA2937" s="27">
        <v>533.58000000000004</v>
      </c>
      <c r="AC2937" s="27">
        <v>56.897500000000001</v>
      </c>
      <c r="AE2937" s="27">
        <v>1</v>
      </c>
      <c r="AG2937" s="27">
        <v>7.8441599999999996</v>
      </c>
      <c r="AI2937" s="27">
        <v>8.75</v>
      </c>
      <c r="AK2937" s="27">
        <v>24.739799999999999</v>
      </c>
      <c r="AM2937" s="27">
        <v>36.629800000000003</v>
      </c>
      <c r="AO2937" s="27">
        <v>6.7748600000000003</v>
      </c>
    </row>
    <row r="2938" spans="2:41" x14ac:dyDescent="0.25">
      <c r="B2938" s="21">
        <v>45207</v>
      </c>
      <c r="C2938" s="27">
        <v>18.2407</v>
      </c>
      <c r="E2938" s="27">
        <v>0.94486400000000004</v>
      </c>
      <c r="G2938" s="27">
        <v>349.90899999999999</v>
      </c>
      <c r="I2938" s="27">
        <v>6.9083399999999999</v>
      </c>
      <c r="K2938" s="27">
        <v>5.1495300000000004</v>
      </c>
      <c r="M2938" s="27">
        <v>923.5</v>
      </c>
      <c r="O2938" s="27">
        <v>4326.34</v>
      </c>
      <c r="Q2938" s="27">
        <v>7307.34</v>
      </c>
      <c r="S2938" s="27">
        <v>1419.04</v>
      </c>
      <c r="U2938" s="27">
        <v>3.8191199999999998</v>
      </c>
      <c r="W2938" s="27">
        <v>39.157600000000002</v>
      </c>
      <c r="Y2938" s="27">
        <v>7.6041400000000001</v>
      </c>
      <c r="AA2938" s="27">
        <v>533.50599999999997</v>
      </c>
      <c r="AC2938" s="27">
        <v>56.881500000000003</v>
      </c>
      <c r="AE2938" s="27">
        <v>1</v>
      </c>
      <c r="AG2938" s="27">
        <v>7.8430099999999996</v>
      </c>
      <c r="AI2938" s="27">
        <v>8.75</v>
      </c>
      <c r="AK2938" s="27">
        <v>24.735700000000001</v>
      </c>
      <c r="AM2938" s="27">
        <v>36.619999999999997</v>
      </c>
      <c r="AO2938" s="27">
        <v>6.7738399999999999</v>
      </c>
    </row>
    <row r="2939" spans="2:41" x14ac:dyDescent="0.25">
      <c r="B2939" s="21">
        <v>45208</v>
      </c>
      <c r="C2939" s="27">
        <v>18.183700000000002</v>
      </c>
      <c r="E2939" s="27">
        <v>0.94776000000000005</v>
      </c>
      <c r="G2939" s="27">
        <v>349.95800000000003</v>
      </c>
      <c r="I2939" s="27">
        <v>6.9011300000000002</v>
      </c>
      <c r="K2939" s="27">
        <v>5.1481399999999997</v>
      </c>
      <c r="M2939" s="27">
        <v>923.11400000000003</v>
      </c>
      <c r="O2939" s="27">
        <v>4320.04</v>
      </c>
      <c r="Q2939" s="27">
        <v>7301.42</v>
      </c>
      <c r="S2939" s="27">
        <v>1418.27</v>
      </c>
      <c r="U2939" s="27">
        <v>3.8193199999999998</v>
      </c>
      <c r="W2939" s="27">
        <v>39.203299999999999</v>
      </c>
      <c r="Y2939" s="27">
        <v>7.6150799999999998</v>
      </c>
      <c r="AA2939" s="27">
        <v>533.51400000000001</v>
      </c>
      <c r="AC2939" s="27">
        <v>56.706000000000003</v>
      </c>
      <c r="AE2939" s="27">
        <v>1</v>
      </c>
      <c r="AG2939" s="27">
        <v>7.8351800000000003</v>
      </c>
      <c r="AI2939" s="27">
        <v>8.75</v>
      </c>
      <c r="AK2939" s="27">
        <v>24.6372</v>
      </c>
      <c r="AM2939" s="27">
        <v>36.531300000000002</v>
      </c>
      <c r="AO2939" s="27">
        <v>6.7718999999999996</v>
      </c>
    </row>
    <row r="2940" spans="2:41" x14ac:dyDescent="0.25">
      <c r="B2940" s="21">
        <v>45209</v>
      </c>
      <c r="C2940" s="27">
        <v>18.348199999999999</v>
      </c>
      <c r="E2940" s="27">
        <v>0.94439200000000001</v>
      </c>
      <c r="G2940" s="27">
        <v>350.02800000000002</v>
      </c>
      <c r="I2940" s="27">
        <v>6.8975999999999997</v>
      </c>
      <c r="K2940" s="27">
        <v>5.1037800000000004</v>
      </c>
      <c r="M2940" s="27">
        <v>924.221</v>
      </c>
      <c r="O2940" s="27">
        <v>4277.42</v>
      </c>
      <c r="Q2940" s="27">
        <v>7298.66</v>
      </c>
      <c r="S2940" s="27">
        <v>1430.06</v>
      </c>
      <c r="U2940" s="27">
        <v>3.81942</v>
      </c>
      <c r="W2940" s="27">
        <v>39.406100000000002</v>
      </c>
      <c r="Y2940" s="27">
        <v>7.7210000000000001</v>
      </c>
      <c r="AA2940" s="27">
        <v>533.85</v>
      </c>
      <c r="AC2940" s="27">
        <v>56.714399999999998</v>
      </c>
      <c r="AE2940" s="27">
        <v>1</v>
      </c>
      <c r="AG2940" s="27">
        <v>7.8306899999999997</v>
      </c>
      <c r="AI2940" s="27">
        <v>8.75</v>
      </c>
      <c r="AK2940" s="27">
        <v>24.622900000000001</v>
      </c>
      <c r="AM2940" s="27">
        <v>36.526800000000001</v>
      </c>
      <c r="AO2940" s="27">
        <v>6.7736799999999997</v>
      </c>
    </row>
    <row r="2941" spans="2:41" x14ac:dyDescent="0.25">
      <c r="B2941" s="21">
        <v>45210</v>
      </c>
      <c r="C2941" s="27">
        <v>17.991700000000002</v>
      </c>
      <c r="E2941" s="27">
        <v>0.94254199999999999</v>
      </c>
      <c r="G2941" s="27">
        <v>350.06400000000002</v>
      </c>
      <c r="I2941" s="27">
        <v>6.9023599999999998</v>
      </c>
      <c r="K2941" s="27">
        <v>5.0521599999999998</v>
      </c>
      <c r="M2941" s="27">
        <v>928.24300000000005</v>
      </c>
      <c r="O2941" s="27">
        <v>4224.96</v>
      </c>
      <c r="Q2941" s="27">
        <v>7309.18</v>
      </c>
      <c r="S2941" s="27">
        <v>1446.76</v>
      </c>
      <c r="U2941" s="27">
        <v>3.8262</v>
      </c>
      <c r="W2941" s="27">
        <v>39.561399999999999</v>
      </c>
      <c r="Y2941" s="27">
        <v>7.8306300000000002</v>
      </c>
      <c r="AA2941" s="27">
        <v>534.36199999999997</v>
      </c>
      <c r="AC2941" s="27">
        <v>56.779000000000003</v>
      </c>
      <c r="AE2941" s="27">
        <v>1</v>
      </c>
      <c r="AG2941" s="27">
        <v>7.8349399999999996</v>
      </c>
      <c r="AI2941" s="27">
        <v>8.75</v>
      </c>
      <c r="AK2941" s="27">
        <v>24.666399999999999</v>
      </c>
      <c r="AM2941" s="27">
        <v>36.5762</v>
      </c>
      <c r="AO2941" s="27">
        <v>6.7807599999999999</v>
      </c>
    </row>
    <row r="2942" spans="2:41" x14ac:dyDescent="0.25">
      <c r="B2942" s="21">
        <v>45211</v>
      </c>
      <c r="C2942" s="27">
        <v>17.841999999999999</v>
      </c>
      <c r="E2942" s="27">
        <v>0.94466600000000001</v>
      </c>
      <c r="G2942" s="27">
        <v>350.06400000000002</v>
      </c>
      <c r="I2942" s="27">
        <v>6.9021999999999997</v>
      </c>
      <c r="K2942" s="27">
        <v>5.0487000000000002</v>
      </c>
      <c r="M2942" s="27">
        <v>929.95299999999997</v>
      </c>
      <c r="O2942" s="27">
        <v>4234.38</v>
      </c>
      <c r="Q2942" s="27">
        <v>7317.1</v>
      </c>
      <c r="S2942" s="27">
        <v>1449.32</v>
      </c>
      <c r="U2942" s="27">
        <v>3.8221599999999998</v>
      </c>
      <c r="W2942" s="27">
        <v>39.679600000000001</v>
      </c>
      <c r="Y2942" s="27">
        <v>7.8593999999999999</v>
      </c>
      <c r="AA2942" s="27">
        <v>533.72900000000004</v>
      </c>
      <c r="AC2942" s="27">
        <v>56.756</v>
      </c>
      <c r="AE2942" s="27">
        <v>1</v>
      </c>
      <c r="AG2942" s="27">
        <v>7.8348899999999997</v>
      </c>
      <c r="AI2942" s="27">
        <v>8.75</v>
      </c>
      <c r="AK2942" s="27">
        <v>24.668099999999999</v>
      </c>
      <c r="AM2942" s="27">
        <v>36.564999999999998</v>
      </c>
      <c r="AO2942" s="27">
        <v>6.7809999999999997</v>
      </c>
    </row>
    <row r="2943" spans="2:41" x14ac:dyDescent="0.25">
      <c r="B2943" s="21">
        <v>45212</v>
      </c>
      <c r="C2943" s="27">
        <v>17.9132</v>
      </c>
      <c r="E2943" s="27">
        <v>0.95000200000000001</v>
      </c>
      <c r="G2943" s="27">
        <v>350.07499999999999</v>
      </c>
      <c r="I2943" s="27">
        <v>6.9195599999999997</v>
      </c>
      <c r="K2943" s="27">
        <v>5.0620200000000004</v>
      </c>
      <c r="M2943" s="27">
        <v>937.6</v>
      </c>
      <c r="O2943" s="27">
        <v>4257.9399999999996</v>
      </c>
      <c r="Q2943" s="27">
        <v>7344.48</v>
      </c>
      <c r="S2943" s="27">
        <v>1450.9</v>
      </c>
      <c r="U2943" s="27">
        <v>3.8456800000000002</v>
      </c>
      <c r="W2943" s="27">
        <v>39.874400000000001</v>
      </c>
      <c r="Y2943" s="27">
        <v>7.8771800000000001</v>
      </c>
      <c r="AA2943" s="27">
        <v>533.71</v>
      </c>
      <c r="AC2943" s="27">
        <v>57.034300000000002</v>
      </c>
      <c r="AE2943" s="27">
        <v>1</v>
      </c>
      <c r="AG2943" s="27">
        <v>7.8538500000000004</v>
      </c>
      <c r="AI2943" s="27">
        <v>8.75</v>
      </c>
      <c r="AK2943" s="27">
        <v>24.7623</v>
      </c>
      <c r="AM2943" s="27">
        <v>36.727600000000002</v>
      </c>
      <c r="AO2943" s="27">
        <v>6.79697</v>
      </c>
    </row>
    <row r="2944" spans="2:41" x14ac:dyDescent="0.25">
      <c r="B2944" s="21">
        <v>45213</v>
      </c>
      <c r="C2944" s="27">
        <v>17.9132</v>
      </c>
      <c r="E2944" s="27">
        <v>0.95157000000000003</v>
      </c>
      <c r="G2944" s="27">
        <v>350.04500000000002</v>
      </c>
      <c r="I2944" s="27">
        <v>6.9097999999999997</v>
      </c>
      <c r="K2944" s="27">
        <v>5.0796000000000001</v>
      </c>
      <c r="M2944" s="27">
        <v>937.78</v>
      </c>
      <c r="O2944" s="27">
        <v>4236.1000000000004</v>
      </c>
      <c r="Q2944" s="27">
        <v>7339.12</v>
      </c>
      <c r="S2944" s="27">
        <v>1444.83</v>
      </c>
      <c r="U2944" s="27">
        <v>3.8422800000000001</v>
      </c>
      <c r="W2944" s="27">
        <v>39.863</v>
      </c>
      <c r="Y2944" s="27">
        <v>7.8476999999999997</v>
      </c>
      <c r="AA2944" s="27">
        <v>532.30100000000004</v>
      </c>
      <c r="AC2944" s="27">
        <v>56.8872</v>
      </c>
      <c r="AE2944" s="27">
        <v>1</v>
      </c>
      <c r="AG2944" s="27">
        <v>7.8427300000000004</v>
      </c>
      <c r="AI2944" s="27">
        <v>8.75</v>
      </c>
      <c r="AK2944" s="27">
        <v>24.6921</v>
      </c>
      <c r="AM2944" s="27">
        <v>36.627800000000001</v>
      </c>
      <c r="AO2944" s="27">
        <v>6.78796</v>
      </c>
    </row>
    <row r="2945" spans="2:41" x14ac:dyDescent="0.25">
      <c r="B2945" s="21">
        <v>45214</v>
      </c>
      <c r="C2945" s="27">
        <v>17.9132</v>
      </c>
      <c r="E2945" s="27">
        <v>0.95145900000000005</v>
      </c>
      <c r="G2945" s="27">
        <v>350.04700000000003</v>
      </c>
      <c r="I2945" s="27">
        <v>6.9099899999999996</v>
      </c>
      <c r="K2945" s="27">
        <v>5.0790800000000003</v>
      </c>
      <c r="M2945" s="27">
        <v>937.79</v>
      </c>
      <c r="O2945" s="27">
        <v>4236.17</v>
      </c>
      <c r="Q2945" s="27">
        <v>7339.12</v>
      </c>
      <c r="S2945" s="27">
        <v>1444.98</v>
      </c>
      <c r="U2945" s="27">
        <v>3.8422800000000001</v>
      </c>
      <c r="W2945" s="27">
        <v>39.855699999999999</v>
      </c>
      <c r="Y2945" s="27">
        <v>7.8470599999999999</v>
      </c>
      <c r="AA2945" s="27">
        <v>532.30100000000004</v>
      </c>
      <c r="AC2945" s="27">
        <v>56.8872</v>
      </c>
      <c r="AE2945" s="27">
        <v>1</v>
      </c>
      <c r="AG2945" s="27">
        <v>7.8429200000000003</v>
      </c>
      <c r="AI2945" s="27">
        <v>8.75</v>
      </c>
      <c r="AK2945" s="27">
        <v>24.6921</v>
      </c>
      <c r="AM2945" s="27">
        <v>36.627800000000001</v>
      </c>
      <c r="AO2945" s="27">
        <v>6.7881799999999997</v>
      </c>
    </row>
    <row r="2946" spans="2:41" x14ac:dyDescent="0.25">
      <c r="B2946" s="21">
        <v>45215</v>
      </c>
      <c r="C2946" s="27">
        <v>18.036200000000001</v>
      </c>
      <c r="E2946" s="27">
        <v>0.94885399999999998</v>
      </c>
      <c r="G2946" s="27">
        <v>350.04399999999998</v>
      </c>
      <c r="I2946" s="27">
        <v>6.9112799999999996</v>
      </c>
      <c r="K2946" s="27">
        <v>5.0562399999999998</v>
      </c>
      <c r="M2946" s="27">
        <v>941.76</v>
      </c>
      <c r="O2946" s="27">
        <v>4238.6400000000003</v>
      </c>
      <c r="Q2946" s="27">
        <v>7355.77</v>
      </c>
      <c r="S2946" s="27">
        <v>1454.82</v>
      </c>
      <c r="U2946" s="27">
        <v>3.85</v>
      </c>
      <c r="W2946" s="27">
        <v>39.896799999999999</v>
      </c>
      <c r="Y2946" s="27">
        <v>7.8907699999999998</v>
      </c>
      <c r="AA2946" s="27">
        <v>531.14200000000005</v>
      </c>
      <c r="AC2946" s="27">
        <v>56.830199999999998</v>
      </c>
      <c r="AE2946" s="27">
        <v>1</v>
      </c>
      <c r="AG2946" s="27">
        <v>7.8448599999999997</v>
      </c>
      <c r="AI2946" s="27">
        <v>8.75</v>
      </c>
      <c r="AK2946" s="27">
        <v>24.692799999999998</v>
      </c>
      <c r="AM2946" s="27">
        <v>36.615200000000002</v>
      </c>
      <c r="AO2946" s="27">
        <v>6.7931600000000003</v>
      </c>
    </row>
    <row r="2947" spans="2:41" x14ac:dyDescent="0.25">
      <c r="B2947" s="21">
        <v>45216</v>
      </c>
      <c r="C2947" s="27">
        <v>17.956800000000001</v>
      </c>
      <c r="E2947" s="27">
        <v>0.94681300000000002</v>
      </c>
      <c r="G2947" s="27">
        <v>350.02300000000002</v>
      </c>
      <c r="I2947" s="27">
        <v>6.9004799999999999</v>
      </c>
      <c r="K2947" s="27">
        <v>5.0377999999999998</v>
      </c>
      <c r="M2947" s="27">
        <v>943.98299999999995</v>
      </c>
      <c r="O2947" s="27">
        <v>4226.0200000000004</v>
      </c>
      <c r="Q2947" s="27">
        <v>7372.05</v>
      </c>
      <c r="S2947" s="27">
        <v>1463.36</v>
      </c>
      <c r="U2947" s="27">
        <v>3.85385</v>
      </c>
      <c r="W2947" s="27">
        <v>39.8992</v>
      </c>
      <c r="Y2947" s="27">
        <v>7.9199799999999998</v>
      </c>
      <c r="AA2947" s="27">
        <v>530.56600000000003</v>
      </c>
      <c r="AC2947" s="27">
        <v>56.723799999999997</v>
      </c>
      <c r="AE2947" s="27">
        <v>1</v>
      </c>
      <c r="AG2947" s="27">
        <v>7.83162</v>
      </c>
      <c r="AI2947" s="27">
        <v>8.75</v>
      </c>
      <c r="AK2947" s="27">
        <v>24.674700000000001</v>
      </c>
      <c r="AM2947" s="27">
        <v>36.643900000000002</v>
      </c>
      <c r="AO2947" s="27">
        <v>6.7801</v>
      </c>
    </row>
    <row r="2948" spans="2:41" x14ac:dyDescent="0.25">
      <c r="B2948" s="21">
        <v>45217</v>
      </c>
      <c r="C2948" s="27">
        <v>17.909700000000001</v>
      </c>
      <c r="E2948" s="27">
        <v>0.94719200000000003</v>
      </c>
      <c r="G2948" s="27">
        <v>349.97800000000001</v>
      </c>
      <c r="I2948" s="27">
        <v>6.90604</v>
      </c>
      <c r="K2948" s="27">
        <v>5.0464200000000003</v>
      </c>
      <c r="M2948" s="27">
        <v>938.19</v>
      </c>
      <c r="O2948" s="27">
        <v>4216.88</v>
      </c>
      <c r="Q2948" s="27">
        <v>7402.57</v>
      </c>
      <c r="S2948" s="27">
        <v>1466.9</v>
      </c>
      <c r="U2948" s="27">
        <v>3.85128</v>
      </c>
      <c r="W2948" s="27">
        <v>39.928400000000003</v>
      </c>
      <c r="Y2948" s="27">
        <v>7.9122500000000002</v>
      </c>
      <c r="AA2948" s="27">
        <v>531.36400000000003</v>
      </c>
      <c r="AC2948" s="27">
        <v>56.723100000000002</v>
      </c>
      <c r="AE2948" s="27">
        <v>1</v>
      </c>
      <c r="AG2948" s="27">
        <v>7.8387399999999996</v>
      </c>
      <c r="AI2948" s="27">
        <v>8.75</v>
      </c>
      <c r="AK2948" s="27">
        <v>24.6676</v>
      </c>
      <c r="AM2948" s="27">
        <v>36.569200000000002</v>
      </c>
      <c r="AO2948" s="27">
        <v>6.7813600000000003</v>
      </c>
    </row>
    <row r="2949" spans="2:41" x14ac:dyDescent="0.25">
      <c r="B2949" s="21">
        <v>45218</v>
      </c>
      <c r="C2949" s="27">
        <v>18.244</v>
      </c>
      <c r="E2949" s="27">
        <v>0.94694199999999995</v>
      </c>
      <c r="G2949" s="27">
        <v>350.036</v>
      </c>
      <c r="I2949" s="27">
        <v>6.9119799999999998</v>
      </c>
      <c r="K2949" s="27">
        <v>5.0555599999999998</v>
      </c>
      <c r="M2949" s="27">
        <v>940.82</v>
      </c>
      <c r="O2949" s="27">
        <v>4252.1099999999997</v>
      </c>
      <c r="Q2949" s="27">
        <v>7417.44</v>
      </c>
      <c r="S2949" s="27">
        <v>1467.2</v>
      </c>
      <c r="U2949" s="27">
        <v>3.8613400000000002</v>
      </c>
      <c r="W2949" s="27">
        <v>39.9407</v>
      </c>
      <c r="Y2949" s="27">
        <v>7.9003800000000002</v>
      </c>
      <c r="AA2949" s="27">
        <v>531.21400000000006</v>
      </c>
      <c r="AC2949" s="27">
        <v>56.840800000000002</v>
      </c>
      <c r="AE2949" s="27">
        <v>1</v>
      </c>
      <c r="AG2949" s="27">
        <v>7.8473600000000001</v>
      </c>
      <c r="AI2949" s="27">
        <v>8.75</v>
      </c>
      <c r="AK2949" s="27">
        <v>24.713200000000001</v>
      </c>
      <c r="AM2949" s="27">
        <v>36.636000000000003</v>
      </c>
      <c r="AO2949" s="27">
        <v>6.7875199999999998</v>
      </c>
    </row>
    <row r="2950" spans="2:41" x14ac:dyDescent="0.25">
      <c r="B2950" s="21">
        <v>45219</v>
      </c>
      <c r="C2950" s="27">
        <v>18.287299999999998</v>
      </c>
      <c r="E2950" s="27">
        <v>0.94475600000000004</v>
      </c>
      <c r="G2950" s="27">
        <v>349.96</v>
      </c>
      <c r="I2950" s="27">
        <v>6.9032299999999998</v>
      </c>
      <c r="K2950" s="27">
        <v>5.0537700000000001</v>
      </c>
      <c r="M2950" s="27">
        <v>942.21799999999996</v>
      </c>
      <c r="O2950" s="27">
        <v>4247.96</v>
      </c>
      <c r="Q2950" s="27">
        <v>7412.34</v>
      </c>
      <c r="S2950" s="27">
        <v>1466.7</v>
      </c>
      <c r="U2950" s="27">
        <v>3.8672900000000001</v>
      </c>
      <c r="W2950" s="27">
        <v>39.860599999999998</v>
      </c>
      <c r="Y2950" s="27">
        <v>7.8873199999999999</v>
      </c>
      <c r="AA2950" s="27">
        <v>530.21400000000006</v>
      </c>
      <c r="AC2950" s="27">
        <v>56.748800000000003</v>
      </c>
      <c r="AE2950" s="27">
        <v>1</v>
      </c>
      <c r="AG2950" s="27">
        <v>7.8353200000000003</v>
      </c>
      <c r="AI2950" s="27">
        <v>8.75</v>
      </c>
      <c r="AK2950" s="27">
        <v>24.667000000000002</v>
      </c>
      <c r="AM2950" s="27">
        <v>36.578400000000002</v>
      </c>
      <c r="AO2950" s="27">
        <v>6.7817400000000001</v>
      </c>
    </row>
    <row r="2951" spans="2:41" x14ac:dyDescent="0.25">
      <c r="B2951" s="21">
        <v>45220</v>
      </c>
      <c r="C2951" s="27">
        <v>18.287299999999998</v>
      </c>
      <c r="E2951" s="27">
        <v>0.94386400000000004</v>
      </c>
      <c r="G2951" s="27">
        <v>349.80200000000002</v>
      </c>
      <c r="I2951" s="27">
        <v>6.9080599999999999</v>
      </c>
      <c r="K2951" s="27">
        <v>5.0349000000000004</v>
      </c>
      <c r="M2951" s="27">
        <v>943.14</v>
      </c>
      <c r="O2951" s="27">
        <v>4231.1899999999996</v>
      </c>
      <c r="Q2951" s="27">
        <v>7415.6</v>
      </c>
      <c r="S2951" s="27">
        <v>1472.86</v>
      </c>
      <c r="U2951" s="27">
        <v>3.8722500000000002</v>
      </c>
      <c r="W2951" s="27">
        <v>39.892000000000003</v>
      </c>
      <c r="Y2951" s="27">
        <v>7.9231400000000001</v>
      </c>
      <c r="AA2951" s="27">
        <v>530.76599999999996</v>
      </c>
      <c r="AC2951" s="27">
        <v>56.837499999999999</v>
      </c>
      <c r="AE2951" s="27">
        <v>1</v>
      </c>
      <c r="AG2951" s="27">
        <v>7.8389800000000003</v>
      </c>
      <c r="AI2951" s="27">
        <v>8.75</v>
      </c>
      <c r="AK2951" s="27">
        <v>24.729800000000001</v>
      </c>
      <c r="AM2951" s="27">
        <v>36.644799999999996</v>
      </c>
      <c r="AO2951" s="27">
        <v>6.7895399999999997</v>
      </c>
    </row>
    <row r="2952" spans="2:41" x14ac:dyDescent="0.25">
      <c r="B2952" s="21">
        <v>45221</v>
      </c>
      <c r="C2952" s="27">
        <v>18.287299999999998</v>
      </c>
      <c r="E2952" s="27">
        <v>0.943886</v>
      </c>
      <c r="G2952" s="27">
        <v>349.80799999999999</v>
      </c>
      <c r="I2952" s="27">
        <v>6.9077000000000002</v>
      </c>
      <c r="K2952" s="27">
        <v>5.03484</v>
      </c>
      <c r="M2952" s="27">
        <v>943.154</v>
      </c>
      <c r="O2952" s="27">
        <v>4232.3999999999996</v>
      </c>
      <c r="Q2952" s="27">
        <v>7415.66</v>
      </c>
      <c r="S2952" s="27">
        <v>1472.88</v>
      </c>
      <c r="U2952" s="27">
        <v>3.8718699999999999</v>
      </c>
      <c r="W2952" s="27">
        <v>39.890599999999999</v>
      </c>
      <c r="Y2952" s="27">
        <v>7.9229799999999999</v>
      </c>
      <c r="AA2952" s="27">
        <v>530.73800000000006</v>
      </c>
      <c r="AC2952" s="27">
        <v>56.833599999999997</v>
      </c>
      <c r="AE2952" s="27">
        <v>1</v>
      </c>
      <c r="AG2952" s="27">
        <v>7.8385699999999998</v>
      </c>
      <c r="AI2952" s="27">
        <v>8.75</v>
      </c>
      <c r="AK2952" s="27">
        <v>24.725000000000001</v>
      </c>
      <c r="AM2952" s="27">
        <v>36.638800000000003</v>
      </c>
      <c r="AO2952" s="27">
        <v>6.7892000000000001</v>
      </c>
    </row>
    <row r="2953" spans="2:41" x14ac:dyDescent="0.25">
      <c r="B2953" s="21">
        <v>45222</v>
      </c>
      <c r="C2953" s="27">
        <v>18.234300000000001</v>
      </c>
      <c r="E2953" s="27">
        <v>0.941716</v>
      </c>
      <c r="G2953" s="27">
        <v>349.98599999999999</v>
      </c>
      <c r="I2953" s="27">
        <v>6.9067800000000004</v>
      </c>
      <c r="K2953" s="27">
        <v>5.0241899999999999</v>
      </c>
      <c r="M2953" s="27">
        <v>939.86199999999997</v>
      </c>
      <c r="O2953" s="27">
        <v>4227.18</v>
      </c>
      <c r="Q2953" s="27">
        <v>7422.23</v>
      </c>
      <c r="S2953" s="27">
        <v>1477.31</v>
      </c>
      <c r="U2953" s="27">
        <v>3.8718699999999999</v>
      </c>
      <c r="W2953" s="27">
        <v>39.883200000000002</v>
      </c>
      <c r="Y2953" s="27">
        <v>7.9382799999999998</v>
      </c>
      <c r="AA2953" s="27">
        <v>530.62900000000002</v>
      </c>
      <c r="AC2953" s="27">
        <v>56.838000000000001</v>
      </c>
      <c r="AE2953" s="27">
        <v>1</v>
      </c>
      <c r="AG2953" s="27">
        <v>7.8371899999999997</v>
      </c>
      <c r="AI2953" s="27">
        <v>8.75</v>
      </c>
      <c r="AK2953" s="27">
        <v>24.6858</v>
      </c>
      <c r="AM2953" s="27">
        <v>36.593200000000003</v>
      </c>
      <c r="AO2953" s="27">
        <v>6.7898399999999999</v>
      </c>
    </row>
    <row r="2954" spans="2:41" x14ac:dyDescent="0.25">
      <c r="B2954" s="21">
        <v>45223</v>
      </c>
      <c r="C2954" s="27">
        <v>18.1218</v>
      </c>
      <c r="E2954" s="27">
        <v>0.94063099999999999</v>
      </c>
      <c r="G2954" s="27">
        <v>350.00400000000002</v>
      </c>
      <c r="I2954" s="27">
        <v>6.8948299999999998</v>
      </c>
      <c r="K2954" s="27">
        <v>5.0070600000000001</v>
      </c>
      <c r="M2954" s="27">
        <v>931.70699999999999</v>
      </c>
      <c r="O2954" s="27">
        <v>4214.43</v>
      </c>
      <c r="Q2954" s="27">
        <v>7404.2</v>
      </c>
      <c r="S2954" s="27">
        <v>1478.76</v>
      </c>
      <c r="U2954" s="27">
        <v>3.8608199999999999</v>
      </c>
      <c r="W2954" s="27">
        <v>39.761400000000002</v>
      </c>
      <c r="Y2954" s="27">
        <v>7.9410999999999996</v>
      </c>
      <c r="AA2954" s="27">
        <v>529.16399999999999</v>
      </c>
      <c r="AC2954" s="27">
        <v>56.752600000000001</v>
      </c>
      <c r="AE2954" s="27">
        <v>1</v>
      </c>
      <c r="AG2954" s="27">
        <v>7.8229600000000001</v>
      </c>
      <c r="AI2954" s="27">
        <v>8.75</v>
      </c>
      <c r="AK2954" s="27">
        <v>24.652999999999999</v>
      </c>
      <c r="AM2954" s="27">
        <v>36.5428</v>
      </c>
      <c r="AO2954" s="27">
        <v>6.7721600000000004</v>
      </c>
    </row>
    <row r="2955" spans="2:41" x14ac:dyDescent="0.25">
      <c r="B2955" s="21">
        <v>45224</v>
      </c>
      <c r="C2955" s="27">
        <v>18.284199999999998</v>
      </c>
      <c r="E2955" s="27">
        <v>0.944998</v>
      </c>
      <c r="G2955" s="27">
        <v>349.988</v>
      </c>
      <c r="I2955" s="27">
        <v>6.9147400000000001</v>
      </c>
      <c r="K2955" s="27">
        <v>4.99594</v>
      </c>
      <c r="M2955" s="27">
        <v>927.62400000000002</v>
      </c>
      <c r="O2955" s="27">
        <v>4210.92</v>
      </c>
      <c r="Q2955" s="27">
        <v>7429.85</v>
      </c>
      <c r="S2955" s="27">
        <v>1487.18</v>
      </c>
      <c r="U2955" s="27">
        <v>3.8676499999999998</v>
      </c>
      <c r="W2955" s="27">
        <v>39.927199999999999</v>
      </c>
      <c r="Y2955" s="27">
        <v>7.9919399999999996</v>
      </c>
      <c r="AA2955" s="27">
        <v>531.61300000000006</v>
      </c>
      <c r="AC2955" s="27">
        <v>56.942399999999999</v>
      </c>
      <c r="AE2955" s="27">
        <v>1</v>
      </c>
      <c r="AG2955" s="27">
        <v>7.8452299999999999</v>
      </c>
      <c r="AI2955" s="27">
        <v>8.75</v>
      </c>
      <c r="AK2955" s="27">
        <v>24.728999999999999</v>
      </c>
      <c r="AM2955" s="27">
        <v>36.652799999999999</v>
      </c>
      <c r="AO2955" s="27">
        <v>6.8018000000000001</v>
      </c>
    </row>
    <row r="2956" spans="2:41" x14ac:dyDescent="0.25">
      <c r="B2956" s="21">
        <v>45225</v>
      </c>
      <c r="C2956" s="27">
        <v>18.312200000000001</v>
      </c>
      <c r="E2956" s="27">
        <v>0.94799</v>
      </c>
      <c r="G2956" s="27">
        <v>349.98399999999998</v>
      </c>
      <c r="I2956" s="27">
        <v>6.9132199999999999</v>
      </c>
      <c r="K2956" s="27">
        <v>4.9962200000000001</v>
      </c>
      <c r="M2956" s="27">
        <v>926.44399999999996</v>
      </c>
      <c r="O2956" s="27">
        <v>4169.28</v>
      </c>
      <c r="Q2956" s="27">
        <v>7434.94</v>
      </c>
      <c r="S2956" s="27">
        <v>1488.12</v>
      </c>
      <c r="U2956" s="27">
        <v>3.8673799999999998</v>
      </c>
      <c r="W2956" s="27">
        <v>39.911700000000003</v>
      </c>
      <c r="Y2956" s="27">
        <v>7.9884199999999996</v>
      </c>
      <c r="AA2956" s="27">
        <v>531.45000000000005</v>
      </c>
      <c r="AC2956" s="27">
        <v>56.926200000000001</v>
      </c>
      <c r="AE2956" s="27">
        <v>1</v>
      </c>
      <c r="AG2956" s="27">
        <v>7.8434900000000001</v>
      </c>
      <c r="AI2956" s="27">
        <v>8.75</v>
      </c>
      <c r="AK2956" s="27">
        <v>24.715800000000002</v>
      </c>
      <c r="AM2956" s="27">
        <v>36.630099999999999</v>
      </c>
      <c r="AO2956" s="27">
        <v>6.7966499999999996</v>
      </c>
    </row>
    <row r="2957" spans="2:41" x14ac:dyDescent="0.25">
      <c r="B2957" s="21">
        <v>45226</v>
      </c>
      <c r="C2957" s="27">
        <v>18.2178</v>
      </c>
      <c r="E2957" s="27">
        <v>0.94650199999999995</v>
      </c>
      <c r="G2957" s="27">
        <v>349.90600000000001</v>
      </c>
      <c r="I2957" s="27">
        <v>6.9073700000000002</v>
      </c>
      <c r="K2957" s="27">
        <v>4.9861599999999999</v>
      </c>
      <c r="M2957" s="27">
        <v>924.202</v>
      </c>
      <c r="O2957" s="27">
        <v>4126.22</v>
      </c>
      <c r="Q2957" s="27">
        <v>7438.42</v>
      </c>
      <c r="S2957" s="27">
        <v>1491.82</v>
      </c>
      <c r="U2957" s="27">
        <v>3.8709799999999999</v>
      </c>
      <c r="W2957" s="27">
        <v>39.8718</v>
      </c>
      <c r="Y2957" s="27">
        <v>7.9965200000000003</v>
      </c>
      <c r="AA2957" s="27">
        <v>530.83199999999999</v>
      </c>
      <c r="AC2957" s="27">
        <v>56.8352</v>
      </c>
      <c r="AE2957" s="27">
        <v>1</v>
      </c>
      <c r="AG2957" s="27">
        <v>7.8371399999999998</v>
      </c>
      <c r="AI2957" s="27">
        <v>8.75</v>
      </c>
      <c r="AK2957" s="27">
        <v>24.6797</v>
      </c>
      <c r="AM2957" s="27">
        <v>36.585900000000002</v>
      </c>
      <c r="AO2957" s="27">
        <v>6.7898100000000001</v>
      </c>
    </row>
    <row r="2958" spans="2:41" x14ac:dyDescent="0.25">
      <c r="B2958" s="21">
        <v>45227</v>
      </c>
      <c r="C2958" s="27">
        <v>18.2178</v>
      </c>
      <c r="E2958" s="27">
        <v>0.94649399999999995</v>
      </c>
      <c r="G2958" s="27">
        <v>350.02499999999998</v>
      </c>
      <c r="I2958" s="27">
        <v>6.9137199999999996</v>
      </c>
      <c r="K2958" s="27">
        <v>5.0152000000000001</v>
      </c>
      <c r="M2958" s="27">
        <v>916.97500000000002</v>
      </c>
      <c r="O2958" s="27">
        <v>4109.34</v>
      </c>
      <c r="Q2958" s="27">
        <v>7453.72</v>
      </c>
      <c r="S2958" s="27">
        <v>1486.23</v>
      </c>
      <c r="U2958" s="27">
        <v>3.87317</v>
      </c>
      <c r="W2958" s="27">
        <v>39.928199999999997</v>
      </c>
      <c r="Y2958" s="27">
        <v>7.9614399999999996</v>
      </c>
      <c r="AA2958" s="27">
        <v>531.30799999999999</v>
      </c>
      <c r="AC2958" s="27">
        <v>56.897500000000001</v>
      </c>
      <c r="AE2958" s="27">
        <v>1</v>
      </c>
      <c r="AG2958" s="27">
        <v>7.8444399999999996</v>
      </c>
      <c r="AI2958" s="27">
        <v>8.75</v>
      </c>
      <c r="AK2958" s="27">
        <v>24.704799999999999</v>
      </c>
      <c r="AM2958" s="27">
        <v>36.624699999999997</v>
      </c>
      <c r="AO2958" s="27">
        <v>6.7988299999999997</v>
      </c>
    </row>
    <row r="2959" spans="2:41" x14ac:dyDescent="0.25">
      <c r="B2959" s="21">
        <v>45228</v>
      </c>
      <c r="C2959" s="27">
        <v>18.2178</v>
      </c>
      <c r="E2959" s="27">
        <v>0.94650900000000004</v>
      </c>
      <c r="G2959" s="27">
        <v>349.96800000000002</v>
      </c>
      <c r="I2959" s="27">
        <v>6.9132999999999996</v>
      </c>
      <c r="K2959" s="27">
        <v>5.0152599999999996</v>
      </c>
      <c r="M2959" s="27">
        <v>917.18399999999997</v>
      </c>
      <c r="O2959" s="27">
        <v>4109.8</v>
      </c>
      <c r="Q2959" s="27">
        <v>7453.32</v>
      </c>
      <c r="S2959" s="27">
        <v>1486.14</v>
      </c>
      <c r="U2959" s="27">
        <v>3.8729200000000001</v>
      </c>
      <c r="W2959" s="27">
        <v>39.925199999999997</v>
      </c>
      <c r="Y2959" s="27">
        <v>7.9607700000000001</v>
      </c>
      <c r="AA2959" s="27">
        <v>531.274</v>
      </c>
      <c r="AC2959" s="27">
        <v>56.893799999999999</v>
      </c>
      <c r="AE2959" s="27">
        <v>1</v>
      </c>
      <c r="AG2959" s="27">
        <v>7.84396</v>
      </c>
      <c r="AI2959" s="27">
        <v>8.75</v>
      </c>
      <c r="AK2959" s="27">
        <v>24.703299999999999</v>
      </c>
      <c r="AM2959" s="27">
        <v>36.622599999999998</v>
      </c>
      <c r="AO2959" s="27">
        <v>6.7984200000000001</v>
      </c>
    </row>
    <row r="2960" spans="2:41" x14ac:dyDescent="0.25">
      <c r="B2960" s="21">
        <v>45229</v>
      </c>
      <c r="C2960" s="27">
        <v>18.075199999999999</v>
      </c>
      <c r="E2960" s="27">
        <v>0.94447499999999995</v>
      </c>
      <c r="G2960" s="27">
        <v>349.90899999999999</v>
      </c>
      <c r="I2960" s="27">
        <v>6.9032799999999996</v>
      </c>
      <c r="K2960" s="27">
        <v>5.0115100000000004</v>
      </c>
      <c r="M2960" s="27">
        <v>925.29100000000005</v>
      </c>
      <c r="O2960" s="27">
        <v>4096</v>
      </c>
      <c r="Q2960" s="27">
        <v>7443.58</v>
      </c>
      <c r="S2960" s="27">
        <v>1485.32</v>
      </c>
      <c r="U2960" s="27">
        <v>3.86008</v>
      </c>
      <c r="W2960" s="27">
        <v>39.882399999999997</v>
      </c>
      <c r="Y2960" s="27">
        <v>7.9582600000000001</v>
      </c>
      <c r="AA2960" s="27">
        <v>530.44600000000003</v>
      </c>
      <c r="AC2960" s="27">
        <v>56.847999999999999</v>
      </c>
      <c r="AE2960" s="27">
        <v>1</v>
      </c>
      <c r="AG2960" s="27">
        <v>7.8324400000000001</v>
      </c>
      <c r="AI2960" s="27">
        <v>8.75</v>
      </c>
      <c r="AK2960" s="27">
        <v>24.673400000000001</v>
      </c>
      <c r="AM2960" s="27">
        <v>36.574199999999998</v>
      </c>
      <c r="AO2960" s="27">
        <v>6.7841699999999996</v>
      </c>
    </row>
    <row r="2961" spans="2:41" x14ac:dyDescent="0.25">
      <c r="B2961" s="21">
        <v>45230</v>
      </c>
      <c r="C2961" s="27">
        <v>18.064</v>
      </c>
      <c r="E2961" s="27">
        <v>0.94314100000000001</v>
      </c>
      <c r="G2961" s="27">
        <v>349.98</v>
      </c>
      <c r="I2961" s="27">
        <v>6.90137</v>
      </c>
      <c r="K2961" s="27">
        <v>5.0448899999999997</v>
      </c>
      <c r="M2961" s="27">
        <v>902.93899999999996</v>
      </c>
      <c r="O2961" s="27">
        <v>4084.16</v>
      </c>
      <c r="Q2961" s="27">
        <v>7449.8</v>
      </c>
      <c r="S2961" s="27">
        <v>1476.71</v>
      </c>
      <c r="U2961" s="27">
        <v>3.8348100000000001</v>
      </c>
      <c r="W2961" s="27">
        <v>39.9</v>
      </c>
      <c r="Y2961" s="27">
        <v>7.9090400000000001</v>
      </c>
      <c r="AA2961" s="27">
        <v>530.28</v>
      </c>
      <c r="AC2961" s="27">
        <v>56.81</v>
      </c>
      <c r="AE2961" s="27">
        <v>1</v>
      </c>
      <c r="AG2961" s="27">
        <v>7.8300599999999996</v>
      </c>
      <c r="AI2961" s="27">
        <v>8.75</v>
      </c>
      <c r="AK2961" s="27">
        <v>24.691600000000001</v>
      </c>
      <c r="AM2961" s="27">
        <v>36.569600000000001</v>
      </c>
      <c r="AO2961" s="27">
        <v>6.7771400000000002</v>
      </c>
    </row>
    <row r="2962" spans="2:41" ht="13" x14ac:dyDescent="0.3">
      <c r="B2962" s="25" t="s">
        <v>222</v>
      </c>
      <c r="C2962" s="19">
        <v>18.0685</v>
      </c>
      <c r="E2962" s="19">
        <v>0.94669999999999999</v>
      </c>
      <c r="G2962" s="19">
        <v>350.00330000000002</v>
      </c>
      <c r="I2962" s="19">
        <v>6.9085000000000001</v>
      </c>
      <c r="K2962" s="19">
        <v>5.0632000000000001</v>
      </c>
      <c r="M2962" s="19">
        <v>926.5548</v>
      </c>
      <c r="O2962" s="19">
        <v>4215.2529000000004</v>
      </c>
      <c r="Q2962" s="19">
        <v>7367.6758</v>
      </c>
      <c r="S2962" s="19">
        <v>1455.3925999999999</v>
      </c>
      <c r="U2962" s="19">
        <v>3.8409</v>
      </c>
      <c r="W2962" s="19">
        <v>39.5623</v>
      </c>
      <c r="Y2962" s="19">
        <v>7.8151000000000002</v>
      </c>
      <c r="AA2962" s="19">
        <v>532.34439999999995</v>
      </c>
      <c r="AC2962" s="19">
        <v>56.829500000000003</v>
      </c>
      <c r="AE2962" s="19">
        <v>1</v>
      </c>
      <c r="AG2962" s="19">
        <v>7.8430999999999997</v>
      </c>
      <c r="AI2962" s="19">
        <v>8.75</v>
      </c>
      <c r="AK2962" s="19">
        <v>24.7028</v>
      </c>
      <c r="AM2962" s="19">
        <v>36.607399999999998</v>
      </c>
      <c r="AO2962" s="19">
        <v>6.7859999999999996</v>
      </c>
    </row>
    <row r="2963" spans="2:41" x14ac:dyDescent="0.25">
      <c r="B2963" s="21">
        <v>45231</v>
      </c>
      <c r="C2963" s="27">
        <v>18.036799999999999</v>
      </c>
      <c r="E2963" s="27">
        <v>0.94706199999999996</v>
      </c>
      <c r="G2963" s="27">
        <v>349.97500000000002</v>
      </c>
      <c r="I2963" s="27">
        <v>6.9053599999999999</v>
      </c>
      <c r="K2963" s="27">
        <v>5.0135899999999998</v>
      </c>
      <c r="M2963" s="27">
        <v>895.77</v>
      </c>
      <c r="O2963" s="27">
        <v>4114.4399999999996</v>
      </c>
      <c r="Q2963" s="27">
        <v>7459.91</v>
      </c>
      <c r="S2963" s="27">
        <v>1487.94</v>
      </c>
      <c r="U2963" s="27">
        <v>3.8308</v>
      </c>
      <c r="W2963" s="27">
        <v>39.940199999999997</v>
      </c>
      <c r="Y2963" s="27">
        <v>7.9664299999999999</v>
      </c>
      <c r="AA2963" s="27">
        <v>530.63</v>
      </c>
      <c r="AC2963" s="27">
        <v>56.880600000000001</v>
      </c>
      <c r="AE2963" s="27">
        <v>1</v>
      </c>
      <c r="AG2963" s="27">
        <v>7.8349000000000002</v>
      </c>
      <c r="AI2963" s="27">
        <v>8.75</v>
      </c>
      <c r="AK2963" s="27">
        <v>24.7438</v>
      </c>
      <c r="AM2963" s="27">
        <v>36.620800000000003</v>
      </c>
      <c r="AO2963" s="27">
        <v>6.7810600000000001</v>
      </c>
    </row>
    <row r="2964" spans="2:41" x14ac:dyDescent="0.25">
      <c r="B2964" s="21">
        <v>45232</v>
      </c>
      <c r="C2964" s="27">
        <v>18.036799999999999</v>
      </c>
      <c r="E2964" s="27">
        <v>0.94191599999999998</v>
      </c>
      <c r="G2964" s="27">
        <v>350</v>
      </c>
      <c r="I2964" s="27">
        <v>6.8906499999999999</v>
      </c>
      <c r="K2964" s="27">
        <v>4.9546099999999997</v>
      </c>
      <c r="M2964" s="27">
        <v>869.69600000000003</v>
      </c>
      <c r="O2964" s="27">
        <v>4079.57</v>
      </c>
      <c r="Q2964" s="27">
        <v>7439.72</v>
      </c>
      <c r="S2964" s="27">
        <v>1501.58</v>
      </c>
      <c r="U2964" s="27">
        <v>3.81812</v>
      </c>
      <c r="W2964" s="27">
        <v>39.910800000000002</v>
      </c>
      <c r="Y2964" s="27">
        <v>8.05532</v>
      </c>
      <c r="AA2964" s="27">
        <v>529.46600000000001</v>
      </c>
      <c r="AC2964" s="27">
        <v>56.693399999999997</v>
      </c>
      <c r="AE2964" s="27">
        <v>1</v>
      </c>
      <c r="AG2964" s="27">
        <v>7.8167200000000001</v>
      </c>
      <c r="AI2964" s="27">
        <v>8.75</v>
      </c>
      <c r="AK2964" s="27">
        <v>24.701799999999999</v>
      </c>
      <c r="AM2964" s="27">
        <v>36.545000000000002</v>
      </c>
      <c r="AO2964" s="27">
        <v>6.76715</v>
      </c>
    </row>
    <row r="2965" spans="2:41" x14ac:dyDescent="0.25">
      <c r="B2965" s="21">
        <v>45233</v>
      </c>
      <c r="C2965" s="27">
        <v>17.930499999999999</v>
      </c>
      <c r="E2965" s="27">
        <v>0.936643</v>
      </c>
      <c r="G2965" s="27">
        <v>350.04199999999997</v>
      </c>
      <c r="I2965" s="27">
        <v>6.9074600000000004</v>
      </c>
      <c r="K2965" s="27">
        <v>4.9256200000000003</v>
      </c>
      <c r="M2965" s="27">
        <v>883.52200000000005</v>
      </c>
      <c r="O2965" s="27">
        <v>4018.28</v>
      </c>
      <c r="Q2965" s="27">
        <v>7463.04</v>
      </c>
      <c r="S2965" s="27">
        <v>1515.16</v>
      </c>
      <c r="U2965" s="27">
        <v>3.8095400000000001</v>
      </c>
      <c r="W2965" s="27">
        <v>40.011600000000001</v>
      </c>
      <c r="Y2965" s="27">
        <v>8.1232000000000006</v>
      </c>
      <c r="AA2965" s="27">
        <v>530.70000000000005</v>
      </c>
      <c r="AC2965" s="27">
        <v>56.838500000000003</v>
      </c>
      <c r="AE2965" s="27">
        <v>1</v>
      </c>
      <c r="AG2965" s="27">
        <v>7.8351800000000003</v>
      </c>
      <c r="AI2965" s="27">
        <v>8.75</v>
      </c>
      <c r="AK2965" s="27">
        <v>24.726900000000001</v>
      </c>
      <c r="AM2965" s="27">
        <v>36.636299999999999</v>
      </c>
      <c r="AO2965" s="27">
        <v>6.7828499999999998</v>
      </c>
    </row>
    <row r="2966" spans="2:41" x14ac:dyDescent="0.25">
      <c r="B2966" s="21">
        <v>45234</v>
      </c>
      <c r="C2966" s="27">
        <v>17.930499999999999</v>
      </c>
      <c r="E2966" s="27">
        <v>0.93208800000000003</v>
      </c>
      <c r="G2966" s="27">
        <v>350.05700000000002</v>
      </c>
      <c r="I2966" s="27">
        <v>6.9042300000000001</v>
      </c>
      <c r="K2966" s="27">
        <v>4.9015500000000003</v>
      </c>
      <c r="M2966" s="27">
        <v>878.19</v>
      </c>
      <c r="O2966" s="27">
        <v>3984.88</v>
      </c>
      <c r="Q2966" s="27">
        <v>7466.16</v>
      </c>
      <c r="S2966" s="27">
        <v>1523.24</v>
      </c>
      <c r="U2966" s="27">
        <v>3.7966199999999999</v>
      </c>
      <c r="W2966" s="27">
        <v>40.024700000000003</v>
      </c>
      <c r="Y2966" s="27">
        <v>8.1657600000000006</v>
      </c>
      <c r="AA2966" s="27">
        <v>530.46600000000001</v>
      </c>
      <c r="AC2966" s="27">
        <v>56.892499999999998</v>
      </c>
      <c r="AE2966" s="27">
        <v>1</v>
      </c>
      <c r="AG2966" s="27">
        <v>7.83324</v>
      </c>
      <c r="AI2966" s="27">
        <v>8.75</v>
      </c>
      <c r="AK2966" s="27">
        <v>24.774799999999999</v>
      </c>
      <c r="AM2966" s="27">
        <v>36.697200000000002</v>
      </c>
      <c r="AO2966" s="27">
        <v>6.7784599999999999</v>
      </c>
    </row>
    <row r="2967" spans="2:41" x14ac:dyDescent="0.25">
      <c r="B2967" s="21">
        <v>45235</v>
      </c>
      <c r="C2967" s="27">
        <v>17.930499999999999</v>
      </c>
      <c r="E2967" s="27">
        <v>0.93209799999999998</v>
      </c>
      <c r="G2967" s="27">
        <v>349.84500000000003</v>
      </c>
      <c r="I2967" s="27">
        <v>6.9033800000000003</v>
      </c>
      <c r="K2967" s="27">
        <v>4.9015000000000004</v>
      </c>
      <c r="M2967" s="27">
        <v>878.154</v>
      </c>
      <c r="O2967" s="27">
        <v>3984.94</v>
      </c>
      <c r="Q2967" s="27">
        <v>7465.34</v>
      </c>
      <c r="S2967" s="27">
        <v>1523.08</v>
      </c>
      <c r="U2967" s="27">
        <v>3.7951999999999999</v>
      </c>
      <c r="W2967" s="27">
        <v>40.018799999999999</v>
      </c>
      <c r="Y2967" s="27">
        <v>8.1646099999999997</v>
      </c>
      <c r="AA2967" s="27">
        <v>530.4</v>
      </c>
      <c r="AC2967" s="27">
        <v>56.8825</v>
      </c>
      <c r="AE2967" s="27">
        <v>1</v>
      </c>
      <c r="AG2967" s="27">
        <v>7.8327600000000004</v>
      </c>
      <c r="AI2967" s="27">
        <v>8.75</v>
      </c>
      <c r="AK2967" s="27">
        <v>24.768999999999998</v>
      </c>
      <c r="AM2967" s="27">
        <v>36.690399999999997</v>
      </c>
      <c r="AO2967" s="27">
        <v>6.7775999999999996</v>
      </c>
    </row>
    <row r="2968" spans="2:41" x14ac:dyDescent="0.25">
      <c r="B2968" s="21">
        <v>45236</v>
      </c>
      <c r="C2968" s="27">
        <v>17.4117</v>
      </c>
      <c r="E2968" s="27">
        <v>0.93152199999999996</v>
      </c>
      <c r="G2968" s="27">
        <v>349.31900000000002</v>
      </c>
      <c r="I2968" s="27">
        <v>6.8754</v>
      </c>
      <c r="K2968" s="27">
        <v>4.8972199999999999</v>
      </c>
      <c r="M2968" s="27">
        <v>879.96</v>
      </c>
      <c r="O2968" s="27">
        <v>3978.72</v>
      </c>
      <c r="Q2968" s="27">
        <v>7443.48</v>
      </c>
      <c r="S2968" s="27">
        <v>1519.96</v>
      </c>
      <c r="U2968" s="27">
        <v>3.7458800000000001</v>
      </c>
      <c r="W2968" s="27">
        <v>39.888300000000001</v>
      </c>
      <c r="Y2968" s="27">
        <v>8.1451399999999996</v>
      </c>
      <c r="AA2968" s="27">
        <v>528.61500000000001</v>
      </c>
      <c r="AC2968" s="27">
        <v>56.527299999999997</v>
      </c>
      <c r="AE2968" s="27">
        <v>1</v>
      </c>
      <c r="AG2968" s="27">
        <v>7.7954600000000003</v>
      </c>
      <c r="AI2968" s="27">
        <v>8.75</v>
      </c>
      <c r="AK2968" s="27">
        <v>24.565899999999999</v>
      </c>
      <c r="AM2968" s="27">
        <v>36.409599999999998</v>
      </c>
      <c r="AO2968" s="27">
        <v>6.7522799999999998</v>
      </c>
    </row>
    <row r="2969" spans="2:41" x14ac:dyDescent="0.25">
      <c r="B2969" s="21">
        <v>45237</v>
      </c>
      <c r="C2969" s="27">
        <v>17.530799999999999</v>
      </c>
      <c r="E2969" s="27">
        <v>0.93502300000000005</v>
      </c>
      <c r="G2969" s="27">
        <v>349.988</v>
      </c>
      <c r="I2969" s="27">
        <v>6.9043200000000002</v>
      </c>
      <c r="K2969" s="27">
        <v>4.8776200000000003</v>
      </c>
      <c r="M2969" s="27">
        <v>883.60799999999995</v>
      </c>
      <c r="O2969" s="27">
        <v>3990.18</v>
      </c>
      <c r="Q2969" s="27">
        <v>7463.51</v>
      </c>
      <c r="S2969" s="27">
        <v>1530.16</v>
      </c>
      <c r="U2969" s="27">
        <v>3.75834</v>
      </c>
      <c r="W2969" s="27">
        <v>40.007599999999996</v>
      </c>
      <c r="Y2969" s="27">
        <v>8.2023299999999999</v>
      </c>
      <c r="AA2969" s="27">
        <v>532.34799999999996</v>
      </c>
      <c r="AC2969" s="27">
        <v>56.841999999999999</v>
      </c>
      <c r="AE2969" s="27">
        <v>1</v>
      </c>
      <c r="AG2969" s="27">
        <v>7.82592</v>
      </c>
      <c r="AI2969" s="27">
        <v>8.75</v>
      </c>
      <c r="AK2969" s="27">
        <v>24.6877</v>
      </c>
      <c r="AM2969" s="27">
        <v>36.663200000000003</v>
      </c>
      <c r="AO2969" s="27">
        <v>6.7842799999999999</v>
      </c>
    </row>
    <row r="2970" spans="2:41" x14ac:dyDescent="0.25">
      <c r="B2970" s="21">
        <v>45238</v>
      </c>
      <c r="C2970" s="27">
        <v>17.509699999999999</v>
      </c>
      <c r="E2970" s="27">
        <v>0.93540800000000002</v>
      </c>
      <c r="G2970" s="27">
        <v>349.928</v>
      </c>
      <c r="I2970" s="27">
        <v>6.90862</v>
      </c>
      <c r="K2970" s="27">
        <v>4.8858199999999998</v>
      </c>
      <c r="M2970" s="27">
        <v>891.7</v>
      </c>
      <c r="O2970" s="27">
        <v>4042.32</v>
      </c>
      <c r="Q2970" s="27">
        <v>7446.48</v>
      </c>
      <c r="S2970" s="27">
        <v>1524.11</v>
      </c>
      <c r="U2970" s="27">
        <v>3.7694999999999999</v>
      </c>
      <c r="W2970" s="27">
        <v>39.872799999999998</v>
      </c>
      <c r="Y2970" s="27">
        <v>8.1609599999999993</v>
      </c>
      <c r="AA2970" s="27">
        <v>533.65800000000002</v>
      </c>
      <c r="AC2970" s="27">
        <v>56.817100000000003</v>
      </c>
      <c r="AE2970" s="27">
        <v>1</v>
      </c>
      <c r="AG2970" s="27">
        <v>7.8279899999999998</v>
      </c>
      <c r="AI2970" s="27">
        <v>8.75</v>
      </c>
      <c r="AK2970" s="27">
        <v>24.693200000000001</v>
      </c>
      <c r="AM2970" s="27">
        <v>36.607100000000003</v>
      </c>
      <c r="AO2970" s="27">
        <v>6.7874800000000004</v>
      </c>
    </row>
    <row r="2971" spans="2:41" x14ac:dyDescent="0.25">
      <c r="B2971" s="21">
        <v>45239</v>
      </c>
      <c r="C2971" s="27">
        <v>17.5017</v>
      </c>
      <c r="E2971" s="27">
        <v>0.93492399999999998</v>
      </c>
      <c r="G2971" s="27">
        <v>349.98200000000003</v>
      </c>
      <c r="I2971" s="27">
        <v>6.9030199999999997</v>
      </c>
      <c r="K2971" s="27">
        <v>4.9143400000000002</v>
      </c>
      <c r="M2971" s="27">
        <v>903.24</v>
      </c>
      <c r="O2971" s="27">
        <v>4075.62</v>
      </c>
      <c r="Q2971" s="27">
        <v>7432.44</v>
      </c>
      <c r="S2971" s="27">
        <v>1512.4</v>
      </c>
      <c r="U2971" s="27">
        <v>3.7812299999999999</v>
      </c>
      <c r="W2971" s="27">
        <v>39.892600000000002</v>
      </c>
      <c r="Y2971" s="27">
        <v>8.1176200000000005</v>
      </c>
      <c r="AA2971" s="27">
        <v>532.01800000000003</v>
      </c>
      <c r="AC2971" s="27">
        <v>56.77</v>
      </c>
      <c r="AE2971" s="27">
        <v>1</v>
      </c>
      <c r="AG2971" s="27">
        <v>7.8202400000000001</v>
      </c>
      <c r="AI2971" s="27">
        <v>8.75</v>
      </c>
      <c r="AK2971" s="27">
        <v>24.678799999999999</v>
      </c>
      <c r="AM2971" s="27">
        <v>36.599800000000002</v>
      </c>
      <c r="AO2971" s="27">
        <v>6.7827799999999998</v>
      </c>
    </row>
    <row r="2972" spans="2:41" x14ac:dyDescent="0.25">
      <c r="B2972" s="21">
        <v>45240</v>
      </c>
      <c r="C2972" s="27">
        <v>17.488800000000001</v>
      </c>
      <c r="E2972" s="27">
        <v>0.93673099999999998</v>
      </c>
      <c r="G2972" s="27">
        <v>349.96199999999999</v>
      </c>
      <c r="I2972" s="27">
        <v>6.9132400000000001</v>
      </c>
      <c r="K2972" s="27">
        <v>4.9248399999999997</v>
      </c>
      <c r="M2972" s="27">
        <v>911.34699999999998</v>
      </c>
      <c r="O2972" s="27">
        <v>4043.58</v>
      </c>
      <c r="Q2972" s="27">
        <v>7444.91</v>
      </c>
      <c r="S2972" s="27">
        <v>1511.71</v>
      </c>
      <c r="U2972" s="27">
        <v>3.79901</v>
      </c>
      <c r="W2972" s="27">
        <v>39.954999999999998</v>
      </c>
      <c r="Y2972" s="27">
        <v>8.1129800000000003</v>
      </c>
      <c r="AA2972" s="27">
        <v>531.66200000000003</v>
      </c>
      <c r="AC2972" s="27">
        <v>56.862000000000002</v>
      </c>
      <c r="AE2972" s="27">
        <v>1</v>
      </c>
      <c r="AG2972" s="27">
        <v>7.8296999999999999</v>
      </c>
      <c r="AI2972" s="27">
        <v>8.75</v>
      </c>
      <c r="AK2972" s="27">
        <v>24.733000000000001</v>
      </c>
      <c r="AM2972" s="27">
        <v>36.670999999999999</v>
      </c>
      <c r="AO2972" s="27">
        <v>6.7951899999999998</v>
      </c>
    </row>
    <row r="2973" spans="2:41" x14ac:dyDescent="0.25">
      <c r="B2973" s="21">
        <v>45241</v>
      </c>
      <c r="C2973" s="27">
        <v>17.488800000000001</v>
      </c>
      <c r="E2973" s="27">
        <v>0.93591800000000003</v>
      </c>
      <c r="G2973" s="27">
        <v>349.846</v>
      </c>
      <c r="I2973" s="27">
        <v>6.90916</v>
      </c>
      <c r="K2973" s="27">
        <v>4.9058000000000002</v>
      </c>
      <c r="M2973" s="27">
        <v>911.14</v>
      </c>
      <c r="O2973" s="27">
        <v>4030.92</v>
      </c>
      <c r="Q2973" s="27">
        <v>7444.7</v>
      </c>
      <c r="S2973" s="27">
        <v>1517.54</v>
      </c>
      <c r="U2973" s="27">
        <v>3.79</v>
      </c>
      <c r="W2973" s="27">
        <v>39.918100000000003</v>
      </c>
      <c r="Y2973" s="27">
        <v>8.1369799999999994</v>
      </c>
      <c r="AA2973" s="27">
        <v>531.32500000000005</v>
      </c>
      <c r="AC2973" s="27">
        <v>56.8675</v>
      </c>
      <c r="AE2973" s="27">
        <v>1</v>
      </c>
      <c r="AG2973" s="27">
        <v>7.8250299999999999</v>
      </c>
      <c r="AI2973" s="27">
        <v>8.75</v>
      </c>
      <c r="AK2973" s="27">
        <v>24.739799999999999</v>
      </c>
      <c r="AM2973" s="27">
        <v>36.719799999999999</v>
      </c>
      <c r="AO2973" s="27">
        <v>6.79162</v>
      </c>
    </row>
    <row r="2974" spans="2:41" x14ac:dyDescent="0.25">
      <c r="B2974" s="21">
        <v>45242</v>
      </c>
      <c r="C2974" s="27">
        <v>17.488800000000001</v>
      </c>
      <c r="E2974" s="27">
        <v>0.93589999999999995</v>
      </c>
      <c r="G2974" s="27">
        <v>349.83</v>
      </c>
      <c r="I2974" s="27">
        <v>6.90916</v>
      </c>
      <c r="K2974" s="27">
        <v>4.9058000000000002</v>
      </c>
      <c r="M2974" s="27">
        <v>911.072</v>
      </c>
      <c r="O2974" s="27">
        <v>4030.92</v>
      </c>
      <c r="Q2974" s="27">
        <v>7444.7</v>
      </c>
      <c r="S2974" s="27">
        <v>1517.54</v>
      </c>
      <c r="U2974" s="27">
        <v>3.79</v>
      </c>
      <c r="W2974" s="27">
        <v>39.918100000000003</v>
      </c>
      <c r="Y2974" s="27">
        <v>8.1369799999999994</v>
      </c>
      <c r="AA2974" s="27">
        <v>531.32500000000005</v>
      </c>
      <c r="AC2974" s="27">
        <v>56.8675</v>
      </c>
      <c r="AE2974" s="27">
        <v>1</v>
      </c>
      <c r="AG2974" s="27">
        <v>7.8250299999999999</v>
      </c>
      <c r="AI2974" s="27">
        <v>8.75</v>
      </c>
      <c r="AK2974" s="27">
        <v>24.739799999999999</v>
      </c>
      <c r="AM2974" s="27">
        <v>36.719799999999999</v>
      </c>
      <c r="AO2974" s="27">
        <v>6.79162</v>
      </c>
    </row>
    <row r="2975" spans="2:41" x14ac:dyDescent="0.25">
      <c r="B2975" s="21">
        <v>45243</v>
      </c>
      <c r="C2975" s="27">
        <v>17.748000000000001</v>
      </c>
      <c r="E2975" s="27">
        <v>0.93547599999999997</v>
      </c>
      <c r="G2975" s="27">
        <v>349.86799999999999</v>
      </c>
      <c r="I2975" s="27">
        <v>6.90578</v>
      </c>
      <c r="K2975" s="27">
        <v>4.9128400000000001</v>
      </c>
      <c r="M2975" s="27">
        <v>918.66600000000005</v>
      </c>
      <c r="O2975" s="27">
        <v>4034.42</v>
      </c>
      <c r="Q2975" s="27">
        <v>7435.42</v>
      </c>
      <c r="S2975" s="27">
        <v>1513.5</v>
      </c>
      <c r="U2975" s="27">
        <v>3.7993999999999999</v>
      </c>
      <c r="W2975" s="27">
        <v>39.895800000000001</v>
      </c>
      <c r="Y2975" s="27">
        <v>8.12087</v>
      </c>
      <c r="AA2975" s="27">
        <v>530.625</v>
      </c>
      <c r="AC2975" s="27">
        <v>56.807400000000001</v>
      </c>
      <c r="AE2975" s="27">
        <v>1</v>
      </c>
      <c r="AG2975" s="27">
        <v>7.8219599999999998</v>
      </c>
      <c r="AI2975" s="27">
        <v>8.75</v>
      </c>
      <c r="AK2975" s="27">
        <v>24.705400000000001</v>
      </c>
      <c r="AM2975" s="27">
        <v>36.582099999999997</v>
      </c>
      <c r="AO2975" s="27">
        <v>6.78132</v>
      </c>
    </row>
    <row r="2976" spans="2:41" x14ac:dyDescent="0.25">
      <c r="B2976" s="21">
        <v>45244</v>
      </c>
      <c r="C2976" s="27">
        <v>17.613800000000001</v>
      </c>
      <c r="E2976" s="27">
        <v>0.92822000000000005</v>
      </c>
      <c r="G2976" s="27">
        <v>350.00599999999997</v>
      </c>
      <c r="I2976" s="27">
        <v>6.9085999999999999</v>
      </c>
      <c r="K2976" s="27">
        <v>4.8878599999999999</v>
      </c>
      <c r="M2976" s="27">
        <v>910.53200000000004</v>
      </c>
      <c r="O2976" s="27">
        <v>4002.65</v>
      </c>
      <c r="Q2976" s="27">
        <v>7430.95</v>
      </c>
      <c r="S2976" s="27">
        <v>1520.3</v>
      </c>
      <c r="U2976" s="27">
        <v>3.8063400000000001</v>
      </c>
      <c r="W2976" s="27">
        <v>39.890700000000002</v>
      </c>
      <c r="Y2976" s="27">
        <v>8.1612100000000005</v>
      </c>
      <c r="AA2976" s="27">
        <v>530.29</v>
      </c>
      <c r="AC2976" s="27">
        <v>56.795000000000002</v>
      </c>
      <c r="AE2976" s="27">
        <v>1</v>
      </c>
      <c r="AG2976" s="27">
        <v>7.82524</v>
      </c>
      <c r="AI2976" s="27">
        <v>8.75</v>
      </c>
      <c r="AK2976" s="27">
        <v>24.7408</v>
      </c>
      <c r="AM2976" s="27">
        <v>36.562399999999997</v>
      </c>
      <c r="AO2976" s="27">
        <v>6.7728200000000003</v>
      </c>
    </row>
    <row r="2977" spans="2:41" x14ac:dyDescent="0.25">
      <c r="B2977" s="21">
        <v>45245</v>
      </c>
      <c r="C2977" s="27">
        <v>17.3917</v>
      </c>
      <c r="E2977" s="27">
        <v>0.92076000000000002</v>
      </c>
      <c r="G2977" s="27">
        <v>351.38600000000002</v>
      </c>
      <c r="I2977" s="27">
        <v>6.8863399999999997</v>
      </c>
      <c r="K2977" s="27">
        <v>4.86374</v>
      </c>
      <c r="M2977" s="27">
        <v>889.68200000000002</v>
      </c>
      <c r="O2977" s="27">
        <v>3980.46</v>
      </c>
      <c r="Q2977" s="27">
        <v>7413.98</v>
      </c>
      <c r="S2977" s="27">
        <v>1524.35</v>
      </c>
      <c r="U2977" s="27">
        <v>3.7821199999999999</v>
      </c>
      <c r="W2977" s="27">
        <v>39.665999999999997</v>
      </c>
      <c r="Y2977" s="27">
        <v>8.1555099999999996</v>
      </c>
      <c r="AA2977" s="27">
        <v>528.88199999999995</v>
      </c>
      <c r="AC2977" s="27">
        <v>56.61</v>
      </c>
      <c r="AE2977" s="27">
        <v>1</v>
      </c>
      <c r="AG2977" s="27">
        <v>7.7974600000000001</v>
      </c>
      <c r="AI2977" s="27">
        <v>8.75</v>
      </c>
      <c r="AK2977" s="27">
        <v>24.602599999999999</v>
      </c>
      <c r="AM2977" s="27">
        <v>36.454900000000002</v>
      </c>
      <c r="AO2977" s="27">
        <v>6.7577400000000001</v>
      </c>
    </row>
    <row r="2978" spans="2:41" x14ac:dyDescent="0.25">
      <c r="B2978" s="21">
        <v>45246</v>
      </c>
      <c r="C2978" s="27">
        <v>17.338699999999999</v>
      </c>
      <c r="E2978" s="27">
        <v>0.92157699999999998</v>
      </c>
      <c r="G2978" s="27">
        <v>353.10599999999999</v>
      </c>
      <c r="I2978" s="27">
        <v>6.9119200000000003</v>
      </c>
      <c r="K2978" s="27">
        <v>4.8624400000000003</v>
      </c>
      <c r="M2978" s="27">
        <v>885.12900000000002</v>
      </c>
      <c r="O2978" s="27">
        <v>4047.96</v>
      </c>
      <c r="Q2978" s="27">
        <v>7444.14</v>
      </c>
      <c r="S2978" s="27">
        <v>1530.96</v>
      </c>
      <c r="U2978" s="27">
        <v>3.8043999999999998</v>
      </c>
      <c r="W2978" s="27">
        <v>39.930199999999999</v>
      </c>
      <c r="Y2978" s="27">
        <v>8.2120099999999994</v>
      </c>
      <c r="AA2978" s="27">
        <v>531.04200000000003</v>
      </c>
      <c r="AC2978" s="27">
        <v>56.866999999999997</v>
      </c>
      <c r="AE2978" s="27">
        <v>1</v>
      </c>
      <c r="AG2978" s="27">
        <v>7.82742</v>
      </c>
      <c r="AI2978" s="27">
        <v>8.75</v>
      </c>
      <c r="AK2978" s="27">
        <v>24.722999999999999</v>
      </c>
      <c r="AM2978" s="27">
        <v>36.624299999999998</v>
      </c>
      <c r="AO2978" s="27">
        <v>6.7832299999999996</v>
      </c>
    </row>
    <row r="2979" spans="2:41" x14ac:dyDescent="0.25">
      <c r="B2979" s="21">
        <v>45247</v>
      </c>
      <c r="C2979" s="27">
        <v>17.270800000000001</v>
      </c>
      <c r="E2979" s="27">
        <v>0.91983599999999999</v>
      </c>
      <c r="G2979" s="27">
        <v>353.69600000000003</v>
      </c>
      <c r="I2979" s="27">
        <v>6.90794</v>
      </c>
      <c r="K2979" s="27">
        <v>4.8798300000000001</v>
      </c>
      <c r="M2979" s="27">
        <v>883.404</v>
      </c>
      <c r="O2979" s="27">
        <v>4088.94</v>
      </c>
      <c r="Q2979" s="27">
        <v>7436.06</v>
      </c>
      <c r="S2979" s="27">
        <v>1523.84</v>
      </c>
      <c r="U2979" s="27">
        <v>3.81088</v>
      </c>
      <c r="W2979" s="27">
        <v>39.781500000000001</v>
      </c>
      <c r="Y2979" s="27">
        <v>8.1522600000000001</v>
      </c>
      <c r="AA2979" s="27">
        <v>530.97400000000005</v>
      </c>
      <c r="AC2979" s="27">
        <v>56.846499999999999</v>
      </c>
      <c r="AE2979" s="27">
        <v>1</v>
      </c>
      <c r="AG2979" s="27">
        <v>7.8256800000000002</v>
      </c>
      <c r="AI2979" s="27">
        <v>8.75</v>
      </c>
      <c r="AK2979" s="27">
        <v>24.700800000000001</v>
      </c>
      <c r="AM2979" s="27">
        <v>36.586599999999997</v>
      </c>
      <c r="AO2979" s="27">
        <v>6.7821800000000003</v>
      </c>
    </row>
    <row r="2980" spans="2:41" x14ac:dyDescent="0.25">
      <c r="B2980" s="21">
        <v>45248</v>
      </c>
      <c r="C2980" s="27">
        <v>17.270800000000001</v>
      </c>
      <c r="E2980" s="27">
        <v>0.91636399999999996</v>
      </c>
      <c r="G2980" s="27">
        <v>353.95800000000003</v>
      </c>
      <c r="I2980" s="27">
        <v>6.9089600000000004</v>
      </c>
      <c r="K2980" s="27">
        <v>4.9062000000000001</v>
      </c>
      <c r="M2980" s="27">
        <v>887.06</v>
      </c>
      <c r="O2980" s="27">
        <v>4082.45</v>
      </c>
      <c r="Q2980" s="27">
        <v>7432.2</v>
      </c>
      <c r="S2980" s="27">
        <v>1514.86</v>
      </c>
      <c r="U2980" s="27">
        <v>3.76755</v>
      </c>
      <c r="W2980" s="27">
        <v>39.6541</v>
      </c>
      <c r="Y2980" s="27">
        <v>8.0824700000000007</v>
      </c>
      <c r="AA2980" s="27">
        <v>531.44100000000003</v>
      </c>
      <c r="AC2980" s="27">
        <v>56.862499999999997</v>
      </c>
      <c r="AE2980" s="27">
        <v>1</v>
      </c>
      <c r="AG2980" s="27">
        <v>7.8277000000000001</v>
      </c>
      <c r="AI2980" s="27">
        <v>8.75</v>
      </c>
      <c r="AK2980" s="27">
        <v>24.6998</v>
      </c>
      <c r="AM2980" s="27">
        <v>36.559800000000003</v>
      </c>
      <c r="AO2980" s="27">
        <v>6.7871800000000002</v>
      </c>
    </row>
    <row r="2981" spans="2:41" x14ac:dyDescent="0.25">
      <c r="B2981" s="21">
        <v>45249</v>
      </c>
      <c r="C2981" s="27">
        <v>17.270800000000001</v>
      </c>
      <c r="E2981" s="27">
        <v>0.91638799999999998</v>
      </c>
      <c r="G2981" s="27">
        <v>353.80399999999997</v>
      </c>
      <c r="I2981" s="27">
        <v>6.9084500000000002</v>
      </c>
      <c r="K2981" s="27">
        <v>4.9062000000000001</v>
      </c>
      <c r="M2981" s="27">
        <v>887.10400000000004</v>
      </c>
      <c r="O2981" s="27">
        <v>4082.08</v>
      </c>
      <c r="Q2981" s="27">
        <v>7431.66</v>
      </c>
      <c r="S2981" s="27">
        <v>1514.76</v>
      </c>
      <c r="U2981" s="27">
        <v>3.76952</v>
      </c>
      <c r="W2981" s="27">
        <v>39.652500000000003</v>
      </c>
      <c r="Y2981" s="27">
        <v>8.0821500000000004</v>
      </c>
      <c r="AA2981" s="27">
        <v>531.4</v>
      </c>
      <c r="AC2981" s="27">
        <v>56.854100000000003</v>
      </c>
      <c r="AE2981" s="27">
        <v>1</v>
      </c>
      <c r="AG2981" s="27">
        <v>7.8271199999999999</v>
      </c>
      <c r="AI2981" s="27">
        <v>8.75</v>
      </c>
      <c r="AK2981" s="27">
        <v>24.696899999999999</v>
      </c>
      <c r="AM2981" s="27">
        <v>36.556399999999996</v>
      </c>
      <c r="AO2981" s="27">
        <v>6.7866999999999997</v>
      </c>
    </row>
    <row r="2982" spans="2:41" x14ac:dyDescent="0.25">
      <c r="B2982" s="21">
        <v>45250</v>
      </c>
      <c r="C2982" s="27">
        <v>17.270800000000001</v>
      </c>
      <c r="E2982" s="27">
        <v>0.91496500000000003</v>
      </c>
      <c r="G2982" s="27">
        <v>353.298</v>
      </c>
      <c r="I2982" s="27">
        <v>6.8960800000000004</v>
      </c>
      <c r="K2982" s="27">
        <v>4.8771000000000004</v>
      </c>
      <c r="M2982" s="27">
        <v>883.74599999999998</v>
      </c>
      <c r="O2982" s="27">
        <v>4066.6</v>
      </c>
      <c r="Q2982" s="27">
        <v>7416.75</v>
      </c>
      <c r="S2982" s="27">
        <v>1520.76</v>
      </c>
      <c r="U2982" s="27">
        <v>3.8273799999999998</v>
      </c>
      <c r="W2982" s="27">
        <v>39.571199999999997</v>
      </c>
      <c r="Y2982" s="27">
        <v>8.1137999999999995</v>
      </c>
      <c r="AA2982" s="27">
        <v>530.35599999999999</v>
      </c>
      <c r="AC2982" s="27">
        <v>56.738599999999998</v>
      </c>
      <c r="AE2982" s="27">
        <v>1</v>
      </c>
      <c r="AG2982" s="27">
        <v>7.8154000000000003</v>
      </c>
      <c r="AI2982" s="27">
        <v>8.75</v>
      </c>
      <c r="AK2982" s="27">
        <v>24.6401</v>
      </c>
      <c r="AM2982" s="27">
        <v>36.548499999999997</v>
      </c>
      <c r="AO2982" s="27">
        <v>6.7774799999999997</v>
      </c>
    </row>
    <row r="2983" spans="2:41" x14ac:dyDescent="0.25">
      <c r="B2983" s="21">
        <v>45251</v>
      </c>
      <c r="C2983" s="27">
        <v>17.217500000000001</v>
      </c>
      <c r="E2983" s="27">
        <v>0.91406100000000001</v>
      </c>
      <c r="G2983" s="27">
        <v>354.77600000000001</v>
      </c>
      <c r="I2983" s="27">
        <v>6.8990499999999999</v>
      </c>
      <c r="K2983" s="27">
        <v>4.8726599999999998</v>
      </c>
      <c r="M2983" s="27">
        <v>875.80200000000002</v>
      </c>
      <c r="O2983" s="27">
        <v>4056.18</v>
      </c>
      <c r="Q2983" s="27">
        <v>7423.08</v>
      </c>
      <c r="S2983" s="27">
        <v>1523.42</v>
      </c>
      <c r="U2983" s="27">
        <v>3.7511199999999998</v>
      </c>
      <c r="W2983" s="27">
        <v>39.489800000000002</v>
      </c>
      <c r="Y2983" s="27">
        <v>8.1044099999999997</v>
      </c>
      <c r="AA2983" s="27">
        <v>530.28399999999999</v>
      </c>
      <c r="AC2983" s="27">
        <v>56.968400000000003</v>
      </c>
      <c r="AE2983" s="27">
        <v>1</v>
      </c>
      <c r="AG2983" s="27">
        <v>7.8193200000000003</v>
      </c>
      <c r="AI2983" s="27">
        <v>8.75</v>
      </c>
      <c r="AK2983" s="27">
        <v>24.673100000000002</v>
      </c>
      <c r="AM2983" s="27">
        <v>36.6858</v>
      </c>
      <c r="AO2983" s="27">
        <v>6.7827599999999997</v>
      </c>
    </row>
    <row r="2984" spans="2:41" x14ac:dyDescent="0.25">
      <c r="B2984" s="21">
        <v>45252</v>
      </c>
      <c r="C2984" s="27">
        <v>17.2102</v>
      </c>
      <c r="E2984" s="27">
        <v>0.91774599999999995</v>
      </c>
      <c r="G2984" s="27">
        <v>356.21100000000001</v>
      </c>
      <c r="I2984" s="27">
        <v>6.9100099999999998</v>
      </c>
      <c r="K2984" s="27">
        <v>4.8998699999999999</v>
      </c>
      <c r="M2984" s="27">
        <v>871.197</v>
      </c>
      <c r="O2984" s="27">
        <v>4073.5</v>
      </c>
      <c r="Q2984" s="27">
        <v>7436.95</v>
      </c>
      <c r="S2984" s="27">
        <v>1517.8</v>
      </c>
      <c r="U2984" s="27">
        <v>3.73956</v>
      </c>
      <c r="W2984" s="27">
        <v>39.422800000000002</v>
      </c>
      <c r="Y2984" s="27">
        <v>8.0457099999999997</v>
      </c>
      <c r="AA2984" s="27">
        <v>530.875</v>
      </c>
      <c r="AC2984" s="27">
        <v>56.869199999999999</v>
      </c>
      <c r="AE2984" s="27">
        <v>1</v>
      </c>
      <c r="AG2984" s="27">
        <v>7.8294199999999998</v>
      </c>
      <c r="AI2984" s="27">
        <v>8.75</v>
      </c>
      <c r="AK2984" s="27">
        <v>24.717400000000001</v>
      </c>
      <c r="AM2984" s="27">
        <v>36.644599999999997</v>
      </c>
      <c r="AO2984" s="27">
        <v>6.7936800000000002</v>
      </c>
    </row>
    <row r="2985" spans="2:41" x14ac:dyDescent="0.25">
      <c r="B2985" s="21">
        <v>45253</v>
      </c>
      <c r="C2985" s="27">
        <v>17.2133</v>
      </c>
      <c r="E2985" s="27">
        <v>0.91697899999999999</v>
      </c>
      <c r="G2985" s="27">
        <v>356.71899999999999</v>
      </c>
      <c r="I2985" s="27">
        <v>6.91038</v>
      </c>
      <c r="K2985" s="27">
        <v>4.9029600000000002</v>
      </c>
      <c r="M2985" s="27">
        <v>872.25199999999995</v>
      </c>
      <c r="O2985" s="27">
        <v>4067.52</v>
      </c>
      <c r="Q2985" s="27">
        <v>7439.74</v>
      </c>
      <c r="S2985" s="27">
        <v>1517.41</v>
      </c>
      <c r="U2985" s="27">
        <v>3.7389999999999999</v>
      </c>
      <c r="W2985" s="27">
        <v>39.257800000000003</v>
      </c>
      <c r="Y2985" s="27">
        <v>8.0069900000000001</v>
      </c>
      <c r="AA2985" s="27">
        <v>530.90800000000002</v>
      </c>
      <c r="AC2985" s="27">
        <v>56.887900000000002</v>
      </c>
      <c r="AE2985" s="27">
        <v>1</v>
      </c>
      <c r="AG2985" s="27">
        <v>7.8295500000000002</v>
      </c>
      <c r="AI2985" s="27">
        <v>8.75</v>
      </c>
      <c r="AK2985" s="27">
        <v>24.706399999999999</v>
      </c>
      <c r="AM2985" s="27">
        <v>36.622199999999999</v>
      </c>
      <c r="AO2985" s="27">
        <v>6.7938799999999997</v>
      </c>
    </row>
    <row r="2986" spans="2:41" x14ac:dyDescent="0.25">
      <c r="B2986" s="21">
        <v>45254</v>
      </c>
      <c r="C2986" s="27">
        <v>17.178699999999999</v>
      </c>
      <c r="E2986" s="27">
        <v>0.915682</v>
      </c>
      <c r="G2986" s="27">
        <v>357.25799999999998</v>
      </c>
      <c r="I2986" s="27">
        <v>6.9105499999999997</v>
      </c>
      <c r="K2986" s="27">
        <v>4.9013299999999997</v>
      </c>
      <c r="M2986" s="27">
        <v>872.80200000000002</v>
      </c>
      <c r="O2986" s="27">
        <v>4055.61</v>
      </c>
      <c r="Q2986" s="27">
        <v>7439.76</v>
      </c>
      <c r="S2986" s="27">
        <v>1517.92</v>
      </c>
      <c r="U2986" s="27">
        <v>3.7391999999999999</v>
      </c>
      <c r="W2986" s="27">
        <v>39.142000000000003</v>
      </c>
      <c r="Y2986" s="27">
        <v>7.9860199999999999</v>
      </c>
      <c r="AA2986" s="27">
        <v>530.93100000000004</v>
      </c>
      <c r="AC2986" s="27">
        <v>56.972999999999999</v>
      </c>
      <c r="AE2986" s="27">
        <v>1</v>
      </c>
      <c r="AG2986" s="27">
        <v>7.8320400000000001</v>
      </c>
      <c r="AI2986" s="27">
        <v>8.75</v>
      </c>
      <c r="AK2986" s="27">
        <v>24.715</v>
      </c>
      <c r="AM2986" s="27">
        <v>36.683799999999998</v>
      </c>
      <c r="AO2986" s="27">
        <v>6.7938999999999998</v>
      </c>
    </row>
    <row r="2987" spans="2:41" x14ac:dyDescent="0.25">
      <c r="B2987" s="21">
        <v>45255</v>
      </c>
      <c r="C2987" s="27">
        <v>17.178699999999999</v>
      </c>
      <c r="E2987" s="27">
        <v>0.91408599999999995</v>
      </c>
      <c r="G2987" s="27">
        <v>357.51799999999997</v>
      </c>
      <c r="I2987" s="27">
        <v>6.9064199999999998</v>
      </c>
      <c r="K2987" s="27">
        <v>4.9028499999999999</v>
      </c>
      <c r="M2987" s="27">
        <v>871.13</v>
      </c>
      <c r="O2987" s="27">
        <v>4040.56</v>
      </c>
      <c r="Q2987" s="27">
        <v>7434.98</v>
      </c>
      <c r="S2987" s="27">
        <v>1516.47</v>
      </c>
      <c r="U2987" s="27">
        <v>3.7330000000000001</v>
      </c>
      <c r="W2987" s="27">
        <v>39.187800000000003</v>
      </c>
      <c r="Y2987" s="27">
        <v>7.9928800000000004</v>
      </c>
      <c r="AA2987" s="27">
        <v>530.60299999999995</v>
      </c>
      <c r="AC2987" s="27">
        <v>57.052500000000002</v>
      </c>
      <c r="AE2987" s="27">
        <v>1</v>
      </c>
      <c r="AG2987" s="27">
        <v>7.8294800000000002</v>
      </c>
      <c r="AI2987" s="27">
        <v>8.75</v>
      </c>
      <c r="AK2987" s="27">
        <v>24.724799999999998</v>
      </c>
      <c r="AM2987" s="27">
        <v>36.767200000000003</v>
      </c>
      <c r="AO2987" s="27">
        <v>6.7895200000000004</v>
      </c>
    </row>
    <row r="2988" spans="2:41" x14ac:dyDescent="0.25">
      <c r="B2988" s="21">
        <v>45256</v>
      </c>
      <c r="C2988" s="27">
        <v>17.178699999999999</v>
      </c>
      <c r="E2988" s="27">
        <v>0.91406399999999999</v>
      </c>
      <c r="G2988" s="27">
        <v>357.4</v>
      </c>
      <c r="I2988" s="27">
        <v>6.90618</v>
      </c>
      <c r="K2988" s="27">
        <v>4.9028299999999998</v>
      </c>
      <c r="M2988" s="27">
        <v>871.13</v>
      </c>
      <c r="O2988" s="27">
        <v>4040.9</v>
      </c>
      <c r="Q2988" s="27">
        <v>7434.74</v>
      </c>
      <c r="S2988" s="27">
        <v>1516.42</v>
      </c>
      <c r="U2988" s="27">
        <v>3.7328600000000001</v>
      </c>
      <c r="W2988" s="27">
        <v>39.187800000000003</v>
      </c>
      <c r="Y2988" s="27">
        <v>7.9929100000000002</v>
      </c>
      <c r="AA2988" s="27">
        <v>530.58399999999995</v>
      </c>
      <c r="AC2988" s="27">
        <v>57.052500000000002</v>
      </c>
      <c r="AE2988" s="27">
        <v>1</v>
      </c>
      <c r="AG2988" s="27">
        <v>7.8292000000000002</v>
      </c>
      <c r="AI2988" s="27">
        <v>8.75</v>
      </c>
      <c r="AK2988" s="27">
        <v>24.7224</v>
      </c>
      <c r="AM2988" s="27">
        <v>36.767200000000003</v>
      </c>
      <c r="AO2988" s="27">
        <v>6.7892799999999998</v>
      </c>
    </row>
    <row r="2989" spans="2:41" x14ac:dyDescent="0.25">
      <c r="B2989" s="21">
        <v>45257</v>
      </c>
      <c r="C2989" s="27">
        <v>17.126799999999999</v>
      </c>
      <c r="E2989" s="27">
        <v>0.913609</v>
      </c>
      <c r="G2989" s="27">
        <v>357.79199999999997</v>
      </c>
      <c r="I2989" s="27">
        <v>6.8982000000000001</v>
      </c>
      <c r="K2989" s="27">
        <v>4.9010199999999999</v>
      </c>
      <c r="M2989" s="27">
        <v>870.524</v>
      </c>
      <c r="O2989" s="27">
        <v>4028.64</v>
      </c>
      <c r="Q2989" s="27">
        <v>7431.8</v>
      </c>
      <c r="S2989" s="27">
        <v>1516.39</v>
      </c>
      <c r="U2989" s="27">
        <v>3.7300599999999999</v>
      </c>
      <c r="W2989" s="27">
        <v>39.111600000000003</v>
      </c>
      <c r="Y2989" s="27">
        <v>7.9803300000000004</v>
      </c>
      <c r="AA2989" s="27">
        <v>529.80999999999995</v>
      </c>
      <c r="AC2989" s="27">
        <v>56.892200000000003</v>
      </c>
      <c r="AE2989" s="27">
        <v>1</v>
      </c>
      <c r="AG2989" s="27">
        <v>7.8210100000000002</v>
      </c>
      <c r="AI2989" s="27">
        <v>8.75</v>
      </c>
      <c r="AK2989" s="27">
        <v>24.657800000000002</v>
      </c>
      <c r="AM2989" s="27">
        <v>36.668700000000001</v>
      </c>
      <c r="AO2989" s="27">
        <v>6.7792599999999998</v>
      </c>
    </row>
    <row r="2990" spans="2:41" x14ac:dyDescent="0.25">
      <c r="B2990" s="21">
        <v>45258</v>
      </c>
      <c r="C2990" s="27">
        <v>17.1555</v>
      </c>
      <c r="E2990" s="27">
        <v>0.91177399999999997</v>
      </c>
      <c r="G2990" s="27">
        <v>359.22399999999999</v>
      </c>
      <c r="I2990" s="27">
        <v>6.9062000000000001</v>
      </c>
      <c r="K2990" s="27">
        <v>4.8868999999999998</v>
      </c>
      <c r="M2990" s="27">
        <v>870.19399999999996</v>
      </c>
      <c r="O2990" s="27">
        <v>3989.52</v>
      </c>
      <c r="Q2990" s="27">
        <v>7444.06</v>
      </c>
      <c r="S2990" s="27">
        <v>1523.28</v>
      </c>
      <c r="U2990" s="27">
        <v>3.7299000000000002</v>
      </c>
      <c r="W2990" s="27">
        <v>39.255699999999997</v>
      </c>
      <c r="Y2990" s="27">
        <v>8.0328800000000005</v>
      </c>
      <c r="AA2990" s="27">
        <v>529.87599999999998</v>
      </c>
      <c r="AC2990" s="27">
        <v>56.759</v>
      </c>
      <c r="AE2990" s="27">
        <v>1</v>
      </c>
      <c r="AG2990" s="27">
        <v>7.8293799999999996</v>
      </c>
      <c r="AI2990" s="27">
        <v>8.75</v>
      </c>
      <c r="AK2990" s="27">
        <v>24.731400000000001</v>
      </c>
      <c r="AM2990" s="27">
        <v>36.738599999999998</v>
      </c>
      <c r="AO2990" s="27">
        <v>6.7822800000000001</v>
      </c>
    </row>
    <row r="2991" spans="2:41" x14ac:dyDescent="0.25">
      <c r="B2991" s="21">
        <v>45259</v>
      </c>
      <c r="C2991" s="27">
        <v>17.1357</v>
      </c>
      <c r="E2991" s="27">
        <v>0.91031099999999998</v>
      </c>
      <c r="G2991" s="27">
        <v>359.73599999999999</v>
      </c>
      <c r="I2991" s="27">
        <v>6.8942399999999999</v>
      </c>
      <c r="K2991" s="27">
        <v>4.8822999999999999</v>
      </c>
      <c r="M2991" s="27">
        <v>868.07799999999997</v>
      </c>
      <c r="O2991" s="27">
        <v>3966.66</v>
      </c>
      <c r="Q2991" s="27">
        <v>7422.02</v>
      </c>
      <c r="S2991" s="27">
        <v>1520.2</v>
      </c>
      <c r="U2991" s="27">
        <v>3.7189999999999999</v>
      </c>
      <c r="W2991" s="27">
        <v>39.1295</v>
      </c>
      <c r="Y2991" s="27">
        <v>8.0145900000000001</v>
      </c>
      <c r="AA2991" s="27">
        <v>528.62900000000002</v>
      </c>
      <c r="AC2991" s="27">
        <v>56.650500000000001</v>
      </c>
      <c r="AE2991" s="27">
        <v>1</v>
      </c>
      <c r="AG2991" s="27">
        <v>7.8121799999999997</v>
      </c>
      <c r="AI2991" s="27">
        <v>8.75</v>
      </c>
      <c r="AK2991" s="27">
        <v>24.678000000000001</v>
      </c>
      <c r="AM2991" s="27">
        <v>36.661700000000003</v>
      </c>
      <c r="AO2991" s="27">
        <v>6.7693899999999996</v>
      </c>
    </row>
    <row r="2992" spans="2:41" x14ac:dyDescent="0.25">
      <c r="B2992" s="21">
        <v>45260</v>
      </c>
      <c r="C2992" s="27">
        <v>17.187000000000001</v>
      </c>
      <c r="E2992" s="27">
        <v>0.91496900000000003</v>
      </c>
      <c r="G2992" s="27">
        <v>360.20100000000002</v>
      </c>
      <c r="I2992" s="27">
        <v>6.9116200000000001</v>
      </c>
      <c r="K2992" s="27">
        <v>4.9165200000000002</v>
      </c>
      <c r="M2992" s="27">
        <v>869.64400000000001</v>
      </c>
      <c r="O2992" s="27">
        <v>4004.44</v>
      </c>
      <c r="Q2992" s="27">
        <v>7434.7</v>
      </c>
      <c r="S2992" s="27">
        <v>1512.2</v>
      </c>
      <c r="U2992" s="27">
        <v>3.72722</v>
      </c>
      <c r="W2992" s="27">
        <v>39.1648</v>
      </c>
      <c r="Y2992" s="27">
        <v>7.9660000000000002</v>
      </c>
      <c r="AA2992" s="27">
        <v>529.90599999999995</v>
      </c>
      <c r="AC2992" s="27">
        <v>56.851199999999999</v>
      </c>
      <c r="AE2992" s="27">
        <v>1</v>
      </c>
      <c r="AG2992" s="27">
        <v>7.8282400000000001</v>
      </c>
      <c r="AI2992" s="27">
        <v>8.75</v>
      </c>
      <c r="AK2992" s="27">
        <v>24.704599999999999</v>
      </c>
      <c r="AM2992" s="27">
        <v>36.639600000000002</v>
      </c>
      <c r="AO2992" s="27">
        <v>6.7859699999999998</v>
      </c>
    </row>
    <row r="2993" spans="2:41" ht="13" x14ac:dyDescent="0.3">
      <c r="B2993" s="25" t="s">
        <v>223</v>
      </c>
      <c r="C2993" s="19">
        <v>17.441400000000002</v>
      </c>
      <c r="E2993" s="19">
        <v>0.92510000000000003</v>
      </c>
      <c r="G2993" s="19">
        <v>353.15769999999998</v>
      </c>
      <c r="I2993" s="19">
        <v>6.9039999999999999</v>
      </c>
      <c r="K2993" s="19">
        <v>4.9024999999999999</v>
      </c>
      <c r="M2993" s="19">
        <v>885.1825</v>
      </c>
      <c r="O2993" s="19">
        <v>4036.1152999999999</v>
      </c>
      <c r="Q2993" s="19">
        <v>7439.9126999999999</v>
      </c>
      <c r="S2993" s="19">
        <v>1517.6420000000001</v>
      </c>
      <c r="U2993" s="19">
        <v>3.7730999999999999</v>
      </c>
      <c r="W2993" s="19">
        <v>39.658299999999997</v>
      </c>
      <c r="Y2993" s="19">
        <v>8.0897000000000006</v>
      </c>
      <c r="AA2993" s="19">
        <v>530.66759999999999</v>
      </c>
      <c r="AC2993" s="19">
        <v>56.835900000000002</v>
      </c>
      <c r="AE2993" s="19">
        <v>1</v>
      </c>
      <c r="AG2993" s="19">
        <v>7.8243</v>
      </c>
      <c r="AI2993" s="19">
        <v>8.75</v>
      </c>
      <c r="AK2993" s="19">
        <v>24.703199999999999</v>
      </c>
      <c r="AM2993" s="19">
        <v>36.631100000000004</v>
      </c>
      <c r="AO2993" s="19">
        <v>6.782</v>
      </c>
    </row>
    <row r="2994" spans="2:41" x14ac:dyDescent="0.25">
      <c r="B2994" s="21">
        <v>45261</v>
      </c>
      <c r="C2994" s="27">
        <v>17.373000000000001</v>
      </c>
      <c r="E2994" s="27">
        <v>0.91834000000000005</v>
      </c>
      <c r="G2994" s="27">
        <v>360.75</v>
      </c>
      <c r="I2994" s="27">
        <v>6.9115799999999998</v>
      </c>
      <c r="K2994" s="27">
        <v>4.9090400000000001</v>
      </c>
      <c r="M2994" s="27">
        <v>866.01199999999994</v>
      </c>
      <c r="O2994" s="27">
        <v>4000.88</v>
      </c>
      <c r="Q2994" s="27">
        <v>7437.48</v>
      </c>
      <c r="S2994" s="27">
        <v>1515.07</v>
      </c>
      <c r="U2994" s="27">
        <v>3.7378200000000001</v>
      </c>
      <c r="W2994" s="27">
        <v>39.128399999999999</v>
      </c>
      <c r="Y2994" s="27">
        <v>7.97072</v>
      </c>
      <c r="AA2994" s="27">
        <v>529.69399999999996</v>
      </c>
      <c r="AC2994" s="27">
        <v>56.850200000000001</v>
      </c>
      <c r="AE2994" s="27">
        <v>1</v>
      </c>
      <c r="AG2994" s="27">
        <v>7.8307399999999996</v>
      </c>
      <c r="AI2994" s="27">
        <v>8.75</v>
      </c>
      <c r="AK2994" s="27">
        <v>24.707599999999999</v>
      </c>
      <c r="AM2994" s="27">
        <v>36.724600000000002</v>
      </c>
      <c r="AO2994" s="27">
        <v>6.7860899999999997</v>
      </c>
    </row>
    <row r="2995" spans="2:41" x14ac:dyDescent="0.25">
      <c r="B2995" s="21">
        <v>45262</v>
      </c>
      <c r="C2995" s="27">
        <v>17.373000000000001</v>
      </c>
      <c r="E2995" s="27">
        <v>0.91883899999999996</v>
      </c>
      <c r="G2995" s="27">
        <v>360.86799999999999</v>
      </c>
      <c r="I2995" s="27">
        <v>6.9107000000000003</v>
      </c>
      <c r="K2995" s="27">
        <v>4.8804999999999996</v>
      </c>
      <c r="M2995" s="27">
        <v>859.21</v>
      </c>
      <c r="O2995" s="27">
        <v>3963.05</v>
      </c>
      <c r="Q2995" s="27">
        <v>7440.24</v>
      </c>
      <c r="S2995" s="27">
        <v>1524.5</v>
      </c>
      <c r="U2995" s="27">
        <v>3.7389999999999999</v>
      </c>
      <c r="W2995" s="27">
        <v>39.124000000000002</v>
      </c>
      <c r="Y2995" s="27">
        <v>8.0164299999999997</v>
      </c>
      <c r="AA2995" s="27">
        <v>529.38800000000003</v>
      </c>
      <c r="AC2995" s="27">
        <v>56.822499999999998</v>
      </c>
      <c r="AE2995" s="27">
        <v>1</v>
      </c>
      <c r="AG2995" s="27">
        <v>7.8326900000000004</v>
      </c>
      <c r="AI2995" s="27">
        <v>8.75</v>
      </c>
      <c r="AK2995" s="27">
        <v>24.6998</v>
      </c>
      <c r="AM2995" s="27">
        <v>36.767200000000003</v>
      </c>
      <c r="AO2995" s="27">
        <v>6.7850999999999999</v>
      </c>
    </row>
    <row r="2996" spans="2:41" x14ac:dyDescent="0.25">
      <c r="B2996" s="21">
        <v>45263</v>
      </c>
      <c r="C2996" s="27">
        <v>17.373000000000001</v>
      </c>
      <c r="E2996" s="27">
        <v>0.91881000000000002</v>
      </c>
      <c r="G2996" s="27">
        <v>360.87200000000001</v>
      </c>
      <c r="I2996" s="27">
        <v>6.9107799999999999</v>
      </c>
      <c r="K2996" s="27">
        <v>4.8807200000000002</v>
      </c>
      <c r="M2996" s="27">
        <v>859.25199999999995</v>
      </c>
      <c r="O2996" s="27">
        <v>3963.34</v>
      </c>
      <c r="Q2996" s="27">
        <v>7440.34</v>
      </c>
      <c r="S2996" s="27">
        <v>1524.44</v>
      </c>
      <c r="U2996" s="27">
        <v>3.73902</v>
      </c>
      <c r="W2996" s="27">
        <v>39.123600000000003</v>
      </c>
      <c r="Y2996" s="27">
        <v>8.0159800000000008</v>
      </c>
      <c r="AA2996" s="27">
        <v>529.38699999999994</v>
      </c>
      <c r="AC2996" s="27">
        <v>56.826900000000002</v>
      </c>
      <c r="AE2996" s="27">
        <v>1</v>
      </c>
      <c r="AG2996" s="27">
        <v>7.8328199999999999</v>
      </c>
      <c r="AI2996" s="27">
        <v>8.75</v>
      </c>
      <c r="AK2996" s="27">
        <v>24.699400000000001</v>
      </c>
      <c r="AM2996" s="27">
        <v>36.762900000000002</v>
      </c>
      <c r="AO2996" s="27">
        <v>6.7851600000000003</v>
      </c>
    </row>
    <row r="2997" spans="2:41" x14ac:dyDescent="0.25">
      <c r="B2997" s="21">
        <v>45264</v>
      </c>
      <c r="C2997" s="27">
        <v>17.214300000000001</v>
      </c>
      <c r="E2997" s="27">
        <v>0.92137400000000003</v>
      </c>
      <c r="G2997" s="27">
        <v>361.74099999999999</v>
      </c>
      <c r="I2997" s="27">
        <v>6.9176900000000003</v>
      </c>
      <c r="K2997" s="27">
        <v>4.9188599999999996</v>
      </c>
      <c r="M2997" s="27">
        <v>867.50099999999998</v>
      </c>
      <c r="O2997" s="27">
        <v>3998.39</v>
      </c>
      <c r="Q2997" s="27">
        <v>7440.81</v>
      </c>
      <c r="S2997" s="27">
        <v>1512.74</v>
      </c>
      <c r="U2997" s="27">
        <v>3.7422200000000001</v>
      </c>
      <c r="W2997" s="27">
        <v>39.1295</v>
      </c>
      <c r="Y2997" s="27">
        <v>7.9550999999999998</v>
      </c>
      <c r="AA2997" s="27">
        <v>529.81600000000003</v>
      </c>
      <c r="AC2997" s="27">
        <v>56.949599999999997</v>
      </c>
      <c r="AE2997" s="27">
        <v>1</v>
      </c>
      <c r="AG2997" s="27">
        <v>7.84213</v>
      </c>
      <c r="AI2997" s="27">
        <v>8.75</v>
      </c>
      <c r="AK2997" s="27">
        <v>24.707699999999999</v>
      </c>
      <c r="AM2997" s="27">
        <v>36.694400000000002</v>
      </c>
      <c r="AO2997" s="27">
        <v>6.7903000000000002</v>
      </c>
    </row>
    <row r="2998" spans="2:41" x14ac:dyDescent="0.25">
      <c r="B2998" s="21">
        <v>45265</v>
      </c>
      <c r="C2998" s="27">
        <v>17.405999999999999</v>
      </c>
      <c r="E2998" s="27">
        <v>0.92440800000000001</v>
      </c>
      <c r="G2998" s="27">
        <v>362.75599999999997</v>
      </c>
      <c r="I2998" s="27">
        <v>6.9179399999999998</v>
      </c>
      <c r="K2998" s="27">
        <v>4.9426699999999997</v>
      </c>
      <c r="M2998" s="27">
        <v>872.30399999999997</v>
      </c>
      <c r="O2998" s="27">
        <v>4019.38</v>
      </c>
      <c r="Q2998" s="27">
        <v>7428.27</v>
      </c>
      <c r="S2998" s="27">
        <v>1502.9</v>
      </c>
      <c r="U2998" s="27">
        <v>3.7475800000000001</v>
      </c>
      <c r="W2998" s="27">
        <v>39.097000000000001</v>
      </c>
      <c r="Y2998" s="27">
        <v>7.91012</v>
      </c>
      <c r="AA2998" s="27">
        <v>529.28</v>
      </c>
      <c r="AC2998" s="27">
        <v>56.9572</v>
      </c>
      <c r="AE2998" s="27">
        <v>1</v>
      </c>
      <c r="AG2998" s="27">
        <v>7.8409800000000001</v>
      </c>
      <c r="AI2998" s="27">
        <v>8.75</v>
      </c>
      <c r="AK2998" s="27">
        <v>24.719899999999999</v>
      </c>
      <c r="AM2998" s="27">
        <v>36.672199999999997</v>
      </c>
      <c r="AO2998" s="27">
        <v>6.7870600000000003</v>
      </c>
    </row>
    <row r="2999" spans="2:41" x14ac:dyDescent="0.25">
      <c r="B2999" s="21">
        <v>45266</v>
      </c>
      <c r="C2999" s="27">
        <v>17.421500000000002</v>
      </c>
      <c r="E2999" s="27">
        <v>0.92721399999999998</v>
      </c>
      <c r="G2999" s="27">
        <v>363.27600000000001</v>
      </c>
      <c r="I2999" s="27">
        <v>6.9192600000000004</v>
      </c>
      <c r="K2999" s="27">
        <v>4.9160500000000003</v>
      </c>
      <c r="M2999" s="27">
        <v>874.19799999999998</v>
      </c>
      <c r="O2999" s="27">
        <v>4012.71</v>
      </c>
      <c r="Q2999" s="27">
        <v>7410.34</v>
      </c>
      <c r="S2999" s="27">
        <v>1507.38</v>
      </c>
      <c r="U2999" s="27">
        <v>3.7583799999999998</v>
      </c>
      <c r="W2999" s="27">
        <v>39.120399999999997</v>
      </c>
      <c r="Y2999" s="27">
        <v>7.9577200000000001</v>
      </c>
      <c r="AA2999" s="27">
        <v>528.726</v>
      </c>
      <c r="AC2999" s="27">
        <v>56.946100000000001</v>
      </c>
      <c r="AE2999" s="27">
        <v>1</v>
      </c>
      <c r="AG2999" s="27">
        <v>7.8409800000000001</v>
      </c>
      <c r="AI2999" s="27">
        <v>8.75</v>
      </c>
      <c r="AK2999" s="27">
        <v>24.738600000000002</v>
      </c>
      <c r="AM2999" s="27">
        <v>36.691800000000001</v>
      </c>
      <c r="AO2999" s="27">
        <v>6.7895099999999999</v>
      </c>
    </row>
    <row r="3000" spans="2:41" x14ac:dyDescent="0.25">
      <c r="B3000" s="21">
        <v>45267</v>
      </c>
      <c r="C3000" s="27">
        <v>17.2685</v>
      </c>
      <c r="E3000" s="27">
        <v>0.927678</v>
      </c>
      <c r="G3000" s="27">
        <v>363.774</v>
      </c>
      <c r="I3000" s="27">
        <v>6.9171399999999998</v>
      </c>
      <c r="K3000" s="27">
        <v>4.9038700000000004</v>
      </c>
      <c r="M3000" s="27">
        <v>872.31500000000005</v>
      </c>
      <c r="O3000" s="27">
        <v>4001.66</v>
      </c>
      <c r="Q3000" s="27">
        <v>7388.28</v>
      </c>
      <c r="S3000" s="27">
        <v>1506.62</v>
      </c>
      <c r="U3000" s="27">
        <v>3.7622200000000001</v>
      </c>
      <c r="W3000" s="27">
        <v>39.168799999999997</v>
      </c>
      <c r="Y3000" s="27">
        <v>7.9873599999999998</v>
      </c>
      <c r="AA3000" s="27">
        <v>528.38800000000003</v>
      </c>
      <c r="AC3000" s="27">
        <v>56.904600000000002</v>
      </c>
      <c r="AE3000" s="27">
        <v>1</v>
      </c>
      <c r="AG3000" s="27">
        <v>7.8374600000000001</v>
      </c>
      <c r="AI3000" s="27">
        <v>8.75</v>
      </c>
      <c r="AK3000" s="27">
        <v>24.719000000000001</v>
      </c>
      <c r="AM3000" s="27">
        <v>36.674100000000003</v>
      </c>
      <c r="AO3000" s="27">
        <v>6.79312</v>
      </c>
    </row>
    <row r="3001" spans="2:41" x14ac:dyDescent="0.25">
      <c r="B3001" s="21">
        <v>45268</v>
      </c>
      <c r="C3001" s="27">
        <v>17.419699999999999</v>
      </c>
      <c r="E3001" s="27">
        <v>0.92822300000000002</v>
      </c>
      <c r="G3001" s="27">
        <v>363.90699999999998</v>
      </c>
      <c r="I3001" s="27">
        <v>6.9091199999999997</v>
      </c>
      <c r="K3001" s="27">
        <v>4.9173799999999996</v>
      </c>
      <c r="M3001" s="27">
        <v>871.92600000000004</v>
      </c>
      <c r="O3001" s="27">
        <v>3991.52</v>
      </c>
      <c r="Q3001" s="27">
        <v>7365.1</v>
      </c>
      <c r="S3001" s="27">
        <v>1497.78</v>
      </c>
      <c r="U3001" s="27">
        <v>3.75265</v>
      </c>
      <c r="W3001" s="27">
        <v>39.119199999999999</v>
      </c>
      <c r="Y3001" s="27">
        <v>7.9553200000000004</v>
      </c>
      <c r="AA3001" s="27">
        <v>527.69399999999996</v>
      </c>
      <c r="AC3001" s="27">
        <v>56.904299999999999</v>
      </c>
      <c r="AE3001" s="27">
        <v>1</v>
      </c>
      <c r="AG3001" s="27">
        <v>7.8267800000000003</v>
      </c>
      <c r="AI3001" s="27">
        <v>8.75</v>
      </c>
      <c r="AK3001" s="27">
        <v>24.677</v>
      </c>
      <c r="AM3001" s="27">
        <v>36.637099999999997</v>
      </c>
      <c r="AO3001" s="27">
        <v>6.7885999999999997</v>
      </c>
    </row>
    <row r="3002" spans="2:41" x14ac:dyDescent="0.25">
      <c r="B3002" s="21">
        <v>45269</v>
      </c>
      <c r="C3002" s="27">
        <v>17.419699999999999</v>
      </c>
      <c r="E3002" s="27">
        <v>0.92928200000000005</v>
      </c>
      <c r="G3002" s="27">
        <v>363.84899999999999</v>
      </c>
      <c r="I3002" s="27">
        <v>6.9125399999999999</v>
      </c>
      <c r="K3002" s="27">
        <v>4.9317500000000001</v>
      </c>
      <c r="M3002" s="27">
        <v>871.13</v>
      </c>
      <c r="O3002" s="27">
        <v>3982.32</v>
      </c>
      <c r="Q3002" s="27">
        <v>7360.88</v>
      </c>
      <c r="S3002" s="27">
        <v>1492.56</v>
      </c>
      <c r="U3002" s="27">
        <v>3.7569400000000002</v>
      </c>
      <c r="W3002" s="27">
        <v>39.115200000000002</v>
      </c>
      <c r="Y3002" s="27">
        <v>7.9313599999999997</v>
      </c>
      <c r="AA3002" s="27">
        <v>527.94899999999996</v>
      </c>
      <c r="AC3002" s="27">
        <v>56.972499999999997</v>
      </c>
      <c r="AE3002" s="27">
        <v>1</v>
      </c>
      <c r="AG3002" s="27">
        <v>7.8306100000000001</v>
      </c>
      <c r="AI3002" s="27">
        <v>8.75</v>
      </c>
      <c r="AK3002" s="27">
        <v>24.724799999999998</v>
      </c>
      <c r="AM3002" s="27">
        <v>36.774799999999999</v>
      </c>
      <c r="AO3002" s="27">
        <v>6.7923799999999996</v>
      </c>
    </row>
    <row r="3003" spans="2:41" x14ac:dyDescent="0.25">
      <c r="B3003" s="21">
        <v>45270</v>
      </c>
      <c r="C3003" s="27">
        <v>17.419699999999999</v>
      </c>
      <c r="E3003" s="27">
        <v>0.92926900000000001</v>
      </c>
      <c r="G3003" s="27">
        <v>363.91</v>
      </c>
      <c r="I3003" s="27">
        <v>6.9125399999999999</v>
      </c>
      <c r="K3003" s="27">
        <v>4.9317500000000001</v>
      </c>
      <c r="M3003" s="27">
        <v>871.13300000000004</v>
      </c>
      <c r="O3003" s="27">
        <v>3982.32</v>
      </c>
      <c r="Q3003" s="27">
        <v>7360.88</v>
      </c>
      <c r="S3003" s="27">
        <v>1492.56</v>
      </c>
      <c r="U3003" s="27">
        <v>3.7569400000000002</v>
      </c>
      <c r="W3003" s="27">
        <v>39.115200000000002</v>
      </c>
      <c r="Y3003" s="27">
        <v>7.9313599999999997</v>
      </c>
      <c r="AA3003" s="27">
        <v>527.94899999999996</v>
      </c>
      <c r="AC3003" s="27">
        <v>56.972499999999997</v>
      </c>
      <c r="AE3003" s="27">
        <v>1</v>
      </c>
      <c r="AG3003" s="27">
        <v>7.8306100000000001</v>
      </c>
      <c r="AI3003" s="27">
        <v>8.75</v>
      </c>
      <c r="AK3003" s="27">
        <v>24.724799999999998</v>
      </c>
      <c r="AM3003" s="27">
        <v>36.774799999999999</v>
      </c>
      <c r="AO3003" s="27">
        <v>6.7923799999999996</v>
      </c>
    </row>
    <row r="3004" spans="2:41" x14ac:dyDescent="0.25">
      <c r="B3004" s="21">
        <v>45271</v>
      </c>
      <c r="C3004" s="27">
        <v>17.3688</v>
      </c>
      <c r="E3004" s="27">
        <v>0.92916900000000002</v>
      </c>
      <c r="G3004" s="27">
        <v>364.96</v>
      </c>
      <c r="I3004" s="27">
        <v>6.9166499999999997</v>
      </c>
      <c r="K3004" s="27">
        <v>4.9310200000000002</v>
      </c>
      <c r="M3004" s="27">
        <v>876.11300000000006</v>
      </c>
      <c r="O3004" s="27">
        <v>3984.66</v>
      </c>
      <c r="Q3004" s="27">
        <v>7359.75</v>
      </c>
      <c r="S3004" s="27">
        <v>1492.58</v>
      </c>
      <c r="U3004" s="27">
        <v>3.7591999999999999</v>
      </c>
      <c r="W3004" s="27">
        <v>39.189799999999998</v>
      </c>
      <c r="Y3004" s="27">
        <v>7.9477200000000003</v>
      </c>
      <c r="AA3004" s="27">
        <v>528.91800000000001</v>
      </c>
      <c r="AC3004" s="27">
        <v>57.036099999999998</v>
      </c>
      <c r="AE3004" s="27">
        <v>1</v>
      </c>
      <c r="AG3004" s="27">
        <v>7.8348599999999999</v>
      </c>
      <c r="AI3004" s="27">
        <v>8.75</v>
      </c>
      <c r="AK3004" s="27">
        <v>24.697199999999999</v>
      </c>
      <c r="AM3004" s="27">
        <v>36.655099999999997</v>
      </c>
      <c r="AO3004" s="27">
        <v>6.7993199999999998</v>
      </c>
    </row>
    <row r="3005" spans="2:41" x14ac:dyDescent="0.25">
      <c r="B3005" s="21">
        <v>45272</v>
      </c>
      <c r="C3005" s="27">
        <v>17.3688</v>
      </c>
      <c r="E3005" s="27">
        <v>0.92723800000000001</v>
      </c>
      <c r="G3005" s="27">
        <v>366.13600000000002</v>
      </c>
      <c r="I3005" s="27">
        <v>6.9116200000000001</v>
      </c>
      <c r="K3005" s="27">
        <v>4.94787</v>
      </c>
      <c r="M3005" s="27">
        <v>880.91200000000003</v>
      </c>
      <c r="O3005" s="27">
        <v>3977.37</v>
      </c>
      <c r="Q3005" s="27">
        <v>7364.78</v>
      </c>
      <c r="S3005" s="27">
        <v>1488.48</v>
      </c>
      <c r="U3005" s="27">
        <v>3.7692199999999998</v>
      </c>
      <c r="W3005" s="27">
        <v>39.240400000000001</v>
      </c>
      <c r="Y3005" s="27">
        <v>7.9307800000000004</v>
      </c>
      <c r="AA3005" s="27">
        <v>528.22400000000005</v>
      </c>
      <c r="AC3005" s="27">
        <v>57.003</v>
      </c>
      <c r="AE3005" s="27">
        <v>1</v>
      </c>
      <c r="AG3005" s="27">
        <v>7.8294300000000003</v>
      </c>
      <c r="AI3005" s="27">
        <v>8.75</v>
      </c>
      <c r="AK3005" s="27">
        <v>24.688199999999998</v>
      </c>
      <c r="AM3005" s="27">
        <v>36.640700000000002</v>
      </c>
      <c r="AO3005" s="27">
        <v>6.7933199999999996</v>
      </c>
    </row>
    <row r="3006" spans="2:41" x14ac:dyDescent="0.25">
      <c r="B3006" s="21">
        <v>45273</v>
      </c>
      <c r="C3006" s="27">
        <v>17.446999999999999</v>
      </c>
      <c r="E3006" s="27">
        <v>0.92538799999999999</v>
      </c>
      <c r="G3006" s="27">
        <v>485.69799999999998</v>
      </c>
      <c r="I3006" s="27">
        <v>6.91188</v>
      </c>
      <c r="K3006" s="27">
        <v>4.9562200000000001</v>
      </c>
      <c r="M3006" s="27">
        <v>876.88199999999995</v>
      </c>
      <c r="O3006" s="27">
        <v>3986.6</v>
      </c>
      <c r="Q3006" s="27">
        <v>7373.4</v>
      </c>
      <c r="S3006" s="27">
        <v>1487.72</v>
      </c>
      <c r="U3006" s="27">
        <v>3.7818999999999998</v>
      </c>
      <c r="W3006" s="27">
        <v>39.4176</v>
      </c>
      <c r="Y3006" s="27">
        <v>7.9531900000000002</v>
      </c>
      <c r="AA3006" s="27">
        <v>527.62400000000002</v>
      </c>
      <c r="AC3006" s="27">
        <v>56.964799999999997</v>
      </c>
      <c r="AE3006" s="27">
        <v>1</v>
      </c>
      <c r="AG3006" s="27">
        <v>7.8295599999999999</v>
      </c>
      <c r="AI3006" s="27">
        <v>8.75</v>
      </c>
      <c r="AK3006" s="27">
        <v>24.6876</v>
      </c>
      <c r="AM3006" s="27">
        <v>36.652200000000001</v>
      </c>
      <c r="AO3006" s="27">
        <v>6.79183</v>
      </c>
    </row>
    <row r="3007" spans="2:41" x14ac:dyDescent="0.25">
      <c r="B3007" s="21">
        <v>45274</v>
      </c>
      <c r="C3007" s="27">
        <v>17.398</v>
      </c>
      <c r="E3007" s="27">
        <v>0.91406600000000005</v>
      </c>
      <c r="G3007" s="27">
        <v>799.71799999999996</v>
      </c>
      <c r="I3007" s="27">
        <v>6.8939399999999997</v>
      </c>
      <c r="K3007" s="27">
        <v>4.9109400000000001</v>
      </c>
      <c r="M3007" s="27">
        <v>870.34400000000005</v>
      </c>
      <c r="O3007" s="27">
        <v>3965.98</v>
      </c>
      <c r="Q3007" s="27">
        <v>7330.38</v>
      </c>
      <c r="S3007" s="27">
        <v>1492.68</v>
      </c>
      <c r="U3007" s="27">
        <v>3.774</v>
      </c>
      <c r="W3007" s="27">
        <v>39.454300000000003</v>
      </c>
      <c r="Y3007" s="27">
        <v>8.0340000000000007</v>
      </c>
      <c r="AA3007" s="27">
        <v>525.20500000000004</v>
      </c>
      <c r="AC3007" s="27">
        <v>56.898200000000003</v>
      </c>
      <c r="AE3007" s="27">
        <v>1</v>
      </c>
      <c r="AG3007" s="27">
        <v>7.80579</v>
      </c>
      <c r="AI3007" s="27">
        <v>8.75</v>
      </c>
      <c r="AK3007" s="27">
        <v>24.681699999999999</v>
      </c>
      <c r="AM3007" s="27">
        <v>36.645600000000002</v>
      </c>
      <c r="AO3007" s="27">
        <v>6.7745300000000004</v>
      </c>
    </row>
    <row r="3008" spans="2:41" x14ac:dyDescent="0.25">
      <c r="B3008" s="21">
        <v>45275</v>
      </c>
      <c r="C3008" s="27">
        <v>17.298999999999999</v>
      </c>
      <c r="E3008" s="27">
        <v>0.913574</v>
      </c>
      <c r="G3008" s="27">
        <v>799.93600000000004</v>
      </c>
      <c r="I3008" s="27">
        <v>6.8971999999999998</v>
      </c>
      <c r="K3008" s="27">
        <v>4.9269100000000003</v>
      </c>
      <c r="M3008" s="27">
        <v>868.10599999999999</v>
      </c>
      <c r="O3008" s="27">
        <v>3958.68</v>
      </c>
      <c r="Q3008" s="27">
        <v>7306</v>
      </c>
      <c r="S3008" s="27">
        <v>1482.88</v>
      </c>
      <c r="U3008" s="27">
        <v>3.7684600000000001</v>
      </c>
      <c r="W3008" s="27">
        <v>39.784999999999997</v>
      </c>
      <c r="Y3008" s="27">
        <v>8.0750600000000006</v>
      </c>
      <c r="AA3008" s="27">
        <v>524.68899999999996</v>
      </c>
      <c r="AC3008" s="27">
        <v>57.065600000000003</v>
      </c>
      <c r="AE3008" s="27">
        <v>1</v>
      </c>
      <c r="AG3008" s="27">
        <v>7.80579</v>
      </c>
      <c r="AI3008" s="27">
        <v>8.75</v>
      </c>
      <c r="AK3008" s="27">
        <v>24.682400000000001</v>
      </c>
      <c r="AM3008" s="27">
        <v>36.658799999999999</v>
      </c>
      <c r="AO3008" s="27">
        <v>6.77684</v>
      </c>
    </row>
    <row r="3009" spans="2:41" x14ac:dyDescent="0.25">
      <c r="B3009" s="21">
        <v>45276</v>
      </c>
      <c r="C3009" s="27">
        <v>17.298999999999999</v>
      </c>
      <c r="E3009" s="27">
        <v>0.91786900000000005</v>
      </c>
      <c r="G3009" s="27">
        <v>792.38400000000001</v>
      </c>
      <c r="I3009" s="27">
        <v>6.9116</v>
      </c>
      <c r="K3009" s="27">
        <v>4.9379999999999997</v>
      </c>
      <c r="M3009" s="27">
        <v>870.91</v>
      </c>
      <c r="O3009" s="27">
        <v>3943.72</v>
      </c>
      <c r="Q3009" s="27">
        <v>7314.39</v>
      </c>
      <c r="S3009" s="27">
        <v>1481.26</v>
      </c>
      <c r="U3009" s="27">
        <v>3.7650000000000001</v>
      </c>
      <c r="W3009" s="27">
        <v>39.8337</v>
      </c>
      <c r="Y3009" s="27">
        <v>8.0667899999999992</v>
      </c>
      <c r="AA3009" s="27">
        <v>525.68200000000002</v>
      </c>
      <c r="AC3009" s="27">
        <v>57.202500000000001</v>
      </c>
      <c r="AE3009" s="27">
        <v>1</v>
      </c>
      <c r="AG3009" s="27">
        <v>7.8218199999999998</v>
      </c>
      <c r="AI3009" s="27">
        <v>8.75</v>
      </c>
      <c r="AK3009" s="27">
        <v>24.739799999999999</v>
      </c>
      <c r="AM3009" s="27">
        <v>36.7498</v>
      </c>
      <c r="AO3009" s="27">
        <v>6.7911599999999996</v>
      </c>
    </row>
    <row r="3010" spans="2:41" x14ac:dyDescent="0.25">
      <c r="B3010" s="21">
        <v>45277</v>
      </c>
      <c r="C3010" s="27">
        <v>17.298999999999999</v>
      </c>
      <c r="E3010" s="27">
        <v>0.91786299999999998</v>
      </c>
      <c r="G3010" s="27">
        <v>792.38</v>
      </c>
      <c r="I3010" s="27">
        <v>6.9120900000000001</v>
      </c>
      <c r="K3010" s="27">
        <v>4.9380899999999999</v>
      </c>
      <c r="M3010" s="27">
        <v>870.91</v>
      </c>
      <c r="O3010" s="27">
        <v>3943.72</v>
      </c>
      <c r="Q3010" s="27">
        <v>7314.36</v>
      </c>
      <c r="S3010" s="27">
        <v>1481.22</v>
      </c>
      <c r="U3010" s="27">
        <v>3.76552</v>
      </c>
      <c r="W3010" s="27">
        <v>39.839100000000002</v>
      </c>
      <c r="Y3010" s="27">
        <v>8.0677400000000006</v>
      </c>
      <c r="AA3010" s="27">
        <v>525.72</v>
      </c>
      <c r="AC3010" s="27">
        <v>57.210099999999997</v>
      </c>
      <c r="AE3010" s="27">
        <v>1</v>
      </c>
      <c r="AG3010" s="27">
        <v>7.8223799999999999</v>
      </c>
      <c r="AI3010" s="27">
        <v>8.75</v>
      </c>
      <c r="AK3010" s="27">
        <v>24.741</v>
      </c>
      <c r="AM3010" s="27">
        <v>36.750799999999998</v>
      </c>
      <c r="AO3010" s="27">
        <v>6.7916400000000001</v>
      </c>
    </row>
    <row r="3011" spans="2:41" x14ac:dyDescent="0.25">
      <c r="B3011" s="21">
        <v>45278</v>
      </c>
      <c r="C3011" s="27">
        <v>17.190799999999999</v>
      </c>
      <c r="E3011" s="27">
        <v>0.916076</v>
      </c>
      <c r="G3011" s="27">
        <v>799.327</v>
      </c>
      <c r="I3011" s="27">
        <v>6.9340099999999998</v>
      </c>
      <c r="K3011" s="27">
        <v>4.9331899999999997</v>
      </c>
      <c r="M3011" s="27">
        <v>872.68399999999997</v>
      </c>
      <c r="O3011" s="27">
        <v>3960.64</v>
      </c>
      <c r="Q3011" s="27">
        <v>7329.91</v>
      </c>
      <c r="S3011" s="27">
        <v>1485.87</v>
      </c>
      <c r="U3011" s="27">
        <v>3.7827099999999998</v>
      </c>
      <c r="W3011" s="27">
        <v>39.837400000000002</v>
      </c>
      <c r="Y3011" s="27">
        <v>8.0755099999999995</v>
      </c>
      <c r="AA3011" s="27">
        <v>526.49599999999998</v>
      </c>
      <c r="AC3011" s="27">
        <v>57.432899999999997</v>
      </c>
      <c r="AE3011" s="27">
        <v>1</v>
      </c>
      <c r="AG3011" s="27">
        <v>7.8425200000000004</v>
      </c>
      <c r="AI3011" s="27">
        <v>8.75</v>
      </c>
      <c r="AK3011" s="27">
        <v>24.751200000000001</v>
      </c>
      <c r="AM3011" s="27">
        <v>36.732999999999997</v>
      </c>
      <c r="AO3011" s="27">
        <v>6.8133699999999999</v>
      </c>
    </row>
    <row r="3012" spans="2:41" x14ac:dyDescent="0.25">
      <c r="B3012" s="21">
        <v>45279</v>
      </c>
      <c r="C3012" s="27">
        <v>17.227699999999999</v>
      </c>
      <c r="E3012" s="27">
        <v>0.91315599999999997</v>
      </c>
      <c r="G3012" s="27">
        <v>802.87</v>
      </c>
      <c r="I3012" s="27">
        <v>6.9098699999999997</v>
      </c>
      <c r="K3012" s="27">
        <v>4.8820800000000002</v>
      </c>
      <c r="M3012" s="27">
        <v>868.96199999999999</v>
      </c>
      <c r="O3012" s="27">
        <v>3934.94</v>
      </c>
      <c r="Q3012" s="27">
        <v>7313.38</v>
      </c>
      <c r="S3012" s="27">
        <v>1498.01</v>
      </c>
      <c r="U3012" s="27">
        <v>3.7475999999999998</v>
      </c>
      <c r="W3012" s="27">
        <v>39.498199999999997</v>
      </c>
      <c r="Y3012" s="27">
        <v>8.0904600000000002</v>
      </c>
      <c r="AA3012" s="27">
        <v>524.33600000000001</v>
      </c>
      <c r="AC3012" s="27">
        <v>57.264600000000002</v>
      </c>
      <c r="AE3012" s="27">
        <v>1</v>
      </c>
      <c r="AG3012" s="27">
        <v>7.8194600000000003</v>
      </c>
      <c r="AI3012" s="27">
        <v>8.75</v>
      </c>
      <c r="AK3012" s="27">
        <v>24.6996</v>
      </c>
      <c r="AM3012" s="27">
        <v>36.668700000000001</v>
      </c>
      <c r="AO3012" s="27">
        <v>6.7887899999999997</v>
      </c>
    </row>
    <row r="3013" spans="2:41" x14ac:dyDescent="0.25">
      <c r="B3013" s="21">
        <v>45280</v>
      </c>
      <c r="C3013" s="27">
        <v>17.065200000000001</v>
      </c>
      <c r="E3013" s="27">
        <v>0.912578</v>
      </c>
      <c r="G3013" s="27">
        <v>803.42</v>
      </c>
      <c r="I3013" s="27">
        <v>6.9039799999999998</v>
      </c>
      <c r="K3013" s="27">
        <v>4.8800299999999996</v>
      </c>
      <c r="M3013" s="27">
        <v>866.05799999999999</v>
      </c>
      <c r="O3013" s="27">
        <v>3941.48</v>
      </c>
      <c r="Q3013" s="27">
        <v>7324.1</v>
      </c>
      <c r="S3013" s="27">
        <v>1500.84</v>
      </c>
      <c r="U3013" s="27">
        <v>3.72295</v>
      </c>
      <c r="W3013" s="27">
        <v>39.326999999999998</v>
      </c>
      <c r="Y3013" s="27">
        <v>8.0587900000000001</v>
      </c>
      <c r="AA3013" s="27">
        <v>523.56600000000003</v>
      </c>
      <c r="AC3013" s="27">
        <v>57.340600000000002</v>
      </c>
      <c r="AE3013" s="27">
        <v>1</v>
      </c>
      <c r="AG3013" s="27">
        <v>7.8140599999999996</v>
      </c>
      <c r="AI3013" s="27">
        <v>8.75</v>
      </c>
      <c r="AK3013" s="27">
        <v>24.640899999999998</v>
      </c>
      <c r="AM3013" s="27">
        <v>36.655999999999999</v>
      </c>
      <c r="AO3013" s="27">
        <v>6.78545</v>
      </c>
    </row>
    <row r="3014" spans="2:41" x14ac:dyDescent="0.25">
      <c r="B3014" s="21">
        <v>45281</v>
      </c>
      <c r="C3014" s="27">
        <v>17.067299999999999</v>
      </c>
      <c r="E3014" s="27">
        <v>0.91143200000000002</v>
      </c>
      <c r="G3014" s="27">
        <v>803.947</v>
      </c>
      <c r="I3014" s="27">
        <v>6.91594</v>
      </c>
      <c r="K3014" s="27">
        <v>4.8990499999999999</v>
      </c>
      <c r="M3014" s="27">
        <v>873.15899999999999</v>
      </c>
      <c r="O3014" s="27">
        <v>3944.2</v>
      </c>
      <c r="Q3014" s="27">
        <v>7342.28</v>
      </c>
      <c r="S3014" s="27">
        <v>1498.72</v>
      </c>
      <c r="U3014" s="27">
        <v>3.7067600000000001</v>
      </c>
      <c r="W3014" s="27">
        <v>39.325400000000002</v>
      </c>
      <c r="Y3014" s="27">
        <v>8.0271899999999992</v>
      </c>
      <c r="AA3014" s="27">
        <v>523.01300000000003</v>
      </c>
      <c r="AC3014" s="27">
        <v>57.4983</v>
      </c>
      <c r="AE3014" s="27">
        <v>1</v>
      </c>
      <c r="AG3014" s="27">
        <v>7.8161399999999999</v>
      </c>
      <c r="AI3014" s="27">
        <v>8.75</v>
      </c>
      <c r="AK3014" s="27">
        <v>24.6692</v>
      </c>
      <c r="AM3014" s="27">
        <v>36.661099999999998</v>
      </c>
      <c r="AO3014" s="27">
        <v>6.7917500000000004</v>
      </c>
    </row>
    <row r="3015" spans="2:41" x14ac:dyDescent="0.25">
      <c r="B3015" s="21">
        <v>45282</v>
      </c>
      <c r="C3015" s="27">
        <v>17.059000000000001</v>
      </c>
      <c r="E3015" s="27">
        <v>0.90817000000000003</v>
      </c>
      <c r="G3015" s="27">
        <v>804.46799999999996</v>
      </c>
      <c r="I3015" s="27">
        <v>6.9175199999999997</v>
      </c>
      <c r="K3015" s="27">
        <v>4.8724499999999997</v>
      </c>
      <c r="M3015" s="27">
        <v>883.61500000000001</v>
      </c>
      <c r="O3015" s="27">
        <v>3932.51</v>
      </c>
      <c r="Q3015" s="27">
        <v>7352.12</v>
      </c>
      <c r="S3015" s="27">
        <v>1508.92</v>
      </c>
      <c r="U3015" s="27">
        <v>3.70106</v>
      </c>
      <c r="W3015" s="27">
        <v>39.362299999999998</v>
      </c>
      <c r="Y3015" s="27">
        <v>8.0785699999999991</v>
      </c>
      <c r="AA3015" s="27">
        <v>521.97</v>
      </c>
      <c r="AC3015" s="27">
        <v>57.511400000000002</v>
      </c>
      <c r="AE3015" s="27">
        <v>1</v>
      </c>
      <c r="AG3015" s="27">
        <v>7.8145100000000003</v>
      </c>
      <c r="AI3015" s="27">
        <v>8.75</v>
      </c>
      <c r="AK3015" s="27">
        <v>24.711200000000002</v>
      </c>
      <c r="AM3015" s="27">
        <v>36.613</v>
      </c>
      <c r="AO3015" s="27">
        <v>6.7947199999999999</v>
      </c>
    </row>
    <row r="3016" spans="2:41" x14ac:dyDescent="0.25">
      <c r="B3016" s="21">
        <v>45283</v>
      </c>
      <c r="C3016" s="27">
        <v>17.059000000000001</v>
      </c>
      <c r="E3016" s="27">
        <v>0.90788999999999997</v>
      </c>
      <c r="G3016" s="27">
        <v>804.68399999999997</v>
      </c>
      <c r="I3016" s="27">
        <v>6.9157200000000003</v>
      </c>
      <c r="K3016" s="27">
        <v>4.8589500000000001</v>
      </c>
      <c r="M3016" s="27">
        <v>892.37</v>
      </c>
      <c r="O3016" s="27">
        <v>3899.82</v>
      </c>
      <c r="Q3016" s="27">
        <v>7363.04</v>
      </c>
      <c r="S3016" s="27">
        <v>1515.36</v>
      </c>
      <c r="U3016" s="27">
        <v>3.6970000000000001</v>
      </c>
      <c r="W3016" s="27">
        <v>39.512799999999999</v>
      </c>
      <c r="Y3016" s="27">
        <v>8.1320200000000007</v>
      </c>
      <c r="AA3016" s="27">
        <v>521.76400000000001</v>
      </c>
      <c r="AC3016" s="27">
        <v>57.597499999999997</v>
      </c>
      <c r="AE3016" s="27">
        <v>1</v>
      </c>
      <c r="AG3016" s="27">
        <v>7.8244899999999999</v>
      </c>
      <c r="AI3016" s="27">
        <v>8.75</v>
      </c>
      <c r="AK3016" s="27">
        <v>24.694199999999999</v>
      </c>
      <c r="AM3016" s="27">
        <v>36.634</v>
      </c>
      <c r="AO3016" s="27">
        <v>6.8053600000000003</v>
      </c>
    </row>
    <row r="3017" spans="2:41" x14ac:dyDescent="0.25">
      <c r="B3017" s="21">
        <v>45284</v>
      </c>
      <c r="C3017" s="27">
        <v>17.059000000000001</v>
      </c>
      <c r="E3017" s="27">
        <v>0.90788999999999997</v>
      </c>
      <c r="G3017" s="27">
        <v>804.72699999999998</v>
      </c>
      <c r="I3017" s="27">
        <v>6.9157700000000002</v>
      </c>
      <c r="K3017" s="27">
        <v>4.8603699999999996</v>
      </c>
      <c r="M3017" s="27">
        <v>892.02800000000002</v>
      </c>
      <c r="O3017" s="27">
        <v>3901.06</v>
      </c>
      <c r="Q3017" s="27">
        <v>7363.43</v>
      </c>
      <c r="S3017" s="27">
        <v>1515</v>
      </c>
      <c r="U3017" s="27">
        <v>3.6969799999999999</v>
      </c>
      <c r="W3017" s="27">
        <v>39.511699999999998</v>
      </c>
      <c r="Y3017" s="27">
        <v>8.12941</v>
      </c>
      <c r="AA3017" s="27">
        <v>521.75400000000002</v>
      </c>
      <c r="AC3017" s="27">
        <v>57.599800000000002</v>
      </c>
      <c r="AE3017" s="27">
        <v>1</v>
      </c>
      <c r="AG3017" s="27">
        <v>7.8245399999999998</v>
      </c>
      <c r="AI3017" s="27">
        <v>8.75</v>
      </c>
      <c r="AK3017" s="27">
        <v>24.693999999999999</v>
      </c>
      <c r="AM3017" s="27">
        <v>36.633800000000001</v>
      </c>
      <c r="AO3017" s="27">
        <v>6.8054699999999997</v>
      </c>
    </row>
    <row r="3018" spans="2:41" x14ac:dyDescent="0.25">
      <c r="B3018" s="21">
        <v>45285</v>
      </c>
      <c r="C3018" s="27">
        <v>17.059000000000001</v>
      </c>
      <c r="E3018" s="27">
        <v>0.90787099999999998</v>
      </c>
      <c r="G3018" s="27">
        <v>804.45399999999995</v>
      </c>
      <c r="I3018" s="27">
        <v>6.9206399999999997</v>
      </c>
      <c r="K3018" s="27">
        <v>4.89236</v>
      </c>
      <c r="M3018" s="27">
        <v>889.69100000000003</v>
      </c>
      <c r="O3018" s="27">
        <v>3929.66</v>
      </c>
      <c r="Q3018" s="27">
        <v>7377.56</v>
      </c>
      <c r="S3018" s="27">
        <v>1508.07</v>
      </c>
      <c r="U3018" s="27">
        <v>3.69842</v>
      </c>
      <c r="W3018" s="27">
        <v>39.528599999999997</v>
      </c>
      <c r="Y3018" s="27">
        <v>8.0800400000000003</v>
      </c>
      <c r="AA3018" s="27">
        <v>521.74800000000005</v>
      </c>
      <c r="AC3018" s="27">
        <v>57.6828</v>
      </c>
      <c r="AE3018" s="27">
        <v>1</v>
      </c>
      <c r="AG3018" s="27">
        <v>7.8300099999999997</v>
      </c>
      <c r="AI3018" s="27">
        <v>8.75</v>
      </c>
      <c r="AK3018" s="27">
        <v>24.704499999999999</v>
      </c>
      <c r="AM3018" s="27">
        <v>36.6496</v>
      </c>
      <c r="AO3018" s="27">
        <v>6.8118600000000002</v>
      </c>
    </row>
    <row r="3019" spans="2:41" x14ac:dyDescent="0.25">
      <c r="B3019" s="21">
        <v>45286</v>
      </c>
      <c r="C3019" s="27">
        <v>16.973800000000001</v>
      </c>
      <c r="E3019" s="27">
        <v>0.90687399999999996</v>
      </c>
      <c r="G3019" s="27">
        <v>803.44200000000001</v>
      </c>
      <c r="I3019" s="27">
        <v>6.9206399999999997</v>
      </c>
      <c r="K3019" s="27">
        <v>4.8600000000000003</v>
      </c>
      <c r="M3019" s="27">
        <v>892.46</v>
      </c>
      <c r="O3019" s="27">
        <v>3904.78</v>
      </c>
      <c r="Q3019" s="27">
        <v>7377.41</v>
      </c>
      <c r="S3019" s="27">
        <v>1518.02</v>
      </c>
      <c r="U3019" s="27">
        <v>3.69774</v>
      </c>
      <c r="W3019" s="27">
        <v>39.467799999999997</v>
      </c>
      <c r="Y3019" s="27">
        <v>8.1210699999999996</v>
      </c>
      <c r="AA3019" s="27">
        <v>521.74</v>
      </c>
      <c r="AC3019" s="27">
        <v>57.6616</v>
      </c>
      <c r="AE3019" s="27">
        <v>1</v>
      </c>
      <c r="AG3019" s="27">
        <v>7.8298199999999998</v>
      </c>
      <c r="AI3019" s="27">
        <v>8.75</v>
      </c>
      <c r="AK3019" s="27">
        <v>24.7058</v>
      </c>
      <c r="AM3019" s="27">
        <v>36.654000000000003</v>
      </c>
      <c r="AO3019" s="27">
        <v>6.8117000000000001</v>
      </c>
    </row>
    <row r="3020" spans="2:41" x14ac:dyDescent="0.25">
      <c r="B3020" s="21">
        <v>45287</v>
      </c>
      <c r="C3020" s="27">
        <v>16.9727</v>
      </c>
      <c r="E3020" s="27">
        <v>0.90333399999999997</v>
      </c>
      <c r="G3020" s="27">
        <v>806.05700000000002</v>
      </c>
      <c r="I3020" s="27">
        <v>6.9158999999999997</v>
      </c>
      <c r="K3020" s="27">
        <v>4.8217100000000004</v>
      </c>
      <c r="M3020" s="27">
        <v>889.25800000000004</v>
      </c>
      <c r="O3020" s="27">
        <v>3850.85</v>
      </c>
      <c r="Q3020" s="27">
        <v>7358.54</v>
      </c>
      <c r="S3020" s="27">
        <v>1526.14</v>
      </c>
      <c r="U3020" s="27">
        <v>3.6913299999999998</v>
      </c>
      <c r="W3020" s="27">
        <v>39.330300000000001</v>
      </c>
      <c r="Y3020" s="27">
        <v>8.1569599999999998</v>
      </c>
      <c r="AA3020" s="27">
        <v>521.30200000000002</v>
      </c>
      <c r="AC3020" s="27">
        <v>57.687600000000003</v>
      </c>
      <c r="AE3020" s="27">
        <v>1</v>
      </c>
      <c r="AG3020" s="27">
        <v>7.82768</v>
      </c>
      <c r="AI3020" s="27">
        <v>8.75</v>
      </c>
      <c r="AK3020" s="27">
        <v>24.732399999999998</v>
      </c>
      <c r="AM3020" s="27">
        <v>36.710599999999999</v>
      </c>
      <c r="AO3020" s="27">
        <v>6.8073199999999998</v>
      </c>
    </row>
    <row r="3021" spans="2:41" x14ac:dyDescent="0.25">
      <c r="B3021" s="21">
        <v>45288</v>
      </c>
      <c r="C3021" s="27">
        <v>16.922000000000001</v>
      </c>
      <c r="E3021" s="27">
        <v>0.90101399999999998</v>
      </c>
      <c r="G3021" s="27">
        <v>807.67100000000005</v>
      </c>
      <c r="I3021" s="27">
        <v>6.8963000000000001</v>
      </c>
      <c r="K3021" s="27">
        <v>4.8377999999999997</v>
      </c>
      <c r="M3021" s="27">
        <v>884.596</v>
      </c>
      <c r="O3021" s="27">
        <v>3842.41</v>
      </c>
      <c r="Q3021" s="27">
        <v>7319</v>
      </c>
      <c r="S3021" s="27">
        <v>1512.88</v>
      </c>
      <c r="U3021" s="27">
        <v>3.68513</v>
      </c>
      <c r="W3021" s="27">
        <v>39.146700000000003</v>
      </c>
      <c r="Y3021" s="27">
        <v>8.0918799999999997</v>
      </c>
      <c r="AA3021" s="27">
        <v>518.89200000000005</v>
      </c>
      <c r="AC3021" s="27">
        <v>57.6327</v>
      </c>
      <c r="AE3021" s="27">
        <v>1</v>
      </c>
      <c r="AG3021" s="27">
        <v>7.8094599999999996</v>
      </c>
      <c r="AI3021" s="27">
        <v>8.75</v>
      </c>
      <c r="AK3021" s="27">
        <v>24.675000000000001</v>
      </c>
      <c r="AM3021" s="27">
        <v>36.610399999999998</v>
      </c>
      <c r="AO3021" s="27">
        <v>6.7824999999999998</v>
      </c>
    </row>
    <row r="3022" spans="2:41" x14ac:dyDescent="0.25">
      <c r="B3022" s="21">
        <v>45289</v>
      </c>
      <c r="C3022" s="27">
        <v>16.8935</v>
      </c>
      <c r="E3022" s="27">
        <v>0.90418200000000004</v>
      </c>
      <c r="G3022" s="27">
        <v>808.20299999999997</v>
      </c>
      <c r="I3022" s="27">
        <v>6.9248799999999999</v>
      </c>
      <c r="K3022" s="27">
        <v>4.8522800000000004</v>
      </c>
      <c r="M3022" s="27">
        <v>882.14400000000001</v>
      </c>
      <c r="O3022" s="27">
        <v>3881.85</v>
      </c>
      <c r="Q3022" s="27">
        <v>7295.92</v>
      </c>
      <c r="S3022" s="27">
        <v>1503.62</v>
      </c>
      <c r="U3022" s="27">
        <v>3.7014200000000002</v>
      </c>
      <c r="W3022" s="27">
        <v>39.235399999999998</v>
      </c>
      <c r="Y3022" s="27">
        <v>8.0860199999999995</v>
      </c>
      <c r="AA3022" s="27">
        <v>520.33100000000002</v>
      </c>
      <c r="AC3022" s="27">
        <v>57.972999999999999</v>
      </c>
      <c r="AE3022" s="27">
        <v>1</v>
      </c>
      <c r="AG3022" s="27">
        <v>7.8421399999999997</v>
      </c>
      <c r="AI3022" s="27">
        <v>8.75</v>
      </c>
      <c r="AK3022" s="27">
        <v>24.723600000000001</v>
      </c>
      <c r="AM3022" s="27">
        <v>36.675400000000003</v>
      </c>
      <c r="AO3022" s="27">
        <v>6.8027600000000001</v>
      </c>
    </row>
    <row r="3023" spans="2:41" x14ac:dyDescent="0.25">
      <c r="B3023" s="21">
        <v>45290</v>
      </c>
      <c r="C3023" s="27">
        <v>16.8935</v>
      </c>
      <c r="E3023" s="27">
        <v>0.90602300000000002</v>
      </c>
      <c r="G3023" s="27">
        <v>808.49300000000005</v>
      </c>
      <c r="I3023" s="27">
        <v>6.9137300000000002</v>
      </c>
      <c r="K3023" s="27">
        <v>4.8525</v>
      </c>
      <c r="M3023" s="27">
        <v>879.04499999999996</v>
      </c>
      <c r="O3023" s="27">
        <v>3878.73</v>
      </c>
      <c r="Q3023" s="27">
        <v>7290.25</v>
      </c>
      <c r="S3023" s="27">
        <v>1502.38</v>
      </c>
      <c r="U3023" s="27">
        <v>3.6949000000000001</v>
      </c>
      <c r="W3023" s="27">
        <v>39.047699999999999</v>
      </c>
      <c r="Y3023" s="27">
        <v>8.0469600000000003</v>
      </c>
      <c r="AA3023" s="27">
        <v>519.75800000000004</v>
      </c>
      <c r="AC3023" s="27">
        <v>57.994599999999998</v>
      </c>
      <c r="AE3023" s="27">
        <v>1</v>
      </c>
      <c r="AG3023" s="27">
        <v>7.8266799999999996</v>
      </c>
      <c r="AI3023" s="27">
        <v>8.75</v>
      </c>
      <c r="AK3023" s="27">
        <v>24.6873</v>
      </c>
      <c r="AM3023" s="27">
        <v>36.619300000000003</v>
      </c>
      <c r="AO3023" s="27">
        <v>6.7915299999999998</v>
      </c>
    </row>
    <row r="3024" spans="2:41" x14ac:dyDescent="0.25">
      <c r="B3024" s="21">
        <v>45291</v>
      </c>
      <c r="C3024" s="27">
        <v>16.8935</v>
      </c>
      <c r="E3024" s="27">
        <v>0.90602300000000002</v>
      </c>
      <c r="G3024" s="27">
        <v>808.60199999999998</v>
      </c>
      <c r="I3024" s="27">
        <v>6.9137300000000002</v>
      </c>
      <c r="K3024" s="27">
        <v>4.8525</v>
      </c>
      <c r="M3024" s="27">
        <v>879.04499999999996</v>
      </c>
      <c r="O3024" s="27">
        <v>3878.73</v>
      </c>
      <c r="Q3024" s="27">
        <v>7290.25</v>
      </c>
      <c r="S3024" s="27">
        <v>1502.38</v>
      </c>
      <c r="U3024" s="27">
        <v>3.6949000000000001</v>
      </c>
      <c r="W3024" s="27">
        <v>39.047699999999999</v>
      </c>
      <c r="Y3024" s="27">
        <v>8.0469600000000003</v>
      </c>
      <c r="AA3024" s="27">
        <v>519.75800000000004</v>
      </c>
      <c r="AC3024" s="27">
        <v>57.994599999999998</v>
      </c>
      <c r="AE3024" s="27">
        <v>1</v>
      </c>
      <c r="AG3024" s="27">
        <v>7.8266799999999996</v>
      </c>
      <c r="AI3024" s="27">
        <v>8.75</v>
      </c>
      <c r="AK3024" s="27">
        <v>24.6873</v>
      </c>
      <c r="AM3024" s="27">
        <v>36.619300000000003</v>
      </c>
      <c r="AO3024" s="27">
        <v>6.7915299999999998</v>
      </c>
    </row>
    <row r="3025" spans="2:41" ht="13" x14ac:dyDescent="0.3">
      <c r="B3025" s="25" t="s">
        <v>224</v>
      </c>
      <c r="C3025" s="19">
        <v>17.209800000000001</v>
      </c>
      <c r="E3025" s="19">
        <v>0.91620000000000001</v>
      </c>
      <c r="G3025" s="19">
        <v>622.49289999999996</v>
      </c>
      <c r="I3025" s="19">
        <v>6.9132999999999996</v>
      </c>
      <c r="K3025" s="19">
        <v>4.8979999999999997</v>
      </c>
      <c r="M3025" s="19">
        <v>875.62170000000003</v>
      </c>
      <c r="O3025" s="19">
        <v>3947.0309999999999</v>
      </c>
      <c r="Q3025" s="19">
        <v>7359.1247999999996</v>
      </c>
      <c r="S3025" s="19">
        <v>1502.5671</v>
      </c>
      <c r="U3025" s="19">
        <v>3.7353000000000001</v>
      </c>
      <c r="W3025" s="19">
        <v>39.328400000000002</v>
      </c>
      <c r="Y3025" s="19">
        <v>8.0299999999999994</v>
      </c>
      <c r="AA3025" s="19">
        <v>525.18579999999997</v>
      </c>
      <c r="AC3025" s="19">
        <v>57.269599999999997</v>
      </c>
      <c r="AE3025" s="19">
        <v>1</v>
      </c>
      <c r="AG3025" s="19">
        <v>7.8272000000000004</v>
      </c>
      <c r="AI3025" s="19">
        <v>8.75</v>
      </c>
      <c r="AK3025" s="19">
        <v>24.703600000000002</v>
      </c>
      <c r="AM3025" s="19">
        <v>36.679499999999997</v>
      </c>
      <c r="AO3025" s="19">
        <v>6.7933000000000003</v>
      </c>
    </row>
    <row r="3026" spans="2:41" x14ac:dyDescent="0.25">
      <c r="B3026" s="21">
        <v>45292</v>
      </c>
      <c r="C3026" s="91">
        <v>16.8935</v>
      </c>
      <c r="E3026" s="83">
        <v>0.90599700000000005</v>
      </c>
      <c r="G3026" s="84">
        <v>809.35299999999995</v>
      </c>
      <c r="I3026" s="85">
        <v>6.9229099999999999</v>
      </c>
      <c r="K3026" s="85">
        <v>4.8530800000000003</v>
      </c>
      <c r="M3026" s="84">
        <v>883.803</v>
      </c>
      <c r="O3026" s="86">
        <v>3879.68</v>
      </c>
      <c r="Q3026" s="86">
        <v>7299.88</v>
      </c>
      <c r="S3026" s="86">
        <v>1504.18</v>
      </c>
      <c r="U3026" s="85">
        <v>3.7010000000000001</v>
      </c>
      <c r="W3026" s="81">
        <v>39.101300000000002</v>
      </c>
      <c r="Y3026" s="81">
        <v>8.0570199999999996</v>
      </c>
      <c r="AA3026" s="84">
        <v>521.02300000000002</v>
      </c>
      <c r="AC3026" s="81">
        <v>58.071399999999997</v>
      </c>
      <c r="AE3026" s="87">
        <v>1</v>
      </c>
      <c r="AG3026" s="85">
        <v>7.8369999999999997</v>
      </c>
      <c r="AI3026" s="86">
        <v>8.75</v>
      </c>
      <c r="AK3026" s="81">
        <v>24.719799999999999</v>
      </c>
      <c r="AM3026" s="81">
        <v>36.667400000000001</v>
      </c>
      <c r="AO3026" s="85">
        <v>6.8005500000000003</v>
      </c>
    </row>
    <row r="3027" spans="2:41" x14ac:dyDescent="0.25">
      <c r="B3027" s="21">
        <v>45293</v>
      </c>
      <c r="C3027" s="91">
        <v>16.919</v>
      </c>
      <c r="E3027" s="83">
        <v>0.91015199999999996</v>
      </c>
      <c r="G3027" s="84">
        <v>809.83600000000001</v>
      </c>
      <c r="I3027" s="85">
        <v>6.9200799999999996</v>
      </c>
      <c r="K3027" s="85">
        <v>4.8788999999999998</v>
      </c>
      <c r="M3027" s="84">
        <v>883.57799999999997</v>
      </c>
      <c r="O3027" s="86">
        <v>3882.48</v>
      </c>
      <c r="Q3027" s="86">
        <v>7295.98</v>
      </c>
      <c r="S3027" s="86">
        <v>1495.42</v>
      </c>
      <c r="U3027" s="85">
        <v>3.7059700000000002</v>
      </c>
      <c r="W3027" s="81">
        <v>39.080300000000001</v>
      </c>
      <c r="Y3027" s="81">
        <v>8.0100899999999999</v>
      </c>
      <c r="AA3027" s="84">
        <v>521.11</v>
      </c>
      <c r="AC3027" s="81">
        <v>58.037700000000001</v>
      </c>
      <c r="AE3027" s="87">
        <v>1</v>
      </c>
      <c r="AG3027" s="85">
        <v>7.8339999999999996</v>
      </c>
      <c r="AI3027" s="86">
        <v>8.75</v>
      </c>
      <c r="AK3027" s="81">
        <v>24.721800000000002</v>
      </c>
      <c r="AM3027" s="81">
        <v>36.672400000000003</v>
      </c>
      <c r="AO3027" s="85">
        <v>6.7972900000000003</v>
      </c>
    </row>
    <row r="3028" spans="2:41" x14ac:dyDescent="0.25">
      <c r="B3028" s="21">
        <v>45294</v>
      </c>
      <c r="C3028" s="91">
        <v>17.029699999999998</v>
      </c>
      <c r="E3028" s="83">
        <v>0.91466000000000003</v>
      </c>
      <c r="G3028" s="84">
        <v>810.74900000000002</v>
      </c>
      <c r="I3028" s="85">
        <v>6.9135799999999996</v>
      </c>
      <c r="K3028" s="85">
        <v>4.9219400000000002</v>
      </c>
      <c r="M3028" s="84">
        <v>883.58199999999999</v>
      </c>
      <c r="O3028" s="86">
        <v>3892.73</v>
      </c>
      <c r="Q3028" s="86">
        <v>7284.24</v>
      </c>
      <c r="S3028" s="86">
        <v>1479.96</v>
      </c>
      <c r="U3028" s="85">
        <v>3.7086100000000002</v>
      </c>
      <c r="W3028" s="81">
        <v>39.072600000000001</v>
      </c>
      <c r="Y3028" s="81">
        <v>7.93851</v>
      </c>
      <c r="AA3028" s="84">
        <v>519.88800000000003</v>
      </c>
      <c r="AC3028" s="81">
        <v>58.025199999999998</v>
      </c>
      <c r="AE3028" s="87">
        <v>1</v>
      </c>
      <c r="AG3028" s="85">
        <v>7.8269399999999996</v>
      </c>
      <c r="AI3028" s="86">
        <v>8.75</v>
      </c>
      <c r="AK3028" s="81">
        <v>24.716000000000001</v>
      </c>
      <c r="AM3028" s="81">
        <v>36.656799999999997</v>
      </c>
      <c r="AO3028" s="85">
        <v>6.7906199999999997</v>
      </c>
    </row>
    <row r="3029" spans="2:41" x14ac:dyDescent="0.25">
      <c r="B3029" s="21">
        <v>45295</v>
      </c>
      <c r="C3029" s="91">
        <v>17.049199999999999</v>
      </c>
      <c r="E3029" s="83">
        <v>0.91389299999999996</v>
      </c>
      <c r="G3029" s="84">
        <v>811.14200000000005</v>
      </c>
      <c r="I3029" s="85">
        <v>6.9116600000000004</v>
      </c>
      <c r="K3029" s="85">
        <v>4.9149599999999998</v>
      </c>
      <c r="M3029" s="84">
        <v>884.21699999999998</v>
      </c>
      <c r="O3029" s="86">
        <v>3909.49</v>
      </c>
      <c r="Q3029" s="86">
        <v>7276.02</v>
      </c>
      <c r="S3029" s="86">
        <v>1480.39</v>
      </c>
      <c r="U3029" s="85">
        <v>3.7074799999999999</v>
      </c>
      <c r="W3029" s="81">
        <v>39.0822</v>
      </c>
      <c r="Y3029" s="81">
        <v>7.9517199999999999</v>
      </c>
      <c r="AA3029" s="84">
        <v>519.75800000000004</v>
      </c>
      <c r="AC3029" s="81">
        <v>58.066200000000002</v>
      </c>
      <c r="AE3029" s="87">
        <v>1</v>
      </c>
      <c r="AG3029" s="85">
        <v>7.8247</v>
      </c>
      <c r="AI3029" s="86">
        <v>8.75</v>
      </c>
      <c r="AK3029" s="81">
        <v>24.6799</v>
      </c>
      <c r="AM3029" s="81">
        <v>36.613199999999999</v>
      </c>
      <c r="AO3029" s="85">
        <v>6.7889499999999998</v>
      </c>
    </row>
    <row r="3030" spans="2:41" x14ac:dyDescent="0.25">
      <c r="B3030" s="21">
        <v>45296</v>
      </c>
      <c r="C3030" s="91">
        <v>17.0458</v>
      </c>
      <c r="E3030" s="83">
        <v>0.91422199999999998</v>
      </c>
      <c r="G3030" s="84">
        <v>811.96199999999999</v>
      </c>
      <c r="I3030" s="85">
        <v>6.9105999999999996</v>
      </c>
      <c r="K3030" s="85">
        <v>4.8893000000000004</v>
      </c>
      <c r="M3030" s="84">
        <v>889.08900000000006</v>
      </c>
      <c r="O3030" s="86">
        <v>3914.89</v>
      </c>
      <c r="Q3030" s="86">
        <v>7267.99</v>
      </c>
      <c r="S3030" s="86">
        <v>1486.52</v>
      </c>
      <c r="U3030" s="85">
        <v>3.71414</v>
      </c>
      <c r="W3030" s="81">
        <v>39.148899999999998</v>
      </c>
      <c r="Y3030" s="81">
        <v>8.0070800000000002</v>
      </c>
      <c r="AA3030" s="84">
        <v>519.52099999999996</v>
      </c>
      <c r="AC3030" s="81">
        <v>58.215600000000002</v>
      </c>
      <c r="AE3030" s="87">
        <v>1</v>
      </c>
      <c r="AG3030" s="85">
        <v>7.8232400000000002</v>
      </c>
      <c r="AI3030" s="86">
        <v>8.75</v>
      </c>
      <c r="AK3030" s="81">
        <v>24.7104</v>
      </c>
      <c r="AM3030" s="81">
        <v>36.716900000000003</v>
      </c>
      <c r="AO3030" s="85">
        <v>6.7800099999999999</v>
      </c>
    </row>
    <row r="3031" spans="2:41" x14ac:dyDescent="0.25">
      <c r="B3031" s="21">
        <v>45297</v>
      </c>
      <c r="C3031" s="91">
        <v>17.0458</v>
      </c>
      <c r="E3031" s="83">
        <v>0.91388400000000003</v>
      </c>
      <c r="G3031" s="84">
        <v>812.27599999999995</v>
      </c>
      <c r="I3031" s="85">
        <v>6.9109299999999996</v>
      </c>
      <c r="K3031" s="85">
        <v>4.8750999999999998</v>
      </c>
      <c r="M3031" s="84">
        <v>890.17499999999995</v>
      </c>
      <c r="O3031" s="86">
        <v>3892.82</v>
      </c>
      <c r="Q3031" s="86">
        <v>7263.16</v>
      </c>
      <c r="S3031" s="86">
        <v>1489.86</v>
      </c>
      <c r="U3031" s="85">
        <v>3.71875</v>
      </c>
      <c r="W3031" s="81">
        <v>39.204599999999999</v>
      </c>
      <c r="Y3031" s="81">
        <v>8.0418800000000008</v>
      </c>
      <c r="AA3031" s="84">
        <v>519.37</v>
      </c>
      <c r="AC3031" s="81">
        <v>58.392499999999998</v>
      </c>
      <c r="AE3031" s="87">
        <v>1</v>
      </c>
      <c r="AG3031" s="85">
        <v>7.82369</v>
      </c>
      <c r="AI3031" s="86">
        <v>8.75</v>
      </c>
      <c r="AK3031" s="81">
        <v>24.724799999999998</v>
      </c>
      <c r="AM3031" s="81">
        <v>36.7348</v>
      </c>
      <c r="AO3031" s="85">
        <v>6.7718100000000003</v>
      </c>
    </row>
    <row r="3032" spans="2:41" x14ac:dyDescent="0.25">
      <c r="B3032" s="21">
        <v>45298</v>
      </c>
      <c r="C3032" s="91">
        <v>17.0458</v>
      </c>
      <c r="E3032" s="83">
        <v>0.91388999999999998</v>
      </c>
      <c r="G3032" s="84">
        <v>812.07</v>
      </c>
      <c r="I3032" s="85">
        <v>6.9109299999999996</v>
      </c>
      <c r="K3032" s="85">
        <v>4.8750999999999998</v>
      </c>
      <c r="M3032" s="84">
        <v>890.16700000000003</v>
      </c>
      <c r="O3032" s="86">
        <v>3892.82</v>
      </c>
      <c r="Q3032" s="86">
        <v>7263.16</v>
      </c>
      <c r="S3032" s="86">
        <v>1489.86</v>
      </c>
      <c r="U3032" s="85">
        <v>3.7189299999999998</v>
      </c>
      <c r="W3032" s="81">
        <v>39.204599999999999</v>
      </c>
      <c r="Y3032" s="81">
        <v>8.0418800000000008</v>
      </c>
      <c r="AA3032" s="84">
        <v>519.37</v>
      </c>
      <c r="AC3032" s="81">
        <v>58.392499999999998</v>
      </c>
      <c r="AE3032" s="87">
        <v>1</v>
      </c>
      <c r="AG3032" s="85">
        <v>7.82369</v>
      </c>
      <c r="AI3032" s="86">
        <v>8.75</v>
      </c>
      <c r="AK3032" s="81">
        <v>24.724799999999998</v>
      </c>
      <c r="AM3032" s="81">
        <v>36.732199999999999</v>
      </c>
      <c r="AO3032" s="85">
        <v>6.7718100000000003</v>
      </c>
    </row>
    <row r="3033" spans="2:41" x14ac:dyDescent="0.25">
      <c r="B3033" s="21">
        <v>45299</v>
      </c>
      <c r="C3033" s="91">
        <v>16.898700000000002</v>
      </c>
      <c r="E3033" s="83">
        <v>0.91335999999999995</v>
      </c>
      <c r="G3033" s="84">
        <v>812.33600000000001</v>
      </c>
      <c r="I3033" s="85">
        <v>6.8983400000000001</v>
      </c>
      <c r="K3033" s="85">
        <v>4.8769999999999998</v>
      </c>
      <c r="M3033" s="84">
        <v>896.67499999999995</v>
      </c>
      <c r="O3033" s="86">
        <v>3905.05</v>
      </c>
      <c r="Q3033" s="86">
        <v>7244.72</v>
      </c>
      <c r="S3033" s="86">
        <v>1485.52</v>
      </c>
      <c r="U3033" s="85">
        <v>3.7092399999999999</v>
      </c>
      <c r="W3033" s="81">
        <v>39.206600000000002</v>
      </c>
      <c r="Y3033" s="81">
        <v>8.0392200000000003</v>
      </c>
      <c r="AA3033" s="84">
        <v>518.51800000000003</v>
      </c>
      <c r="AC3033" s="81">
        <v>58.2928</v>
      </c>
      <c r="AE3033" s="87">
        <v>1</v>
      </c>
      <c r="AG3033" s="85">
        <v>7.8093000000000004</v>
      </c>
      <c r="AI3033" s="86">
        <v>8.75</v>
      </c>
      <c r="AK3033" s="81">
        <v>24.664000000000001</v>
      </c>
      <c r="AM3033" s="81">
        <v>36.6342</v>
      </c>
      <c r="AO3033" s="85">
        <v>6.7629799999999998</v>
      </c>
    </row>
    <row r="3034" spans="2:41" x14ac:dyDescent="0.25">
      <c r="B3034" s="21">
        <v>45300</v>
      </c>
      <c r="C3034" s="91">
        <v>16.813300000000002</v>
      </c>
      <c r="E3034" s="83">
        <v>0.91393000000000002</v>
      </c>
      <c r="G3034" s="84">
        <v>814.07</v>
      </c>
      <c r="I3034" s="85">
        <v>6.8993599999999997</v>
      </c>
      <c r="K3034" s="85">
        <v>4.8846699999999998</v>
      </c>
      <c r="M3034" s="84">
        <v>910.11199999999997</v>
      </c>
      <c r="O3034" s="86">
        <v>3904.66</v>
      </c>
      <c r="Q3034" s="86">
        <v>7249.12</v>
      </c>
      <c r="S3034" s="86">
        <v>1484.06</v>
      </c>
      <c r="U3034" s="85">
        <v>3.6987299999999999</v>
      </c>
      <c r="W3034" s="81">
        <v>39.2502</v>
      </c>
      <c r="Y3034" s="81">
        <v>8.0354399999999995</v>
      </c>
      <c r="AA3034" s="84">
        <v>518.74699999999996</v>
      </c>
      <c r="AC3034" s="81">
        <v>58.4587</v>
      </c>
      <c r="AE3034" s="87">
        <v>1</v>
      </c>
      <c r="AG3034" s="85">
        <v>7.8102999999999998</v>
      </c>
      <c r="AI3034" s="86">
        <v>8.75</v>
      </c>
      <c r="AK3034" s="81">
        <v>24.6447</v>
      </c>
      <c r="AM3034" s="81">
        <v>36.603499999999997</v>
      </c>
      <c r="AO3034" s="85">
        <v>6.7730199999999998</v>
      </c>
    </row>
    <row r="3035" spans="2:41" x14ac:dyDescent="0.25">
      <c r="B3035" s="21">
        <v>45301</v>
      </c>
      <c r="C3035" s="91">
        <v>16.934699999999999</v>
      </c>
      <c r="E3035" s="83">
        <v>0.91337199999999996</v>
      </c>
      <c r="G3035" s="84">
        <v>814.60699999999997</v>
      </c>
      <c r="I3035" s="85">
        <v>6.9064199999999998</v>
      </c>
      <c r="K3035" s="85">
        <v>4.8997900000000003</v>
      </c>
      <c r="M3035" s="84">
        <v>917.60900000000004</v>
      </c>
      <c r="O3035" s="86">
        <v>3941.01</v>
      </c>
      <c r="Q3035" s="86">
        <v>7274.92</v>
      </c>
      <c r="S3035" s="86">
        <v>1484.75</v>
      </c>
      <c r="U3035" s="85">
        <v>3.7050800000000002</v>
      </c>
      <c r="W3035" s="81">
        <v>39.367800000000003</v>
      </c>
      <c r="Y3035" s="81">
        <v>8.0346399999999996</v>
      </c>
      <c r="AA3035" s="84">
        <v>519.83100000000002</v>
      </c>
      <c r="AC3035" s="81">
        <v>58.566499999999998</v>
      </c>
      <c r="AE3035" s="87">
        <v>1</v>
      </c>
      <c r="AG3035" s="85">
        <v>7.8151599999999997</v>
      </c>
      <c r="AI3035" s="86">
        <v>8.75</v>
      </c>
      <c r="AK3035" s="81">
        <v>24.656199999999998</v>
      </c>
      <c r="AM3035" s="81">
        <v>36.595999999999997</v>
      </c>
      <c r="AO3035" s="85">
        <v>6.7799300000000002</v>
      </c>
    </row>
    <row r="3036" spans="2:41" x14ac:dyDescent="0.25">
      <c r="B3036" s="21">
        <v>45302</v>
      </c>
      <c r="C3036" s="91">
        <v>16.991199999999999</v>
      </c>
      <c r="E3036" s="83">
        <v>0.91154199999999996</v>
      </c>
      <c r="G3036" s="84">
        <v>815.17</v>
      </c>
      <c r="I3036" s="85">
        <v>6.9012000000000002</v>
      </c>
      <c r="K3036" s="85">
        <v>4.8852399999999996</v>
      </c>
      <c r="M3036" s="84">
        <v>915.33699999999999</v>
      </c>
      <c r="O3036" s="86">
        <v>3930.9</v>
      </c>
      <c r="Q3036" s="86">
        <v>7280.42</v>
      </c>
      <c r="S3036" s="86">
        <v>1490.3</v>
      </c>
      <c r="U3036" s="85">
        <v>3.7007300000000001</v>
      </c>
      <c r="W3036" s="81">
        <v>39.336799999999997</v>
      </c>
      <c r="Y3036" s="81">
        <v>8.0522299999999998</v>
      </c>
      <c r="AA3036" s="84">
        <v>519.98800000000006</v>
      </c>
      <c r="AC3036" s="81">
        <v>58.513300000000001</v>
      </c>
      <c r="AE3036" s="87">
        <v>1</v>
      </c>
      <c r="AG3036" s="85">
        <v>7.8057999999999996</v>
      </c>
      <c r="AI3036" s="86">
        <v>8.75</v>
      </c>
      <c r="AK3036" s="81">
        <v>24.633199999999999</v>
      </c>
      <c r="AM3036" s="81">
        <v>36.571599999999997</v>
      </c>
      <c r="AO3036" s="85">
        <v>6.7759400000000003</v>
      </c>
    </row>
    <row r="3037" spans="2:41" x14ac:dyDescent="0.25">
      <c r="B3037" s="21">
        <v>45303</v>
      </c>
      <c r="C3037" s="91">
        <v>16.989799999999999</v>
      </c>
      <c r="E3037" s="83">
        <v>0.91200099999999995</v>
      </c>
      <c r="G3037" s="84">
        <v>815.71299999999997</v>
      </c>
      <c r="I3037" s="85">
        <v>6.9077599999999997</v>
      </c>
      <c r="K3037" s="85">
        <v>4.8631200000000003</v>
      </c>
      <c r="M3037" s="84">
        <v>912.10299999999995</v>
      </c>
      <c r="O3037" s="86">
        <v>3914.78</v>
      </c>
      <c r="Q3037" s="86">
        <v>7290.46</v>
      </c>
      <c r="S3037" s="86">
        <v>1499.14</v>
      </c>
      <c r="U3037" s="85">
        <v>3.70099</v>
      </c>
      <c r="W3037" s="81">
        <v>39.382399999999997</v>
      </c>
      <c r="Y3037" s="81">
        <v>8.0982000000000003</v>
      </c>
      <c r="AA3037" s="84">
        <v>520.13400000000001</v>
      </c>
      <c r="AC3037" s="81">
        <v>58.591799999999999</v>
      </c>
      <c r="AE3037" s="87">
        <v>1</v>
      </c>
      <c r="AG3037" s="85">
        <v>7.8160499999999997</v>
      </c>
      <c r="AI3037" s="86">
        <v>8.75</v>
      </c>
      <c r="AK3037" s="81">
        <v>24.673400000000001</v>
      </c>
      <c r="AM3037" s="81">
        <v>36.643799999999999</v>
      </c>
      <c r="AO3037" s="85">
        <v>6.7844800000000003</v>
      </c>
    </row>
    <row r="3038" spans="2:41" x14ac:dyDescent="0.25">
      <c r="B3038" s="21">
        <v>45304</v>
      </c>
      <c r="C3038" s="91">
        <v>16.989799999999999</v>
      </c>
      <c r="E3038" s="83">
        <v>0.91317599999999999</v>
      </c>
      <c r="G3038" s="84">
        <v>816.01599999999996</v>
      </c>
      <c r="I3038" s="85">
        <v>6.9062599999999996</v>
      </c>
      <c r="K3038" s="85">
        <v>4.8542500000000004</v>
      </c>
      <c r="M3038" s="84">
        <v>909.63</v>
      </c>
      <c r="O3038" s="86">
        <v>3913.63</v>
      </c>
      <c r="Q3038" s="86">
        <v>7287.1</v>
      </c>
      <c r="S3038" s="86">
        <v>1501.19</v>
      </c>
      <c r="U3038" s="85">
        <v>3.7021000000000002</v>
      </c>
      <c r="W3038" s="81">
        <v>39.328299999999999</v>
      </c>
      <c r="Y3038" s="81">
        <v>8.1018500000000007</v>
      </c>
      <c r="AA3038" s="84">
        <v>519.74400000000003</v>
      </c>
      <c r="AC3038" s="81">
        <v>58.572499999999998</v>
      </c>
      <c r="AE3038" s="87">
        <v>1</v>
      </c>
      <c r="AG3038" s="85">
        <v>7.8121</v>
      </c>
      <c r="AI3038" s="86">
        <v>8.75</v>
      </c>
      <c r="AK3038" s="81">
        <v>24.7148</v>
      </c>
      <c r="AM3038" s="81">
        <v>36.724800000000002</v>
      </c>
      <c r="AO3038" s="85">
        <v>6.78376</v>
      </c>
    </row>
    <row r="3039" spans="2:41" x14ac:dyDescent="0.25">
      <c r="B3039" s="21">
        <v>45305</v>
      </c>
      <c r="C3039" s="91">
        <v>16.989799999999999</v>
      </c>
      <c r="E3039" s="83">
        <v>0.91319700000000004</v>
      </c>
      <c r="G3039" s="84">
        <v>816.02800000000002</v>
      </c>
      <c r="I3039" s="85">
        <v>6.9062000000000001</v>
      </c>
      <c r="K3039" s="85">
        <v>4.85426</v>
      </c>
      <c r="M3039" s="84">
        <v>909.64599999999996</v>
      </c>
      <c r="O3039" s="86">
        <v>3913.64</v>
      </c>
      <c r="Q3039" s="86">
        <v>7287.02</v>
      </c>
      <c r="S3039" s="86">
        <v>1501.17</v>
      </c>
      <c r="U3039" s="85">
        <v>3.702</v>
      </c>
      <c r="W3039" s="81">
        <v>39.328099999999999</v>
      </c>
      <c r="Y3039" s="81">
        <v>8.1018000000000008</v>
      </c>
      <c r="AA3039" s="84">
        <v>519.73900000000003</v>
      </c>
      <c r="AC3039" s="81">
        <v>58.571199999999997</v>
      </c>
      <c r="AE3039" s="87">
        <v>1</v>
      </c>
      <c r="AG3039" s="85">
        <v>7.8119800000000001</v>
      </c>
      <c r="AI3039" s="86">
        <v>8.75</v>
      </c>
      <c r="AK3039" s="81">
        <v>24.712599999999998</v>
      </c>
      <c r="AM3039" s="81">
        <v>36.720999999999997</v>
      </c>
      <c r="AO3039" s="85">
        <v>6.7836999999999996</v>
      </c>
    </row>
    <row r="3040" spans="2:41" x14ac:dyDescent="0.25">
      <c r="B3040" s="21">
        <v>45306</v>
      </c>
      <c r="C3040" s="91">
        <v>16.858000000000001</v>
      </c>
      <c r="E3040" s="83">
        <v>0.91304799999999997</v>
      </c>
      <c r="G3040" s="84">
        <v>816.48299999999995</v>
      </c>
      <c r="I3040" s="85">
        <v>6.9054200000000003</v>
      </c>
      <c r="K3040" s="85">
        <v>4.8667100000000003</v>
      </c>
      <c r="M3040" s="84">
        <v>910.57899999999995</v>
      </c>
      <c r="O3040" s="86">
        <v>3917.14</v>
      </c>
      <c r="Q3040" s="86">
        <v>7277.46</v>
      </c>
      <c r="S3040" s="86">
        <v>1495.38</v>
      </c>
      <c r="U3040" s="85">
        <v>3.6998199999999999</v>
      </c>
      <c r="W3040" s="81">
        <v>39.3596</v>
      </c>
      <c r="Y3040" s="81">
        <v>8.0876199999999994</v>
      </c>
      <c r="AA3040" s="84">
        <v>519.62</v>
      </c>
      <c r="AC3040" s="81">
        <v>58.569400000000002</v>
      </c>
      <c r="AE3040" s="87">
        <v>1</v>
      </c>
      <c r="AG3040" s="85">
        <v>7.8121600000000004</v>
      </c>
      <c r="AI3040" s="86">
        <v>8.75</v>
      </c>
      <c r="AK3040" s="81">
        <v>24.642399999999999</v>
      </c>
      <c r="AM3040" s="81">
        <v>36.5946</v>
      </c>
      <c r="AO3040" s="85">
        <v>6.7843400000000003</v>
      </c>
    </row>
    <row r="3041" spans="2:41" x14ac:dyDescent="0.25">
      <c r="B3041" s="21">
        <v>45307</v>
      </c>
      <c r="C3041" s="91">
        <v>16.898299999999999</v>
      </c>
      <c r="E3041" s="83">
        <v>0.917902</v>
      </c>
      <c r="G3041" s="84">
        <v>817.90300000000002</v>
      </c>
      <c r="I3041" s="85">
        <v>6.9132699999999998</v>
      </c>
      <c r="K3041" s="85">
        <v>4.8902400000000004</v>
      </c>
      <c r="M3041" s="84">
        <v>916.88599999999997</v>
      </c>
      <c r="O3041" s="86">
        <v>3924.78</v>
      </c>
      <c r="Q3041" s="86">
        <v>7274.34</v>
      </c>
      <c r="S3041" s="86">
        <v>1487.54</v>
      </c>
      <c r="U3041" s="85">
        <v>3.7025399999999999</v>
      </c>
      <c r="W3041" s="81">
        <v>39.384399999999999</v>
      </c>
      <c r="Y3041" s="81">
        <v>8.0537200000000002</v>
      </c>
      <c r="AA3041" s="84">
        <v>520.05899999999997</v>
      </c>
      <c r="AC3041" s="81">
        <v>58.6297</v>
      </c>
      <c r="AE3041" s="87">
        <v>1</v>
      </c>
      <c r="AG3041" s="85">
        <v>7.8227500000000001</v>
      </c>
      <c r="AI3041" s="86">
        <v>8.75</v>
      </c>
      <c r="AK3041" s="81">
        <v>24.683299999999999</v>
      </c>
      <c r="AM3041" s="81">
        <v>36.661299999999997</v>
      </c>
      <c r="AO3041" s="85">
        <v>6.7898800000000001</v>
      </c>
    </row>
    <row r="3042" spans="2:41" x14ac:dyDescent="0.25">
      <c r="B3042" s="21">
        <v>45308</v>
      </c>
      <c r="C3042" s="91">
        <v>17.159800000000001</v>
      </c>
      <c r="E3042" s="83">
        <v>0.91992600000000002</v>
      </c>
      <c r="G3042" s="84">
        <v>818.37300000000005</v>
      </c>
      <c r="I3042" s="85">
        <v>6.9137399999999998</v>
      </c>
      <c r="K3042" s="85">
        <v>4.93058</v>
      </c>
      <c r="M3042" s="84">
        <v>923.03499999999997</v>
      </c>
      <c r="O3042" s="86">
        <v>3955.34</v>
      </c>
      <c r="Q3042" s="86">
        <v>7277.39</v>
      </c>
      <c r="S3042" s="86">
        <v>1475.98</v>
      </c>
      <c r="U3042" s="85">
        <v>3.7088800000000002</v>
      </c>
      <c r="W3042" s="81">
        <v>39.335599999999999</v>
      </c>
      <c r="Y3042" s="81">
        <v>7.9778900000000004</v>
      </c>
      <c r="AA3042" s="84">
        <v>519.33699999999999</v>
      </c>
      <c r="AC3042" s="81">
        <v>58.793399999999998</v>
      </c>
      <c r="AE3042" s="87">
        <v>1</v>
      </c>
      <c r="AG3042" s="85">
        <v>7.8218399999999999</v>
      </c>
      <c r="AI3042" s="86">
        <v>8.75</v>
      </c>
      <c r="AK3042" s="81">
        <v>24.6891</v>
      </c>
      <c r="AM3042" s="81">
        <v>36.664000000000001</v>
      </c>
      <c r="AO3042" s="85">
        <v>6.7866200000000001</v>
      </c>
    </row>
    <row r="3043" spans="2:41" x14ac:dyDescent="0.25">
      <c r="B3043" s="21">
        <v>45309</v>
      </c>
      <c r="C3043" s="91">
        <v>17.2957</v>
      </c>
      <c r="E3043" s="83">
        <v>0.91913</v>
      </c>
      <c r="G3043" s="84">
        <v>818.91600000000005</v>
      </c>
      <c r="I3043" s="85">
        <v>6.9064500000000004</v>
      </c>
      <c r="K3043" s="85">
        <v>4.9347399999999997</v>
      </c>
      <c r="M3043" s="84">
        <v>920.86300000000006</v>
      </c>
      <c r="O3043" s="86">
        <v>3945.2</v>
      </c>
      <c r="Q3043" s="86">
        <v>7278.52</v>
      </c>
      <c r="S3043" s="86">
        <v>1474.96</v>
      </c>
      <c r="U3043" s="85">
        <v>3.7220800000000001</v>
      </c>
      <c r="W3043" s="81">
        <v>39.199100000000001</v>
      </c>
      <c r="Y3043" s="81">
        <v>7.9435399999999996</v>
      </c>
      <c r="AA3043" s="84">
        <v>516.99</v>
      </c>
      <c r="AC3043" s="81">
        <v>58.839199999999998</v>
      </c>
      <c r="AE3043" s="87">
        <v>1</v>
      </c>
      <c r="AG3043" s="85">
        <v>7.8120200000000004</v>
      </c>
      <c r="AI3043" s="86">
        <v>8.75</v>
      </c>
      <c r="AK3043" s="81">
        <v>24.671099999999999</v>
      </c>
      <c r="AM3043" s="81">
        <v>36.629399999999997</v>
      </c>
      <c r="AO3043" s="85">
        <v>6.7825600000000001</v>
      </c>
    </row>
    <row r="3044" spans="2:41" x14ac:dyDescent="0.25">
      <c r="B3044" s="21">
        <v>45310</v>
      </c>
      <c r="C3044" s="91">
        <v>17.1995</v>
      </c>
      <c r="E3044" s="83">
        <v>0.91867399999999999</v>
      </c>
      <c r="G3044" s="84">
        <v>819.47400000000005</v>
      </c>
      <c r="I3044" s="85">
        <v>6.9123200000000002</v>
      </c>
      <c r="K3044" s="85">
        <v>4.9272600000000004</v>
      </c>
      <c r="M3044" s="84">
        <v>915.37699999999995</v>
      </c>
      <c r="O3044" s="86">
        <v>3918.48</v>
      </c>
      <c r="Q3044" s="86">
        <v>7285.68</v>
      </c>
      <c r="S3044" s="86">
        <v>1478.66</v>
      </c>
      <c r="U3044" s="85">
        <v>3.7430599999999998</v>
      </c>
      <c r="W3044" s="81">
        <v>39.311599999999999</v>
      </c>
      <c r="Y3044" s="81">
        <v>7.9783999999999997</v>
      </c>
      <c r="AA3044" s="84">
        <v>515.73699999999997</v>
      </c>
      <c r="AC3044" s="81">
        <v>58.835599999999999</v>
      </c>
      <c r="AE3044" s="87">
        <v>1</v>
      </c>
      <c r="AG3044" s="85">
        <v>7.8205600000000004</v>
      </c>
      <c r="AI3044" s="86">
        <v>8.75</v>
      </c>
      <c r="AK3044" s="81">
        <v>24.706600000000002</v>
      </c>
      <c r="AM3044" s="81">
        <v>36.710599999999999</v>
      </c>
      <c r="AO3044" s="85">
        <v>6.79488</v>
      </c>
    </row>
    <row r="3045" spans="2:41" x14ac:dyDescent="0.25">
      <c r="B3045" s="21">
        <v>45311</v>
      </c>
      <c r="C3045" s="91">
        <v>17.1995</v>
      </c>
      <c r="E3045" s="83">
        <v>0.91763300000000003</v>
      </c>
      <c r="G3045" s="84">
        <v>819.73199999999997</v>
      </c>
      <c r="I3045" s="85">
        <v>6.9133800000000001</v>
      </c>
      <c r="K3045" s="85">
        <v>4.9314999999999998</v>
      </c>
      <c r="M3045" s="84">
        <v>910.65</v>
      </c>
      <c r="O3045" s="86">
        <v>3916.7</v>
      </c>
      <c r="Q3045" s="86">
        <v>7283.86</v>
      </c>
      <c r="S3045" s="86">
        <v>1477.02</v>
      </c>
      <c r="U3045" s="85">
        <v>3.7441</v>
      </c>
      <c r="W3045" s="81">
        <v>39.345700000000001</v>
      </c>
      <c r="Y3045" s="81">
        <v>7.9784600000000001</v>
      </c>
      <c r="AA3045" s="84">
        <v>515.15</v>
      </c>
      <c r="AC3045" s="81">
        <v>58.76</v>
      </c>
      <c r="AE3045" s="87">
        <v>1</v>
      </c>
      <c r="AG3045" s="85">
        <v>7.8236800000000004</v>
      </c>
      <c r="AI3045" s="86">
        <v>8.75</v>
      </c>
      <c r="AK3045" s="81">
        <v>24.709800000000001</v>
      </c>
      <c r="AM3045" s="81">
        <v>36.729799999999997</v>
      </c>
      <c r="AO3045" s="85">
        <v>6.7992400000000002</v>
      </c>
    </row>
    <row r="3046" spans="2:41" x14ac:dyDescent="0.25">
      <c r="B3046" s="21">
        <v>45312</v>
      </c>
      <c r="C3046" s="91">
        <v>17.1995</v>
      </c>
      <c r="E3046" s="83">
        <v>0.91766199999999998</v>
      </c>
      <c r="G3046" s="84">
        <v>819.654</v>
      </c>
      <c r="I3046" s="85">
        <v>6.9129800000000001</v>
      </c>
      <c r="K3046" s="85">
        <v>4.9313599999999997</v>
      </c>
      <c r="M3046" s="84">
        <v>910.63599999999997</v>
      </c>
      <c r="O3046" s="86">
        <v>3916.58</v>
      </c>
      <c r="Q3046" s="86">
        <v>7283.52</v>
      </c>
      <c r="S3046" s="86">
        <v>1476.99</v>
      </c>
      <c r="U3046" s="85">
        <v>3.7438600000000002</v>
      </c>
      <c r="W3046" s="81">
        <v>39.342199999999998</v>
      </c>
      <c r="Y3046" s="81">
        <v>7.9779799999999996</v>
      </c>
      <c r="AA3046" s="84">
        <v>515.11599999999999</v>
      </c>
      <c r="AC3046" s="81">
        <v>58.756999999999998</v>
      </c>
      <c r="AE3046" s="87">
        <v>1</v>
      </c>
      <c r="AG3046" s="85">
        <v>7.8232400000000002</v>
      </c>
      <c r="AI3046" s="86">
        <v>8.75</v>
      </c>
      <c r="AK3046" s="81">
        <v>24.706600000000002</v>
      </c>
      <c r="AM3046" s="81">
        <v>36.723799999999997</v>
      </c>
      <c r="AO3046" s="85">
        <v>6.7989199999999999</v>
      </c>
    </row>
    <row r="3047" spans="2:41" x14ac:dyDescent="0.25">
      <c r="B3047" s="21">
        <v>45313</v>
      </c>
      <c r="C3047" s="91">
        <v>17.1325</v>
      </c>
      <c r="E3047" s="83">
        <v>0.91799399999999998</v>
      </c>
      <c r="G3047" s="84">
        <v>820.05399999999997</v>
      </c>
      <c r="I3047" s="85">
        <v>6.9036200000000001</v>
      </c>
      <c r="K3047" s="85">
        <v>4.95106</v>
      </c>
      <c r="M3047" s="84">
        <v>909.572</v>
      </c>
      <c r="O3047" s="86">
        <v>3911.56</v>
      </c>
      <c r="Q3047" s="86">
        <v>7280.44</v>
      </c>
      <c r="S3047" s="86">
        <v>1470.52</v>
      </c>
      <c r="U3047" s="85">
        <v>3.7389999999999999</v>
      </c>
      <c r="W3047" s="81">
        <v>39.254399999999997</v>
      </c>
      <c r="Y3047" s="81">
        <v>7.9286000000000003</v>
      </c>
      <c r="AA3047" s="84">
        <v>514.18899999999996</v>
      </c>
      <c r="AC3047" s="81">
        <v>58.755099999999999</v>
      </c>
      <c r="AE3047" s="87">
        <v>1</v>
      </c>
      <c r="AG3047" s="85">
        <v>7.8137800000000004</v>
      </c>
      <c r="AI3047" s="86">
        <v>8.75</v>
      </c>
      <c r="AK3047" s="81">
        <v>24.659300000000002</v>
      </c>
      <c r="AM3047" s="81">
        <v>36.622999999999998</v>
      </c>
      <c r="AO3047" s="85">
        <v>6.7922000000000002</v>
      </c>
    </row>
    <row r="3048" spans="2:41" x14ac:dyDescent="0.25">
      <c r="B3048" s="21">
        <v>45314</v>
      </c>
      <c r="C3048" s="91">
        <v>17.112500000000001</v>
      </c>
      <c r="E3048" s="83">
        <v>0.91995899999999997</v>
      </c>
      <c r="G3048" s="84">
        <v>821.66800000000001</v>
      </c>
      <c r="I3048" s="85">
        <v>6.9067299999999996</v>
      </c>
      <c r="K3048" s="85">
        <v>4.9773399999999999</v>
      </c>
      <c r="M3048" s="84">
        <v>910.63800000000003</v>
      </c>
      <c r="O3048" s="86">
        <v>3919.96</v>
      </c>
      <c r="Q3048" s="86">
        <v>7302.61</v>
      </c>
      <c r="S3048" s="86">
        <v>1467.18</v>
      </c>
      <c r="U3048" s="85">
        <v>3.7440600000000002</v>
      </c>
      <c r="W3048" s="81">
        <v>39.148699999999998</v>
      </c>
      <c r="Y3048" s="81">
        <v>7.8654200000000003</v>
      </c>
      <c r="AA3048" s="84">
        <v>514.03099999999995</v>
      </c>
      <c r="AC3048" s="81">
        <v>58.833500000000001</v>
      </c>
      <c r="AE3048" s="87">
        <v>1</v>
      </c>
      <c r="AG3048" s="85">
        <v>7.8169000000000004</v>
      </c>
      <c r="AI3048" s="86">
        <v>8.75</v>
      </c>
      <c r="AK3048" s="81">
        <v>24.681899999999999</v>
      </c>
      <c r="AM3048" s="81">
        <v>36.657400000000003</v>
      </c>
      <c r="AO3048" s="85">
        <v>6.7925199999999997</v>
      </c>
    </row>
    <row r="3049" spans="2:41" x14ac:dyDescent="0.25">
      <c r="B3049" s="21">
        <v>45315</v>
      </c>
      <c r="C3049" s="91">
        <v>17.352</v>
      </c>
      <c r="E3049" s="83">
        <v>0.91885499999999998</v>
      </c>
      <c r="G3049" s="84">
        <v>822.17100000000005</v>
      </c>
      <c r="I3049" s="85">
        <v>6.9093799999999996</v>
      </c>
      <c r="K3049" s="85">
        <v>4.9394600000000004</v>
      </c>
      <c r="M3049" s="84">
        <v>911.58500000000004</v>
      </c>
      <c r="O3049" s="86">
        <v>3941.18</v>
      </c>
      <c r="Q3049" s="86">
        <v>7309.52</v>
      </c>
      <c r="S3049" s="86">
        <v>1479.83</v>
      </c>
      <c r="U3049" s="85">
        <v>3.7536999999999998</v>
      </c>
      <c r="W3049" s="81">
        <v>38.903199999999998</v>
      </c>
      <c r="Y3049" s="81">
        <v>7.8760199999999996</v>
      </c>
      <c r="AA3049" s="84">
        <v>513.88699999999994</v>
      </c>
      <c r="AC3049" s="81">
        <v>58.833399999999997</v>
      </c>
      <c r="AE3049" s="87">
        <v>1</v>
      </c>
      <c r="AG3049" s="85">
        <v>7.8191199999999998</v>
      </c>
      <c r="AI3049" s="86">
        <v>8.75</v>
      </c>
      <c r="AK3049" s="81">
        <v>24.6952</v>
      </c>
      <c r="AM3049" s="81">
        <v>36.668799999999997</v>
      </c>
      <c r="AO3049" s="85">
        <v>6.7952399999999997</v>
      </c>
    </row>
    <row r="3050" spans="2:41" x14ac:dyDescent="0.25">
      <c r="B3050" s="21">
        <v>45316</v>
      </c>
      <c r="C3050" s="91">
        <v>17.167300000000001</v>
      </c>
      <c r="E3050" s="83">
        <v>0.92023999999999995</v>
      </c>
      <c r="G3050" s="84">
        <v>822.71199999999999</v>
      </c>
      <c r="I3050" s="85">
        <v>6.9133199999999997</v>
      </c>
      <c r="K3050" s="85">
        <v>4.92753</v>
      </c>
      <c r="M3050" s="84">
        <v>910.45399999999995</v>
      </c>
      <c r="O3050" s="86">
        <v>3924.12</v>
      </c>
      <c r="Q3050" s="86">
        <v>7307.83</v>
      </c>
      <c r="S3050" s="86">
        <v>1483.07</v>
      </c>
      <c r="U3050" s="85">
        <v>3.7665600000000001</v>
      </c>
      <c r="W3050" s="81">
        <v>38.7622</v>
      </c>
      <c r="Y3050" s="81">
        <v>7.8664800000000001</v>
      </c>
      <c r="AA3050" s="84">
        <v>513.70600000000002</v>
      </c>
      <c r="AC3050" s="81">
        <v>58.774799999999999</v>
      </c>
      <c r="AE3050" s="87">
        <v>1</v>
      </c>
      <c r="AG3050" s="85">
        <v>7.8240800000000004</v>
      </c>
      <c r="AI3050" s="86">
        <v>8.75</v>
      </c>
      <c r="AK3050" s="81">
        <v>24.704599999999999</v>
      </c>
      <c r="AM3050" s="81">
        <v>36.699399999999997</v>
      </c>
      <c r="AO3050" s="85">
        <v>6.8018299999999998</v>
      </c>
    </row>
    <row r="3051" spans="2:41" x14ac:dyDescent="0.25">
      <c r="B3051" s="21">
        <v>45317</v>
      </c>
      <c r="C3051" s="91">
        <v>17.237500000000001</v>
      </c>
      <c r="E3051" s="83">
        <v>0.92143799999999998</v>
      </c>
      <c r="G3051" s="84">
        <v>823.26800000000003</v>
      </c>
      <c r="I3051" s="85">
        <v>6.9210399999999996</v>
      </c>
      <c r="K3051" s="85">
        <v>4.9153200000000004</v>
      </c>
      <c r="M3051" s="84">
        <v>914.27</v>
      </c>
      <c r="O3051" s="86">
        <v>3928.7</v>
      </c>
      <c r="Q3051" s="86">
        <v>7314.52</v>
      </c>
      <c r="S3051" s="86">
        <v>1488.11</v>
      </c>
      <c r="U3051" s="85">
        <v>3.7711399999999999</v>
      </c>
      <c r="W3051" s="81">
        <v>38.846600000000002</v>
      </c>
      <c r="Y3051" s="81">
        <v>7.9031799999999999</v>
      </c>
      <c r="AA3051" s="84">
        <v>512.71500000000003</v>
      </c>
      <c r="AC3051" s="81">
        <v>58.9116</v>
      </c>
      <c r="AE3051" s="87">
        <v>1</v>
      </c>
      <c r="AG3051" s="85">
        <v>7.8329800000000001</v>
      </c>
      <c r="AI3051" s="86">
        <v>8.75</v>
      </c>
      <c r="AK3051" s="81">
        <v>24.7392</v>
      </c>
      <c r="AM3051" s="81">
        <v>36.761600000000001</v>
      </c>
      <c r="AO3051" s="85">
        <v>6.8038400000000001</v>
      </c>
    </row>
    <row r="3052" spans="2:41" x14ac:dyDescent="0.25">
      <c r="B3052" s="21">
        <v>45318</v>
      </c>
      <c r="C3052" s="91">
        <v>17.237500000000001</v>
      </c>
      <c r="E3052" s="83">
        <v>0.92126399999999997</v>
      </c>
      <c r="G3052" s="84">
        <v>823.48</v>
      </c>
      <c r="I3052" s="85">
        <v>6.9107000000000003</v>
      </c>
      <c r="K3052" s="85">
        <v>4.9164000000000003</v>
      </c>
      <c r="M3052" s="84">
        <v>922.45</v>
      </c>
      <c r="O3052" s="86">
        <v>3907.5</v>
      </c>
      <c r="Q3052" s="86">
        <v>7306.55</v>
      </c>
      <c r="S3052" s="86">
        <v>1486.17</v>
      </c>
      <c r="U3052" s="85">
        <v>3.7638400000000001</v>
      </c>
      <c r="W3052" s="81">
        <v>38.8504</v>
      </c>
      <c r="Y3052" s="81">
        <v>7.9022199999999998</v>
      </c>
      <c r="AA3052" s="84">
        <v>511.09100000000001</v>
      </c>
      <c r="AC3052" s="81">
        <v>58.922499999999999</v>
      </c>
      <c r="AE3052" s="87">
        <v>1</v>
      </c>
      <c r="AG3052" s="85">
        <v>7.8212099999999998</v>
      </c>
      <c r="AI3052" s="86">
        <v>8.75</v>
      </c>
      <c r="AK3052" s="81">
        <v>24.724799999999998</v>
      </c>
      <c r="AM3052" s="81">
        <v>36.754800000000003</v>
      </c>
      <c r="AO3052" s="85">
        <v>6.7883800000000001</v>
      </c>
    </row>
    <row r="3053" spans="2:41" x14ac:dyDescent="0.25">
      <c r="B3053" s="21">
        <v>45319</v>
      </c>
      <c r="C3053" s="91">
        <v>17.237500000000001</v>
      </c>
      <c r="E3053" s="83">
        <v>0.92133299999999996</v>
      </c>
      <c r="G3053" s="84">
        <v>823.63400000000001</v>
      </c>
      <c r="I3053" s="85">
        <v>6.9108200000000002</v>
      </c>
      <c r="K3053" s="85">
        <v>4.9163600000000001</v>
      </c>
      <c r="M3053" s="84">
        <v>922.45</v>
      </c>
      <c r="O3053" s="86">
        <v>3908.3</v>
      </c>
      <c r="Q3053" s="86">
        <v>7306.63</v>
      </c>
      <c r="S3053" s="86">
        <v>1486.2</v>
      </c>
      <c r="U3053" s="85">
        <v>3.7638400000000001</v>
      </c>
      <c r="W3053" s="81">
        <v>38.845999999999997</v>
      </c>
      <c r="Y3053" s="81">
        <v>7.9014100000000003</v>
      </c>
      <c r="AA3053" s="84">
        <v>511.1</v>
      </c>
      <c r="AC3053" s="81">
        <v>58.921599999999998</v>
      </c>
      <c r="AE3053" s="87">
        <v>1</v>
      </c>
      <c r="AG3053" s="85">
        <v>7.8213600000000003</v>
      </c>
      <c r="AI3053" s="86">
        <v>8.75</v>
      </c>
      <c r="AK3053" s="81">
        <v>24.723800000000001</v>
      </c>
      <c r="AM3053" s="81">
        <v>36.752400000000002</v>
      </c>
      <c r="AO3053" s="85">
        <v>6.7885</v>
      </c>
    </row>
    <row r="3054" spans="2:41" x14ac:dyDescent="0.25">
      <c r="B3054" s="21">
        <v>45320</v>
      </c>
      <c r="C3054" s="91">
        <v>17.165700000000001</v>
      </c>
      <c r="E3054" s="83">
        <v>0.92343399999999998</v>
      </c>
      <c r="G3054" s="84">
        <v>824.779</v>
      </c>
      <c r="I3054" s="85">
        <v>6.9176599999999997</v>
      </c>
      <c r="K3054" s="85">
        <v>4.9277600000000001</v>
      </c>
      <c r="M3054" s="84">
        <v>926.21</v>
      </c>
      <c r="O3054" s="86">
        <v>3932.75</v>
      </c>
      <c r="Q3054" s="86">
        <v>7307.74</v>
      </c>
      <c r="S3054" s="86">
        <v>1482.98</v>
      </c>
      <c r="U3054" s="85">
        <v>3.7819699999999998</v>
      </c>
      <c r="W3054" s="81">
        <v>38.905099999999997</v>
      </c>
      <c r="Y3054" s="81">
        <v>7.8951200000000004</v>
      </c>
      <c r="AA3054" s="84">
        <v>511.596</v>
      </c>
      <c r="AC3054" s="81">
        <v>58.989600000000003</v>
      </c>
      <c r="AE3054" s="87">
        <v>1</v>
      </c>
      <c r="AG3054" s="85">
        <v>7.8284799999999999</v>
      </c>
      <c r="AI3054" s="86">
        <v>8.75</v>
      </c>
      <c r="AK3054" s="81">
        <v>24.706</v>
      </c>
      <c r="AM3054" s="81">
        <v>36.7074</v>
      </c>
      <c r="AO3054" s="85">
        <v>6.78674</v>
      </c>
    </row>
    <row r="3055" spans="2:41" x14ac:dyDescent="0.25">
      <c r="B3055" s="21">
        <v>45321</v>
      </c>
      <c r="C3055" s="91">
        <v>17.2333</v>
      </c>
      <c r="E3055" s="83">
        <v>0.92288400000000004</v>
      </c>
      <c r="G3055" s="84">
        <v>825.47199999999998</v>
      </c>
      <c r="I3055" s="85">
        <v>6.9081999999999999</v>
      </c>
      <c r="K3055" s="85">
        <v>4.9533399999999999</v>
      </c>
      <c r="M3055" s="84">
        <v>931.46299999999997</v>
      </c>
      <c r="O3055" s="86">
        <v>3926.42</v>
      </c>
      <c r="Q3055" s="86">
        <v>7282.98</v>
      </c>
      <c r="S3055" s="86">
        <v>1470.32</v>
      </c>
      <c r="U3055" s="85">
        <v>3.8029199999999999</v>
      </c>
      <c r="W3055" s="81">
        <v>38.982399999999998</v>
      </c>
      <c r="Y3055" s="81">
        <v>7.86998</v>
      </c>
      <c r="AA3055" s="84">
        <v>511.60300000000001</v>
      </c>
      <c r="AC3055" s="81">
        <v>58.923000000000002</v>
      </c>
      <c r="AE3055" s="87">
        <v>1</v>
      </c>
      <c r="AG3055" s="85">
        <v>7.8132000000000001</v>
      </c>
      <c r="AI3055" s="86">
        <v>8.75</v>
      </c>
      <c r="AK3055" s="81">
        <v>24.664000000000001</v>
      </c>
      <c r="AM3055" s="81">
        <v>36.7089</v>
      </c>
      <c r="AO3055" s="85">
        <v>6.7718800000000003</v>
      </c>
    </row>
    <row r="3056" spans="2:41" x14ac:dyDescent="0.25">
      <c r="B3056" s="21">
        <v>45322</v>
      </c>
      <c r="C3056" s="82">
        <v>17.193200000000001</v>
      </c>
      <c r="E3056" s="83">
        <v>0.92318599999999995</v>
      </c>
      <c r="G3056" s="84">
        <v>825.99599999999998</v>
      </c>
      <c r="I3056" s="85">
        <v>6.9090999999999996</v>
      </c>
      <c r="K3056" s="85">
        <v>4.9493799999999997</v>
      </c>
      <c r="M3056" s="84">
        <v>932.41499999999996</v>
      </c>
      <c r="O3056" s="86">
        <v>3917.76</v>
      </c>
      <c r="Q3056" s="86">
        <v>7277.29</v>
      </c>
      <c r="S3056" s="86">
        <v>1470.36</v>
      </c>
      <c r="U3056" s="85">
        <v>3.8138200000000002</v>
      </c>
      <c r="W3056" s="81">
        <v>39.047600000000003</v>
      </c>
      <c r="Y3056" s="81">
        <v>7.8894299999999999</v>
      </c>
      <c r="AA3056" s="84">
        <v>512.52</v>
      </c>
      <c r="AC3056" s="81">
        <v>58.942100000000003</v>
      </c>
      <c r="AE3056" s="87">
        <v>1</v>
      </c>
      <c r="AG3056" s="85">
        <v>7.8078900000000004</v>
      </c>
      <c r="AI3056" s="86">
        <v>8.75</v>
      </c>
      <c r="AK3056" s="81">
        <v>24.686599999999999</v>
      </c>
      <c r="AM3056" s="81">
        <v>36.700800000000001</v>
      </c>
      <c r="AO3056" s="85">
        <v>6.7763600000000004</v>
      </c>
    </row>
    <row r="3057" spans="2:41" ht="13" x14ac:dyDescent="0.3">
      <c r="B3057" s="25" t="str">
        <f>"PROM-"&amp;MONTH(B3056)&amp;YEAR(B3056)</f>
        <v>PROM-12024</v>
      </c>
      <c r="C3057" s="19">
        <v>17.081141935483874</v>
      </c>
      <c r="E3057" s="24">
        <v>0.91651090322580642</v>
      </c>
      <c r="G3057" s="42">
        <v>817.58377419354827</v>
      </c>
      <c r="I3057" s="23">
        <v>6.9101406451612899</v>
      </c>
      <c r="K3057" s="23">
        <v>4.9068725806451621</v>
      </c>
      <c r="M3057" s="42">
        <v>908.8792258064517</v>
      </c>
      <c r="O3057" s="80">
        <v>3916.1629032258056</v>
      </c>
      <c r="Q3057" s="80">
        <v>7284.55064516129</v>
      </c>
      <c r="S3057" s="80">
        <v>1484.6319354838711</v>
      </c>
      <c r="U3057" s="23">
        <v>3.7309335483870978</v>
      </c>
      <c r="W3057" s="19">
        <v>39.158693548387106</v>
      </c>
      <c r="Y3057" s="19">
        <v>7.9808719354838704</v>
      </c>
      <c r="AA3057" s="42">
        <v>516.94154838709676</v>
      </c>
      <c r="AC3057" s="19">
        <v>58.605141935483864</v>
      </c>
      <c r="AE3057" s="88">
        <v>1</v>
      </c>
      <c r="AG3057" s="23">
        <v>7.8196516129032272</v>
      </c>
      <c r="AI3057" s="80">
        <v>8.75</v>
      </c>
      <c r="AK3057" s="19">
        <v>24.693248387096776</v>
      </c>
      <c r="AM3057" s="19">
        <v>36.67860000000001</v>
      </c>
      <c r="AO3057" s="23">
        <v>6.7864122580645176</v>
      </c>
    </row>
    <row r="3058" spans="2:41" x14ac:dyDescent="0.25">
      <c r="B3058" s="21">
        <v>45323</v>
      </c>
      <c r="C3058" s="91">
        <v>17.1633</v>
      </c>
      <c r="E3058" s="83">
        <v>0.92357199999999995</v>
      </c>
      <c r="G3058" s="84">
        <v>826.57399999999996</v>
      </c>
      <c r="I3058" s="85">
        <v>6.91526</v>
      </c>
      <c r="K3058" s="85">
        <v>4.93912</v>
      </c>
      <c r="M3058" s="84">
        <v>931.91899999999998</v>
      </c>
      <c r="O3058" s="86">
        <v>3904.84</v>
      </c>
      <c r="Q3058" s="86">
        <v>7286.18</v>
      </c>
      <c r="S3058" s="86">
        <v>1475.2</v>
      </c>
      <c r="U3058" s="85">
        <v>3.8146399999999998</v>
      </c>
      <c r="W3058" s="81">
        <v>39.143999999999998</v>
      </c>
      <c r="Y3058" s="81">
        <v>7.9253200000000001</v>
      </c>
      <c r="AA3058" s="84">
        <v>513.08399999999995</v>
      </c>
      <c r="AC3058" s="81">
        <v>58.907499999999999</v>
      </c>
      <c r="AE3058" s="87">
        <v>1</v>
      </c>
      <c r="AG3058" s="85">
        <v>7.8172199999999998</v>
      </c>
      <c r="AI3058" s="86">
        <v>8.75</v>
      </c>
      <c r="AK3058" s="81">
        <v>24.717500000000001</v>
      </c>
      <c r="AM3058" s="81">
        <v>36.731000000000002</v>
      </c>
      <c r="AO3058" s="85">
        <v>6.7804799999999998</v>
      </c>
    </row>
    <row r="3059" spans="2:41" x14ac:dyDescent="0.25">
      <c r="B3059" s="21">
        <v>45324</v>
      </c>
      <c r="C3059" s="91">
        <v>17.133500000000002</v>
      </c>
      <c r="E3059" s="83">
        <v>0.92238799999999999</v>
      </c>
      <c r="G3059" s="84">
        <v>827.07500000000005</v>
      </c>
      <c r="I3059" s="85">
        <v>6.9020000000000001</v>
      </c>
      <c r="K3059" s="85">
        <v>4.9378000000000002</v>
      </c>
      <c r="M3059" s="84">
        <v>938.69899999999996</v>
      </c>
      <c r="O3059" s="86">
        <v>3905</v>
      </c>
      <c r="Q3059" s="86">
        <v>7262.37</v>
      </c>
      <c r="S3059" s="86">
        <v>1470.78</v>
      </c>
      <c r="U3059" s="85">
        <v>3.7961800000000001</v>
      </c>
      <c r="W3059" s="81">
        <v>39.034599999999998</v>
      </c>
      <c r="Y3059" s="81">
        <v>7.9053199999999997</v>
      </c>
      <c r="AA3059" s="84">
        <v>512.21199999999999</v>
      </c>
      <c r="AC3059" s="81">
        <v>58.623699999999999</v>
      </c>
      <c r="AE3059" s="87">
        <v>1</v>
      </c>
      <c r="AG3059" s="85">
        <v>7.8050199999999998</v>
      </c>
      <c r="AI3059" s="86">
        <v>8.75</v>
      </c>
      <c r="AK3059" s="81">
        <v>24.6464</v>
      </c>
      <c r="AM3059" s="81">
        <v>36.632599999999996</v>
      </c>
      <c r="AO3059" s="85">
        <v>6.7677800000000001</v>
      </c>
    </row>
    <row r="3060" spans="2:41" x14ac:dyDescent="0.25">
      <c r="B3060" s="21">
        <v>45325</v>
      </c>
      <c r="C3060" s="91">
        <v>17.133500000000002</v>
      </c>
      <c r="E3060" s="83">
        <v>0.92708000000000002</v>
      </c>
      <c r="G3060" s="84">
        <v>827.37199999999996</v>
      </c>
      <c r="I3060" s="85">
        <v>6.9117300000000004</v>
      </c>
      <c r="K3060" s="85">
        <v>4.9690000000000003</v>
      </c>
      <c r="M3060" s="84">
        <v>948</v>
      </c>
      <c r="O3060" s="86">
        <v>3936.09</v>
      </c>
      <c r="Q3060" s="86">
        <v>7274.06</v>
      </c>
      <c r="S3060" s="86">
        <v>1463.9</v>
      </c>
      <c r="U3060" s="85">
        <v>3.806</v>
      </c>
      <c r="W3060" s="81">
        <v>39.137900000000002</v>
      </c>
      <c r="Y3060" s="81">
        <v>7.8764500000000002</v>
      </c>
      <c r="AA3060" s="84">
        <v>513.69100000000003</v>
      </c>
      <c r="AC3060" s="81">
        <v>58.922499999999999</v>
      </c>
      <c r="AE3060" s="87">
        <v>1</v>
      </c>
      <c r="AG3060" s="85">
        <v>7.8142199999999997</v>
      </c>
      <c r="AI3060" s="86">
        <v>8.75</v>
      </c>
      <c r="AK3060" s="81">
        <v>24.719799999999999</v>
      </c>
      <c r="AM3060" s="81">
        <v>36.779800000000002</v>
      </c>
      <c r="AO3060" s="85">
        <v>6.7791499999999996</v>
      </c>
    </row>
    <row r="3061" spans="2:41" x14ac:dyDescent="0.25">
      <c r="B3061" s="21">
        <v>45326</v>
      </c>
      <c r="C3061" s="91">
        <v>17.133500000000002</v>
      </c>
      <c r="E3061" s="83">
        <v>0.92712000000000006</v>
      </c>
      <c r="G3061" s="84">
        <v>827.81299999999999</v>
      </c>
      <c r="I3061" s="85">
        <v>6.9149599999999998</v>
      </c>
      <c r="K3061" s="85">
        <v>4.9683700000000002</v>
      </c>
      <c r="M3061" s="84">
        <v>947.78399999999999</v>
      </c>
      <c r="O3061" s="86">
        <v>3935.34</v>
      </c>
      <c r="Q3061" s="86">
        <v>7276.34</v>
      </c>
      <c r="S3061" s="86">
        <v>1464.54</v>
      </c>
      <c r="U3061" s="85">
        <v>3.8072599999999999</v>
      </c>
      <c r="W3061" s="81">
        <v>39.159100000000002</v>
      </c>
      <c r="Y3061" s="81">
        <v>7.8817199999999996</v>
      </c>
      <c r="AA3061" s="84">
        <v>513.87</v>
      </c>
      <c r="AC3061" s="81">
        <v>58.929000000000002</v>
      </c>
      <c r="AE3061" s="87">
        <v>1</v>
      </c>
      <c r="AG3061" s="85">
        <v>7.8178700000000001</v>
      </c>
      <c r="AI3061" s="86">
        <v>8.75</v>
      </c>
      <c r="AK3061" s="81">
        <v>24.729399999999998</v>
      </c>
      <c r="AM3061" s="81">
        <v>36.790999999999997</v>
      </c>
      <c r="AO3061" s="85">
        <v>6.7812599999999996</v>
      </c>
    </row>
    <row r="3062" spans="2:41" x14ac:dyDescent="0.25">
      <c r="B3062" s="21">
        <v>45327</v>
      </c>
      <c r="C3062" s="91">
        <v>17.133500000000002</v>
      </c>
      <c r="E3062" s="83">
        <v>0.92968600000000001</v>
      </c>
      <c r="G3062" s="84">
        <v>830.17</v>
      </c>
      <c r="I3062" s="85">
        <v>6.9557200000000003</v>
      </c>
      <c r="K3062" s="85">
        <v>4.9765300000000003</v>
      </c>
      <c r="M3062" s="84">
        <v>948.02200000000005</v>
      </c>
      <c r="O3062" s="86">
        <v>3941.96</v>
      </c>
      <c r="Q3062" s="86">
        <v>7307.93</v>
      </c>
      <c r="S3062" s="86">
        <v>1468.5</v>
      </c>
      <c r="U3062" s="85">
        <v>3.8387199999999999</v>
      </c>
      <c r="W3062" s="81">
        <v>39.334200000000003</v>
      </c>
      <c r="Y3062" s="81">
        <v>7.90402</v>
      </c>
      <c r="AA3062" s="84">
        <v>517.65099999999995</v>
      </c>
      <c r="AC3062" s="81">
        <v>58.984000000000002</v>
      </c>
      <c r="AE3062" s="87">
        <v>1</v>
      </c>
      <c r="AG3062" s="85">
        <v>7.8662999999999998</v>
      </c>
      <c r="AI3062" s="86">
        <v>8.75</v>
      </c>
      <c r="AK3062" s="81">
        <v>24.838999999999999</v>
      </c>
      <c r="AM3062" s="81">
        <v>36.886800000000001</v>
      </c>
      <c r="AO3062" s="85">
        <v>6.8125099999999996</v>
      </c>
    </row>
    <row r="3063" spans="2:41" x14ac:dyDescent="0.25">
      <c r="B3063" s="21">
        <v>45328</v>
      </c>
      <c r="C3063" s="91">
        <v>17.1447</v>
      </c>
      <c r="E3063" s="83">
        <v>0.93056799999999995</v>
      </c>
      <c r="G3063" s="84">
        <v>829.27200000000005</v>
      </c>
      <c r="I3063" s="85">
        <v>6.9208600000000002</v>
      </c>
      <c r="K3063" s="85">
        <v>4.9745299999999997</v>
      </c>
      <c r="M3063" s="84">
        <v>952.05100000000004</v>
      </c>
      <c r="O3063" s="86">
        <v>3958.4</v>
      </c>
      <c r="Q3063" s="86">
        <v>7288.88</v>
      </c>
      <c r="S3063" s="86">
        <v>1465.24</v>
      </c>
      <c r="U3063" s="85">
        <v>3.8490199999999999</v>
      </c>
      <c r="W3063" s="81">
        <v>39.118200000000002</v>
      </c>
      <c r="Y3063" s="81">
        <v>7.8637199999999998</v>
      </c>
      <c r="AA3063" s="84">
        <v>517.58500000000004</v>
      </c>
      <c r="AC3063" s="81">
        <v>58.813299999999998</v>
      </c>
      <c r="AE3063" s="87">
        <v>1</v>
      </c>
      <c r="AG3063" s="85">
        <v>7.82484</v>
      </c>
      <c r="AI3063" s="86">
        <v>8.75</v>
      </c>
      <c r="AK3063" s="81">
        <v>24.702400000000001</v>
      </c>
      <c r="AM3063" s="81">
        <v>36.7164</v>
      </c>
      <c r="AO3063" s="85">
        <v>6.7972400000000004</v>
      </c>
    </row>
    <row r="3064" spans="2:41" x14ac:dyDescent="0.25">
      <c r="B3064" s="21">
        <v>45329</v>
      </c>
      <c r="C3064" s="91">
        <v>17.035699999999999</v>
      </c>
      <c r="E3064" s="83">
        <v>0.92874699999999999</v>
      </c>
      <c r="G3064" s="84">
        <v>829.81799999999998</v>
      </c>
      <c r="I3064" s="85">
        <v>6.9127599999999996</v>
      </c>
      <c r="K3064" s="85">
        <v>4.9647699999999997</v>
      </c>
      <c r="M3064" s="84">
        <v>949.75300000000004</v>
      </c>
      <c r="O3064" s="86">
        <v>3953.06</v>
      </c>
      <c r="Q3064" s="86">
        <v>7261.21</v>
      </c>
      <c r="S3064" s="86">
        <v>1462.56</v>
      </c>
      <c r="U3064" s="85">
        <v>3.8585199999999999</v>
      </c>
      <c r="W3064" s="81">
        <v>39.085099999999997</v>
      </c>
      <c r="Y3064" s="81">
        <v>7.8725199999999997</v>
      </c>
      <c r="AA3064" s="84">
        <v>516.84</v>
      </c>
      <c r="AC3064" s="81">
        <v>58.583399999999997</v>
      </c>
      <c r="AE3064" s="87">
        <v>1</v>
      </c>
      <c r="AG3064" s="85">
        <v>7.8150599999999999</v>
      </c>
      <c r="AI3064" s="86">
        <v>8.75</v>
      </c>
      <c r="AK3064" s="81">
        <v>24.667999999999999</v>
      </c>
      <c r="AM3064" s="81">
        <v>36.710999999999999</v>
      </c>
      <c r="AO3064" s="85">
        <v>6.7887300000000002</v>
      </c>
    </row>
    <row r="3065" spans="2:41" x14ac:dyDescent="0.25">
      <c r="B3065" s="21">
        <v>45330</v>
      </c>
      <c r="C3065" s="91">
        <v>17.0398</v>
      </c>
      <c r="E3065" s="83">
        <v>0.92815599999999998</v>
      </c>
      <c r="G3065" s="84">
        <v>830.37199999999996</v>
      </c>
      <c r="I3065" s="85">
        <v>6.9195000000000002</v>
      </c>
      <c r="K3065" s="85">
        <v>4.9797000000000002</v>
      </c>
      <c r="M3065" s="84">
        <v>957.61</v>
      </c>
      <c r="O3065" s="86">
        <v>3953.22</v>
      </c>
      <c r="Q3065" s="86">
        <v>7277.64</v>
      </c>
      <c r="S3065" s="86">
        <v>1461.48</v>
      </c>
      <c r="U3065" s="85">
        <v>3.85778</v>
      </c>
      <c r="W3065" s="81">
        <v>39.157499999999999</v>
      </c>
      <c r="Y3065" s="81">
        <v>7.8634599999999999</v>
      </c>
      <c r="AA3065" s="84">
        <v>516.86599999999999</v>
      </c>
      <c r="AC3065" s="81">
        <v>58.577599999999997</v>
      </c>
      <c r="AE3065" s="87">
        <v>1</v>
      </c>
      <c r="AG3065" s="85">
        <v>7.8111600000000001</v>
      </c>
      <c r="AI3065" s="86">
        <v>8.75</v>
      </c>
      <c r="AK3065" s="81">
        <v>24.682099999999998</v>
      </c>
      <c r="AM3065" s="81">
        <v>36.690199999999997</v>
      </c>
      <c r="AO3065" s="85">
        <v>6.7881</v>
      </c>
    </row>
    <row r="3066" spans="2:41" x14ac:dyDescent="0.25">
      <c r="B3066" s="21">
        <v>45331</v>
      </c>
      <c r="C3066" s="91">
        <v>17.1023</v>
      </c>
      <c r="E3066" s="83">
        <v>0.92779</v>
      </c>
      <c r="G3066" s="84">
        <v>830.93799999999999</v>
      </c>
      <c r="I3066" s="85">
        <v>6.9180799999999998</v>
      </c>
      <c r="K3066" s="85">
        <v>4.9779799999999996</v>
      </c>
      <c r="M3066" s="84">
        <v>967.52099999999996</v>
      </c>
      <c r="O3066" s="86">
        <v>3937.95</v>
      </c>
      <c r="Q3066" s="86">
        <v>7281.11</v>
      </c>
      <c r="S3066" s="86">
        <v>1462.68</v>
      </c>
      <c r="U3066" s="85">
        <v>3.8480300000000001</v>
      </c>
      <c r="W3066" s="81">
        <v>39.139200000000002</v>
      </c>
      <c r="Y3066" s="81">
        <v>7.8624999999999998</v>
      </c>
      <c r="AA3066" s="84">
        <v>516.58600000000001</v>
      </c>
      <c r="AC3066" s="81">
        <v>58.608800000000002</v>
      </c>
      <c r="AE3066" s="87">
        <v>1</v>
      </c>
      <c r="AG3066" s="85">
        <v>7.8073600000000001</v>
      </c>
      <c r="AI3066" s="86">
        <v>8.75</v>
      </c>
      <c r="AK3066" s="81">
        <v>24.681699999999999</v>
      </c>
      <c r="AM3066" s="81">
        <v>36.705199999999998</v>
      </c>
      <c r="AO3066" s="85">
        <v>6.7841100000000001</v>
      </c>
    </row>
    <row r="3067" spans="2:41" x14ac:dyDescent="0.25">
      <c r="B3067" s="21">
        <v>45332</v>
      </c>
      <c r="C3067" s="91">
        <v>17.1023</v>
      </c>
      <c r="E3067" s="83">
        <v>0.92718400000000001</v>
      </c>
      <c r="G3067" s="84">
        <v>831.38</v>
      </c>
      <c r="I3067" s="85">
        <v>6.9103000000000003</v>
      </c>
      <c r="K3067" s="85">
        <v>4.95235</v>
      </c>
      <c r="M3067" s="84">
        <v>970.41</v>
      </c>
      <c r="O3067" s="86">
        <v>3919.16</v>
      </c>
      <c r="Q3067" s="86">
        <v>7282.5</v>
      </c>
      <c r="S3067" s="86">
        <v>1470.52</v>
      </c>
      <c r="U3067" s="85">
        <v>3.8537499999999998</v>
      </c>
      <c r="W3067" s="81">
        <v>39.162599999999998</v>
      </c>
      <c r="Y3067" s="81">
        <v>7.9079199999999998</v>
      </c>
      <c r="AA3067" s="84">
        <v>516.62</v>
      </c>
      <c r="AC3067" s="81">
        <v>58.6875</v>
      </c>
      <c r="AE3067" s="87">
        <v>1</v>
      </c>
      <c r="AG3067" s="85">
        <v>7.8094000000000001</v>
      </c>
      <c r="AI3067" s="86">
        <v>8.75</v>
      </c>
      <c r="AK3067" s="81">
        <v>24.7148</v>
      </c>
      <c r="AM3067" s="81">
        <v>36.759799999999998</v>
      </c>
      <c r="AO3067" s="85">
        <v>6.7846399999999996</v>
      </c>
    </row>
    <row r="3068" spans="2:41" x14ac:dyDescent="0.25">
      <c r="B3068" s="21">
        <v>45333</v>
      </c>
      <c r="C3068" s="91">
        <v>17.1023</v>
      </c>
      <c r="E3068" s="83">
        <v>0.92715400000000003</v>
      </c>
      <c r="G3068" s="84">
        <v>831.21500000000003</v>
      </c>
      <c r="I3068" s="85">
        <v>6.91012</v>
      </c>
      <c r="K3068" s="85">
        <v>4.9523999999999999</v>
      </c>
      <c r="M3068" s="84">
        <v>970.41</v>
      </c>
      <c r="O3068" s="86">
        <v>3919.65</v>
      </c>
      <c r="Q3068" s="86">
        <v>7282.5</v>
      </c>
      <c r="S3068" s="86">
        <v>1470.51</v>
      </c>
      <c r="U3068" s="85">
        <v>3.8536600000000001</v>
      </c>
      <c r="W3068" s="81">
        <v>39.158799999999999</v>
      </c>
      <c r="Y3068" s="81">
        <v>7.9070600000000004</v>
      </c>
      <c r="AA3068" s="84">
        <v>516.61</v>
      </c>
      <c r="AC3068" s="81">
        <v>58.686</v>
      </c>
      <c r="AE3068" s="87">
        <v>1</v>
      </c>
      <c r="AG3068" s="85">
        <v>7.8092600000000001</v>
      </c>
      <c r="AI3068" s="86">
        <v>8.75</v>
      </c>
      <c r="AK3068" s="81">
        <v>24.713200000000001</v>
      </c>
      <c r="AM3068" s="81">
        <v>36.76</v>
      </c>
      <c r="AO3068" s="85">
        <v>6.7845399999999998</v>
      </c>
    </row>
    <row r="3069" spans="2:41" x14ac:dyDescent="0.25">
      <c r="B3069" s="21">
        <v>45334</v>
      </c>
      <c r="C3069" s="91">
        <v>17.0855</v>
      </c>
      <c r="E3069" s="83">
        <v>0.92760500000000001</v>
      </c>
      <c r="G3069" s="84">
        <v>830.67</v>
      </c>
      <c r="I3069" s="85">
        <v>6.9028999999999998</v>
      </c>
      <c r="K3069" s="85">
        <v>4.9539</v>
      </c>
      <c r="M3069" s="84">
        <v>970.27599999999995</v>
      </c>
      <c r="O3069" s="86">
        <v>3924.56</v>
      </c>
      <c r="Q3069" s="86">
        <v>7278.38</v>
      </c>
      <c r="S3069" s="86">
        <v>1469.24</v>
      </c>
      <c r="U3069" s="85">
        <v>3.8563399999999999</v>
      </c>
      <c r="W3069" s="81">
        <v>39.114199999999997</v>
      </c>
      <c r="Y3069" s="81">
        <v>7.8956799999999996</v>
      </c>
      <c r="AA3069" s="84">
        <v>516.20399999999995</v>
      </c>
      <c r="AC3069" s="81">
        <v>58.595599999999997</v>
      </c>
      <c r="AE3069" s="87">
        <v>1</v>
      </c>
      <c r="AG3069" s="85">
        <v>7.8003999999999998</v>
      </c>
      <c r="AI3069" s="86">
        <v>8.75</v>
      </c>
      <c r="AK3069" s="81">
        <v>24.6752</v>
      </c>
      <c r="AM3069" s="81">
        <v>36.756399999999999</v>
      </c>
      <c r="AO3069" s="85">
        <v>6.7791300000000003</v>
      </c>
    </row>
    <row r="3070" spans="2:41" x14ac:dyDescent="0.25">
      <c r="B3070" s="21">
        <v>45335</v>
      </c>
      <c r="C3070" s="91">
        <v>17.068000000000001</v>
      </c>
      <c r="E3070" s="83">
        <v>0.930697</v>
      </c>
      <c r="G3070" s="84">
        <v>831.29200000000003</v>
      </c>
      <c r="I3070" s="85">
        <v>6.9089400000000003</v>
      </c>
      <c r="K3070" s="85">
        <v>4.9536800000000003</v>
      </c>
      <c r="M3070" s="84">
        <v>970.87599999999998</v>
      </c>
      <c r="O3070" s="86">
        <v>3918.5</v>
      </c>
      <c r="Q3070" s="86">
        <v>7283.43</v>
      </c>
      <c r="S3070" s="86">
        <v>1470.32</v>
      </c>
      <c r="U3070" s="85">
        <v>3.8673999999999999</v>
      </c>
      <c r="W3070" s="81">
        <v>39.207999999999998</v>
      </c>
      <c r="Y3070" s="81">
        <v>7.9149599999999998</v>
      </c>
      <c r="AA3070" s="84">
        <v>516.62400000000002</v>
      </c>
      <c r="AC3070" s="81">
        <v>58.5732</v>
      </c>
      <c r="AE3070" s="87">
        <v>1</v>
      </c>
      <c r="AG3070" s="85">
        <v>7.8056299999999998</v>
      </c>
      <c r="AI3070" s="86">
        <v>8.75</v>
      </c>
      <c r="AK3070" s="81">
        <v>24.7105</v>
      </c>
      <c r="AM3070" s="81">
        <v>36.797800000000002</v>
      </c>
      <c r="AO3070" s="85">
        <v>6.7847299999999997</v>
      </c>
    </row>
    <row r="3071" spans="2:41" x14ac:dyDescent="0.25">
      <c r="B3071" s="21">
        <v>45336</v>
      </c>
      <c r="C3071" s="91">
        <v>17.1982</v>
      </c>
      <c r="E3071" s="83">
        <v>0.93321100000000001</v>
      </c>
      <c r="G3071" s="84">
        <v>832.48900000000003</v>
      </c>
      <c r="I3071" s="85">
        <v>6.9185600000000003</v>
      </c>
      <c r="K3071" s="85">
        <v>4.9592599999999996</v>
      </c>
      <c r="M3071" s="84">
        <v>964.74900000000002</v>
      </c>
      <c r="O3071" s="86">
        <v>3922.09</v>
      </c>
      <c r="Q3071" s="86">
        <v>7287.08</v>
      </c>
      <c r="S3071" s="86">
        <v>1469.4</v>
      </c>
      <c r="U3071" s="85">
        <v>3.88395</v>
      </c>
      <c r="W3071" s="81">
        <v>39.283499999999997</v>
      </c>
      <c r="Y3071" s="81">
        <v>7.9212800000000003</v>
      </c>
      <c r="AA3071" s="84">
        <v>517.62199999999996</v>
      </c>
      <c r="AC3071" s="81">
        <v>58.676200000000001</v>
      </c>
      <c r="AE3071" s="87">
        <v>1</v>
      </c>
      <c r="AG3071" s="85">
        <v>7.8176600000000001</v>
      </c>
      <c r="AI3071" s="86">
        <v>8.75</v>
      </c>
      <c r="AK3071" s="81">
        <v>24.773099999999999</v>
      </c>
      <c r="AM3071" s="81">
        <v>36.898899999999998</v>
      </c>
      <c r="AO3071" s="85">
        <v>6.7946499999999999</v>
      </c>
    </row>
    <row r="3072" spans="2:41" x14ac:dyDescent="0.25">
      <c r="B3072" s="21">
        <v>45337</v>
      </c>
      <c r="C3072" s="91">
        <v>17.110499999999998</v>
      </c>
      <c r="E3072" s="83">
        <v>0.93039000000000005</v>
      </c>
      <c r="G3072" s="84">
        <v>834.21600000000001</v>
      </c>
      <c r="I3072" s="85">
        <v>6.9034399999999998</v>
      </c>
      <c r="K3072" s="85">
        <v>4.9709899999999996</v>
      </c>
      <c r="M3072" s="84">
        <v>961.07399999999996</v>
      </c>
      <c r="O3072" s="86">
        <v>3913.4</v>
      </c>
      <c r="Q3072" s="86">
        <v>7270.27</v>
      </c>
      <c r="S3072" s="86">
        <v>1462.55</v>
      </c>
      <c r="U3072" s="85">
        <v>3.8734999999999999</v>
      </c>
      <c r="W3072" s="81">
        <v>39.172800000000002</v>
      </c>
      <c r="Y3072" s="81">
        <v>7.8803099999999997</v>
      </c>
      <c r="AA3072" s="84">
        <v>516.96100000000001</v>
      </c>
      <c r="AC3072" s="81">
        <v>58.455800000000004</v>
      </c>
      <c r="AE3072" s="87">
        <v>1</v>
      </c>
      <c r="AG3072" s="85">
        <v>7.8068299999999997</v>
      </c>
      <c r="AI3072" s="86">
        <v>8.75</v>
      </c>
      <c r="AK3072" s="81">
        <v>24.658999999999999</v>
      </c>
      <c r="AM3072" s="81">
        <v>36.757199999999997</v>
      </c>
      <c r="AO3072" s="85">
        <v>6.7797599999999996</v>
      </c>
    </row>
    <row r="3073" spans="1:41" x14ac:dyDescent="0.25">
      <c r="B3073" s="21">
        <v>45338</v>
      </c>
      <c r="C3073" s="91">
        <v>17.068000000000001</v>
      </c>
      <c r="E3073" s="83">
        <v>0.92869800000000002</v>
      </c>
      <c r="G3073" s="84">
        <v>834.774</v>
      </c>
      <c r="I3073" s="85">
        <v>6.9030800000000001</v>
      </c>
      <c r="K3073" s="85">
        <v>4.9717799999999999</v>
      </c>
      <c r="M3073" s="84">
        <v>968.85799999999995</v>
      </c>
      <c r="O3073" s="86">
        <v>3911.32</v>
      </c>
      <c r="Q3073" s="86">
        <v>7279.52</v>
      </c>
      <c r="S3073" s="86">
        <v>1464.18</v>
      </c>
      <c r="U3073" s="85">
        <v>3.8668</v>
      </c>
      <c r="W3073" s="81">
        <v>39.130800000000001</v>
      </c>
      <c r="Y3073" s="81">
        <v>7.8705999999999996</v>
      </c>
      <c r="AA3073" s="84">
        <v>516.64200000000005</v>
      </c>
      <c r="AC3073" s="81">
        <v>58.49</v>
      </c>
      <c r="AE3073" s="87">
        <v>1</v>
      </c>
      <c r="AG3073" s="85">
        <v>7.8006500000000001</v>
      </c>
      <c r="AI3073" s="86">
        <v>8.75</v>
      </c>
      <c r="AK3073" s="81">
        <v>24.640599999999999</v>
      </c>
      <c r="AM3073" s="81">
        <v>36.738999999999997</v>
      </c>
      <c r="AO3073" s="85">
        <v>6.7788599999999999</v>
      </c>
    </row>
    <row r="3074" spans="1:41" x14ac:dyDescent="0.25">
      <c r="B3074" s="21">
        <v>45339</v>
      </c>
      <c r="C3074" s="91">
        <v>17.068000000000001</v>
      </c>
      <c r="E3074" s="83">
        <v>0.92791400000000002</v>
      </c>
      <c r="G3074" s="84">
        <v>835.048</v>
      </c>
      <c r="I3074" s="85">
        <v>6.9108700000000001</v>
      </c>
      <c r="K3074" s="85">
        <v>4.9669999999999996</v>
      </c>
      <c r="M3074" s="84">
        <v>971.4</v>
      </c>
      <c r="O3074" s="86">
        <v>3911.52</v>
      </c>
      <c r="Q3074" s="86">
        <v>7290.42</v>
      </c>
      <c r="S3074" s="86">
        <v>1467.78</v>
      </c>
      <c r="U3074" s="85">
        <v>3.87</v>
      </c>
      <c r="W3074" s="81">
        <v>39.163899999999998</v>
      </c>
      <c r="Y3074" s="81">
        <v>7.8848399999999996</v>
      </c>
      <c r="AA3074" s="84">
        <v>516.68200000000002</v>
      </c>
      <c r="AC3074" s="81">
        <v>58.597499999999997</v>
      </c>
      <c r="AE3074" s="87">
        <v>1</v>
      </c>
      <c r="AG3074" s="85">
        <v>7.80952</v>
      </c>
      <c r="AI3074" s="86">
        <v>8.75</v>
      </c>
      <c r="AK3074" s="81">
        <v>24.639500000000002</v>
      </c>
      <c r="AM3074" s="81">
        <v>36.774799999999999</v>
      </c>
      <c r="AO3074" s="85">
        <v>6.78592</v>
      </c>
    </row>
    <row r="3075" spans="1:41" x14ac:dyDescent="0.25">
      <c r="B3075" s="21">
        <v>45340</v>
      </c>
      <c r="C3075" s="91">
        <v>17.068000000000001</v>
      </c>
      <c r="E3075" s="83">
        <v>0.927902</v>
      </c>
      <c r="G3075" s="84">
        <v>835.005</v>
      </c>
      <c r="I3075" s="85">
        <v>6.9108999999999998</v>
      </c>
      <c r="K3075" s="85">
        <v>4.9669999999999996</v>
      </c>
      <c r="M3075" s="84">
        <v>971.4</v>
      </c>
      <c r="O3075" s="86">
        <v>3911.52</v>
      </c>
      <c r="Q3075" s="86">
        <v>7290.56</v>
      </c>
      <c r="S3075" s="86">
        <v>1467.81</v>
      </c>
      <c r="U3075" s="85">
        <v>3.87</v>
      </c>
      <c r="W3075" s="81">
        <v>39.165599999999998</v>
      </c>
      <c r="Y3075" s="81">
        <v>7.8852000000000002</v>
      </c>
      <c r="AA3075" s="84">
        <v>516.67600000000004</v>
      </c>
      <c r="AC3075" s="81">
        <v>58.598399999999998</v>
      </c>
      <c r="AE3075" s="87">
        <v>1</v>
      </c>
      <c r="AG3075" s="85">
        <v>7.8095400000000001</v>
      </c>
      <c r="AI3075" s="86">
        <v>8.75</v>
      </c>
      <c r="AK3075" s="81">
        <v>24.6402</v>
      </c>
      <c r="AM3075" s="81">
        <v>36.775100000000002</v>
      </c>
      <c r="AO3075" s="85">
        <v>6.7859400000000001</v>
      </c>
    </row>
    <row r="3076" spans="1:41" x14ac:dyDescent="0.25">
      <c r="B3076" s="21">
        <v>45341</v>
      </c>
      <c r="C3076" s="91">
        <v>17.060199999999998</v>
      </c>
      <c r="E3076" s="83">
        <v>0.92784199999999994</v>
      </c>
      <c r="G3076" s="84">
        <v>835.61</v>
      </c>
      <c r="I3076" s="85">
        <v>6.90937</v>
      </c>
      <c r="K3076" s="85">
        <v>4.9640199999999997</v>
      </c>
      <c r="M3076" s="84">
        <v>966.678</v>
      </c>
      <c r="O3076" s="86">
        <v>3911.46</v>
      </c>
      <c r="Q3076" s="86">
        <v>7292.59</v>
      </c>
      <c r="S3076" s="86">
        <v>1469.1</v>
      </c>
      <c r="U3076" s="85">
        <v>3.8277399999999999</v>
      </c>
      <c r="W3076" s="81">
        <v>39.161799999999999</v>
      </c>
      <c r="Y3076" s="81">
        <v>7.8891799999999996</v>
      </c>
      <c r="AA3076" s="84">
        <v>515.54999999999995</v>
      </c>
      <c r="AC3076" s="81">
        <v>58.615400000000001</v>
      </c>
      <c r="AE3076" s="87">
        <v>1</v>
      </c>
      <c r="AG3076" s="85">
        <v>7.8086599999999997</v>
      </c>
      <c r="AI3076" s="86">
        <v>8.75</v>
      </c>
      <c r="AK3076" s="81">
        <v>24.6754</v>
      </c>
      <c r="AM3076" s="81">
        <v>36.800199999999997</v>
      </c>
      <c r="AO3076" s="85">
        <v>6.7841199999999997</v>
      </c>
    </row>
    <row r="3077" spans="1:41" x14ac:dyDescent="0.25">
      <c r="B3077" s="21">
        <v>45342</v>
      </c>
      <c r="C3077" s="91">
        <v>17.05</v>
      </c>
      <c r="E3077" s="83">
        <v>0.92643799999999998</v>
      </c>
      <c r="G3077" s="84">
        <v>836.97400000000005</v>
      </c>
      <c r="I3077" s="85">
        <v>6.9126799999999999</v>
      </c>
      <c r="K3077" s="85">
        <v>4.9459600000000004</v>
      </c>
      <c r="M3077" s="84">
        <v>964.09400000000005</v>
      </c>
      <c r="O3077" s="86">
        <v>3917.34</v>
      </c>
      <c r="Q3077" s="86">
        <v>7300.39</v>
      </c>
      <c r="S3077" s="86">
        <v>1476.04</v>
      </c>
      <c r="U3077" s="85">
        <v>3.8123499999999999</v>
      </c>
      <c r="W3077" s="81">
        <v>39.131599999999999</v>
      </c>
      <c r="Y3077" s="81">
        <v>7.91188</v>
      </c>
      <c r="AA3077" s="84">
        <v>514.55200000000002</v>
      </c>
      <c r="AC3077" s="81">
        <v>58.635399999999997</v>
      </c>
      <c r="AE3077" s="87">
        <v>1</v>
      </c>
      <c r="AG3077" s="85">
        <v>7.8081699999999996</v>
      </c>
      <c r="AI3077" s="86">
        <v>8.75</v>
      </c>
      <c r="AK3077" s="81">
        <v>24.705200000000001</v>
      </c>
      <c r="AM3077" s="81">
        <v>36.8108</v>
      </c>
      <c r="AO3077" s="85">
        <v>6.7888999999999999</v>
      </c>
    </row>
    <row r="3078" spans="1:41" x14ac:dyDescent="0.25">
      <c r="B3078" s="21">
        <v>45343</v>
      </c>
      <c r="C3078" s="91">
        <v>17.0458</v>
      </c>
      <c r="E3078" s="83">
        <v>0.92501199999999995</v>
      </c>
      <c r="G3078" s="84">
        <v>837.46799999999996</v>
      </c>
      <c r="I3078" s="85">
        <v>6.9071199999999999</v>
      </c>
      <c r="K3078" s="85">
        <v>4.9306200000000002</v>
      </c>
      <c r="M3078" s="84">
        <v>965.47699999999998</v>
      </c>
      <c r="O3078" s="86">
        <v>3921.24</v>
      </c>
      <c r="Q3078" s="86">
        <v>7295.5</v>
      </c>
      <c r="S3078" s="86">
        <v>1479.64</v>
      </c>
      <c r="U3078" s="85">
        <v>3.7959200000000002</v>
      </c>
      <c r="W3078" s="81">
        <v>39.08</v>
      </c>
      <c r="Y3078" s="81">
        <v>7.9260200000000003</v>
      </c>
      <c r="AA3078" s="84">
        <v>513.67999999999995</v>
      </c>
      <c r="AC3078" s="81">
        <v>58.627899999999997</v>
      </c>
      <c r="AE3078" s="87">
        <v>1</v>
      </c>
      <c r="AG3078" s="85">
        <v>7.7981100000000003</v>
      </c>
      <c r="AI3078" s="86">
        <v>8.75</v>
      </c>
      <c r="AK3078" s="81">
        <v>24.697900000000001</v>
      </c>
      <c r="AM3078" s="81">
        <v>36.779499999999999</v>
      </c>
      <c r="AO3078" s="85">
        <v>6.7865599999999997</v>
      </c>
    </row>
    <row r="3079" spans="1:41" x14ac:dyDescent="0.25">
      <c r="B3079" s="21">
        <v>45344</v>
      </c>
      <c r="C3079" s="91">
        <v>17.060300000000002</v>
      </c>
      <c r="E3079" s="83">
        <v>0.923203</v>
      </c>
      <c r="G3079" s="84">
        <v>838.072</v>
      </c>
      <c r="I3079" s="85">
        <v>6.9050099999999999</v>
      </c>
      <c r="K3079" s="85">
        <v>4.94292</v>
      </c>
      <c r="M3079" s="84">
        <v>972.63300000000004</v>
      </c>
      <c r="O3079" s="86">
        <v>3927.88</v>
      </c>
      <c r="Q3079" s="86">
        <v>7283.78</v>
      </c>
      <c r="S3079" s="86">
        <v>1473.58</v>
      </c>
      <c r="U3079" s="85">
        <v>3.7902800000000001</v>
      </c>
      <c r="W3079" s="81">
        <v>39.055</v>
      </c>
      <c r="Y3079" s="81">
        <v>7.9012200000000004</v>
      </c>
      <c r="AA3079" s="84">
        <v>513.62800000000004</v>
      </c>
      <c r="AC3079" s="81">
        <v>58.613799999999998</v>
      </c>
      <c r="AE3079" s="87">
        <v>1</v>
      </c>
      <c r="AG3079" s="85">
        <v>7.8018799999999997</v>
      </c>
      <c r="AI3079" s="86">
        <v>8.75</v>
      </c>
      <c r="AK3079" s="81">
        <v>24.717600000000001</v>
      </c>
      <c r="AM3079" s="81">
        <v>36.765599999999999</v>
      </c>
      <c r="AO3079" s="85">
        <v>6.78613</v>
      </c>
    </row>
    <row r="3080" spans="1:41" x14ac:dyDescent="0.25">
      <c r="B3080" s="21">
        <v>45345</v>
      </c>
      <c r="C3080" s="91">
        <v>17.120999999999999</v>
      </c>
      <c r="E3080" s="83">
        <v>0.923786</v>
      </c>
      <c r="G3080" s="84">
        <v>838.61599999999999</v>
      </c>
      <c r="I3080" s="85">
        <v>6.9169200000000002</v>
      </c>
      <c r="K3080" s="85">
        <v>4.9751799999999999</v>
      </c>
      <c r="M3080" s="84">
        <v>979.84400000000005</v>
      </c>
      <c r="O3080" s="86">
        <v>3941.85</v>
      </c>
      <c r="Q3080" s="86">
        <v>7289.5</v>
      </c>
      <c r="S3080" s="86">
        <v>1465.18</v>
      </c>
      <c r="U3080" s="85">
        <v>3.80728</v>
      </c>
      <c r="W3080" s="81">
        <v>39.088799999999999</v>
      </c>
      <c r="Y3080" s="81">
        <v>7.8567900000000002</v>
      </c>
      <c r="AA3080" s="84">
        <v>515.04399999999998</v>
      </c>
      <c r="AC3080" s="81">
        <v>58.828200000000002</v>
      </c>
      <c r="AE3080" s="87">
        <v>1</v>
      </c>
      <c r="AG3080" s="85">
        <v>7.8217600000000003</v>
      </c>
      <c r="AI3080" s="86">
        <v>8.75</v>
      </c>
      <c r="AK3080" s="81">
        <v>24.776</v>
      </c>
      <c r="AM3080" s="81">
        <v>36.86</v>
      </c>
      <c r="AO3080" s="85">
        <v>6.8000699999999998</v>
      </c>
    </row>
    <row r="3081" spans="1:41" x14ac:dyDescent="0.25">
      <c r="B3081" s="21">
        <v>45346</v>
      </c>
      <c r="C3081" s="91">
        <v>17.120999999999999</v>
      </c>
      <c r="E3081" s="83">
        <v>0.92415899999999995</v>
      </c>
      <c r="G3081" s="84">
        <v>838.92399999999998</v>
      </c>
      <c r="I3081" s="85">
        <v>6.9107799999999999</v>
      </c>
      <c r="K3081" s="85">
        <v>4.9955499999999997</v>
      </c>
      <c r="M3081" s="84">
        <v>980.2</v>
      </c>
      <c r="O3081" s="86">
        <v>3964.28</v>
      </c>
      <c r="Q3081" s="86">
        <v>7283.99</v>
      </c>
      <c r="S3081" s="86">
        <v>1458.1</v>
      </c>
      <c r="U3081" s="85">
        <v>3.8113999999999999</v>
      </c>
      <c r="W3081" s="81">
        <v>38.808999999999997</v>
      </c>
      <c r="Y3081" s="81">
        <v>7.7687499999999998</v>
      </c>
      <c r="AA3081" s="84">
        <v>514.54</v>
      </c>
      <c r="AC3081" s="81">
        <v>58.797499999999999</v>
      </c>
      <c r="AE3081" s="87">
        <v>1</v>
      </c>
      <c r="AG3081" s="85">
        <v>7.81412</v>
      </c>
      <c r="AI3081" s="86">
        <v>8.75</v>
      </c>
      <c r="AK3081" s="81">
        <v>24.822199999999999</v>
      </c>
      <c r="AM3081" s="81">
        <v>36.827199999999998</v>
      </c>
      <c r="AO3081" s="85">
        <v>6.7962999999999996</v>
      </c>
    </row>
    <row r="3082" spans="1:41" x14ac:dyDescent="0.25">
      <c r="B3082" s="21">
        <v>45347</v>
      </c>
      <c r="C3082" s="91">
        <v>17.120999999999999</v>
      </c>
      <c r="E3082" s="83">
        <v>0.92415199999999997</v>
      </c>
      <c r="G3082" s="84">
        <v>838.9</v>
      </c>
      <c r="I3082" s="85">
        <v>6.9106500000000004</v>
      </c>
      <c r="K3082" s="85">
        <v>4.9955400000000001</v>
      </c>
      <c r="M3082" s="84">
        <v>980.2</v>
      </c>
      <c r="O3082" s="86">
        <v>3963.36</v>
      </c>
      <c r="Q3082" s="86">
        <v>7283.78</v>
      </c>
      <c r="S3082" s="86">
        <v>1458.06</v>
      </c>
      <c r="U3082" s="85">
        <v>3.8108200000000001</v>
      </c>
      <c r="W3082" s="81">
        <v>38.821199999999997</v>
      </c>
      <c r="Y3082" s="81">
        <v>7.7712000000000003</v>
      </c>
      <c r="AA3082" s="84">
        <v>514.53599999999994</v>
      </c>
      <c r="AC3082" s="81">
        <v>58.795299999999997</v>
      </c>
      <c r="AE3082" s="87">
        <v>1</v>
      </c>
      <c r="AG3082" s="85">
        <v>7.8140799999999997</v>
      </c>
      <c r="AI3082" s="86">
        <v>8.75</v>
      </c>
      <c r="AK3082" s="81">
        <v>24.8187</v>
      </c>
      <c r="AM3082" s="81">
        <v>36.826000000000001</v>
      </c>
      <c r="AO3082" s="85">
        <v>6.7962300000000004</v>
      </c>
    </row>
    <row r="3083" spans="1:41" x14ac:dyDescent="0.25">
      <c r="B3083" s="21">
        <v>45348</v>
      </c>
      <c r="C3083" s="91">
        <v>17.126000000000001</v>
      </c>
      <c r="E3083" s="83">
        <v>0.92264000000000002</v>
      </c>
      <c r="G3083" s="84">
        <v>839.70799999999997</v>
      </c>
      <c r="I3083" s="85">
        <v>6.9083100000000002</v>
      </c>
      <c r="K3083" s="85">
        <v>4.9885700000000002</v>
      </c>
      <c r="M3083" s="84">
        <v>982.72500000000002</v>
      </c>
      <c r="O3083" s="86">
        <v>3943.14</v>
      </c>
      <c r="Q3083" s="86">
        <v>7281.56</v>
      </c>
      <c r="S3083" s="86">
        <v>1459.66</v>
      </c>
      <c r="U3083" s="85">
        <v>3.7944100000000001</v>
      </c>
      <c r="W3083" s="81">
        <v>38.902799999999999</v>
      </c>
      <c r="Y3083" s="81">
        <v>7.7984200000000001</v>
      </c>
      <c r="AA3083" s="84">
        <v>514.51300000000003</v>
      </c>
      <c r="AC3083" s="81">
        <v>58.800400000000003</v>
      </c>
      <c r="AE3083" s="87">
        <v>1</v>
      </c>
      <c r="AG3083" s="85">
        <v>7.81332</v>
      </c>
      <c r="AI3083" s="86">
        <v>8.75</v>
      </c>
      <c r="AK3083" s="81">
        <v>24.7133</v>
      </c>
      <c r="AM3083" s="81">
        <v>36.815199999999997</v>
      </c>
      <c r="AO3083" s="85">
        <v>6.7994199999999996</v>
      </c>
    </row>
    <row r="3084" spans="1:41" x14ac:dyDescent="0.25">
      <c r="B3084" s="21">
        <v>45349</v>
      </c>
      <c r="C3084" s="91">
        <v>17.126000000000001</v>
      </c>
      <c r="E3084" s="83">
        <v>0.92163499999999998</v>
      </c>
      <c r="G3084" s="84">
        <v>840.87</v>
      </c>
      <c r="I3084" s="85">
        <v>6.9166999999999996</v>
      </c>
      <c r="K3084" s="85">
        <v>4.96272</v>
      </c>
      <c r="M3084" s="84">
        <v>985.00599999999997</v>
      </c>
      <c r="O3084" s="86">
        <v>3948.77</v>
      </c>
      <c r="Q3084" s="86">
        <v>7278.57</v>
      </c>
      <c r="S3084" s="86">
        <v>1466.66</v>
      </c>
      <c r="U3084" s="85">
        <v>3.7993999999999999</v>
      </c>
      <c r="W3084" s="81">
        <v>38.798200000000001</v>
      </c>
      <c r="Y3084" s="81">
        <v>7.8179800000000004</v>
      </c>
      <c r="AA3084" s="84">
        <v>514.38599999999997</v>
      </c>
      <c r="AC3084" s="81">
        <v>58.7714</v>
      </c>
      <c r="AE3084" s="87">
        <v>1</v>
      </c>
      <c r="AG3084" s="85">
        <v>7.8091699999999999</v>
      </c>
      <c r="AI3084" s="86">
        <v>8.75</v>
      </c>
      <c r="AK3084" s="81">
        <v>24.723600000000001</v>
      </c>
      <c r="AM3084" s="81">
        <v>36.789000000000001</v>
      </c>
      <c r="AO3084" s="85">
        <v>6.7920800000000003</v>
      </c>
    </row>
    <row r="3085" spans="1:41" x14ac:dyDescent="0.25">
      <c r="B3085" s="21">
        <v>45350</v>
      </c>
      <c r="C3085" s="91">
        <v>17.060500000000001</v>
      </c>
      <c r="E3085" s="83">
        <v>0.92341200000000001</v>
      </c>
      <c r="G3085" s="84">
        <v>841.404</v>
      </c>
      <c r="I3085" s="85">
        <v>6.9204499999999998</v>
      </c>
      <c r="K3085" s="85">
        <v>4.9479199999999999</v>
      </c>
      <c r="M3085" s="84">
        <v>980.80499999999995</v>
      </c>
      <c r="O3085" s="86">
        <v>3930.62</v>
      </c>
      <c r="Q3085" s="86">
        <v>7288.94</v>
      </c>
      <c r="S3085" s="86">
        <v>1473.14</v>
      </c>
      <c r="U3085" s="85">
        <v>3.7937799999999999</v>
      </c>
      <c r="W3085" s="81">
        <v>39.088200000000001</v>
      </c>
      <c r="Y3085" s="81">
        <v>7.89994</v>
      </c>
      <c r="AA3085" s="84">
        <v>514.76400000000001</v>
      </c>
      <c r="AC3085" s="81">
        <v>58.736699999999999</v>
      </c>
      <c r="AE3085" s="87">
        <v>1</v>
      </c>
      <c r="AG3085" s="85">
        <v>7.8062100000000001</v>
      </c>
      <c r="AI3085" s="86">
        <v>8.75</v>
      </c>
      <c r="AK3085" s="81">
        <v>24.709199999999999</v>
      </c>
      <c r="AM3085" s="81">
        <v>36.816299999999998</v>
      </c>
      <c r="AO3085" s="85">
        <v>6.7899099999999999</v>
      </c>
    </row>
    <row r="3086" spans="1:41" x14ac:dyDescent="0.25">
      <c r="A3086" s="92"/>
      <c r="B3086" s="98">
        <v>45351</v>
      </c>
      <c r="C3086" s="82">
        <v>17.0962</v>
      </c>
      <c r="D3086" s="92"/>
      <c r="E3086" s="93">
        <v>0.9240436148586213</v>
      </c>
      <c r="F3086" s="92"/>
      <c r="G3086" s="94">
        <v>833.33333333333337</v>
      </c>
      <c r="H3086" s="92"/>
      <c r="I3086" s="95">
        <v>6.8917987594762229</v>
      </c>
      <c r="J3086" s="92"/>
      <c r="K3086" s="95">
        <v>4.9701789264413518</v>
      </c>
      <c r="L3086" s="92"/>
      <c r="M3086" s="94">
        <v>970.87378640776694</v>
      </c>
      <c r="N3086" s="92"/>
      <c r="O3086" s="96">
        <v>3928.1926385669949</v>
      </c>
      <c r="P3086" s="92"/>
      <c r="Q3086" s="96">
        <v>7299.2700729927001</v>
      </c>
      <c r="R3086" s="92"/>
      <c r="S3086" s="96">
        <v>1466.81</v>
      </c>
      <c r="T3086" s="92"/>
      <c r="U3086" s="95">
        <v>3.7734425116033354</v>
      </c>
      <c r="V3086" s="92"/>
      <c r="W3086" s="91">
        <v>39.0625</v>
      </c>
      <c r="X3086" s="92"/>
      <c r="Y3086" s="91">
        <v>7.8627599999999997</v>
      </c>
      <c r="Z3086" s="92"/>
      <c r="AA3086" s="94">
        <v>515.46391752577313</v>
      </c>
      <c r="AB3086" s="92"/>
      <c r="AC3086" s="91">
        <v>58.719906048150321</v>
      </c>
      <c r="AD3086" s="92"/>
      <c r="AE3086" s="97">
        <v>1</v>
      </c>
      <c r="AF3086" s="92"/>
      <c r="AG3086" s="95">
        <v>7.8125</v>
      </c>
      <c r="AH3086" s="92"/>
      <c r="AI3086" s="96">
        <v>8.7489063867016625</v>
      </c>
      <c r="AJ3086" s="92"/>
      <c r="AK3086" s="91">
        <v>24.691358024691358</v>
      </c>
      <c r="AL3086" s="92"/>
      <c r="AM3086" s="91">
        <v>36.764705882352942</v>
      </c>
      <c r="AN3086" s="92"/>
      <c r="AO3086" s="95">
        <v>6.7750677506775068</v>
      </c>
    </row>
    <row r="3087" spans="1:41" ht="13" x14ac:dyDescent="0.3">
      <c r="B3087" s="25" t="str">
        <f>"PROM-"&amp;MONTH(B3086)&amp;YEAR(B3086)</f>
        <v>PROM-22024</v>
      </c>
      <c r="C3087" s="19">
        <f>AVERAGE(C3058:C3086)</f>
        <v>17.099262068965512</v>
      </c>
      <c r="E3087" s="24">
        <f>AVERAGE(E3058:E3086)</f>
        <v>0.92662705568477999</v>
      </c>
      <c r="G3087" s="42">
        <f>AVERAGE(G3058:G3086)</f>
        <v>833.63352873563201</v>
      </c>
      <c r="I3087" s="23">
        <f>AVERAGE(I3058:I3086)</f>
        <v>6.9124058192922835</v>
      </c>
      <c r="K3087" s="23">
        <f>AVERAGE(K3058:K3086)</f>
        <v>4.963977204360047</v>
      </c>
      <c r="M3087" s="42">
        <f>AVERAGE(M3058:M3086)</f>
        <v>965.14992366923354</v>
      </c>
      <c r="O3087" s="80">
        <f>AVERAGE(O3058:O3086)</f>
        <v>3930.196987536794</v>
      </c>
      <c r="Q3087" s="80">
        <f>AVERAGE(Q3058:Q3086)</f>
        <v>7284.077588723886</v>
      </c>
      <c r="S3087" s="80">
        <f>AVERAGE(S3058:S3086)</f>
        <v>1467.3503448275862</v>
      </c>
      <c r="U3087" s="23">
        <f>AVERAGE(U3058:U3086)</f>
        <v>3.8306335348828737</v>
      </c>
      <c r="W3087" s="19">
        <f>AVERAGE(W3058:W3086)</f>
        <v>39.098934482758615</v>
      </c>
      <c r="Y3087" s="19">
        <f>AVERAGE(Y3058:Y3086)</f>
        <v>7.8767937931034471</v>
      </c>
      <c r="AA3087" s="42">
        <f>AVERAGE(AA3058:AA3086)</f>
        <v>515.50630750088874</v>
      </c>
      <c r="AC3087" s="19">
        <f>AVERAGE(AC3058:AC3086)</f>
        <v>58.69834158786724</v>
      </c>
      <c r="AE3087" s="88">
        <f>AVERAGE(AE3058:AE3086)</f>
        <v>1</v>
      </c>
      <c r="AG3087" s="23">
        <f>AVERAGE(AG3058:AG3086)</f>
        <v>7.812273103448276</v>
      </c>
      <c r="AI3087" s="80">
        <f>AVERAGE(AI3058:AI3086)</f>
        <v>8.7499622891966098</v>
      </c>
      <c r="AK3087" s="19">
        <f>AVERAGE(AK3058:AK3086)</f>
        <v>24.710443380161767</v>
      </c>
      <c r="AM3087" s="19">
        <f>AVERAGE(AM3058:AM3086)</f>
        <v>36.776465720081127</v>
      </c>
      <c r="AO3087" s="23">
        <f>AVERAGE(AO3058:AO3086)</f>
        <v>6.7873213017474994</v>
      </c>
    </row>
    <row r="3088" spans="1:41" x14ac:dyDescent="0.25">
      <c r="B3088" s="21">
        <v>45352</v>
      </c>
      <c r="C3088" s="91">
        <v>17.063300000000002</v>
      </c>
      <c r="E3088" s="83">
        <v>0.92401200000000006</v>
      </c>
      <c r="G3088" s="84">
        <v>842.65800000000002</v>
      </c>
      <c r="I3088" s="85">
        <v>6.9129399999999999</v>
      </c>
      <c r="K3088" s="85">
        <v>4.9631800000000004</v>
      </c>
      <c r="M3088" s="84">
        <v>966.91499999999996</v>
      </c>
      <c r="O3088" s="86">
        <v>3933.02</v>
      </c>
      <c r="Q3088" s="86">
        <v>7303.76</v>
      </c>
      <c r="S3088" s="86">
        <v>1471.6</v>
      </c>
      <c r="U3088" s="85">
        <v>3.78688</v>
      </c>
      <c r="W3088" s="81">
        <v>39.157600000000002</v>
      </c>
      <c r="Y3088" s="81">
        <v>7.8896600000000001</v>
      </c>
      <c r="AA3088" s="84">
        <v>512.64499999999998</v>
      </c>
      <c r="AC3088" s="81">
        <v>58.740099999999998</v>
      </c>
      <c r="AE3088" s="87">
        <v>1</v>
      </c>
      <c r="AG3088" s="85">
        <v>7.8090900000000003</v>
      </c>
      <c r="AI3088" s="86">
        <v>8.75</v>
      </c>
      <c r="AK3088" s="81">
        <v>24.737400000000001</v>
      </c>
      <c r="AM3088" s="81">
        <v>36.811</v>
      </c>
      <c r="AO3088" s="85">
        <v>6.7885099999999996</v>
      </c>
    </row>
    <row r="3089" spans="2:41" x14ac:dyDescent="0.25">
      <c r="B3089" s="21">
        <f>B3088+1</f>
        <v>45353</v>
      </c>
      <c r="C3089" s="91">
        <v>17.063300000000002</v>
      </c>
      <c r="E3089" s="83">
        <v>0.92252599999999996</v>
      </c>
      <c r="G3089" s="84">
        <v>843.23599999999999</v>
      </c>
      <c r="I3089" s="85">
        <v>6.9087399999999999</v>
      </c>
      <c r="K3089" s="85">
        <v>4.9547999999999996</v>
      </c>
      <c r="M3089" s="84">
        <v>966.98</v>
      </c>
      <c r="O3089" s="86">
        <v>3942.22</v>
      </c>
      <c r="Q3089" s="86">
        <v>7304.02</v>
      </c>
      <c r="S3089" s="86">
        <v>1474.14</v>
      </c>
      <c r="U3089" s="85">
        <v>3.7707999999999999</v>
      </c>
      <c r="W3089" s="81">
        <v>39.097299999999997</v>
      </c>
      <c r="Y3089" s="81">
        <v>7.8908199999999997</v>
      </c>
      <c r="AA3089" s="84">
        <v>512.18399999999997</v>
      </c>
      <c r="AC3089" s="81">
        <v>58.712499999999999</v>
      </c>
      <c r="AE3089" s="87">
        <v>1</v>
      </c>
      <c r="AG3089" s="85">
        <v>7.8071799999999998</v>
      </c>
      <c r="AI3089" s="86">
        <v>8.75</v>
      </c>
      <c r="AK3089" s="81">
        <v>24.7622</v>
      </c>
      <c r="AM3089" s="81">
        <v>36.774799999999999</v>
      </c>
      <c r="AO3089" s="85">
        <v>6.7843600000000004</v>
      </c>
    </row>
    <row r="3090" spans="2:41" x14ac:dyDescent="0.25">
      <c r="B3090" s="21">
        <f t="shared" ref="B3090:B3118" si="0">B3089+1</f>
        <v>45354</v>
      </c>
      <c r="C3090" s="91">
        <v>17.063300000000002</v>
      </c>
      <c r="E3090" s="83">
        <v>0.92251399999999995</v>
      </c>
      <c r="G3090" s="84">
        <v>843.21400000000006</v>
      </c>
      <c r="I3090" s="85">
        <v>6.9084599999999998</v>
      </c>
      <c r="K3090" s="85">
        <v>4.9547999999999996</v>
      </c>
      <c r="M3090" s="84">
        <v>966.98</v>
      </c>
      <c r="O3090" s="86">
        <v>3942.31</v>
      </c>
      <c r="Q3090" s="86">
        <v>7303.73</v>
      </c>
      <c r="S3090" s="86">
        <v>1474.08</v>
      </c>
      <c r="U3090" s="85">
        <v>3.7707799999999998</v>
      </c>
      <c r="W3090" s="81">
        <v>39.096800000000002</v>
      </c>
      <c r="Y3090" s="81">
        <v>7.89072</v>
      </c>
      <c r="AA3090" s="84">
        <v>512.16200000000003</v>
      </c>
      <c r="AC3090" s="81">
        <v>58.707799999999999</v>
      </c>
      <c r="AE3090" s="87">
        <v>1</v>
      </c>
      <c r="AG3090" s="85">
        <v>7.80687</v>
      </c>
      <c r="AI3090" s="86">
        <v>8.75</v>
      </c>
      <c r="AK3090" s="81">
        <v>24.758800000000001</v>
      </c>
      <c r="AM3090" s="81">
        <v>36.772799999999997</v>
      </c>
      <c r="AO3090" s="85">
        <v>6.7840800000000003</v>
      </c>
    </row>
    <row r="3091" spans="2:41" x14ac:dyDescent="0.25">
      <c r="B3091" s="21">
        <f t="shared" si="0"/>
        <v>45355</v>
      </c>
      <c r="C3091" s="91">
        <v>17.021699999999999</v>
      </c>
      <c r="E3091" s="83">
        <v>0.92156099999999996</v>
      </c>
      <c r="G3091" s="84">
        <v>843.14599999999996</v>
      </c>
      <c r="I3091" s="85">
        <v>6.9042500000000002</v>
      </c>
      <c r="K3091" s="85">
        <v>4.9508700000000001</v>
      </c>
      <c r="M3091" s="84">
        <v>969.65300000000002</v>
      </c>
      <c r="O3091" s="86">
        <v>3944.66</v>
      </c>
      <c r="Q3091" s="86">
        <v>7291.81</v>
      </c>
      <c r="S3091" s="86">
        <v>1472.84</v>
      </c>
      <c r="U3091" s="85">
        <v>3.7720600000000002</v>
      </c>
      <c r="W3091" s="81">
        <v>39.051600000000001</v>
      </c>
      <c r="Y3091" s="81">
        <v>7.8878599999999999</v>
      </c>
      <c r="AA3091" s="84">
        <v>512.51400000000001</v>
      </c>
      <c r="AC3091" s="81">
        <v>58.653199999999998</v>
      </c>
      <c r="AE3091" s="87">
        <v>1</v>
      </c>
      <c r="AG3091" s="85">
        <v>7.8033400000000004</v>
      </c>
      <c r="AI3091" s="86">
        <v>8.75</v>
      </c>
      <c r="AK3091" s="81">
        <v>24.6662</v>
      </c>
      <c r="AM3091" s="81">
        <v>36.759</v>
      </c>
      <c r="AO3091" s="85">
        <v>6.7795199999999998</v>
      </c>
    </row>
    <row r="3092" spans="2:41" x14ac:dyDescent="0.25">
      <c r="B3092" s="21">
        <f t="shared" si="0"/>
        <v>45356</v>
      </c>
      <c r="C3092" s="91">
        <v>16.982800000000001</v>
      </c>
      <c r="E3092" s="83">
        <v>0.92136899999999999</v>
      </c>
      <c r="G3092" s="84">
        <v>844.71400000000006</v>
      </c>
      <c r="I3092" s="85">
        <v>6.91059</v>
      </c>
      <c r="K3092" s="85">
        <v>4.9503399999999997</v>
      </c>
      <c r="M3092" s="84">
        <v>975.48800000000006</v>
      </c>
      <c r="O3092" s="86">
        <v>3945.44</v>
      </c>
      <c r="Q3092" s="86">
        <v>7298.83</v>
      </c>
      <c r="S3092" s="86">
        <v>1474.42</v>
      </c>
      <c r="U3092" s="85">
        <v>3.7731300000000001</v>
      </c>
      <c r="W3092" s="81">
        <v>39.029200000000003</v>
      </c>
      <c r="Y3092" s="81">
        <v>7.8841799999999997</v>
      </c>
      <c r="AA3092" s="84">
        <v>513.35599999999999</v>
      </c>
      <c r="AC3092" s="81">
        <v>58.842399999999998</v>
      </c>
      <c r="AE3092" s="87">
        <v>1</v>
      </c>
      <c r="AG3092" s="85">
        <v>7.8108000000000004</v>
      </c>
      <c r="AI3092" s="86">
        <v>8.75</v>
      </c>
      <c r="AK3092" s="81">
        <v>24.694400000000002</v>
      </c>
      <c r="AM3092" s="81">
        <v>36.803100000000001</v>
      </c>
      <c r="AO3092" s="85">
        <v>6.7838799999999999</v>
      </c>
    </row>
    <row r="3093" spans="2:41" x14ac:dyDescent="0.25">
      <c r="B3093" s="21">
        <f t="shared" si="0"/>
        <v>45357</v>
      </c>
      <c r="C3093" s="91">
        <v>16.925699999999999</v>
      </c>
      <c r="E3093" s="83">
        <v>0.91936399999999996</v>
      </c>
      <c r="G3093" s="84">
        <v>845.19100000000003</v>
      </c>
      <c r="I3093" s="85">
        <v>6.91</v>
      </c>
      <c r="K3093" s="85">
        <v>4.9502199999999998</v>
      </c>
      <c r="M3093" s="84">
        <v>980.11900000000003</v>
      </c>
      <c r="O3093" s="86">
        <v>3937.81</v>
      </c>
      <c r="Q3093" s="86">
        <v>7303.06</v>
      </c>
      <c r="S3093" s="86">
        <v>1475.31</v>
      </c>
      <c r="U3093" s="85">
        <v>3.7554400000000001</v>
      </c>
      <c r="W3093" s="81">
        <v>39.0017</v>
      </c>
      <c r="Y3093" s="81">
        <v>7.8788</v>
      </c>
      <c r="AA3093" s="84">
        <v>513.17399999999998</v>
      </c>
      <c r="AC3093" s="81">
        <v>58.817599999999999</v>
      </c>
      <c r="AE3093" s="87">
        <v>1</v>
      </c>
      <c r="AG3093" s="85">
        <v>7.8101900000000004</v>
      </c>
      <c r="AI3093" s="86">
        <v>8.75</v>
      </c>
      <c r="AK3093" s="81">
        <v>24.694800000000001</v>
      </c>
      <c r="AM3093" s="81">
        <v>36.7986</v>
      </c>
      <c r="AO3093" s="85">
        <v>6.78294</v>
      </c>
    </row>
    <row r="3094" spans="2:41" x14ac:dyDescent="0.25">
      <c r="B3094" s="21">
        <f t="shared" si="0"/>
        <v>45358</v>
      </c>
      <c r="C3094" s="91">
        <v>16.872800000000002</v>
      </c>
      <c r="E3094" s="83">
        <v>0.916292</v>
      </c>
      <c r="G3094" s="84">
        <v>845.96</v>
      </c>
      <c r="I3094" s="85">
        <v>6.8987699999999998</v>
      </c>
      <c r="K3094" s="85">
        <v>4.9405099999999997</v>
      </c>
      <c r="M3094" s="84">
        <v>984.36199999999997</v>
      </c>
      <c r="O3094" s="86">
        <v>3920.72</v>
      </c>
      <c r="Q3094" s="86">
        <v>7281.68</v>
      </c>
      <c r="S3094" s="86">
        <v>1473.88</v>
      </c>
      <c r="U3094" s="85">
        <v>3.7344400000000002</v>
      </c>
      <c r="W3094" s="81">
        <v>38.962600000000002</v>
      </c>
      <c r="Y3094" s="81">
        <v>7.8863799999999999</v>
      </c>
      <c r="AA3094" s="84">
        <v>511.46199999999999</v>
      </c>
      <c r="AC3094" s="81">
        <v>58.708599999999997</v>
      </c>
      <c r="AE3094" s="87">
        <v>1</v>
      </c>
      <c r="AG3094" s="85">
        <v>7.7975000000000003</v>
      </c>
      <c r="AI3094" s="86">
        <v>8.75</v>
      </c>
      <c r="AK3094" s="81">
        <v>24.6585</v>
      </c>
      <c r="AM3094" s="81">
        <v>36.733400000000003</v>
      </c>
      <c r="AO3094" s="85">
        <v>6.7747099999999998</v>
      </c>
    </row>
    <row r="3095" spans="2:41" x14ac:dyDescent="0.25">
      <c r="B3095" s="21">
        <f t="shared" si="0"/>
        <v>45359</v>
      </c>
      <c r="C3095" s="91">
        <v>16.876999999999999</v>
      </c>
      <c r="E3095" s="83">
        <v>0.91388199999999997</v>
      </c>
      <c r="G3095" s="84">
        <v>846.46799999999996</v>
      </c>
      <c r="I3095" s="85">
        <v>6.8924399999999997</v>
      </c>
      <c r="K3095" s="85">
        <v>4.9565599999999996</v>
      </c>
      <c r="M3095" s="84">
        <v>971.80399999999997</v>
      </c>
      <c r="O3095" s="86">
        <v>3911.5</v>
      </c>
      <c r="Q3095" s="86">
        <v>7270.44</v>
      </c>
      <c r="S3095" s="86">
        <v>1466.84</v>
      </c>
      <c r="U3095" s="85">
        <v>3.7134299999999998</v>
      </c>
      <c r="W3095" s="81">
        <v>38.892800000000001</v>
      </c>
      <c r="Y3095" s="81">
        <v>7.8467599999999997</v>
      </c>
      <c r="AA3095" s="84">
        <v>510.23</v>
      </c>
      <c r="AC3095" s="81">
        <v>58.6691</v>
      </c>
      <c r="AE3095" s="87">
        <v>1</v>
      </c>
      <c r="AG3095" s="85">
        <v>7.7898899999999998</v>
      </c>
      <c r="AI3095" s="86">
        <v>8.75</v>
      </c>
      <c r="AK3095" s="81">
        <v>24.688500000000001</v>
      </c>
      <c r="AM3095" s="81">
        <v>36.786200000000001</v>
      </c>
      <c r="AO3095" s="85">
        <v>6.7713999999999999</v>
      </c>
    </row>
    <row r="3096" spans="2:41" x14ac:dyDescent="0.25">
      <c r="B3096" s="21">
        <f t="shared" si="0"/>
        <v>45360</v>
      </c>
      <c r="C3096" s="91">
        <v>16.876999999999999</v>
      </c>
      <c r="E3096" s="83">
        <v>0.91417700000000002</v>
      </c>
      <c r="G3096" s="84">
        <v>846.71100000000001</v>
      </c>
      <c r="I3096" s="85">
        <v>6.9078900000000001</v>
      </c>
      <c r="K3096" s="85">
        <v>4.9808000000000003</v>
      </c>
      <c r="M3096" s="84">
        <v>961.3</v>
      </c>
      <c r="O3096" s="86">
        <v>3902.54</v>
      </c>
      <c r="Q3096" s="86">
        <v>7273.9</v>
      </c>
      <c r="S3096" s="86">
        <v>1460.4</v>
      </c>
      <c r="U3096" s="85">
        <v>3.7073200000000002</v>
      </c>
      <c r="W3096" s="81">
        <v>38.882399999999997</v>
      </c>
      <c r="Y3096" s="81">
        <v>7.80647</v>
      </c>
      <c r="AA3096" s="84">
        <v>510.89800000000002</v>
      </c>
      <c r="AC3096" s="81">
        <v>58.68</v>
      </c>
      <c r="AE3096" s="87">
        <v>1</v>
      </c>
      <c r="AG3096" s="85">
        <v>7.8074199999999996</v>
      </c>
      <c r="AI3096" s="86">
        <v>8.75</v>
      </c>
      <c r="AK3096" s="81">
        <v>24.6998</v>
      </c>
      <c r="AM3096" s="81">
        <v>36.799799999999998</v>
      </c>
      <c r="AO3096" s="85">
        <v>6.7819599999999998</v>
      </c>
    </row>
    <row r="3097" spans="2:41" x14ac:dyDescent="0.25">
      <c r="B3097" s="21">
        <f t="shared" si="0"/>
        <v>45361</v>
      </c>
      <c r="C3097" s="91">
        <v>16.876999999999999</v>
      </c>
      <c r="E3097" s="83">
        <v>0.91417099999999996</v>
      </c>
      <c r="G3097" s="84">
        <v>846.65800000000002</v>
      </c>
      <c r="I3097" s="85">
        <v>6.9077000000000002</v>
      </c>
      <c r="K3097" s="85">
        <v>4.9804000000000004</v>
      </c>
      <c r="M3097" s="84">
        <v>961.3</v>
      </c>
      <c r="O3097" s="86">
        <v>3902.66</v>
      </c>
      <c r="Q3097" s="86">
        <v>7274.1</v>
      </c>
      <c r="S3097" s="86">
        <v>1460.56</v>
      </c>
      <c r="U3097" s="85">
        <v>3.7073700000000001</v>
      </c>
      <c r="W3097" s="81">
        <v>38.883400000000002</v>
      </c>
      <c r="Y3097" s="81">
        <v>7.8073199999999998</v>
      </c>
      <c r="AA3097" s="84">
        <v>510.904</v>
      </c>
      <c r="AC3097" s="81">
        <v>58.687100000000001</v>
      </c>
      <c r="AE3097" s="87">
        <v>1</v>
      </c>
      <c r="AG3097" s="85">
        <v>7.8071799999999998</v>
      </c>
      <c r="AI3097" s="86">
        <v>8.75</v>
      </c>
      <c r="AK3097" s="81">
        <v>24.6982</v>
      </c>
      <c r="AM3097" s="81">
        <v>36.798499999999997</v>
      </c>
      <c r="AO3097" s="85">
        <v>6.7821600000000002</v>
      </c>
    </row>
    <row r="3098" spans="2:41" x14ac:dyDescent="0.25">
      <c r="B3098" s="21">
        <f t="shared" si="0"/>
        <v>45362</v>
      </c>
      <c r="C3098" s="91">
        <v>16.798500000000001</v>
      </c>
      <c r="E3098" s="83">
        <v>0.91461000000000003</v>
      </c>
      <c r="G3098" s="84">
        <v>847.18</v>
      </c>
      <c r="I3098" s="85">
        <v>6.90442</v>
      </c>
      <c r="K3098" s="85">
        <v>4.98034</v>
      </c>
      <c r="M3098" s="84">
        <v>964.51599999999996</v>
      </c>
      <c r="O3098" s="86">
        <v>3906.18</v>
      </c>
      <c r="Q3098" s="86">
        <v>7277.24</v>
      </c>
      <c r="S3098" s="86">
        <v>1461.2</v>
      </c>
      <c r="U3098" s="85">
        <v>3.7020400000000002</v>
      </c>
      <c r="W3098" s="81">
        <v>38.849400000000003</v>
      </c>
      <c r="Y3098" s="81">
        <v>7.8005800000000001</v>
      </c>
      <c r="AA3098" s="84">
        <v>510.48</v>
      </c>
      <c r="AC3098" s="81">
        <v>58.922400000000003</v>
      </c>
      <c r="AE3098" s="87">
        <v>1</v>
      </c>
      <c r="AG3098" s="85">
        <v>7.8030900000000001</v>
      </c>
      <c r="AI3098" s="86">
        <v>8.75</v>
      </c>
      <c r="AK3098" s="81">
        <v>24.676300000000001</v>
      </c>
      <c r="AM3098" s="81">
        <v>36.795400000000001</v>
      </c>
      <c r="AO3098" s="85">
        <v>6.7865599999999997</v>
      </c>
    </row>
    <row r="3099" spans="2:41" x14ac:dyDescent="0.25">
      <c r="B3099" s="21">
        <f t="shared" si="0"/>
        <v>45363</v>
      </c>
      <c r="C3099" s="91">
        <v>16.808299999999999</v>
      </c>
      <c r="E3099" s="83">
        <v>0.91513</v>
      </c>
      <c r="G3099" s="84">
        <v>842.86900000000003</v>
      </c>
      <c r="I3099" s="85">
        <v>6.90862</v>
      </c>
      <c r="K3099" s="85">
        <v>4.9773800000000001</v>
      </c>
      <c r="M3099" s="84">
        <v>962.82299999999998</v>
      </c>
      <c r="O3099" s="86">
        <v>3911.08</v>
      </c>
      <c r="Q3099" s="86">
        <v>7284.16</v>
      </c>
      <c r="S3099" s="86">
        <v>1463.46</v>
      </c>
      <c r="U3099" s="85">
        <v>3.7047599999999998</v>
      </c>
      <c r="W3099" s="81">
        <v>38.8264</v>
      </c>
      <c r="Y3099" s="81">
        <v>7.8006099999999998</v>
      </c>
      <c r="AA3099" s="84">
        <v>511.27199999999999</v>
      </c>
      <c r="AC3099" s="81">
        <v>59.0518</v>
      </c>
      <c r="AE3099" s="87">
        <v>1</v>
      </c>
      <c r="AG3099" s="85">
        <v>7.8078200000000004</v>
      </c>
      <c r="AI3099" s="86">
        <v>8.75</v>
      </c>
      <c r="AK3099" s="81">
        <v>24.696899999999999</v>
      </c>
      <c r="AM3099" s="81">
        <v>36.823799999999999</v>
      </c>
      <c r="AO3099" s="85">
        <v>6.7922799999999999</v>
      </c>
    </row>
    <row r="3100" spans="2:41" x14ac:dyDescent="0.25">
      <c r="B3100" s="21">
        <f t="shared" si="0"/>
        <v>45364</v>
      </c>
      <c r="C3100" s="91">
        <v>16.827200000000001</v>
      </c>
      <c r="E3100" s="83">
        <v>0.91429000000000005</v>
      </c>
      <c r="G3100" s="84">
        <v>848.24800000000005</v>
      </c>
      <c r="I3100" s="85">
        <v>6.9179599999999999</v>
      </c>
      <c r="K3100" s="85">
        <v>4.9724500000000003</v>
      </c>
      <c r="M3100" s="84">
        <v>952.01499999999999</v>
      </c>
      <c r="O3100" s="86">
        <v>3908.04</v>
      </c>
      <c r="Q3100" s="86">
        <v>7288.64</v>
      </c>
      <c r="S3100" s="86">
        <v>1465.81</v>
      </c>
      <c r="U3100" s="85">
        <v>3.6964800000000002</v>
      </c>
      <c r="W3100" s="81">
        <v>38.827100000000002</v>
      </c>
      <c r="Y3100" s="81">
        <v>7.8084800000000003</v>
      </c>
      <c r="AA3100" s="84">
        <v>511.166</v>
      </c>
      <c r="AC3100" s="81">
        <v>59.124200000000002</v>
      </c>
      <c r="AE3100" s="87">
        <v>1</v>
      </c>
      <c r="AG3100" s="85">
        <v>7.81</v>
      </c>
      <c r="AI3100" s="86">
        <v>8.75</v>
      </c>
      <c r="AK3100" s="81">
        <v>24.701799999999999</v>
      </c>
      <c r="AM3100" s="81">
        <v>36.818199999999997</v>
      </c>
      <c r="AO3100" s="85">
        <v>6.7935999999999996</v>
      </c>
    </row>
    <row r="3101" spans="2:41" x14ac:dyDescent="0.25">
      <c r="B3101" s="21">
        <f t="shared" si="0"/>
        <v>45365</v>
      </c>
      <c r="C3101" s="91">
        <v>16.712700000000002</v>
      </c>
      <c r="E3101" s="83">
        <v>0.91587600000000002</v>
      </c>
      <c r="G3101" s="84">
        <v>849.97</v>
      </c>
      <c r="I3101" s="85">
        <v>6.9204699999999999</v>
      </c>
      <c r="K3101" s="85">
        <v>4.97722</v>
      </c>
      <c r="M3101" s="84">
        <v>944.70399999999995</v>
      </c>
      <c r="O3101" s="86">
        <v>3901.09</v>
      </c>
      <c r="Q3101" s="86">
        <v>7292.5</v>
      </c>
      <c r="S3101" s="86">
        <v>1465.18</v>
      </c>
      <c r="U3101" s="85">
        <v>3.6882600000000001</v>
      </c>
      <c r="W3101" s="81">
        <v>38.787599999999998</v>
      </c>
      <c r="Y3101" s="81">
        <v>7.7930599999999997</v>
      </c>
      <c r="AA3101" s="84">
        <v>510.79599999999999</v>
      </c>
      <c r="AC3101" s="81">
        <v>59.091700000000003</v>
      </c>
      <c r="AE3101" s="87">
        <v>1</v>
      </c>
      <c r="AG3101" s="85">
        <v>7.80952</v>
      </c>
      <c r="AI3101" s="86">
        <v>8.75</v>
      </c>
      <c r="AK3101" s="81">
        <v>24.710699999999999</v>
      </c>
      <c r="AM3101" s="81">
        <v>36.7956</v>
      </c>
      <c r="AO3101" s="85">
        <v>6.7919799999999997</v>
      </c>
    </row>
    <row r="3102" spans="2:41" x14ac:dyDescent="0.25">
      <c r="B3102" s="21">
        <f t="shared" si="0"/>
        <v>45366</v>
      </c>
      <c r="C3102" s="91">
        <v>16.692</v>
      </c>
      <c r="E3102" s="83">
        <v>0.91871400000000003</v>
      </c>
      <c r="G3102" s="84">
        <v>850.44799999999998</v>
      </c>
      <c r="I3102" s="85">
        <v>6.9256700000000002</v>
      </c>
      <c r="K3102" s="85">
        <v>4.9946000000000002</v>
      </c>
      <c r="M3102" s="84">
        <v>944.26199999999994</v>
      </c>
      <c r="O3102" s="86">
        <v>3901.16</v>
      </c>
      <c r="Q3102" s="86">
        <v>7309.61</v>
      </c>
      <c r="S3102" s="86">
        <v>1463.52</v>
      </c>
      <c r="U3102" s="85">
        <v>3.69204</v>
      </c>
      <c r="W3102" s="81">
        <v>38.757199999999997</v>
      </c>
      <c r="Y3102" s="81">
        <v>7.7598399999999996</v>
      </c>
      <c r="AA3102" s="84">
        <v>511.37799999999999</v>
      </c>
      <c r="AC3102" s="81">
        <v>59.337800000000001</v>
      </c>
      <c r="AE3102" s="87">
        <v>1</v>
      </c>
      <c r="AG3102" s="85">
        <v>7.82151</v>
      </c>
      <c r="AI3102" s="86">
        <v>8.75</v>
      </c>
      <c r="AK3102" s="81">
        <v>24.739000000000001</v>
      </c>
      <c r="AM3102" s="81">
        <v>36.817</v>
      </c>
      <c r="AO3102" s="85">
        <v>6.8026999999999997</v>
      </c>
    </row>
    <row r="3103" spans="2:41" x14ac:dyDescent="0.25">
      <c r="B3103" s="21">
        <f t="shared" si="0"/>
        <v>45367</v>
      </c>
      <c r="C3103" s="91">
        <v>16.692</v>
      </c>
      <c r="E3103" s="83">
        <v>0.91842599999999996</v>
      </c>
      <c r="G3103" s="84">
        <v>850.70600000000002</v>
      </c>
      <c r="I3103" s="85">
        <v>6.9168799999999999</v>
      </c>
      <c r="K3103" s="85">
        <v>4.9962</v>
      </c>
      <c r="M3103" s="84">
        <v>943.32</v>
      </c>
      <c r="O3103" s="86">
        <v>3882.12</v>
      </c>
      <c r="Q3103" s="86">
        <v>7301.32</v>
      </c>
      <c r="S3103" s="86">
        <v>1461.38</v>
      </c>
      <c r="U3103" s="85">
        <v>3.69292</v>
      </c>
      <c r="W3103" s="81">
        <v>38.538800000000002</v>
      </c>
      <c r="Y3103" s="81">
        <v>7.7136399999999998</v>
      </c>
      <c r="AA3103" s="84">
        <v>510.37900000000002</v>
      </c>
      <c r="AC3103" s="81">
        <v>59.215000000000003</v>
      </c>
      <c r="AE3103" s="87">
        <v>1</v>
      </c>
      <c r="AG3103" s="85">
        <v>7.8113200000000003</v>
      </c>
      <c r="AI3103" s="86">
        <v>8.75</v>
      </c>
      <c r="AK3103" s="81">
        <v>24.769400000000001</v>
      </c>
      <c r="AM3103" s="81">
        <v>36.799799999999998</v>
      </c>
      <c r="AO3103" s="85">
        <v>6.7936300000000003</v>
      </c>
    </row>
    <row r="3104" spans="2:41" x14ac:dyDescent="0.25">
      <c r="B3104" s="21">
        <f t="shared" si="0"/>
        <v>45368</v>
      </c>
      <c r="C3104" s="91">
        <v>16.692</v>
      </c>
      <c r="E3104" s="83">
        <v>0.91843699999999995</v>
      </c>
      <c r="G3104" s="84">
        <v>850.70799999999997</v>
      </c>
      <c r="I3104" s="85">
        <v>6.9169600000000004</v>
      </c>
      <c r="K3104" s="85">
        <v>4.9959600000000002</v>
      </c>
      <c r="M3104" s="84">
        <v>943.32</v>
      </c>
      <c r="O3104" s="86">
        <v>3882.67</v>
      </c>
      <c r="Q3104" s="86">
        <v>7301.64</v>
      </c>
      <c r="S3104" s="86">
        <v>1461.52</v>
      </c>
      <c r="U3104" s="85">
        <v>3.69272</v>
      </c>
      <c r="W3104" s="81">
        <v>38.555799999999998</v>
      </c>
      <c r="Y3104" s="81">
        <v>7.7174199999999997</v>
      </c>
      <c r="AA3104" s="84">
        <v>510.21</v>
      </c>
      <c r="AC3104" s="81">
        <v>59.2134</v>
      </c>
      <c r="AE3104" s="87">
        <v>1</v>
      </c>
      <c r="AG3104" s="85">
        <v>7.8112700000000004</v>
      </c>
      <c r="AI3104" s="86">
        <v>8.75</v>
      </c>
      <c r="AK3104" s="81">
        <v>24.7682</v>
      </c>
      <c r="AM3104" s="81">
        <v>36.8005</v>
      </c>
      <c r="AO3104" s="85">
        <v>6.7935600000000003</v>
      </c>
    </row>
    <row r="3105" spans="1:41" x14ac:dyDescent="0.25">
      <c r="B3105" s="21">
        <f t="shared" si="0"/>
        <v>45369</v>
      </c>
      <c r="C3105" s="91">
        <v>16.692</v>
      </c>
      <c r="E3105" s="83">
        <v>0.91870099999999999</v>
      </c>
      <c r="G3105" s="84">
        <v>851.428</v>
      </c>
      <c r="I3105" s="85">
        <v>6.9172900000000004</v>
      </c>
      <c r="K3105" s="85">
        <v>5.0063800000000001</v>
      </c>
      <c r="M3105" s="84">
        <v>943.06399999999996</v>
      </c>
      <c r="O3105" s="86">
        <v>3886.82</v>
      </c>
      <c r="Q3105" s="86">
        <v>7304.8</v>
      </c>
      <c r="S3105" s="86">
        <v>1459.12</v>
      </c>
      <c r="U3105" s="85">
        <v>3.6915900000000001</v>
      </c>
      <c r="W3105" s="81">
        <v>38.559199999999997</v>
      </c>
      <c r="Y3105" s="81">
        <v>7.7020900000000001</v>
      </c>
      <c r="AA3105" s="84">
        <v>507.02600000000001</v>
      </c>
      <c r="AC3105" s="81">
        <v>59.2074</v>
      </c>
      <c r="AE3105" s="87">
        <v>1</v>
      </c>
      <c r="AG3105" s="85">
        <v>7.81318</v>
      </c>
      <c r="AI3105" s="86">
        <v>8.75</v>
      </c>
      <c r="AK3105" s="81">
        <v>24.7319</v>
      </c>
      <c r="AM3105" s="81">
        <v>36.825400000000002</v>
      </c>
      <c r="AO3105" s="85">
        <v>6.7928199999999999</v>
      </c>
    </row>
    <row r="3106" spans="1:41" x14ac:dyDescent="0.25">
      <c r="B3106" s="21">
        <f t="shared" si="0"/>
        <v>45370</v>
      </c>
      <c r="C3106" s="91">
        <v>16.71</v>
      </c>
      <c r="E3106" s="83">
        <v>0.92070300000000005</v>
      </c>
      <c r="G3106" s="84">
        <v>852.58900000000006</v>
      </c>
      <c r="I3106" s="85">
        <v>6.9195399999999996</v>
      </c>
      <c r="K3106" s="85">
        <v>5.03</v>
      </c>
      <c r="M3106" s="84">
        <v>955.56500000000005</v>
      </c>
      <c r="O3106" s="86">
        <v>3889.09</v>
      </c>
      <c r="Q3106" s="86">
        <v>7307.1</v>
      </c>
      <c r="S3106" s="86">
        <v>1452.72</v>
      </c>
      <c r="U3106" s="85">
        <v>3.6998799999999998</v>
      </c>
      <c r="W3106" s="81">
        <v>38.487499999999997</v>
      </c>
      <c r="Y3106" s="81">
        <v>7.6516299999999999</v>
      </c>
      <c r="AA3106" s="84">
        <v>504.75200000000001</v>
      </c>
      <c r="AC3106" s="81">
        <v>59.224800000000002</v>
      </c>
      <c r="AE3106" s="87">
        <v>1</v>
      </c>
      <c r="AG3106" s="85">
        <v>7.8186600000000004</v>
      </c>
      <c r="AI3106" s="86">
        <v>8.75</v>
      </c>
      <c r="AK3106" s="81">
        <v>24.766500000000001</v>
      </c>
      <c r="AM3106" s="81">
        <v>36.857399999999998</v>
      </c>
      <c r="AO3106" s="85">
        <v>6.79474</v>
      </c>
    </row>
    <row r="3107" spans="1:41" x14ac:dyDescent="0.25">
      <c r="B3107" s="21">
        <f t="shared" si="0"/>
        <v>45371</v>
      </c>
      <c r="C3107" s="91">
        <v>16.8523</v>
      </c>
      <c r="E3107" s="83">
        <v>0.91979599999999995</v>
      </c>
      <c r="G3107" s="84">
        <v>853.24800000000005</v>
      </c>
      <c r="I3107" s="85">
        <v>6.91066</v>
      </c>
      <c r="K3107" s="85">
        <v>5.0118999999999998</v>
      </c>
      <c r="M3107" s="84">
        <v>968.06899999999996</v>
      </c>
      <c r="O3107" s="86">
        <v>3878.8</v>
      </c>
      <c r="Q3107" s="86">
        <v>7301.84</v>
      </c>
      <c r="S3107" s="86">
        <v>1456.9</v>
      </c>
      <c r="U3107" s="85">
        <v>3.7004199999999998</v>
      </c>
      <c r="W3107" s="81">
        <v>38.436799999999998</v>
      </c>
      <c r="Y3107" s="81">
        <v>7.6691200000000004</v>
      </c>
      <c r="AA3107" s="84">
        <v>502.58</v>
      </c>
      <c r="AC3107" s="81">
        <v>59.172699999999999</v>
      </c>
      <c r="AE3107" s="87">
        <v>1</v>
      </c>
      <c r="AG3107" s="85">
        <v>7.8005000000000004</v>
      </c>
      <c r="AI3107" s="86">
        <v>8.75</v>
      </c>
      <c r="AK3107" s="81">
        <v>24.7242</v>
      </c>
      <c r="AM3107" s="81">
        <v>36.756300000000003</v>
      </c>
      <c r="AO3107" s="85">
        <v>6.7883399999999998</v>
      </c>
    </row>
    <row r="3108" spans="1:41" x14ac:dyDescent="0.25">
      <c r="B3108" s="21">
        <f t="shared" si="0"/>
        <v>45372</v>
      </c>
      <c r="C3108" s="91">
        <v>16.759</v>
      </c>
      <c r="E3108" s="83">
        <v>0.91759199999999996</v>
      </c>
      <c r="G3108" s="84">
        <v>853.69500000000005</v>
      </c>
      <c r="I3108" s="85">
        <v>6.8980199999999998</v>
      </c>
      <c r="K3108" s="85">
        <v>4.97194</v>
      </c>
      <c r="M3108" s="84">
        <v>966.28</v>
      </c>
      <c r="O3108" s="86">
        <v>3878.94</v>
      </c>
      <c r="Q3108" s="86">
        <v>7293.25</v>
      </c>
      <c r="S3108" s="86">
        <v>1466.9</v>
      </c>
      <c r="U3108" s="85">
        <v>3.6900400000000002</v>
      </c>
      <c r="W3108" s="81">
        <v>38.255600000000001</v>
      </c>
      <c r="Y3108" s="81">
        <v>7.6943200000000003</v>
      </c>
      <c r="AA3108" s="84">
        <v>502.05</v>
      </c>
      <c r="AC3108" s="81">
        <v>58.779400000000003</v>
      </c>
      <c r="AE3108" s="87">
        <v>1</v>
      </c>
      <c r="AG3108" s="85">
        <v>7.7825600000000001</v>
      </c>
      <c r="AI3108" s="86">
        <v>8.75</v>
      </c>
      <c r="AK3108" s="81">
        <v>24.6492</v>
      </c>
      <c r="AM3108" s="81">
        <v>36.594200000000001</v>
      </c>
      <c r="AO3108" s="85">
        <v>6.7759400000000003</v>
      </c>
    </row>
    <row r="3109" spans="1:41" x14ac:dyDescent="0.25">
      <c r="B3109" s="21">
        <f t="shared" si="0"/>
        <v>45373</v>
      </c>
      <c r="C3109" s="91">
        <v>16.762</v>
      </c>
      <c r="E3109" s="83">
        <v>0.92394799999999999</v>
      </c>
      <c r="G3109" s="84">
        <v>854.46600000000001</v>
      </c>
      <c r="I3109" s="85">
        <v>6.9078600000000003</v>
      </c>
      <c r="K3109" s="85">
        <v>4.9856199999999999</v>
      </c>
      <c r="M3109" s="84">
        <v>975.58100000000002</v>
      </c>
      <c r="O3109" s="86">
        <v>3891.86</v>
      </c>
      <c r="Q3109" s="86">
        <v>7321.86</v>
      </c>
      <c r="S3109" s="86">
        <v>1468.6</v>
      </c>
      <c r="U3109" s="85">
        <v>3.69441</v>
      </c>
      <c r="W3109" s="81">
        <v>38.153799999999997</v>
      </c>
      <c r="Y3109" s="81">
        <v>7.6528099999999997</v>
      </c>
      <c r="AA3109" s="84">
        <v>507.56799999999998</v>
      </c>
      <c r="AC3109" s="81">
        <v>58.968600000000002</v>
      </c>
      <c r="AE3109" s="87">
        <v>1</v>
      </c>
      <c r="AG3109" s="85">
        <v>7.7904999999999998</v>
      </c>
      <c r="AI3109" s="86">
        <v>8.75</v>
      </c>
      <c r="AK3109" s="81">
        <v>24.7254</v>
      </c>
      <c r="AM3109" s="81">
        <v>36.7348</v>
      </c>
      <c r="AO3109" s="85">
        <v>6.7962400000000001</v>
      </c>
    </row>
    <row r="3110" spans="1:41" x14ac:dyDescent="0.25">
      <c r="B3110" s="21">
        <f t="shared" si="0"/>
        <v>45374</v>
      </c>
      <c r="C3110" s="91">
        <v>16.762</v>
      </c>
      <c r="E3110" s="83">
        <v>0.92526600000000003</v>
      </c>
      <c r="G3110" s="84">
        <v>854.69799999999998</v>
      </c>
      <c r="I3110" s="85">
        <v>6.9070799999999997</v>
      </c>
      <c r="K3110" s="85">
        <v>4.9997999999999996</v>
      </c>
      <c r="M3110" s="84">
        <v>983.41</v>
      </c>
      <c r="O3110" s="86">
        <v>3890.84</v>
      </c>
      <c r="Q3110" s="86">
        <v>7317.4</v>
      </c>
      <c r="S3110" s="86">
        <v>1463.54</v>
      </c>
      <c r="U3110" s="85">
        <v>3.6961300000000001</v>
      </c>
      <c r="W3110" s="81">
        <v>38.232799999999997</v>
      </c>
      <c r="Y3110" s="81">
        <v>7.6468999999999996</v>
      </c>
      <c r="AA3110" s="84">
        <v>507.56</v>
      </c>
      <c r="AC3110" s="81">
        <v>58.97</v>
      </c>
      <c r="AE3110" s="87">
        <v>1</v>
      </c>
      <c r="AG3110" s="85">
        <v>7.7901899999999999</v>
      </c>
      <c r="AI3110" s="86">
        <v>8.75</v>
      </c>
      <c r="AK3110" s="81">
        <v>24.7377</v>
      </c>
      <c r="AM3110" s="81">
        <v>36.774799999999999</v>
      </c>
      <c r="AO3110" s="85">
        <v>6.7901699999999998</v>
      </c>
    </row>
    <row r="3111" spans="1:41" x14ac:dyDescent="0.25">
      <c r="B3111" s="21">
        <f t="shared" si="0"/>
        <v>45375</v>
      </c>
      <c r="C3111" s="91">
        <v>16.762</v>
      </c>
      <c r="E3111" s="83">
        <v>0.92525999999999997</v>
      </c>
      <c r="G3111" s="84">
        <v>854.71900000000005</v>
      </c>
      <c r="I3111" s="85">
        <v>6.9070799999999997</v>
      </c>
      <c r="K3111" s="85">
        <v>4.9998399999999998</v>
      </c>
      <c r="M3111" s="84">
        <v>983.39300000000003</v>
      </c>
      <c r="O3111" s="86">
        <v>3890.84</v>
      </c>
      <c r="Q3111" s="86">
        <v>7317.4</v>
      </c>
      <c r="S3111" s="86">
        <v>1463.54</v>
      </c>
      <c r="U3111" s="85">
        <v>3.6961300000000001</v>
      </c>
      <c r="W3111" s="81">
        <v>38.232799999999997</v>
      </c>
      <c r="Y3111" s="81">
        <v>7.64682</v>
      </c>
      <c r="AA3111" s="84">
        <v>507.56</v>
      </c>
      <c r="AC3111" s="81">
        <v>58.979599999999998</v>
      </c>
      <c r="AE3111" s="87">
        <v>1</v>
      </c>
      <c r="AG3111" s="85">
        <v>7.7901899999999999</v>
      </c>
      <c r="AI3111" s="86">
        <v>8.75</v>
      </c>
      <c r="AK3111" s="81">
        <v>24.7377</v>
      </c>
      <c r="AM3111" s="81">
        <v>36.774799999999999</v>
      </c>
      <c r="AO3111" s="85">
        <v>6.7901699999999998</v>
      </c>
    </row>
    <row r="3112" spans="1:41" x14ac:dyDescent="0.25">
      <c r="B3112" s="21">
        <f t="shared" si="0"/>
        <v>45376</v>
      </c>
      <c r="C3112" s="91">
        <v>16.736699999999999</v>
      </c>
      <c r="E3112" s="83">
        <v>0.92368399999999995</v>
      </c>
      <c r="G3112" s="84">
        <v>855.34199999999998</v>
      </c>
      <c r="I3112" s="85">
        <v>6.9035500000000001</v>
      </c>
      <c r="K3112" s="85">
        <v>4.9906300000000003</v>
      </c>
      <c r="M3112" s="84">
        <v>980.36199999999997</v>
      </c>
      <c r="O3112" s="86">
        <v>3912.3</v>
      </c>
      <c r="Q3112" s="86">
        <v>7323.23</v>
      </c>
      <c r="S3112" s="86">
        <v>1467.4</v>
      </c>
      <c r="U3112" s="85">
        <v>3.6951999999999998</v>
      </c>
      <c r="W3112" s="81">
        <v>37.777799999999999</v>
      </c>
      <c r="Y3112" s="81">
        <v>7.5697799999999997</v>
      </c>
      <c r="AA3112" s="84">
        <v>503.73599999999999</v>
      </c>
      <c r="AC3112" s="81">
        <v>59.139400000000002</v>
      </c>
      <c r="AE3112" s="87">
        <v>1</v>
      </c>
      <c r="AG3112" s="85">
        <v>7.7884000000000002</v>
      </c>
      <c r="AI3112" s="86">
        <v>8.75</v>
      </c>
      <c r="AK3112" s="81">
        <v>24.681999999999999</v>
      </c>
      <c r="AM3112" s="81">
        <v>36.751600000000003</v>
      </c>
      <c r="AO3112" s="85">
        <v>6.7884099999999998</v>
      </c>
    </row>
    <row r="3113" spans="1:41" x14ac:dyDescent="0.25">
      <c r="B3113" s="21">
        <f t="shared" si="0"/>
        <v>45377</v>
      </c>
      <c r="C3113" s="91">
        <v>16.703199999999999</v>
      </c>
      <c r="E3113" s="83">
        <v>0.92237800000000003</v>
      </c>
      <c r="G3113" s="84">
        <v>856.471</v>
      </c>
      <c r="I3113" s="85">
        <v>6.9080700000000004</v>
      </c>
      <c r="K3113" s="85">
        <v>4.9790000000000001</v>
      </c>
      <c r="M3113" s="84">
        <v>979.93399999999997</v>
      </c>
      <c r="O3113" s="86">
        <v>3903.44</v>
      </c>
      <c r="Q3113" s="86">
        <v>7333.18</v>
      </c>
      <c r="S3113" s="86">
        <v>1472.83</v>
      </c>
      <c r="U3113" s="85">
        <v>3.7048399999999999</v>
      </c>
      <c r="W3113" s="81">
        <v>37.765000000000001</v>
      </c>
      <c r="Y3113" s="81">
        <v>7.5848800000000001</v>
      </c>
      <c r="AA3113" s="84">
        <v>503.13799999999998</v>
      </c>
      <c r="AC3113" s="81">
        <v>59.155900000000003</v>
      </c>
      <c r="AE3113" s="87">
        <v>1</v>
      </c>
      <c r="AG3113" s="85">
        <v>7.7904200000000001</v>
      </c>
      <c r="AI3113" s="86">
        <v>8.75</v>
      </c>
      <c r="AK3113" s="81">
        <v>24.689800000000002</v>
      </c>
      <c r="AM3113" s="81">
        <v>36.766800000000003</v>
      </c>
      <c r="AO3113" s="85">
        <v>6.7927600000000004</v>
      </c>
    </row>
    <row r="3114" spans="1:41" x14ac:dyDescent="0.25">
      <c r="B3114" s="21">
        <f t="shared" si="0"/>
        <v>45378</v>
      </c>
      <c r="C3114" s="91">
        <v>16.678000000000001</v>
      </c>
      <c r="E3114" s="83">
        <v>0.92385300000000004</v>
      </c>
      <c r="G3114" s="84">
        <v>857.16</v>
      </c>
      <c r="I3114" s="85">
        <v>6.9211999999999998</v>
      </c>
      <c r="K3114" s="85">
        <v>4.9805400000000004</v>
      </c>
      <c r="M3114" s="84">
        <v>980.65700000000004</v>
      </c>
      <c r="O3114" s="86">
        <v>3864.22</v>
      </c>
      <c r="Q3114" s="86">
        <v>7353.17</v>
      </c>
      <c r="S3114" s="86">
        <v>1476.39</v>
      </c>
      <c r="U3114" s="85">
        <v>3.71753</v>
      </c>
      <c r="W3114" s="81">
        <v>37.802</v>
      </c>
      <c r="Y3114" s="81">
        <v>7.5899799999999997</v>
      </c>
      <c r="AA3114" s="84">
        <v>504.94</v>
      </c>
      <c r="AC3114" s="81">
        <v>59.2577</v>
      </c>
      <c r="AE3114" s="87">
        <v>1</v>
      </c>
      <c r="AG3114" s="85">
        <v>7.8048000000000002</v>
      </c>
      <c r="AI3114" s="86">
        <v>8.75</v>
      </c>
      <c r="AK3114" s="81">
        <v>24.727799999999998</v>
      </c>
      <c r="AM3114" s="81">
        <v>36.841099999999997</v>
      </c>
      <c r="AO3114" s="85">
        <v>6.8052200000000003</v>
      </c>
    </row>
    <row r="3115" spans="1:41" x14ac:dyDescent="0.25">
      <c r="B3115" s="21">
        <f t="shared" si="0"/>
        <v>45379</v>
      </c>
      <c r="C3115" s="91">
        <v>16.678000000000001</v>
      </c>
      <c r="E3115" s="83">
        <v>0.92578400000000005</v>
      </c>
      <c r="G3115" s="84">
        <v>857.65800000000002</v>
      </c>
      <c r="I3115" s="85">
        <v>6.9188999999999998</v>
      </c>
      <c r="K3115" s="85">
        <v>4.9983199999999997</v>
      </c>
      <c r="M3115" s="84">
        <v>980.46799999999996</v>
      </c>
      <c r="O3115" s="86">
        <v>3860.62</v>
      </c>
      <c r="Q3115" s="86">
        <v>7370.3</v>
      </c>
      <c r="S3115" s="86">
        <v>1474.56</v>
      </c>
      <c r="U3115" s="85">
        <v>3.7184200000000001</v>
      </c>
      <c r="W3115" s="81">
        <v>37.672199999999997</v>
      </c>
      <c r="Y3115" s="81">
        <v>7.5369900000000003</v>
      </c>
      <c r="AA3115" s="84">
        <v>503.96600000000001</v>
      </c>
      <c r="AC3115" s="81">
        <v>59.222299999999997</v>
      </c>
      <c r="AE3115" s="87">
        <v>1</v>
      </c>
      <c r="AG3115" s="85">
        <v>7.8014999999999999</v>
      </c>
      <c r="AI3115" s="86">
        <v>8.75</v>
      </c>
      <c r="AK3115" s="81">
        <v>24.7178</v>
      </c>
      <c r="AM3115" s="81">
        <v>36.8187</v>
      </c>
      <c r="AO3115" s="85">
        <v>6.8010299999999999</v>
      </c>
    </row>
    <row r="3116" spans="1:41" x14ac:dyDescent="0.25">
      <c r="B3116" s="21">
        <f t="shared" si="0"/>
        <v>45380</v>
      </c>
      <c r="C3116" s="91">
        <v>16.678000000000001</v>
      </c>
      <c r="E3116" s="83">
        <v>0.92714600000000003</v>
      </c>
      <c r="G3116" s="84">
        <v>857.85400000000004</v>
      </c>
      <c r="I3116" s="85">
        <v>6.9250800000000003</v>
      </c>
      <c r="K3116" s="85">
        <v>5.0153699999999999</v>
      </c>
      <c r="M3116" s="84">
        <v>981.35400000000004</v>
      </c>
      <c r="O3116" s="86">
        <v>3867.08</v>
      </c>
      <c r="Q3116" s="86">
        <v>7387.3</v>
      </c>
      <c r="S3116" s="86">
        <v>1472.94</v>
      </c>
      <c r="U3116" s="85">
        <v>3.7169599999999998</v>
      </c>
      <c r="W3116" s="81">
        <v>37.5593</v>
      </c>
      <c r="Y3116" s="81">
        <v>7.4888599999999999</v>
      </c>
      <c r="AA3116" s="84">
        <v>504.05200000000002</v>
      </c>
      <c r="AC3116" s="81">
        <v>59.253399999999999</v>
      </c>
      <c r="AE3116" s="87">
        <v>1</v>
      </c>
      <c r="AG3116" s="85">
        <v>7.8031199999999998</v>
      </c>
      <c r="AI3116" s="86">
        <v>8.75</v>
      </c>
      <c r="AK3116" s="81">
        <v>24.712399999999999</v>
      </c>
      <c r="AM3116" s="81">
        <v>36.810299999999998</v>
      </c>
      <c r="AO3116" s="85">
        <v>6.7986800000000001</v>
      </c>
    </row>
    <row r="3117" spans="1:41" x14ac:dyDescent="0.25">
      <c r="B3117" s="21">
        <f t="shared" si="0"/>
        <v>45381</v>
      </c>
      <c r="C3117" s="91">
        <v>16.678000000000001</v>
      </c>
      <c r="E3117" s="83">
        <v>0.92651399999999995</v>
      </c>
      <c r="G3117" s="84">
        <v>857.35799999999995</v>
      </c>
      <c r="I3117" s="85">
        <v>6.9302599999999996</v>
      </c>
      <c r="K3117" s="85">
        <v>5.0152000000000001</v>
      </c>
      <c r="M3117" s="84">
        <v>979.76</v>
      </c>
      <c r="O3117" s="86">
        <v>3868.12</v>
      </c>
      <c r="Q3117" s="86">
        <v>7388.89</v>
      </c>
      <c r="S3117" s="86">
        <v>1473.3</v>
      </c>
      <c r="U3117" s="85">
        <v>3.71774</v>
      </c>
      <c r="W3117" s="81">
        <v>37.561999999999998</v>
      </c>
      <c r="Y3117" s="81">
        <v>7.4896599999999998</v>
      </c>
      <c r="AA3117" s="84">
        <v>503.95400000000001</v>
      </c>
      <c r="AC3117" s="81">
        <v>59.246299999999998</v>
      </c>
      <c r="AE3117" s="87">
        <v>1</v>
      </c>
      <c r="AG3117" s="85">
        <v>7.8017599999999998</v>
      </c>
      <c r="AI3117" s="86">
        <v>8.75</v>
      </c>
      <c r="AK3117" s="81">
        <v>24.748200000000001</v>
      </c>
      <c r="AM3117" s="81">
        <v>36.710999999999999</v>
      </c>
      <c r="AO3117" s="85">
        <v>6.79854</v>
      </c>
    </row>
    <row r="3118" spans="1:41" x14ac:dyDescent="0.25">
      <c r="A3118" s="92"/>
      <c r="B3118" s="98">
        <f t="shared" si="0"/>
        <v>45382</v>
      </c>
      <c r="C3118" s="82">
        <v>16.678000000000001</v>
      </c>
      <c r="D3118" s="92"/>
      <c r="E3118" s="93">
        <v>0.92652800000000002</v>
      </c>
      <c r="F3118" s="92"/>
      <c r="G3118" s="94">
        <v>857.33799999999997</v>
      </c>
      <c r="H3118" s="92"/>
      <c r="I3118" s="95">
        <v>6.9301000000000004</v>
      </c>
      <c r="J3118" s="92"/>
      <c r="K3118" s="95">
        <v>5.0152000000000001</v>
      </c>
      <c r="L3118" s="92"/>
      <c r="M3118" s="94">
        <v>979.76</v>
      </c>
      <c r="N3118" s="92"/>
      <c r="O3118" s="96">
        <v>3868.02</v>
      </c>
      <c r="P3118" s="92"/>
      <c r="Q3118" s="96">
        <v>7388.96</v>
      </c>
      <c r="R3118" s="92"/>
      <c r="S3118" s="96">
        <v>1473.32</v>
      </c>
      <c r="T3118" s="92"/>
      <c r="U3118" s="95">
        <v>3.7177799999999999</v>
      </c>
      <c r="V3118" s="92"/>
      <c r="W3118" s="91">
        <v>37.561999999999998</v>
      </c>
      <c r="X3118" s="92"/>
      <c r="Y3118" s="91">
        <v>7.4896599999999998</v>
      </c>
      <c r="Z3118" s="92"/>
      <c r="AA3118" s="94">
        <v>503.892</v>
      </c>
      <c r="AB3118" s="92"/>
      <c r="AC3118" s="91">
        <v>59.244599999999998</v>
      </c>
      <c r="AD3118" s="92"/>
      <c r="AE3118" s="97">
        <v>1</v>
      </c>
      <c r="AF3118" s="92"/>
      <c r="AG3118" s="95">
        <v>7.8016399999999999</v>
      </c>
      <c r="AH3118" s="92"/>
      <c r="AI3118" s="96">
        <v>8.75</v>
      </c>
      <c r="AJ3118" s="92"/>
      <c r="AK3118" s="91">
        <v>24.747399999999999</v>
      </c>
      <c r="AL3118" s="92"/>
      <c r="AM3118" s="91">
        <v>36.708199999999998</v>
      </c>
      <c r="AN3118" s="92"/>
      <c r="AO3118" s="95">
        <v>6.7983700000000002</v>
      </c>
    </row>
    <row r="3119" spans="1:41" ht="13" x14ac:dyDescent="0.3">
      <c r="B3119" s="25" t="str">
        <f>"PROM-"&amp;MONTH(B3118)&amp;YEAR(B3118)</f>
        <v>PROM-32024</v>
      </c>
      <c r="C3119" s="19">
        <f>AVERAGE(C3088:C3118)</f>
        <v>16.805670967741936</v>
      </c>
      <c r="E3119" s="24">
        <f>AVERAGE(E3088:E3118)</f>
        <v>0.92040335483870972</v>
      </c>
      <c r="G3119" s="42">
        <f>AVERAGE(G3088:G3118)</f>
        <v>850.39061290322593</v>
      </c>
      <c r="I3119" s="23">
        <f>AVERAGE(I3088:I3118)</f>
        <v>6.9121758064516152</v>
      </c>
      <c r="K3119" s="23">
        <f>AVERAGE(K3088:K3118)</f>
        <v>4.9831087096774187</v>
      </c>
      <c r="M3119" s="42">
        <f>AVERAGE(M3088:M3118)</f>
        <v>967.66187096774172</v>
      </c>
      <c r="O3119" s="80">
        <f>AVERAGE(O3088:O3118)</f>
        <v>3900.8454838709686</v>
      </c>
      <c r="Q3119" s="80">
        <f>AVERAGE(Q3088:Q3118)</f>
        <v>7311.9070967741936</v>
      </c>
      <c r="S3119" s="80">
        <f>AVERAGE(S3088:S3118)</f>
        <v>1467.361290322581</v>
      </c>
      <c r="U3119" s="23">
        <f>AVERAGE(U3088:U3118)</f>
        <v>3.7167077419354833</v>
      </c>
      <c r="W3119" s="19">
        <f>AVERAGE(W3088:W3118)</f>
        <v>38.49214516129031</v>
      </c>
      <c r="Y3119" s="19">
        <f>AVERAGE(Y3088:Y3118)</f>
        <v>7.7250354838709656</v>
      </c>
      <c r="AA3119" s="42">
        <f>AVERAGE(AA3088:AA3118)</f>
        <v>508.4510967741935</v>
      </c>
      <c r="AC3119" s="19">
        <f>AVERAGE(AC3088:AC3118)</f>
        <v>58.999896774193537</v>
      </c>
      <c r="AE3119" s="88">
        <f>AVERAGE(AE3088:AE3118)</f>
        <v>1</v>
      </c>
      <c r="AG3119" s="23">
        <f>AVERAGE(AG3088:AG3118)</f>
        <v>7.8032712903225807</v>
      </c>
      <c r="AI3119" s="80">
        <f>AVERAGE(AI3088:AI3118)</f>
        <v>8.75</v>
      </c>
      <c r="AK3119" s="19">
        <f>AVERAGE(AK3088:AK3118)</f>
        <v>24.716745161290323</v>
      </c>
      <c r="AM3119" s="19">
        <f>AVERAGE(AM3088:AM3118)</f>
        <v>36.781061290322583</v>
      </c>
      <c r="AO3119" s="23">
        <f>AVERAGE(AO3088:AO3118)</f>
        <v>6.7896535483870952</v>
      </c>
    </row>
    <row r="3120" spans="1:41" x14ac:dyDescent="0.25">
      <c r="B3120" s="21">
        <v>45383</v>
      </c>
      <c r="C3120" s="91">
        <v>16.532299999999999</v>
      </c>
      <c r="E3120" s="83">
        <v>0.92872699999999997</v>
      </c>
      <c r="G3120" s="84">
        <v>859.15200000000004</v>
      </c>
      <c r="I3120" s="85">
        <v>6.9260400000000004</v>
      </c>
      <c r="K3120" s="85">
        <v>5.0340199999999999</v>
      </c>
      <c r="M3120" s="84">
        <v>981.8</v>
      </c>
      <c r="O3120" s="86">
        <v>3861.32</v>
      </c>
      <c r="Q3120" s="86">
        <v>7391.68</v>
      </c>
      <c r="S3120" s="86">
        <v>1468.36</v>
      </c>
      <c r="U3120" s="85">
        <v>3.7199300000000002</v>
      </c>
      <c r="W3120" s="81">
        <v>37.547899999999998</v>
      </c>
      <c r="Y3120" s="81">
        <v>7.4588599999999996</v>
      </c>
      <c r="AA3120" s="84">
        <v>502.27600000000001</v>
      </c>
      <c r="AC3120" s="81">
        <v>59.221800000000002</v>
      </c>
      <c r="AE3120" s="87">
        <v>1</v>
      </c>
      <c r="AG3120" s="85">
        <v>7.7951199999999998</v>
      </c>
      <c r="AI3120" s="86">
        <v>8.75</v>
      </c>
      <c r="AK3120" s="81">
        <v>24.701000000000001</v>
      </c>
      <c r="AM3120" s="81">
        <v>36.549599999999998</v>
      </c>
      <c r="AO3120" s="85">
        <v>6.7899399999999996</v>
      </c>
    </row>
    <row r="3121" spans="2:41" x14ac:dyDescent="0.25">
      <c r="B3121" s="21">
        <f>B3120+1</f>
        <v>45384</v>
      </c>
      <c r="C3121" s="91">
        <v>16.657800000000002</v>
      </c>
      <c r="E3121" s="83">
        <v>0.93021600000000004</v>
      </c>
      <c r="G3121" s="84">
        <v>858.48199999999997</v>
      </c>
      <c r="I3121" s="85">
        <v>6.9200100000000004</v>
      </c>
      <c r="K3121" s="85">
        <v>5.0553600000000003</v>
      </c>
      <c r="M3121" s="84">
        <v>981.73</v>
      </c>
      <c r="O3121" s="86">
        <v>3850.89</v>
      </c>
      <c r="Q3121" s="86">
        <v>7388.1</v>
      </c>
      <c r="S3121" s="86">
        <v>1461.44</v>
      </c>
      <c r="U3121" s="85">
        <v>3.7218399999999998</v>
      </c>
      <c r="W3121" s="81">
        <v>37.618899999999996</v>
      </c>
      <c r="Y3121" s="81">
        <v>7.4414199999999999</v>
      </c>
      <c r="AA3121" s="84">
        <v>501.714</v>
      </c>
      <c r="AC3121" s="81">
        <v>59.252600000000001</v>
      </c>
      <c r="AE3121" s="87">
        <v>1</v>
      </c>
      <c r="AG3121" s="85">
        <v>7.7961</v>
      </c>
      <c r="AI3121" s="86">
        <v>8.75</v>
      </c>
      <c r="AK3121" s="81">
        <v>24.7044</v>
      </c>
      <c r="AM3121" s="81">
        <v>36.530099999999997</v>
      </c>
      <c r="AO3121" s="85">
        <v>6.7907000000000002</v>
      </c>
    </row>
    <row r="3122" spans="2:41" x14ac:dyDescent="0.25">
      <c r="B3122" s="21">
        <f t="shared" ref="B3122:B3149" si="1">B3121+1</f>
        <v>45385</v>
      </c>
      <c r="C3122" s="91">
        <v>16.567299999999999</v>
      </c>
      <c r="E3122" s="83">
        <v>0.92610899999999996</v>
      </c>
      <c r="G3122" s="84">
        <v>857.50199999999995</v>
      </c>
      <c r="I3122" s="85">
        <v>6.9095800000000001</v>
      </c>
      <c r="K3122" s="85">
        <v>5.05985</v>
      </c>
      <c r="M3122" s="84">
        <v>966.971</v>
      </c>
      <c r="O3122" s="86">
        <v>3819.13</v>
      </c>
      <c r="Q3122" s="86">
        <v>7373.62</v>
      </c>
      <c r="S3122" s="86">
        <v>1457.28</v>
      </c>
      <c r="U3122" s="85">
        <v>3.7103799999999998</v>
      </c>
      <c r="W3122" s="81">
        <v>37.683799999999998</v>
      </c>
      <c r="Y3122" s="81">
        <v>7.4476599999999999</v>
      </c>
      <c r="AA3122" s="84">
        <v>501.476</v>
      </c>
      <c r="AC3122" s="81">
        <v>59.135300000000001</v>
      </c>
      <c r="AE3122" s="87">
        <v>1</v>
      </c>
      <c r="AG3122" s="85">
        <v>7.7885999999999997</v>
      </c>
      <c r="AI3122" s="86">
        <v>8.75</v>
      </c>
      <c r="AK3122" s="81">
        <v>24.662199999999999</v>
      </c>
      <c r="AM3122" s="81">
        <v>36.780999999999999</v>
      </c>
      <c r="AO3122" s="85">
        <v>6.7831200000000003</v>
      </c>
    </row>
    <row r="3123" spans="2:41" x14ac:dyDescent="0.25">
      <c r="B3123" s="21">
        <f t="shared" si="1"/>
        <v>45386</v>
      </c>
      <c r="C3123" s="91">
        <v>16.541499999999999</v>
      </c>
      <c r="E3123" s="83">
        <v>0.92161800000000005</v>
      </c>
      <c r="G3123" s="84">
        <v>859.40800000000002</v>
      </c>
      <c r="I3123" s="85">
        <v>6.9036600000000004</v>
      </c>
      <c r="K3123" s="85">
        <v>5.0383599999999999</v>
      </c>
      <c r="M3123" s="84">
        <v>948.14200000000005</v>
      </c>
      <c r="O3123" s="86">
        <v>3796.9</v>
      </c>
      <c r="Q3123" s="86">
        <v>7362.7</v>
      </c>
      <c r="S3123" s="86">
        <v>1461.34</v>
      </c>
      <c r="U3123" s="85">
        <v>3.69001</v>
      </c>
      <c r="W3123" s="81">
        <v>37.851500000000001</v>
      </c>
      <c r="Y3123" s="81">
        <v>7.5126999999999997</v>
      </c>
      <c r="AA3123" s="84">
        <v>503.36599999999999</v>
      </c>
      <c r="AC3123" s="81">
        <v>59.049500000000002</v>
      </c>
      <c r="AE3123" s="87">
        <v>1</v>
      </c>
      <c r="AG3123" s="85">
        <v>7.7799800000000001</v>
      </c>
      <c r="AI3123" s="86">
        <v>8.75</v>
      </c>
      <c r="AK3123" s="81">
        <v>24.718</v>
      </c>
      <c r="AM3123" s="81">
        <v>36.775799999999997</v>
      </c>
      <c r="AO3123" s="85">
        <v>6.7731199999999996</v>
      </c>
    </row>
    <row r="3124" spans="2:41" x14ac:dyDescent="0.25">
      <c r="B3124" s="21">
        <f t="shared" si="1"/>
        <v>45387</v>
      </c>
      <c r="C3124" s="91">
        <v>16.517299999999999</v>
      </c>
      <c r="E3124" s="83">
        <v>0.92322000000000004</v>
      </c>
      <c r="G3124" s="84">
        <v>862.21799999999996</v>
      </c>
      <c r="I3124" s="85">
        <v>6.9150600000000004</v>
      </c>
      <c r="K3124" s="85">
        <v>5.0595699999999999</v>
      </c>
      <c r="M3124" s="84">
        <v>944.58600000000001</v>
      </c>
      <c r="O3124" s="86">
        <v>3770.61</v>
      </c>
      <c r="Q3124" s="86">
        <v>7373.99</v>
      </c>
      <c r="S3124" s="86">
        <v>1457.44</v>
      </c>
      <c r="U3124" s="85">
        <v>3.6859999999999999</v>
      </c>
      <c r="W3124" s="81">
        <v>38.113999999999997</v>
      </c>
      <c r="Y3124" s="81">
        <v>7.53308</v>
      </c>
      <c r="AA3124" s="84">
        <v>505.78800000000001</v>
      </c>
      <c r="AC3124" s="81">
        <v>59.189799999999998</v>
      </c>
      <c r="AE3124" s="87">
        <v>1</v>
      </c>
      <c r="AG3124" s="85">
        <v>7.7934700000000001</v>
      </c>
      <c r="AI3124" s="86">
        <v>8.75</v>
      </c>
      <c r="AK3124" s="81">
        <v>24.688600000000001</v>
      </c>
      <c r="AM3124" s="81">
        <v>36.840000000000003</v>
      </c>
      <c r="AO3124" s="85">
        <v>6.7803500000000003</v>
      </c>
    </row>
    <row r="3125" spans="2:41" x14ac:dyDescent="0.25">
      <c r="B3125" s="21">
        <f t="shared" si="1"/>
        <v>45388</v>
      </c>
      <c r="C3125" s="91">
        <v>16.517299999999999</v>
      </c>
      <c r="E3125" s="83">
        <v>0.92271800000000004</v>
      </c>
      <c r="G3125" s="84">
        <v>862.84900000000005</v>
      </c>
      <c r="I3125" s="85">
        <v>6.9122500000000002</v>
      </c>
      <c r="K3125" s="85">
        <v>5.0663</v>
      </c>
      <c r="M3125" s="84">
        <v>949.45</v>
      </c>
      <c r="O3125" s="86">
        <v>3768.88</v>
      </c>
      <c r="Q3125" s="86">
        <v>7371.42</v>
      </c>
      <c r="S3125" s="86">
        <v>1455</v>
      </c>
      <c r="U3125" s="85">
        <v>3.67835</v>
      </c>
      <c r="W3125" s="81">
        <v>38.26</v>
      </c>
      <c r="Y3125" s="81">
        <v>7.5518900000000002</v>
      </c>
      <c r="AA3125" s="84">
        <v>505.75200000000001</v>
      </c>
      <c r="AC3125" s="81">
        <v>59.424999999999997</v>
      </c>
      <c r="AE3125" s="87">
        <v>1</v>
      </c>
      <c r="AG3125" s="85">
        <v>7.7905199999999999</v>
      </c>
      <c r="AI3125" s="86">
        <v>8.75</v>
      </c>
      <c r="AK3125" s="81">
        <v>24.677900000000001</v>
      </c>
      <c r="AM3125" s="81">
        <v>36.822600000000001</v>
      </c>
      <c r="AO3125" s="85">
        <v>6.7755599999999996</v>
      </c>
    </row>
    <row r="3126" spans="2:41" x14ac:dyDescent="0.25">
      <c r="B3126" s="21">
        <f t="shared" si="1"/>
        <v>45389</v>
      </c>
      <c r="C3126" s="91">
        <v>16.517299999999999</v>
      </c>
      <c r="E3126" s="83">
        <v>0.92276599999999998</v>
      </c>
      <c r="G3126" s="84">
        <v>862.72400000000005</v>
      </c>
      <c r="I3126" s="85">
        <v>6.9122500000000002</v>
      </c>
      <c r="K3126" s="85">
        <v>5.0661199999999997</v>
      </c>
      <c r="M3126" s="84">
        <v>949.45</v>
      </c>
      <c r="O3126" s="86">
        <v>3769</v>
      </c>
      <c r="Q3126" s="86">
        <v>7371.42</v>
      </c>
      <c r="S3126" s="86">
        <v>1455.06</v>
      </c>
      <c r="U3126" s="85">
        <v>3.67835</v>
      </c>
      <c r="W3126" s="81">
        <v>38.26</v>
      </c>
      <c r="Y3126" s="81">
        <v>7.5521799999999999</v>
      </c>
      <c r="AA3126" s="84">
        <v>505.75200000000001</v>
      </c>
      <c r="AC3126" s="81">
        <v>59.424999999999997</v>
      </c>
      <c r="AE3126" s="87">
        <v>1</v>
      </c>
      <c r="AG3126" s="85">
        <v>7.7905199999999999</v>
      </c>
      <c r="AI3126" s="86">
        <v>8.75</v>
      </c>
      <c r="AK3126" s="81">
        <v>24.677900000000001</v>
      </c>
      <c r="AM3126" s="81">
        <v>36.822600000000001</v>
      </c>
      <c r="AO3126" s="85">
        <v>6.7755599999999996</v>
      </c>
    </row>
    <row r="3127" spans="2:41" x14ac:dyDescent="0.25">
      <c r="B3127" s="21">
        <f t="shared" si="1"/>
        <v>45390</v>
      </c>
      <c r="C3127" s="91">
        <v>16.4758</v>
      </c>
      <c r="E3127" s="83">
        <v>0.92230900000000005</v>
      </c>
      <c r="G3127" s="84">
        <v>863.23</v>
      </c>
      <c r="I3127" s="85">
        <v>6.9156599999999999</v>
      </c>
      <c r="K3127" s="85">
        <v>5.0481800000000003</v>
      </c>
      <c r="M3127" s="84">
        <v>944.27499999999998</v>
      </c>
      <c r="O3127" s="86">
        <v>3774.16</v>
      </c>
      <c r="Q3127" s="86">
        <v>7368.18</v>
      </c>
      <c r="S3127" s="86">
        <v>1459.6</v>
      </c>
      <c r="U3127" s="85">
        <v>3.6860200000000001</v>
      </c>
      <c r="W3127" s="81">
        <v>38.287999999999997</v>
      </c>
      <c r="Y3127" s="81">
        <v>7.5846299999999998</v>
      </c>
      <c r="AA3127" s="84">
        <v>506.702</v>
      </c>
      <c r="AC3127" s="81">
        <v>59.263100000000001</v>
      </c>
      <c r="AE3127" s="87">
        <v>1</v>
      </c>
      <c r="AG3127" s="85">
        <v>7.7897800000000004</v>
      </c>
      <c r="AI3127" s="86">
        <v>8.75</v>
      </c>
      <c r="AK3127" s="81">
        <v>24.694199999999999</v>
      </c>
      <c r="AM3127" s="81">
        <v>36.793900000000001</v>
      </c>
      <c r="AO3127" s="85">
        <v>6.76966</v>
      </c>
    </row>
    <row r="3128" spans="2:41" x14ac:dyDescent="0.25">
      <c r="B3128" s="21">
        <f t="shared" si="1"/>
        <v>45391</v>
      </c>
      <c r="C3128" s="91">
        <v>16.335699999999999</v>
      </c>
      <c r="E3128" s="83">
        <v>0.92081500000000005</v>
      </c>
      <c r="G3128" s="84">
        <v>864.47199999999998</v>
      </c>
      <c r="I3128" s="85">
        <v>6.9104400000000004</v>
      </c>
      <c r="K3128" s="85">
        <v>5.0167999999999999</v>
      </c>
      <c r="M3128" s="84">
        <v>943.52700000000004</v>
      </c>
      <c r="O3128" s="86">
        <v>3771.4</v>
      </c>
      <c r="Q3128" s="86">
        <v>7358.67</v>
      </c>
      <c r="S3128" s="86">
        <v>1466.81</v>
      </c>
      <c r="U3128" s="85">
        <v>3.6784599999999998</v>
      </c>
      <c r="W3128" s="81">
        <v>38.417999999999999</v>
      </c>
      <c r="Y3128" s="81">
        <v>7.6578999999999997</v>
      </c>
      <c r="AA3128" s="84">
        <v>508.15300000000002</v>
      </c>
      <c r="AC3128" s="81">
        <v>59.185200000000002</v>
      </c>
      <c r="AE3128" s="87">
        <v>1</v>
      </c>
      <c r="AG3128" s="85">
        <v>7.7805799999999996</v>
      </c>
      <c r="AI3128" s="86">
        <v>8.75</v>
      </c>
      <c r="AK3128" s="81">
        <v>24.662800000000001</v>
      </c>
      <c r="AM3128" s="81">
        <v>36.751199999999997</v>
      </c>
      <c r="AO3128" s="85">
        <v>6.7667599999999997</v>
      </c>
    </row>
    <row r="3129" spans="2:41" x14ac:dyDescent="0.25">
      <c r="B3129" s="21">
        <f t="shared" si="1"/>
        <v>45392</v>
      </c>
      <c r="C3129" s="91">
        <v>16.3932</v>
      </c>
      <c r="E3129" s="83">
        <v>0.92559000000000002</v>
      </c>
      <c r="G3129" s="84">
        <v>864.97199999999998</v>
      </c>
      <c r="I3129" s="85">
        <v>6.9145799999999999</v>
      </c>
      <c r="K3129" s="85">
        <v>5.0380599999999998</v>
      </c>
      <c r="M3129" s="84">
        <v>945.38900000000001</v>
      </c>
      <c r="O3129" s="86">
        <v>3784.28</v>
      </c>
      <c r="Q3129" s="86">
        <v>7368.78</v>
      </c>
      <c r="S3129" s="86">
        <v>1462.64</v>
      </c>
      <c r="U3129" s="85">
        <v>3.68432</v>
      </c>
      <c r="W3129" s="81">
        <v>38.448500000000003</v>
      </c>
      <c r="Y3129" s="81">
        <v>7.63164</v>
      </c>
      <c r="AA3129" s="84">
        <v>508.60399999999998</v>
      </c>
      <c r="AC3129" s="81">
        <v>59.305999999999997</v>
      </c>
      <c r="AE3129" s="87">
        <v>1</v>
      </c>
      <c r="AG3129" s="85">
        <v>7.7893299999999996</v>
      </c>
      <c r="AI3129" s="86">
        <v>8.75</v>
      </c>
      <c r="AK3129" s="81">
        <v>24.687200000000001</v>
      </c>
      <c r="AM3129" s="81">
        <v>36.826000000000001</v>
      </c>
      <c r="AO3129" s="85">
        <v>6.7768600000000001</v>
      </c>
    </row>
    <row r="3130" spans="2:41" x14ac:dyDescent="0.25">
      <c r="B3130" s="21">
        <f t="shared" si="1"/>
        <v>45393</v>
      </c>
      <c r="C3130" s="91">
        <v>16.488299999999999</v>
      </c>
      <c r="E3130" s="83">
        <v>0.93169299999999999</v>
      </c>
      <c r="G3130" s="84">
        <v>865.47500000000002</v>
      </c>
      <c r="I3130" s="85">
        <v>6.9348799999999997</v>
      </c>
      <c r="K3130" s="85">
        <v>5.0759400000000001</v>
      </c>
      <c r="M3130" s="84">
        <v>951.70799999999997</v>
      </c>
      <c r="O3130" s="86">
        <v>3813.23</v>
      </c>
      <c r="Q3130" s="86">
        <v>7388.46</v>
      </c>
      <c r="S3130" s="86">
        <v>1455.6</v>
      </c>
      <c r="U3130" s="85">
        <v>3.7018</v>
      </c>
      <c r="W3130" s="81">
        <v>38.5824</v>
      </c>
      <c r="Y3130" s="81">
        <v>7.6010799999999996</v>
      </c>
      <c r="AA3130" s="84">
        <v>509.7</v>
      </c>
      <c r="AC3130" s="81">
        <v>59.658799999999999</v>
      </c>
      <c r="AE3130" s="87">
        <v>1</v>
      </c>
      <c r="AG3130" s="85">
        <v>7.8045400000000003</v>
      </c>
      <c r="AI3130" s="86">
        <v>8.75</v>
      </c>
      <c r="AK3130" s="81">
        <v>24.7362</v>
      </c>
      <c r="AM3130" s="81">
        <v>36.9251</v>
      </c>
      <c r="AO3130" s="85">
        <v>6.7935600000000003</v>
      </c>
    </row>
    <row r="3131" spans="2:41" x14ac:dyDescent="0.25">
      <c r="B3131" s="21">
        <f t="shared" si="1"/>
        <v>45394</v>
      </c>
      <c r="C3131" s="91">
        <v>16.458300000000001</v>
      </c>
      <c r="E3131" s="83">
        <v>0.937338</v>
      </c>
      <c r="G3131" s="84">
        <v>866.202</v>
      </c>
      <c r="I3131" s="85">
        <v>6.9344000000000001</v>
      </c>
      <c r="K3131" s="85">
        <v>5.1089399999999996</v>
      </c>
      <c r="M3131" s="84">
        <v>959.21699999999998</v>
      </c>
      <c r="O3131" s="86">
        <v>3841.02</v>
      </c>
      <c r="Q3131" s="86">
        <v>7375.39</v>
      </c>
      <c r="S3131" s="86">
        <v>1443.63</v>
      </c>
      <c r="U3131" s="85">
        <v>3.6970800000000001</v>
      </c>
      <c r="W3131" s="81">
        <v>38.455199999999998</v>
      </c>
      <c r="Y3131" s="81">
        <v>7.5270799999999998</v>
      </c>
      <c r="AA3131" s="84">
        <v>508.30799999999999</v>
      </c>
      <c r="AC3131" s="81">
        <v>59.494399999999999</v>
      </c>
      <c r="AE3131" s="87">
        <v>1</v>
      </c>
      <c r="AG3131" s="85">
        <v>7.7858200000000002</v>
      </c>
      <c r="AI3131" s="86">
        <v>8.75</v>
      </c>
      <c r="AK3131" s="81">
        <v>24.689399999999999</v>
      </c>
      <c r="AM3131" s="81">
        <v>37.011200000000002</v>
      </c>
      <c r="AO3131" s="85">
        <v>6.7798400000000001</v>
      </c>
    </row>
    <row r="3132" spans="2:41" x14ac:dyDescent="0.25">
      <c r="B3132" s="21">
        <f t="shared" si="1"/>
        <v>45395</v>
      </c>
      <c r="C3132" s="91">
        <v>16.458300000000001</v>
      </c>
      <c r="E3132" s="83">
        <v>0.93969999999999998</v>
      </c>
      <c r="G3132" s="84">
        <v>866.74400000000003</v>
      </c>
      <c r="I3132" s="85">
        <v>6.9333600000000004</v>
      </c>
      <c r="K3132" s="85">
        <v>5.1183500000000004</v>
      </c>
      <c r="M3132" s="84">
        <v>964.07</v>
      </c>
      <c r="O3132" s="86">
        <v>3858.3</v>
      </c>
      <c r="Q3132" s="86">
        <v>7377.39</v>
      </c>
      <c r="S3132" s="86">
        <v>1441.37</v>
      </c>
      <c r="U3132" s="85">
        <v>3.7003200000000001</v>
      </c>
      <c r="W3132" s="81">
        <v>38.436799999999998</v>
      </c>
      <c r="Y3132" s="81">
        <v>7.5096600000000002</v>
      </c>
      <c r="AA3132" s="84">
        <v>508.15199999999999</v>
      </c>
      <c r="AC3132" s="81">
        <v>59.44</v>
      </c>
      <c r="AE3132" s="87">
        <v>1</v>
      </c>
      <c r="AG3132" s="85">
        <v>7.78451</v>
      </c>
      <c r="AI3132" s="86">
        <v>8.75</v>
      </c>
      <c r="AK3132" s="81">
        <v>24.7776</v>
      </c>
      <c r="AM3132" s="81">
        <v>36.9878</v>
      </c>
      <c r="AO3132" s="85">
        <v>6.78146</v>
      </c>
    </row>
    <row r="3133" spans="2:41" x14ac:dyDescent="0.25">
      <c r="B3133" s="21">
        <f t="shared" si="1"/>
        <v>45396</v>
      </c>
      <c r="C3133" s="91">
        <v>16.458300000000001</v>
      </c>
      <c r="E3133" s="83">
        <v>0.93968200000000002</v>
      </c>
      <c r="G3133" s="84">
        <v>866.65</v>
      </c>
      <c r="I3133" s="85">
        <v>6.9333200000000001</v>
      </c>
      <c r="K3133" s="85">
        <v>5.1182999999999996</v>
      </c>
      <c r="M3133" s="84">
        <v>964.07500000000005</v>
      </c>
      <c r="O3133" s="86">
        <v>3857.82</v>
      </c>
      <c r="Q3133" s="86">
        <v>7377.18</v>
      </c>
      <c r="S3133" s="86">
        <v>1441.34</v>
      </c>
      <c r="U3133" s="85">
        <v>3.7007400000000001</v>
      </c>
      <c r="W3133" s="81">
        <v>38.453699999999998</v>
      </c>
      <c r="Y3133" s="81">
        <v>7.51302</v>
      </c>
      <c r="AA3133" s="84">
        <v>507.786</v>
      </c>
      <c r="AC3133" s="81">
        <v>59.438400000000001</v>
      </c>
      <c r="AE3133" s="87">
        <v>1</v>
      </c>
      <c r="AG3133" s="85">
        <v>7.7844699999999998</v>
      </c>
      <c r="AI3133" s="86">
        <v>8.75</v>
      </c>
      <c r="AK3133" s="81">
        <v>24.775600000000001</v>
      </c>
      <c r="AM3133" s="81">
        <v>36.991999999999997</v>
      </c>
      <c r="AO3133" s="85">
        <v>6.78132</v>
      </c>
    </row>
    <row r="3134" spans="2:41" x14ac:dyDescent="0.25">
      <c r="B3134" s="21">
        <f t="shared" si="1"/>
        <v>45397</v>
      </c>
      <c r="C3134" s="91">
        <v>16.6693</v>
      </c>
      <c r="E3134" s="83">
        <v>0.93959800000000004</v>
      </c>
      <c r="G3134" s="84">
        <v>867.29600000000005</v>
      </c>
      <c r="I3134" s="85">
        <v>6.9269499999999997</v>
      </c>
      <c r="K3134" s="85">
        <v>5.1480800000000002</v>
      </c>
      <c r="M3134" s="84">
        <v>967.37599999999998</v>
      </c>
      <c r="O3134" s="86">
        <v>3858.9</v>
      </c>
      <c r="Q3134" s="86">
        <v>7397.87</v>
      </c>
      <c r="S3134" s="86">
        <v>1437.02</v>
      </c>
      <c r="U3134" s="85">
        <v>3.6997300000000002</v>
      </c>
      <c r="W3134" s="81">
        <v>38.734099999999998</v>
      </c>
      <c r="Y3134" s="81">
        <v>7.5240200000000002</v>
      </c>
      <c r="AA3134" s="84">
        <v>503.202</v>
      </c>
      <c r="AC3134" s="81">
        <v>59.2866</v>
      </c>
      <c r="AE3134" s="87">
        <v>1</v>
      </c>
      <c r="AG3134" s="85">
        <v>7.7854200000000002</v>
      </c>
      <c r="AI3134" s="86">
        <v>8.75</v>
      </c>
      <c r="AK3134" s="81">
        <v>24.699000000000002</v>
      </c>
      <c r="AM3134" s="81">
        <v>36.800400000000003</v>
      </c>
      <c r="AO3134" s="85">
        <v>6.7914700000000003</v>
      </c>
    </row>
    <row r="3135" spans="2:41" x14ac:dyDescent="0.25">
      <c r="B3135" s="21">
        <f t="shared" si="1"/>
        <v>45398</v>
      </c>
      <c r="C3135" s="91">
        <v>16.6815</v>
      </c>
      <c r="E3135" s="83">
        <v>0.94145999999999996</v>
      </c>
      <c r="G3135" s="84">
        <v>868.476</v>
      </c>
      <c r="I3135" s="85">
        <v>6.9306200000000002</v>
      </c>
      <c r="K3135" s="85">
        <v>5.2259200000000003</v>
      </c>
      <c r="M3135" s="84">
        <v>980.471</v>
      </c>
      <c r="O3135" s="86">
        <v>3904.06</v>
      </c>
      <c r="Q3135" s="86">
        <v>7409.56</v>
      </c>
      <c r="S3135" s="86">
        <v>1417.86</v>
      </c>
      <c r="U3135" s="85">
        <v>3.71238</v>
      </c>
      <c r="W3135" s="81">
        <v>38.888399999999997</v>
      </c>
      <c r="Y3135" s="81">
        <v>7.4414699999999998</v>
      </c>
      <c r="AA3135" s="84">
        <v>504.85199999999998</v>
      </c>
      <c r="AC3135" s="81">
        <v>59.377200000000002</v>
      </c>
      <c r="AE3135" s="87">
        <v>1</v>
      </c>
      <c r="AG3135" s="85">
        <v>7.7901800000000003</v>
      </c>
      <c r="AI3135" s="86">
        <v>8.75</v>
      </c>
      <c r="AK3135" s="81">
        <v>24.7042</v>
      </c>
      <c r="AM3135" s="81">
        <v>36.870699999999999</v>
      </c>
      <c r="AO3135" s="85">
        <v>6.7954999999999997</v>
      </c>
    </row>
    <row r="3136" spans="2:41" x14ac:dyDescent="0.25">
      <c r="B3136" s="21">
        <f t="shared" si="1"/>
        <v>45399</v>
      </c>
      <c r="C3136" s="91">
        <v>17.025200000000002</v>
      </c>
      <c r="E3136" s="83">
        <v>0.93946799999999997</v>
      </c>
      <c r="G3136" s="84">
        <v>868.971</v>
      </c>
      <c r="I3136" s="85">
        <v>6.9286399999999997</v>
      </c>
      <c r="K3136" s="85">
        <v>5.26349</v>
      </c>
      <c r="M3136" s="84">
        <v>979.42899999999997</v>
      </c>
      <c r="O3136" s="86">
        <v>3912.5</v>
      </c>
      <c r="Q3136" s="86">
        <v>7403.42</v>
      </c>
      <c r="S3136" s="86">
        <v>1406.57</v>
      </c>
      <c r="U3136" s="85">
        <v>3.7235999999999998</v>
      </c>
      <c r="W3136" s="81">
        <v>38.878999999999998</v>
      </c>
      <c r="Y3136" s="81">
        <v>7.3865600000000002</v>
      </c>
      <c r="AA3136" s="84">
        <v>504.50200000000001</v>
      </c>
      <c r="AC3136" s="81">
        <v>59.100499999999997</v>
      </c>
      <c r="AE3136" s="87">
        <v>1</v>
      </c>
      <c r="AG3136" s="85">
        <v>7.78139</v>
      </c>
      <c r="AI3136" s="86">
        <v>8.75</v>
      </c>
      <c r="AK3136" s="81">
        <v>24.6846</v>
      </c>
      <c r="AM3136" s="81">
        <v>36.816000000000003</v>
      </c>
      <c r="AO3136" s="85">
        <v>6.7884099999999998</v>
      </c>
    </row>
    <row r="3137" spans="1:41" x14ac:dyDescent="0.25">
      <c r="B3137" s="21">
        <f t="shared" si="1"/>
        <v>45400</v>
      </c>
      <c r="C3137" s="91">
        <v>16.994800000000001</v>
      </c>
      <c r="E3137" s="83">
        <v>0.93775600000000003</v>
      </c>
      <c r="G3137" s="84">
        <v>869.49400000000003</v>
      </c>
      <c r="I3137" s="85">
        <v>6.9245700000000001</v>
      </c>
      <c r="K3137" s="85">
        <v>5.2419500000000001</v>
      </c>
      <c r="M3137" s="84">
        <v>973.59299999999996</v>
      </c>
      <c r="O3137" s="86">
        <v>3908.02</v>
      </c>
      <c r="Q3137" s="86">
        <v>7395.5</v>
      </c>
      <c r="S3137" s="86">
        <v>1410.84</v>
      </c>
      <c r="U3137" s="85">
        <v>3.7239200000000001</v>
      </c>
      <c r="W3137" s="81">
        <v>38.771900000000002</v>
      </c>
      <c r="Y3137" s="81">
        <v>7.3964999999999996</v>
      </c>
      <c r="AA3137" s="84">
        <v>504.26799999999997</v>
      </c>
      <c r="AC3137" s="81">
        <v>59.162799999999997</v>
      </c>
      <c r="AE3137" s="87">
        <v>1</v>
      </c>
      <c r="AG3137" s="85">
        <v>7.7752699999999999</v>
      </c>
      <c r="AI3137" s="86">
        <v>8.75</v>
      </c>
      <c r="AK3137" s="81">
        <v>24.669599999999999</v>
      </c>
      <c r="AM3137" s="81">
        <v>36.898400000000002</v>
      </c>
      <c r="AO3137" s="85">
        <v>6.782</v>
      </c>
    </row>
    <row r="3138" spans="1:41" x14ac:dyDescent="0.25">
      <c r="B3138" s="21">
        <f t="shared" si="1"/>
        <v>45401</v>
      </c>
      <c r="C3138" s="91">
        <v>17.1145</v>
      </c>
      <c r="E3138" s="83">
        <v>0.93906000000000001</v>
      </c>
      <c r="G3138" s="84">
        <v>871.24</v>
      </c>
      <c r="I3138" s="85">
        <v>6.9341799999999996</v>
      </c>
      <c r="K3138" s="85">
        <v>5.2271200000000002</v>
      </c>
      <c r="M3138" s="84">
        <v>962.19799999999998</v>
      </c>
      <c r="O3138" s="86">
        <v>3923.5</v>
      </c>
      <c r="Q3138" s="86">
        <v>7405.48</v>
      </c>
      <c r="S3138" s="86">
        <v>1416.74</v>
      </c>
      <c r="U3138" s="85">
        <v>3.72553</v>
      </c>
      <c r="W3138" s="81">
        <v>38.676600000000001</v>
      </c>
      <c r="Y3138" s="81">
        <v>7.3992399999999998</v>
      </c>
      <c r="AA3138" s="84">
        <v>503.04599999999999</v>
      </c>
      <c r="AC3138" s="81">
        <v>59.298000000000002</v>
      </c>
      <c r="AE3138" s="87">
        <v>1</v>
      </c>
      <c r="AG3138" s="85">
        <v>7.7859499999999997</v>
      </c>
      <c r="AI3138" s="86">
        <v>8.75</v>
      </c>
      <c r="AK3138" s="81">
        <v>24.714200000000002</v>
      </c>
      <c r="AM3138" s="81">
        <v>36.9251</v>
      </c>
      <c r="AO3138" s="85">
        <v>6.79284</v>
      </c>
    </row>
    <row r="3139" spans="1:41" x14ac:dyDescent="0.25">
      <c r="B3139" s="21">
        <f t="shared" si="1"/>
        <v>45402</v>
      </c>
      <c r="C3139" s="91">
        <v>17.1145</v>
      </c>
      <c r="E3139" s="83">
        <v>0.93839799999999995</v>
      </c>
      <c r="G3139" s="84">
        <v>871.24599999999998</v>
      </c>
      <c r="I3139" s="85">
        <v>6.9271399999999996</v>
      </c>
      <c r="K3139" s="85">
        <v>5.2023999999999999</v>
      </c>
      <c r="M3139" s="84">
        <v>957.72</v>
      </c>
      <c r="O3139" s="86">
        <v>3907.9</v>
      </c>
      <c r="Q3139" s="86">
        <v>7400.58</v>
      </c>
      <c r="S3139" s="86">
        <v>1422.54</v>
      </c>
      <c r="U3139" s="85">
        <v>3.7372200000000002</v>
      </c>
      <c r="W3139" s="81">
        <v>38.605200000000004</v>
      </c>
      <c r="Y3139" s="81">
        <v>7.4206899999999996</v>
      </c>
      <c r="AA3139" s="84">
        <v>502.03899999999999</v>
      </c>
      <c r="AC3139" s="81">
        <v>59.38</v>
      </c>
      <c r="AE3139" s="87">
        <v>1</v>
      </c>
      <c r="AG3139" s="85">
        <v>7.7804000000000002</v>
      </c>
      <c r="AI3139" s="86">
        <v>8.75</v>
      </c>
      <c r="AK3139" s="81">
        <v>24.7178</v>
      </c>
      <c r="AM3139" s="81">
        <v>36.959800000000001</v>
      </c>
      <c r="AO3139" s="85">
        <v>6.7891599999999999</v>
      </c>
    </row>
    <row r="3140" spans="1:41" x14ac:dyDescent="0.25">
      <c r="B3140" s="21">
        <f t="shared" si="1"/>
        <v>45403</v>
      </c>
      <c r="C3140" s="91">
        <v>17.1145</v>
      </c>
      <c r="E3140" s="83">
        <v>0.93837000000000004</v>
      </c>
      <c r="G3140" s="84">
        <v>870.94200000000001</v>
      </c>
      <c r="I3140" s="85">
        <v>6.9271399999999996</v>
      </c>
      <c r="K3140" s="85">
        <v>5.2024999999999997</v>
      </c>
      <c r="M3140" s="84">
        <v>957.79499999999996</v>
      </c>
      <c r="O3140" s="86">
        <v>3908.02</v>
      </c>
      <c r="Q3140" s="86">
        <v>7400.58</v>
      </c>
      <c r="S3140" s="86">
        <v>1422.52</v>
      </c>
      <c r="U3140" s="85">
        <v>3.7372200000000002</v>
      </c>
      <c r="W3140" s="81">
        <v>38.605200000000004</v>
      </c>
      <c r="Y3140" s="81">
        <v>7.4205500000000004</v>
      </c>
      <c r="AA3140" s="84">
        <v>502.03899999999999</v>
      </c>
      <c r="AC3140" s="81">
        <v>59.38</v>
      </c>
      <c r="AE3140" s="87">
        <v>1</v>
      </c>
      <c r="AG3140" s="85">
        <v>7.7804000000000002</v>
      </c>
      <c r="AI3140" s="86">
        <v>8.75</v>
      </c>
      <c r="AK3140" s="81">
        <v>24.7178</v>
      </c>
      <c r="AM3140" s="81">
        <v>36.959800000000001</v>
      </c>
      <c r="AO3140" s="85">
        <v>6.7891599999999999</v>
      </c>
    </row>
    <row r="3141" spans="1:41" x14ac:dyDescent="0.25">
      <c r="B3141" s="21">
        <f t="shared" si="1"/>
        <v>45404</v>
      </c>
      <c r="C3141" s="91">
        <v>17.212</v>
      </c>
      <c r="E3141" s="83">
        <v>0.93863200000000002</v>
      </c>
      <c r="G3141" s="84">
        <v>871.05600000000004</v>
      </c>
      <c r="I3141" s="85">
        <v>6.9222000000000001</v>
      </c>
      <c r="K3141" s="85">
        <v>5.2015599999999997</v>
      </c>
      <c r="M3141" s="84">
        <v>956.22500000000002</v>
      </c>
      <c r="O3141" s="86">
        <v>3914.84</v>
      </c>
      <c r="Q3141" s="86">
        <v>7395.66</v>
      </c>
      <c r="S3141" s="86">
        <v>1421.84</v>
      </c>
      <c r="U3141" s="85">
        <v>3.7184200000000001</v>
      </c>
      <c r="W3141" s="81">
        <v>38.485999999999997</v>
      </c>
      <c r="Y3141" s="81">
        <v>7.3990099999999996</v>
      </c>
      <c r="AA3141" s="84">
        <v>501.33100000000002</v>
      </c>
      <c r="AC3141" s="81">
        <v>59.058599999999998</v>
      </c>
      <c r="AE3141" s="87">
        <v>1</v>
      </c>
      <c r="AG3141" s="85">
        <v>7.7723100000000001</v>
      </c>
      <c r="AI3141" s="86">
        <v>8.75</v>
      </c>
      <c r="AK3141" s="81">
        <v>24.6738</v>
      </c>
      <c r="AM3141" s="81">
        <v>36.829900000000002</v>
      </c>
      <c r="AO3141" s="85">
        <v>6.7819799999999999</v>
      </c>
    </row>
    <row r="3142" spans="1:41" x14ac:dyDescent="0.25">
      <c r="B3142" s="21">
        <f t="shared" si="1"/>
        <v>45405</v>
      </c>
      <c r="C3142" s="91">
        <v>17.124300000000002</v>
      </c>
      <c r="E3142" s="83">
        <v>0.93647800000000003</v>
      </c>
      <c r="G3142" s="84">
        <v>872.47199999999998</v>
      </c>
      <c r="I3142" s="85">
        <v>6.9153599999999997</v>
      </c>
      <c r="K3142" s="85">
        <v>5.1547400000000003</v>
      </c>
      <c r="M3142" s="84">
        <v>952.40300000000002</v>
      </c>
      <c r="O3142" s="86">
        <v>3909.84</v>
      </c>
      <c r="Q3142" s="86">
        <v>7399.24</v>
      </c>
      <c r="S3142" s="86">
        <v>1435.43</v>
      </c>
      <c r="U3142" s="85">
        <v>3.7070799999999999</v>
      </c>
      <c r="W3142" s="81">
        <v>38.462600000000002</v>
      </c>
      <c r="Y3142" s="81">
        <v>7.4616300000000004</v>
      </c>
      <c r="AA3142" s="84">
        <v>500.91500000000002</v>
      </c>
      <c r="AC3142" s="81">
        <v>58.992699999999999</v>
      </c>
      <c r="AE3142" s="87">
        <v>1</v>
      </c>
      <c r="AG3142" s="85">
        <v>7.7678799999999999</v>
      </c>
      <c r="AI3142" s="86">
        <v>8.75</v>
      </c>
      <c r="AK3142" s="81">
        <v>24.6678</v>
      </c>
      <c r="AM3142" s="81">
        <v>36.755600000000001</v>
      </c>
      <c r="AO3142" s="85">
        <v>6.7770799999999998</v>
      </c>
    </row>
    <row r="3143" spans="1:41" x14ac:dyDescent="0.25">
      <c r="B3143" s="21">
        <f t="shared" si="1"/>
        <v>45406</v>
      </c>
      <c r="C3143" s="91">
        <v>16.999500000000001</v>
      </c>
      <c r="E3143" s="83">
        <v>0.93492799999999998</v>
      </c>
      <c r="G3143" s="84">
        <v>872.97500000000002</v>
      </c>
      <c r="I3143" s="85">
        <v>6.9044800000000004</v>
      </c>
      <c r="K3143" s="85">
        <v>5.1421000000000001</v>
      </c>
      <c r="M3143" s="84">
        <v>953.92700000000002</v>
      </c>
      <c r="O3143" s="86">
        <v>3919.22</v>
      </c>
      <c r="Q3143" s="86">
        <v>7400.14</v>
      </c>
      <c r="S3143" s="86">
        <v>1439.14</v>
      </c>
      <c r="U3143" s="85">
        <v>3.70573</v>
      </c>
      <c r="W3143" s="81">
        <v>38.3626</v>
      </c>
      <c r="Y3143" s="81">
        <v>7.4605199999999998</v>
      </c>
      <c r="AA3143" s="84">
        <v>500.81599999999997</v>
      </c>
      <c r="AC3143" s="81">
        <v>58.684600000000003</v>
      </c>
      <c r="AE3143" s="87">
        <v>1</v>
      </c>
      <c r="AG3143" s="85">
        <v>7.7614000000000001</v>
      </c>
      <c r="AI3143" s="86">
        <v>8.75</v>
      </c>
      <c r="AK3143" s="81">
        <v>24.6432</v>
      </c>
      <c r="AM3143" s="81">
        <v>36.6907</v>
      </c>
      <c r="AO3143" s="85">
        <v>6.7740799999999997</v>
      </c>
    </row>
    <row r="3144" spans="1:41" x14ac:dyDescent="0.25">
      <c r="B3144" s="21">
        <f t="shared" si="1"/>
        <v>45407</v>
      </c>
      <c r="C3144" s="91">
        <v>17.1098</v>
      </c>
      <c r="E3144" s="83">
        <v>0.93301400000000001</v>
      </c>
      <c r="G3144" s="84">
        <v>873.476</v>
      </c>
      <c r="I3144" s="85">
        <v>6.91303</v>
      </c>
      <c r="K3144" s="85">
        <v>5.15496</v>
      </c>
      <c r="M3144" s="84">
        <v>950.51700000000005</v>
      </c>
      <c r="O3144" s="86">
        <v>3947.02</v>
      </c>
      <c r="Q3144" s="86">
        <v>7412.1</v>
      </c>
      <c r="S3144" s="86">
        <v>1437.86</v>
      </c>
      <c r="U3144" s="85">
        <v>3.7135799999999999</v>
      </c>
      <c r="W3144" s="81">
        <v>38.350700000000003</v>
      </c>
      <c r="Y3144" s="81">
        <v>7.4396000000000004</v>
      </c>
      <c r="AA3144" s="84">
        <v>501.40199999999999</v>
      </c>
      <c r="AC3144" s="81">
        <v>58.788800000000002</v>
      </c>
      <c r="AE3144" s="87">
        <v>1</v>
      </c>
      <c r="AG3144" s="85">
        <v>7.7693300000000001</v>
      </c>
      <c r="AI3144" s="86">
        <v>8.75</v>
      </c>
      <c r="AK3144" s="81">
        <v>24.666599999999999</v>
      </c>
      <c r="AM3144" s="81">
        <v>36.761499999999998</v>
      </c>
      <c r="AO3144" s="85">
        <v>6.7820799999999997</v>
      </c>
    </row>
    <row r="3145" spans="1:41" x14ac:dyDescent="0.25">
      <c r="B3145" s="21">
        <f t="shared" si="1"/>
        <v>45408</v>
      </c>
      <c r="C3145" s="91">
        <v>17.188300000000002</v>
      </c>
      <c r="E3145" s="83">
        <v>0.93341399999999997</v>
      </c>
      <c r="G3145" s="84">
        <v>874.19799999999998</v>
      </c>
      <c r="I3145" s="85">
        <v>6.9213300000000002</v>
      </c>
      <c r="K3145" s="85">
        <v>5.1399299999999997</v>
      </c>
      <c r="M3145" s="84">
        <v>948.245</v>
      </c>
      <c r="O3145" s="86">
        <v>3939.68</v>
      </c>
      <c r="Q3145" s="86">
        <v>7421.9</v>
      </c>
      <c r="S3145" s="86">
        <v>1443.98</v>
      </c>
      <c r="U3145" s="85">
        <v>3.72621</v>
      </c>
      <c r="W3145" s="81">
        <v>38.504199999999997</v>
      </c>
      <c r="Y3145" s="81">
        <v>7.4912299999999998</v>
      </c>
      <c r="AA3145" s="84">
        <v>503.286</v>
      </c>
      <c r="AC3145" s="81">
        <v>58.684899999999999</v>
      </c>
      <c r="AE3145" s="87">
        <v>1</v>
      </c>
      <c r="AG3145" s="85">
        <v>7.7726899999999999</v>
      </c>
      <c r="AI3145" s="86">
        <v>8.75</v>
      </c>
      <c r="AK3145" s="81">
        <v>24.673200000000001</v>
      </c>
      <c r="AM3145" s="81">
        <v>36.787599999999998</v>
      </c>
      <c r="AO3145" s="85">
        <v>6.7865900000000003</v>
      </c>
    </row>
    <row r="3146" spans="1:41" x14ac:dyDescent="0.25">
      <c r="B3146" s="21">
        <f t="shared" si="1"/>
        <v>45409</v>
      </c>
      <c r="C3146" s="91">
        <v>17.188300000000002</v>
      </c>
      <c r="E3146" s="83">
        <v>0.93518199999999996</v>
      </c>
      <c r="G3146" s="84">
        <v>874.75199999999995</v>
      </c>
      <c r="I3146" s="85">
        <v>6.9237399999999996</v>
      </c>
      <c r="K3146" s="85">
        <v>5.1162000000000001</v>
      </c>
      <c r="M3146" s="84">
        <v>948.36</v>
      </c>
      <c r="O3146" s="86">
        <v>3896.98</v>
      </c>
      <c r="Q3146" s="86">
        <v>7425.64</v>
      </c>
      <c r="S3146" s="86">
        <v>1451.4</v>
      </c>
      <c r="U3146" s="85">
        <v>3.7320000000000002</v>
      </c>
      <c r="W3146" s="81">
        <v>38.6248</v>
      </c>
      <c r="Y3146" s="81">
        <v>7.5495400000000004</v>
      </c>
      <c r="AA3146" s="84">
        <v>504.53800000000001</v>
      </c>
      <c r="AC3146" s="81">
        <v>58.625399999999999</v>
      </c>
      <c r="AE3146" s="87">
        <v>1</v>
      </c>
      <c r="AG3146" s="85">
        <v>7.7718999999999996</v>
      </c>
      <c r="AI3146" s="86">
        <v>8.75</v>
      </c>
      <c r="AK3146" s="81">
        <v>24.672799999999999</v>
      </c>
      <c r="AM3146" s="81">
        <v>36.783799999999999</v>
      </c>
      <c r="AO3146" s="85">
        <v>6.7862200000000001</v>
      </c>
    </row>
    <row r="3147" spans="1:41" x14ac:dyDescent="0.25">
      <c r="B3147" s="21">
        <f t="shared" si="1"/>
        <v>45410</v>
      </c>
      <c r="C3147" s="91">
        <v>17.188300000000002</v>
      </c>
      <c r="E3147" s="83">
        <v>0.93510000000000004</v>
      </c>
      <c r="G3147" s="84">
        <v>874.90800000000002</v>
      </c>
      <c r="I3147" s="85">
        <v>6.9242800000000004</v>
      </c>
      <c r="K3147" s="85">
        <v>5.1162200000000002</v>
      </c>
      <c r="M3147" s="84">
        <v>948.39400000000001</v>
      </c>
      <c r="O3147" s="86">
        <v>3897.7</v>
      </c>
      <c r="Q3147" s="86">
        <v>7426.5</v>
      </c>
      <c r="S3147" s="86">
        <v>1451.57</v>
      </c>
      <c r="U3147" s="85">
        <v>3.7320000000000002</v>
      </c>
      <c r="W3147" s="81">
        <v>38.619999999999997</v>
      </c>
      <c r="Y3147" s="81">
        <v>7.5485899999999999</v>
      </c>
      <c r="AA3147" s="84">
        <v>504.52199999999999</v>
      </c>
      <c r="AC3147" s="81">
        <v>58.627299999999998</v>
      </c>
      <c r="AE3147" s="87">
        <v>1</v>
      </c>
      <c r="AG3147" s="85">
        <v>7.7722499999999997</v>
      </c>
      <c r="AI3147" s="86">
        <v>8.75</v>
      </c>
      <c r="AK3147" s="81">
        <v>24.674199999999999</v>
      </c>
      <c r="AM3147" s="81">
        <v>36.785499999999999</v>
      </c>
      <c r="AO3147" s="85">
        <v>6.7866999999999997</v>
      </c>
    </row>
    <row r="3148" spans="1:41" x14ac:dyDescent="0.25">
      <c r="B3148" s="21">
        <f t="shared" si="1"/>
        <v>45411</v>
      </c>
      <c r="C3148" s="91">
        <v>17.155200000000001</v>
      </c>
      <c r="E3148" s="83">
        <v>0.93308100000000005</v>
      </c>
      <c r="G3148" s="84">
        <v>875.55200000000002</v>
      </c>
      <c r="I3148" s="85">
        <v>6.9412599999999998</v>
      </c>
      <c r="K3148" s="85">
        <v>5.1157000000000004</v>
      </c>
      <c r="M3148" s="84">
        <v>947.048</v>
      </c>
      <c r="O3148" s="86">
        <v>3924.48</v>
      </c>
      <c r="Q3148" s="86">
        <v>7454.97</v>
      </c>
      <c r="S3148" s="86">
        <v>1457.28</v>
      </c>
      <c r="U3148" s="85">
        <v>3.73692</v>
      </c>
      <c r="W3148" s="81">
        <v>38.491999999999997</v>
      </c>
      <c r="Y3148" s="81">
        <v>7.52433</v>
      </c>
      <c r="AA3148" s="84">
        <v>504.44</v>
      </c>
      <c r="AC3148" s="81">
        <v>58.751399999999997</v>
      </c>
      <c r="AE3148" s="87">
        <v>1</v>
      </c>
      <c r="AG3148" s="85">
        <v>7.78484</v>
      </c>
      <c r="AI3148" s="86">
        <v>8.75</v>
      </c>
      <c r="AK3148" s="81">
        <v>24.7364</v>
      </c>
      <c r="AM3148" s="81">
        <v>36.841999999999999</v>
      </c>
      <c r="AO3148" s="85">
        <v>6.8060499999999999</v>
      </c>
    </row>
    <row r="3149" spans="1:41" x14ac:dyDescent="0.25">
      <c r="A3149" s="92"/>
      <c r="B3149" s="98">
        <f t="shared" si="1"/>
        <v>45412</v>
      </c>
      <c r="C3149" s="82">
        <v>17.0243</v>
      </c>
      <c r="D3149" s="92"/>
      <c r="E3149" s="93">
        <v>0.93483000000000005</v>
      </c>
      <c r="F3149" s="92"/>
      <c r="G3149" s="94">
        <v>876.76800000000003</v>
      </c>
      <c r="H3149" s="92"/>
      <c r="I3149" s="95">
        <v>6.93208</v>
      </c>
      <c r="J3149" s="92"/>
      <c r="K3149" s="95">
        <v>5.1496199999999996</v>
      </c>
      <c r="L3149" s="92"/>
      <c r="M3149" s="94">
        <v>948.64800000000002</v>
      </c>
      <c r="N3149" s="92"/>
      <c r="O3149" s="96">
        <v>3898.03</v>
      </c>
      <c r="P3149" s="92"/>
      <c r="Q3149" s="96">
        <v>7460.65</v>
      </c>
      <c r="R3149" s="92"/>
      <c r="S3149" s="96">
        <v>1448.78</v>
      </c>
      <c r="T3149" s="92"/>
      <c r="U3149" s="95">
        <v>3.7469399999999999</v>
      </c>
      <c r="V3149" s="92"/>
      <c r="W3149" s="91">
        <v>38.376100000000001</v>
      </c>
      <c r="X3149" s="92"/>
      <c r="Y3149" s="91">
        <v>7.4522500000000003</v>
      </c>
      <c r="Z3149" s="92"/>
      <c r="AA3149" s="94">
        <v>507.113</v>
      </c>
      <c r="AB3149" s="92"/>
      <c r="AC3149" s="91">
        <v>58.5351</v>
      </c>
      <c r="AD3149" s="92"/>
      <c r="AE3149" s="97">
        <v>1</v>
      </c>
      <c r="AF3149" s="92"/>
      <c r="AG3149" s="95">
        <v>7.7815799999999999</v>
      </c>
      <c r="AH3149" s="92"/>
      <c r="AI3149" s="96">
        <v>8.75</v>
      </c>
      <c r="AJ3149" s="92"/>
      <c r="AK3149" s="91">
        <v>24.7438</v>
      </c>
      <c r="AL3149" s="92"/>
      <c r="AM3149" s="91">
        <v>36.878399999999999</v>
      </c>
      <c r="AN3149" s="92"/>
      <c r="AO3149" s="95">
        <v>6.8029000000000002</v>
      </c>
    </row>
    <row r="3150" spans="1:41" ht="13" x14ac:dyDescent="0.3">
      <c r="B3150" s="25" t="str">
        <f>"PROM-"&amp;MONTH(B3149)&amp;YEAR(B3149)</f>
        <v>PROM-42024</v>
      </c>
      <c r="C3150" s="19">
        <f>AVERAGE(C3120:C3149)</f>
        <v>16.794100000000004</v>
      </c>
      <c r="E3150" s="24">
        <f>AVERAGE(E3120:E3149)</f>
        <v>0.9327089999999999</v>
      </c>
      <c r="G3150" s="42">
        <f>AVERAGE(G3120:G3149)</f>
        <v>867.79673333333324</v>
      </c>
      <c r="I3150" s="23">
        <f>AVERAGE(I3120:I3149)</f>
        <v>6.9224163333333353</v>
      </c>
      <c r="K3150" s="23">
        <f>AVERAGE(K3120:K3149)</f>
        <v>5.1235546666666663</v>
      </c>
      <c r="M3150" s="42">
        <f>AVERAGE(M3120:M3149)</f>
        <v>957.55796666666663</v>
      </c>
      <c r="O3150" s="80">
        <f>AVERAGE(O3120:O3149)</f>
        <v>3863.5876666666659</v>
      </c>
      <c r="Q3150" s="80">
        <f>AVERAGE(Q3120:Q3149)</f>
        <v>7395.2256666666672</v>
      </c>
      <c r="S3150" s="80">
        <f>AVERAGE(S3120:S3149)</f>
        <v>1443.6093333333336</v>
      </c>
      <c r="U3150" s="23">
        <f>AVERAGE(U3120:U3149)</f>
        <v>3.7104026666666661</v>
      </c>
      <c r="W3150" s="19">
        <f>AVERAGE(W3120:W3149)</f>
        <v>38.395269999999989</v>
      </c>
      <c r="Y3150" s="19">
        <f>AVERAGE(Y3120:Y3149)</f>
        <v>7.4946176666666666</v>
      </c>
      <c r="AA3150" s="42">
        <f>AVERAGE(AA3120:AA3149)</f>
        <v>504.52800000000019</v>
      </c>
      <c r="AC3150" s="19">
        <f>AVERAGE(AC3120:AC3149)</f>
        <v>59.140626666666691</v>
      </c>
      <c r="AE3150" s="88">
        <f>AVERAGE(AE3120:AE3149)</f>
        <v>1</v>
      </c>
      <c r="AG3150" s="23">
        <f>AVERAGE(AG3120:AG3149)</f>
        <v>7.7828843333333335</v>
      </c>
      <c r="AI3150" s="80">
        <f>AVERAGE(AI3120:AI3149)</f>
        <v>8.75</v>
      </c>
      <c r="AK3150" s="19">
        <f>AVERAGE(AK3120:AK3149)</f>
        <v>24.697066666666665</v>
      </c>
      <c r="AM3150" s="19">
        <f>AVERAGE(AM3120:AM3149)</f>
        <v>36.825136666666673</v>
      </c>
      <c r="AO3150" s="23">
        <f>AVERAGE(AO3120:AO3149)</f>
        <v>6.7843343333333337</v>
      </c>
    </row>
    <row r="3151" spans="1:41" x14ac:dyDescent="0.25">
      <c r="B3151" s="21">
        <v>45413</v>
      </c>
      <c r="C3151" s="91">
        <v>17.0243</v>
      </c>
      <c r="E3151" s="83">
        <v>0.93648799999999999</v>
      </c>
      <c r="G3151" s="84">
        <v>878.096</v>
      </c>
      <c r="I3151" s="85">
        <v>6.9352600000000004</v>
      </c>
      <c r="K3151" s="85">
        <v>5.1957399999999998</v>
      </c>
      <c r="M3151" s="84">
        <v>956.40800000000002</v>
      </c>
      <c r="O3151" s="86">
        <v>3911.51</v>
      </c>
      <c r="Q3151" s="86">
        <v>7481.52</v>
      </c>
      <c r="S3151" s="86">
        <v>1439.94</v>
      </c>
      <c r="U3151" s="85">
        <v>3.7608700000000002</v>
      </c>
      <c r="W3151" s="81">
        <v>38.454799999999999</v>
      </c>
      <c r="Y3151" s="81">
        <v>7.4012599999999997</v>
      </c>
      <c r="AA3151" s="84">
        <v>509.73200000000003</v>
      </c>
      <c r="AC3151" s="81">
        <v>58.66</v>
      </c>
      <c r="AE3151" s="87">
        <v>1</v>
      </c>
      <c r="AG3151" s="85">
        <v>7.79094</v>
      </c>
      <c r="AI3151" s="86">
        <v>8.75</v>
      </c>
      <c r="AK3151" s="81">
        <v>24.759399999999999</v>
      </c>
      <c r="AM3151" s="81">
        <v>36.9666</v>
      </c>
      <c r="AO3151" s="85">
        <v>6.8186200000000001</v>
      </c>
    </row>
    <row r="3152" spans="1:41" x14ac:dyDescent="0.25">
      <c r="B3152" s="21">
        <v>45414</v>
      </c>
      <c r="C3152" s="91">
        <v>17.095800000000001</v>
      </c>
      <c r="E3152" s="83">
        <v>0.93343900000000002</v>
      </c>
      <c r="G3152" s="84">
        <v>876.36</v>
      </c>
      <c r="I3152" s="85">
        <v>6.9171800000000001</v>
      </c>
      <c r="K3152" s="85">
        <v>5.1544999999999996</v>
      </c>
      <c r="M3152" s="84">
        <v>956.35</v>
      </c>
      <c r="O3152" s="86">
        <v>3908.7</v>
      </c>
      <c r="Q3152" s="86">
        <v>7476.9</v>
      </c>
      <c r="S3152" s="86">
        <v>1450.56</v>
      </c>
      <c r="U3152" s="85">
        <v>3.7562899999999999</v>
      </c>
      <c r="W3152" s="81">
        <v>38.338799999999999</v>
      </c>
      <c r="Y3152" s="81">
        <v>7.4379600000000003</v>
      </c>
      <c r="AA3152" s="84">
        <v>509.14800000000002</v>
      </c>
      <c r="AC3152" s="81">
        <v>58.018799999999999</v>
      </c>
      <c r="AE3152" s="87">
        <v>1</v>
      </c>
      <c r="AG3152" s="85">
        <v>7.7728000000000002</v>
      </c>
      <c r="AI3152" s="86">
        <v>8.75</v>
      </c>
      <c r="AK3152" s="81">
        <v>24.6998</v>
      </c>
      <c r="AM3152" s="81">
        <v>36.813200000000002</v>
      </c>
      <c r="AO3152" s="85">
        <v>6.80396</v>
      </c>
    </row>
    <row r="3153" spans="2:41" x14ac:dyDescent="0.25">
      <c r="B3153" s="21">
        <v>45415</v>
      </c>
      <c r="C3153" s="91">
        <v>16.939299999999999</v>
      </c>
      <c r="E3153" s="83">
        <v>0.93005400000000005</v>
      </c>
      <c r="G3153" s="84">
        <v>878.44500000000005</v>
      </c>
      <c r="I3153" s="85">
        <v>6.9174600000000002</v>
      </c>
      <c r="K3153" s="85">
        <v>5.0914799999999998</v>
      </c>
      <c r="M3153" s="84">
        <v>943.77700000000004</v>
      </c>
      <c r="O3153" s="86">
        <v>3901.32</v>
      </c>
      <c r="Q3153" s="86">
        <v>7479.48</v>
      </c>
      <c r="S3153" s="86">
        <v>1469.02</v>
      </c>
      <c r="U3153" s="85">
        <v>3.7523499999999999</v>
      </c>
      <c r="W3153" s="81">
        <v>38.291200000000003</v>
      </c>
      <c r="Y3153" s="81">
        <v>7.5206799999999996</v>
      </c>
      <c r="AA3153" s="84">
        <v>509.48399999999998</v>
      </c>
      <c r="AC3153" s="81">
        <v>57.983699999999999</v>
      </c>
      <c r="AE3153" s="87">
        <v>1</v>
      </c>
      <c r="AG3153" s="85">
        <v>7.77102</v>
      </c>
      <c r="AI3153" s="86">
        <v>8.75</v>
      </c>
      <c r="AK3153" s="81">
        <v>24.722200000000001</v>
      </c>
      <c r="AM3153" s="81">
        <v>36.752600000000001</v>
      </c>
      <c r="AO3153" s="85">
        <v>6.8003799999999996</v>
      </c>
    </row>
    <row r="3154" spans="2:41" x14ac:dyDescent="0.25">
      <c r="B3154" s="21">
        <v>45416</v>
      </c>
      <c r="C3154" s="91">
        <v>16.939299999999999</v>
      </c>
      <c r="E3154" s="83">
        <v>0.929114</v>
      </c>
      <c r="G3154" s="84">
        <v>878.73</v>
      </c>
      <c r="I3154" s="85">
        <v>6.9224100000000002</v>
      </c>
      <c r="K3154" s="85">
        <v>5.0725499999999997</v>
      </c>
      <c r="M3154" s="84">
        <v>938.81</v>
      </c>
      <c r="O3154" s="86">
        <v>3909.32</v>
      </c>
      <c r="Q3154" s="86">
        <v>7481.96</v>
      </c>
      <c r="S3154" s="86">
        <v>1475</v>
      </c>
      <c r="U3154" s="85">
        <v>3.7553399999999999</v>
      </c>
      <c r="W3154" s="81">
        <v>38.341999999999999</v>
      </c>
      <c r="Y3154" s="81">
        <v>7.5587600000000004</v>
      </c>
      <c r="AA3154" s="84">
        <v>509.91</v>
      </c>
      <c r="AC3154" s="81">
        <v>58.097499999999997</v>
      </c>
      <c r="AE3154" s="87">
        <v>1</v>
      </c>
      <c r="AG3154" s="85">
        <v>7.7731000000000003</v>
      </c>
      <c r="AI3154" s="86">
        <v>8.75</v>
      </c>
      <c r="AK3154" s="81">
        <v>24.728200000000001</v>
      </c>
      <c r="AM3154" s="81">
        <v>36.727200000000003</v>
      </c>
      <c r="AO3154" s="85">
        <v>6.8021099999999999</v>
      </c>
    </row>
    <row r="3155" spans="2:41" x14ac:dyDescent="0.25">
      <c r="B3155" s="21">
        <v>45417</v>
      </c>
      <c r="C3155" s="91">
        <v>16.939299999999999</v>
      </c>
      <c r="E3155" s="83">
        <v>0.92910999999999999</v>
      </c>
      <c r="G3155" s="84">
        <v>878.46799999999996</v>
      </c>
      <c r="I3155" s="85">
        <v>6.92232</v>
      </c>
      <c r="K3155" s="85">
        <v>5.0727900000000004</v>
      </c>
      <c r="M3155" s="84">
        <v>938.85199999999998</v>
      </c>
      <c r="O3155" s="86">
        <v>3908.7</v>
      </c>
      <c r="Q3155" s="86">
        <v>7482.03</v>
      </c>
      <c r="S3155" s="86">
        <v>1474.94</v>
      </c>
      <c r="U3155" s="85">
        <v>3.7553399999999999</v>
      </c>
      <c r="W3155" s="81">
        <v>38.341500000000003</v>
      </c>
      <c r="Y3155" s="81">
        <v>7.5583</v>
      </c>
      <c r="AA3155" s="84">
        <v>509.928</v>
      </c>
      <c r="AC3155" s="81">
        <v>58.094999999999999</v>
      </c>
      <c r="AE3155" s="87">
        <v>1</v>
      </c>
      <c r="AG3155" s="85">
        <v>7.7729799999999996</v>
      </c>
      <c r="AI3155" s="86">
        <v>8.75</v>
      </c>
      <c r="AK3155" s="81">
        <v>24.727900000000002</v>
      </c>
      <c r="AM3155" s="81">
        <v>36.727200000000003</v>
      </c>
      <c r="AO3155" s="85">
        <v>6.8022600000000004</v>
      </c>
    </row>
    <row r="3156" spans="2:41" x14ac:dyDescent="0.25">
      <c r="B3156" s="21">
        <v>45418</v>
      </c>
      <c r="C3156" s="91">
        <v>17.004200000000001</v>
      </c>
      <c r="E3156" s="83">
        <v>0.92846799999999996</v>
      </c>
      <c r="G3156" s="84">
        <v>878.90599999999995</v>
      </c>
      <c r="I3156" s="85">
        <v>6.9110800000000001</v>
      </c>
      <c r="K3156" s="85">
        <v>5.0819599999999996</v>
      </c>
      <c r="M3156" s="84">
        <v>937.18200000000002</v>
      </c>
      <c r="O3156" s="86">
        <v>3890.84</v>
      </c>
      <c r="Q3156" s="86">
        <v>7476.62</v>
      </c>
      <c r="S3156" s="86">
        <v>1471.23</v>
      </c>
      <c r="U3156" s="85">
        <v>3.7365200000000001</v>
      </c>
      <c r="W3156" s="81">
        <v>38.212600000000002</v>
      </c>
      <c r="Y3156" s="81">
        <v>7.5193399999999997</v>
      </c>
      <c r="AA3156" s="84">
        <v>510.46199999999999</v>
      </c>
      <c r="AC3156" s="81">
        <v>58.007199999999997</v>
      </c>
      <c r="AE3156" s="87">
        <v>1</v>
      </c>
      <c r="AG3156" s="85">
        <v>7.76511</v>
      </c>
      <c r="AI3156" s="86">
        <v>8.75</v>
      </c>
      <c r="AK3156" s="81">
        <v>24.686199999999999</v>
      </c>
      <c r="AM3156" s="81">
        <v>36.746699999999997</v>
      </c>
      <c r="AO3156" s="85">
        <v>6.8007999999999997</v>
      </c>
    </row>
    <row r="3157" spans="2:41" x14ac:dyDescent="0.25">
      <c r="B3157" s="21">
        <v>45419</v>
      </c>
      <c r="C3157" s="91">
        <v>16.8947</v>
      </c>
      <c r="E3157" s="83">
        <v>0.92901599999999995</v>
      </c>
      <c r="G3157" s="84">
        <v>880.46600000000001</v>
      </c>
      <c r="I3157" s="85">
        <v>6.9097499999999998</v>
      </c>
      <c r="K3157" s="85">
        <v>5.0724200000000002</v>
      </c>
      <c r="M3157" s="84">
        <v>932.58199999999999</v>
      </c>
      <c r="O3157" s="86">
        <v>3891.3</v>
      </c>
      <c r="Q3157" s="86">
        <v>7471.84</v>
      </c>
      <c r="S3157" s="86">
        <v>1473.04</v>
      </c>
      <c r="U3157" s="85">
        <v>3.7303999999999999</v>
      </c>
      <c r="W3157" s="81">
        <v>38.2044</v>
      </c>
      <c r="Y3157" s="81">
        <v>7.5318399999999999</v>
      </c>
      <c r="AA3157" s="84">
        <v>510.93400000000003</v>
      </c>
      <c r="AC3157" s="81">
        <v>58.0274</v>
      </c>
      <c r="AE3157" s="87">
        <v>1</v>
      </c>
      <c r="AG3157" s="85">
        <v>7.7666199999999996</v>
      </c>
      <c r="AI3157" s="86">
        <v>8.75</v>
      </c>
      <c r="AK3157" s="81">
        <v>24.7104</v>
      </c>
      <c r="AM3157" s="81">
        <v>36.775500000000001</v>
      </c>
      <c r="AO3157" s="85">
        <v>6.8016300000000003</v>
      </c>
    </row>
    <row r="3158" spans="2:41" x14ac:dyDescent="0.25">
      <c r="B3158" s="21">
        <v>45420</v>
      </c>
      <c r="C3158" s="91">
        <v>16.908300000000001</v>
      </c>
      <c r="E3158" s="83">
        <v>0.93058700000000005</v>
      </c>
      <c r="G3158" s="84">
        <v>881.19799999999998</v>
      </c>
      <c r="I3158" s="85">
        <v>6.9142299999999999</v>
      </c>
      <c r="K3158" s="85">
        <v>5.0827299999999997</v>
      </c>
      <c r="M3158" s="84">
        <v>936.495</v>
      </c>
      <c r="O3158" s="86">
        <v>3892.18</v>
      </c>
      <c r="Q3158" s="86">
        <v>7473.5</v>
      </c>
      <c r="S3158" s="86">
        <v>1470.38</v>
      </c>
      <c r="U3158" s="85">
        <v>3.7301000000000002</v>
      </c>
      <c r="W3158" s="81">
        <v>38.328800000000001</v>
      </c>
      <c r="Y3158" s="81">
        <v>7.5410199999999996</v>
      </c>
      <c r="AA3158" s="84">
        <v>511.42099999999999</v>
      </c>
      <c r="AC3158" s="81">
        <v>58.122100000000003</v>
      </c>
      <c r="AE3158" s="87">
        <v>1</v>
      </c>
      <c r="AG3158" s="85">
        <v>7.77142</v>
      </c>
      <c r="AI3158" s="86">
        <v>8.75</v>
      </c>
      <c r="AK3158" s="81">
        <v>24.726199999999999</v>
      </c>
      <c r="AM3158" s="81">
        <v>36.8247</v>
      </c>
      <c r="AO3158" s="85">
        <v>6.80626</v>
      </c>
    </row>
    <row r="3159" spans="2:41" x14ac:dyDescent="0.25">
      <c r="B3159" s="21">
        <v>45421</v>
      </c>
      <c r="C3159" s="91">
        <v>16.9087</v>
      </c>
      <c r="E3159" s="83">
        <v>0.92959199999999997</v>
      </c>
      <c r="G3159" s="84">
        <v>882.03200000000004</v>
      </c>
      <c r="I3159" s="85">
        <v>6.9123099999999997</v>
      </c>
      <c r="K3159" s="85">
        <v>5.1203799999999999</v>
      </c>
      <c r="M3159" s="84">
        <v>933.44899999999996</v>
      </c>
      <c r="O3159" s="86">
        <v>3896.94</v>
      </c>
      <c r="Q3159" s="86">
        <v>7476.39</v>
      </c>
      <c r="S3159" s="86">
        <v>1460.14</v>
      </c>
      <c r="U3159" s="85">
        <v>3.7261799999999998</v>
      </c>
      <c r="W3159" s="81">
        <v>38.473599999999998</v>
      </c>
      <c r="Y3159" s="81">
        <v>7.5138400000000001</v>
      </c>
      <c r="AA3159" s="84">
        <v>511.64699999999999</v>
      </c>
      <c r="AC3159" s="81">
        <v>58.093800000000002</v>
      </c>
      <c r="AE3159" s="87">
        <v>1</v>
      </c>
      <c r="AG3159" s="85">
        <v>7.7705799999999998</v>
      </c>
      <c r="AI3159" s="86">
        <v>8.75</v>
      </c>
      <c r="AK3159" s="81">
        <v>24.717300000000002</v>
      </c>
      <c r="AM3159" s="81">
        <v>36.808199999999999</v>
      </c>
      <c r="AO3159" s="85">
        <v>6.7791800000000002</v>
      </c>
    </row>
    <row r="3160" spans="2:41" x14ac:dyDescent="0.25">
      <c r="B3160" s="21">
        <v>45422</v>
      </c>
      <c r="C3160" s="91">
        <v>16.866</v>
      </c>
      <c r="E3160" s="83">
        <v>0.92802200000000001</v>
      </c>
      <c r="G3160" s="84">
        <v>882.654</v>
      </c>
      <c r="I3160" s="85">
        <v>6.9050000000000002</v>
      </c>
      <c r="K3160" s="85">
        <v>5.1468499999999997</v>
      </c>
      <c r="M3160" s="84">
        <v>929.69899999999996</v>
      </c>
      <c r="O3160" s="86">
        <v>3890.15</v>
      </c>
      <c r="Q3160" s="86">
        <v>7475.3</v>
      </c>
      <c r="S3160" s="86">
        <v>1452.42</v>
      </c>
      <c r="U3160" s="85">
        <v>3.7133799999999999</v>
      </c>
      <c r="W3160" s="81">
        <v>38.4619</v>
      </c>
      <c r="Y3160" s="81">
        <v>7.4729200000000002</v>
      </c>
      <c r="AA3160" s="84">
        <v>511.37299999999999</v>
      </c>
      <c r="AC3160" s="81">
        <v>58.029499999999999</v>
      </c>
      <c r="AE3160" s="87">
        <v>1</v>
      </c>
      <c r="AG3160" s="85">
        <v>7.7629700000000001</v>
      </c>
      <c r="AI3160" s="86">
        <v>8.75</v>
      </c>
      <c r="AK3160" s="81">
        <v>24.673300000000001</v>
      </c>
      <c r="AM3160" s="81">
        <v>36.724800000000002</v>
      </c>
      <c r="AO3160" s="85">
        <v>6.7775400000000001</v>
      </c>
    </row>
    <row r="3161" spans="2:41" x14ac:dyDescent="0.25">
      <c r="B3161" s="21">
        <v>45423</v>
      </c>
      <c r="C3161" s="91">
        <v>16.866</v>
      </c>
      <c r="E3161" s="83">
        <v>0.92842400000000003</v>
      </c>
      <c r="G3161" s="84">
        <v>882.86500000000001</v>
      </c>
      <c r="I3161" s="85">
        <v>6.9109800000000003</v>
      </c>
      <c r="K3161" s="85">
        <v>5.1574999999999998</v>
      </c>
      <c r="M3161" s="84">
        <v>932.44</v>
      </c>
      <c r="O3161" s="86">
        <v>3890.7</v>
      </c>
      <c r="Q3161" s="86">
        <v>7485.77</v>
      </c>
      <c r="S3161" s="86">
        <v>1451.44</v>
      </c>
      <c r="U3161" s="85">
        <v>3.7090000000000001</v>
      </c>
      <c r="W3161" s="81">
        <v>38.423200000000001</v>
      </c>
      <c r="Y3161" s="81">
        <v>7.45</v>
      </c>
      <c r="AA3161" s="84">
        <v>512.024</v>
      </c>
      <c r="AC3161" s="81">
        <v>58.115600000000001</v>
      </c>
      <c r="AE3161" s="87">
        <v>1</v>
      </c>
      <c r="AG3161" s="85">
        <v>7.77006</v>
      </c>
      <c r="AI3161" s="86">
        <v>8.75</v>
      </c>
      <c r="AK3161" s="81">
        <v>24.707599999999999</v>
      </c>
      <c r="AM3161" s="81">
        <v>36.773800000000001</v>
      </c>
      <c r="AO3161" s="85">
        <v>6.7858599999999996</v>
      </c>
    </row>
    <row r="3162" spans="2:41" x14ac:dyDescent="0.25">
      <c r="B3162" s="21">
        <v>45424</v>
      </c>
      <c r="C3162" s="91">
        <v>16.866</v>
      </c>
      <c r="E3162" s="83">
        <v>0.92841200000000002</v>
      </c>
      <c r="G3162" s="84">
        <v>882.88499999999999</v>
      </c>
      <c r="I3162" s="85">
        <v>6.9112400000000003</v>
      </c>
      <c r="K3162" s="85">
        <v>5.1561700000000004</v>
      </c>
      <c r="M3162" s="84">
        <v>932.125</v>
      </c>
      <c r="O3162" s="86">
        <v>3890.78</v>
      </c>
      <c r="Q3162" s="86">
        <v>7486.24</v>
      </c>
      <c r="S3162" s="86">
        <v>1451.91</v>
      </c>
      <c r="U3162" s="85">
        <v>3.7090200000000002</v>
      </c>
      <c r="W3162" s="81">
        <v>38.425800000000002</v>
      </c>
      <c r="Y3162" s="81">
        <v>7.4524400000000002</v>
      </c>
      <c r="AA3162" s="84">
        <v>512.07000000000005</v>
      </c>
      <c r="AC3162" s="81">
        <v>58.122100000000003</v>
      </c>
      <c r="AE3162" s="87">
        <v>1</v>
      </c>
      <c r="AG3162" s="85">
        <v>7.7705000000000002</v>
      </c>
      <c r="AI3162" s="86">
        <v>8.75</v>
      </c>
      <c r="AK3162" s="81">
        <v>24.709199999999999</v>
      </c>
      <c r="AM3162" s="81">
        <v>36.7774</v>
      </c>
      <c r="AO3162" s="85">
        <v>6.7864399999999998</v>
      </c>
    </row>
    <row r="3163" spans="2:41" x14ac:dyDescent="0.25">
      <c r="B3163" s="21">
        <v>45425</v>
      </c>
      <c r="C3163" s="91">
        <v>16.768999999999998</v>
      </c>
      <c r="E3163" s="83">
        <v>0.92726699999999995</v>
      </c>
      <c r="G3163" s="84">
        <v>883.60500000000002</v>
      </c>
      <c r="I3163" s="85">
        <v>6.9116600000000004</v>
      </c>
      <c r="K3163" s="85">
        <v>5.1502400000000002</v>
      </c>
      <c r="M3163" s="84">
        <v>924.94600000000003</v>
      </c>
      <c r="O3163" s="86">
        <v>3889.92</v>
      </c>
      <c r="Q3163" s="86">
        <v>7498.18</v>
      </c>
      <c r="S3163" s="86">
        <v>1455.92</v>
      </c>
      <c r="U3163" s="85">
        <v>3.7154600000000002</v>
      </c>
      <c r="W3163" s="81">
        <v>38.4846</v>
      </c>
      <c r="Y3163" s="81">
        <v>7.4724599999999999</v>
      </c>
      <c r="AA3163" s="84">
        <v>512.51900000000001</v>
      </c>
      <c r="AC3163" s="81">
        <v>58.254399999999997</v>
      </c>
      <c r="AE3163" s="87">
        <v>1</v>
      </c>
      <c r="AG3163" s="85">
        <v>7.77182</v>
      </c>
      <c r="AI3163" s="86">
        <v>8.75</v>
      </c>
      <c r="AK3163" s="81">
        <v>24.718800000000002</v>
      </c>
      <c r="AM3163" s="81">
        <v>36.811599999999999</v>
      </c>
      <c r="AO3163" s="85">
        <v>6.7937700000000003</v>
      </c>
    </row>
    <row r="3164" spans="2:41" x14ac:dyDescent="0.25">
      <c r="B3164" s="21">
        <v>45426</v>
      </c>
      <c r="C3164" s="91">
        <v>16.807200000000002</v>
      </c>
      <c r="E3164" s="83">
        <v>0.92573399999999995</v>
      </c>
      <c r="G3164" s="84">
        <v>884.70100000000002</v>
      </c>
      <c r="I3164" s="85">
        <v>6.90944</v>
      </c>
      <c r="K3164" s="85">
        <v>5.1434600000000001</v>
      </c>
      <c r="M3164" s="84">
        <v>920.94</v>
      </c>
      <c r="O3164" s="86">
        <v>3873.08</v>
      </c>
      <c r="Q3164" s="86">
        <v>7502.87</v>
      </c>
      <c r="S3164" s="86">
        <v>1458.73</v>
      </c>
      <c r="U3164" s="85">
        <v>3.7157300000000002</v>
      </c>
      <c r="W3164" s="81">
        <v>38.503999999999998</v>
      </c>
      <c r="Y3164" s="81">
        <v>7.4860600000000002</v>
      </c>
      <c r="AA3164" s="84">
        <v>512.38800000000003</v>
      </c>
      <c r="AC3164" s="81">
        <v>58.276000000000003</v>
      </c>
      <c r="AE3164" s="87">
        <v>1</v>
      </c>
      <c r="AG3164" s="85">
        <v>7.7690799999999998</v>
      </c>
      <c r="AI3164" s="86">
        <v>8.75</v>
      </c>
      <c r="AK3164" s="81">
        <v>24.723700000000001</v>
      </c>
      <c r="AM3164" s="81">
        <v>36.801000000000002</v>
      </c>
      <c r="AO3164" s="85">
        <v>6.7912999999999997</v>
      </c>
    </row>
    <row r="3165" spans="2:41" x14ac:dyDescent="0.25">
      <c r="B3165" s="21">
        <v>45427</v>
      </c>
      <c r="C3165" s="91">
        <v>16.846</v>
      </c>
      <c r="E3165" s="83">
        <v>0.92182600000000003</v>
      </c>
      <c r="G3165" s="84">
        <v>885.46799999999996</v>
      </c>
      <c r="I3165" s="85">
        <v>6.90754</v>
      </c>
      <c r="K3165" s="85">
        <v>5.1340700000000004</v>
      </c>
      <c r="M3165" s="84">
        <v>911.38900000000001</v>
      </c>
      <c r="O3165" s="86">
        <v>3842.73</v>
      </c>
      <c r="Q3165" s="86">
        <v>7499.84</v>
      </c>
      <c r="S3165" s="86">
        <v>1460.81</v>
      </c>
      <c r="U3165" s="85">
        <v>3.7212999999999998</v>
      </c>
      <c r="W3165" s="81">
        <v>38.5139</v>
      </c>
      <c r="Y3165" s="81">
        <v>7.5016699999999998</v>
      </c>
      <c r="AA3165" s="84">
        <v>512.20799999999997</v>
      </c>
      <c r="AC3165" s="81">
        <v>58.395600000000002</v>
      </c>
      <c r="AE3165" s="87">
        <v>1</v>
      </c>
      <c r="AG3165" s="85">
        <v>7.7659399999999996</v>
      </c>
      <c r="AI3165" s="86">
        <v>8.75</v>
      </c>
      <c r="AK3165" s="81">
        <v>24.7225</v>
      </c>
      <c r="AM3165" s="81">
        <v>36.758200000000002</v>
      </c>
      <c r="AO3165" s="85">
        <v>6.7876799999999999</v>
      </c>
    </row>
    <row r="3166" spans="2:41" x14ac:dyDescent="0.25">
      <c r="B3166" s="21">
        <v>45428</v>
      </c>
      <c r="C3166" s="91">
        <v>16.6782</v>
      </c>
      <c r="E3166" s="83">
        <v>0.91964800000000002</v>
      </c>
      <c r="G3166" s="84">
        <v>885.97199999999998</v>
      </c>
      <c r="I3166" s="85">
        <v>6.90097</v>
      </c>
      <c r="K3166" s="85">
        <v>5.1318900000000003</v>
      </c>
      <c r="M3166" s="84">
        <v>902.89099999999996</v>
      </c>
      <c r="O3166" s="86">
        <v>3825.96</v>
      </c>
      <c r="Q3166" s="86">
        <v>7492.52</v>
      </c>
      <c r="S3166" s="86">
        <v>1460</v>
      </c>
      <c r="U3166" s="85">
        <v>3.7139000000000002</v>
      </c>
      <c r="W3166" s="81">
        <v>38.461199999999998</v>
      </c>
      <c r="Y3166" s="81">
        <v>7.49458</v>
      </c>
      <c r="AA3166" s="84">
        <v>511.57600000000002</v>
      </c>
      <c r="AC3166" s="81">
        <v>58.266300000000001</v>
      </c>
      <c r="AE3166" s="87">
        <v>1</v>
      </c>
      <c r="AG3166" s="85">
        <v>7.7579599999999997</v>
      </c>
      <c r="AI3166" s="86">
        <v>8.75</v>
      </c>
      <c r="AK3166" s="81">
        <v>24.695799999999998</v>
      </c>
      <c r="AM3166" s="81">
        <v>36.673000000000002</v>
      </c>
      <c r="AO3166" s="85">
        <v>6.7817299999999996</v>
      </c>
    </row>
    <row r="3167" spans="2:41" x14ac:dyDescent="0.25">
      <c r="B3167" s="21">
        <v>45429</v>
      </c>
      <c r="C3167" s="91">
        <v>16.689299999999999</v>
      </c>
      <c r="E3167" s="83">
        <v>0.92075200000000001</v>
      </c>
      <c r="G3167" s="84">
        <v>886.46400000000006</v>
      </c>
      <c r="I3167" s="85">
        <v>6.9111000000000002</v>
      </c>
      <c r="K3167" s="85">
        <v>5.1199300000000001</v>
      </c>
      <c r="M3167" s="84">
        <v>896.63300000000004</v>
      </c>
      <c r="O3167" s="86">
        <v>3829.1</v>
      </c>
      <c r="Q3167" s="86">
        <v>7500.93</v>
      </c>
      <c r="S3167" s="86">
        <v>1465.06</v>
      </c>
      <c r="U3167" s="85">
        <v>3.7211500000000002</v>
      </c>
      <c r="W3167" s="81">
        <v>38.723500000000001</v>
      </c>
      <c r="Y3167" s="81">
        <v>7.56332</v>
      </c>
      <c r="AA3167" s="84">
        <v>512.13</v>
      </c>
      <c r="AC3167" s="81">
        <v>58.599600000000002</v>
      </c>
      <c r="AE3167" s="87">
        <v>1</v>
      </c>
      <c r="AG3167" s="85">
        <v>7.7696399999999999</v>
      </c>
      <c r="AI3167" s="86">
        <v>8.75</v>
      </c>
      <c r="AK3167" s="81">
        <v>24.726199999999999</v>
      </c>
      <c r="AM3167" s="81">
        <v>36.784999999999997</v>
      </c>
      <c r="AO3167" s="85">
        <v>6.7921800000000001</v>
      </c>
    </row>
    <row r="3168" spans="2:41" x14ac:dyDescent="0.25">
      <c r="B3168" s="21">
        <v>45430</v>
      </c>
      <c r="C3168" s="91">
        <v>16.689299999999999</v>
      </c>
      <c r="E3168" s="83">
        <v>0.91998800000000003</v>
      </c>
      <c r="G3168" s="84">
        <v>886.66800000000001</v>
      </c>
      <c r="I3168" s="85">
        <v>6.9094199999999999</v>
      </c>
      <c r="K3168" s="85">
        <v>5.1048</v>
      </c>
      <c r="M3168" s="84">
        <v>891.02</v>
      </c>
      <c r="O3168" s="86">
        <v>3829.68</v>
      </c>
      <c r="Q3168" s="86">
        <v>7496.93</v>
      </c>
      <c r="S3168" s="86">
        <v>1468.61</v>
      </c>
      <c r="U3168" s="85">
        <v>3.72288</v>
      </c>
      <c r="W3168" s="81">
        <v>38.766599999999997</v>
      </c>
      <c r="Y3168" s="81">
        <v>7.5941799999999997</v>
      </c>
      <c r="AA3168" s="84">
        <v>511.98700000000002</v>
      </c>
      <c r="AC3168" s="81">
        <v>58.622500000000002</v>
      </c>
      <c r="AE3168" s="87">
        <v>1</v>
      </c>
      <c r="AG3168" s="85">
        <v>7.76816</v>
      </c>
      <c r="AI3168" s="86">
        <v>8.75</v>
      </c>
      <c r="AK3168" s="81">
        <v>24.734999999999999</v>
      </c>
      <c r="AM3168" s="81">
        <v>36.774799999999999</v>
      </c>
      <c r="AO3168" s="85">
        <v>6.7906199999999997</v>
      </c>
    </row>
    <row r="3169" spans="1:41" x14ac:dyDescent="0.25">
      <c r="B3169" s="21">
        <v>45431</v>
      </c>
      <c r="C3169" s="91">
        <v>16.689299999999999</v>
      </c>
      <c r="E3169" s="83">
        <v>0.91997600000000002</v>
      </c>
      <c r="G3169" s="84">
        <v>886.28700000000003</v>
      </c>
      <c r="I3169" s="85">
        <v>6.9086600000000002</v>
      </c>
      <c r="K3169" s="85">
        <v>5.10473</v>
      </c>
      <c r="M3169" s="84">
        <v>891.053</v>
      </c>
      <c r="O3169" s="86">
        <v>3829.27</v>
      </c>
      <c r="Q3169" s="86">
        <v>7495.96</v>
      </c>
      <c r="S3169" s="86">
        <v>1468.44</v>
      </c>
      <c r="U3169" s="85">
        <v>3.72281</v>
      </c>
      <c r="W3169" s="81">
        <v>38.761499999999998</v>
      </c>
      <c r="Y3169" s="81">
        <v>7.59328</v>
      </c>
      <c r="AA3169" s="84">
        <v>511.92399999999998</v>
      </c>
      <c r="AC3169" s="81">
        <v>58.622500000000002</v>
      </c>
      <c r="AE3169" s="87">
        <v>1</v>
      </c>
      <c r="AG3169" s="85">
        <v>7.76736</v>
      </c>
      <c r="AI3169" s="86">
        <v>8.75</v>
      </c>
      <c r="AK3169" s="81">
        <v>24.7332</v>
      </c>
      <c r="AM3169" s="81">
        <v>36.7712</v>
      </c>
      <c r="AO3169" s="85">
        <v>6.7898800000000001</v>
      </c>
    </row>
    <row r="3170" spans="1:41" x14ac:dyDescent="0.25">
      <c r="B3170" s="21">
        <v>45432</v>
      </c>
      <c r="C3170" s="91">
        <v>16.621700000000001</v>
      </c>
      <c r="E3170" s="83">
        <v>0.92012099999999997</v>
      </c>
      <c r="G3170" s="84">
        <v>886.81600000000003</v>
      </c>
      <c r="I3170" s="85">
        <v>6.8955000000000002</v>
      </c>
      <c r="K3170" s="85">
        <v>5.10548</v>
      </c>
      <c r="M3170" s="84">
        <v>890.346</v>
      </c>
      <c r="O3170" s="86">
        <v>3814.3</v>
      </c>
      <c r="Q3170" s="86">
        <v>7474.6</v>
      </c>
      <c r="S3170" s="86">
        <v>1464.06</v>
      </c>
      <c r="U3170" s="85">
        <v>3.72539</v>
      </c>
      <c r="W3170" s="81">
        <v>38.654800000000002</v>
      </c>
      <c r="Y3170" s="81">
        <v>7.5713400000000002</v>
      </c>
      <c r="AA3170" s="84">
        <v>510.75</v>
      </c>
      <c r="AC3170" s="81">
        <v>58.511600000000001</v>
      </c>
      <c r="AE3170" s="87">
        <v>1</v>
      </c>
      <c r="AG3170" s="85">
        <v>7.75326</v>
      </c>
      <c r="AI3170" s="86">
        <v>8.75</v>
      </c>
      <c r="AK3170" s="81">
        <v>24.692599999999999</v>
      </c>
      <c r="AM3170" s="81">
        <v>36.730400000000003</v>
      </c>
      <c r="AO3170" s="85">
        <v>6.7759099999999997</v>
      </c>
    </row>
    <row r="3171" spans="1:41" x14ac:dyDescent="0.25">
      <c r="B3171" s="21">
        <v>45433</v>
      </c>
      <c r="C3171" s="91">
        <v>16.566800000000001</v>
      </c>
      <c r="E3171" s="83">
        <v>0.92093499999999995</v>
      </c>
      <c r="G3171" s="84">
        <v>888.97</v>
      </c>
      <c r="I3171" s="85">
        <v>6.9089600000000004</v>
      </c>
      <c r="K3171" s="85">
        <v>5.10846</v>
      </c>
      <c r="M3171" s="84">
        <v>889.49900000000002</v>
      </c>
      <c r="O3171" s="86">
        <v>3823.28</v>
      </c>
      <c r="Q3171" s="86">
        <v>7491.52</v>
      </c>
      <c r="S3171" s="86">
        <v>1466.5</v>
      </c>
      <c r="U3171" s="85">
        <v>3.7362000000000002</v>
      </c>
      <c r="W3171" s="81">
        <v>38.648600000000002</v>
      </c>
      <c r="Y3171" s="81">
        <v>7.5656299999999996</v>
      </c>
      <c r="AA3171" s="84">
        <v>511.90699999999998</v>
      </c>
      <c r="AC3171" s="81">
        <v>58.6252</v>
      </c>
      <c r="AE3171" s="87">
        <v>1</v>
      </c>
      <c r="AG3171" s="85">
        <v>7.7663200000000003</v>
      </c>
      <c r="AI3171" s="86">
        <v>8.75</v>
      </c>
      <c r="AK3171" s="81">
        <v>24.724599999999999</v>
      </c>
      <c r="AM3171" s="81">
        <v>36.8108</v>
      </c>
      <c r="AO3171" s="85">
        <v>6.7876599999999998</v>
      </c>
    </row>
    <row r="3172" spans="1:41" x14ac:dyDescent="0.25">
      <c r="B3172" s="21">
        <v>45434</v>
      </c>
      <c r="C3172" s="91">
        <v>16.613800000000001</v>
      </c>
      <c r="E3172" s="83">
        <v>0.92241200000000001</v>
      </c>
      <c r="G3172" s="84">
        <v>889.53</v>
      </c>
      <c r="I3172" s="85">
        <v>6.9107200000000004</v>
      </c>
      <c r="K3172" s="85">
        <v>5.1367399999999996</v>
      </c>
      <c r="M3172" s="84">
        <v>892.93399999999997</v>
      </c>
      <c r="O3172" s="86">
        <v>3824.59</v>
      </c>
      <c r="Q3172" s="86">
        <v>7501.03</v>
      </c>
      <c r="S3172" s="86">
        <v>1460.28</v>
      </c>
      <c r="U3172" s="85">
        <v>3.73814</v>
      </c>
      <c r="W3172" s="81">
        <v>38.469299999999997</v>
      </c>
      <c r="Y3172" s="81">
        <v>7.4890800000000004</v>
      </c>
      <c r="AA3172" s="84">
        <v>512.35400000000004</v>
      </c>
      <c r="AC3172" s="81">
        <v>58.736800000000002</v>
      </c>
      <c r="AE3172" s="87">
        <v>1</v>
      </c>
      <c r="AG3172" s="85">
        <v>7.7678900000000004</v>
      </c>
      <c r="AI3172" s="86">
        <v>8.75</v>
      </c>
      <c r="AK3172" s="81">
        <v>24.727</v>
      </c>
      <c r="AM3172" s="81">
        <v>36.809399999999997</v>
      </c>
      <c r="AO3172" s="85">
        <v>6.7885200000000001</v>
      </c>
    </row>
    <row r="3173" spans="1:41" x14ac:dyDescent="0.25">
      <c r="B3173" s="21">
        <v>45435</v>
      </c>
      <c r="C3173" s="91">
        <v>16.640499999999999</v>
      </c>
      <c r="E3173" s="83">
        <v>0.92356700000000003</v>
      </c>
      <c r="G3173" s="84">
        <v>890.10400000000004</v>
      </c>
      <c r="I3173" s="85">
        <v>6.9135400000000002</v>
      </c>
      <c r="K3173" s="85">
        <v>5.1503399999999999</v>
      </c>
      <c r="M3173" s="84">
        <v>904.22500000000002</v>
      </c>
      <c r="O3173" s="86">
        <v>3840.67</v>
      </c>
      <c r="Q3173" s="86">
        <v>7510.8</v>
      </c>
      <c r="S3173" s="86">
        <v>1458.32</v>
      </c>
      <c r="U3173" s="85">
        <v>3.7396699999999998</v>
      </c>
      <c r="W3173" s="81">
        <v>38.429900000000004</v>
      </c>
      <c r="Y3173" s="81">
        <v>7.4616600000000002</v>
      </c>
      <c r="AA3173" s="84">
        <v>512.74</v>
      </c>
      <c r="AC3173" s="81">
        <v>58.771500000000003</v>
      </c>
      <c r="AE3173" s="87">
        <v>1</v>
      </c>
      <c r="AG3173" s="85">
        <v>7.7728599999999997</v>
      </c>
      <c r="AI3173" s="86">
        <v>8.75</v>
      </c>
      <c r="AK3173" s="81">
        <v>24.7392</v>
      </c>
      <c r="AM3173" s="81">
        <v>36.814799999999998</v>
      </c>
      <c r="AO3173" s="85">
        <v>6.7906000000000004</v>
      </c>
    </row>
    <row r="3174" spans="1:41" x14ac:dyDescent="0.25">
      <c r="B3174" s="21">
        <v>45436</v>
      </c>
      <c r="C3174" s="91">
        <v>16.694500000000001</v>
      </c>
      <c r="E3174" s="83">
        <v>0.92308000000000001</v>
      </c>
      <c r="G3174" s="84">
        <v>890.49199999999996</v>
      </c>
      <c r="I3174" s="85">
        <v>6.9171500000000004</v>
      </c>
      <c r="K3174" s="85">
        <v>5.1511100000000001</v>
      </c>
      <c r="M3174" s="84">
        <v>908.27</v>
      </c>
      <c r="O3174" s="86">
        <v>3870.06</v>
      </c>
      <c r="Q3174" s="86">
        <v>7522.64</v>
      </c>
      <c r="S3174" s="86">
        <v>1460.4</v>
      </c>
      <c r="U3174" s="85">
        <v>3.7421600000000002</v>
      </c>
      <c r="W3174" s="81">
        <v>38.4572</v>
      </c>
      <c r="Y3174" s="81">
        <v>7.4658300000000004</v>
      </c>
      <c r="AA3174" s="84">
        <v>513.04999999999995</v>
      </c>
      <c r="AC3174" s="81">
        <v>58.908499999999997</v>
      </c>
      <c r="AE3174" s="87">
        <v>1</v>
      </c>
      <c r="AG3174" s="85">
        <v>7.7762900000000004</v>
      </c>
      <c r="AI3174" s="86">
        <v>8.75</v>
      </c>
      <c r="AK3174" s="81">
        <v>24.7485</v>
      </c>
      <c r="AM3174" s="81">
        <v>36.852800000000002</v>
      </c>
      <c r="AO3174" s="85">
        <v>6.7953299999999999</v>
      </c>
    </row>
    <row r="3175" spans="1:41" x14ac:dyDescent="0.25">
      <c r="B3175" s="21">
        <v>45437</v>
      </c>
      <c r="C3175" s="91">
        <v>16.694500000000001</v>
      </c>
      <c r="E3175" s="83">
        <v>0.92193499999999995</v>
      </c>
      <c r="G3175" s="84">
        <v>890.89700000000005</v>
      </c>
      <c r="I3175" s="85">
        <v>6.9092000000000002</v>
      </c>
      <c r="K3175" s="85">
        <v>5.1663500000000004</v>
      </c>
      <c r="M3175" s="84">
        <v>906.63</v>
      </c>
      <c r="O3175" s="86">
        <v>3876.51</v>
      </c>
      <c r="Q3175" s="86">
        <v>7517.79</v>
      </c>
      <c r="S3175" s="86">
        <v>1455.15</v>
      </c>
      <c r="U3175" s="85">
        <v>3.73848</v>
      </c>
      <c r="W3175" s="81">
        <v>38.455599999999997</v>
      </c>
      <c r="Y3175" s="81">
        <v>7.4434899999999997</v>
      </c>
      <c r="AA3175" s="84">
        <v>512.49900000000002</v>
      </c>
      <c r="AC3175" s="81">
        <v>58.847200000000001</v>
      </c>
      <c r="AE3175" s="87">
        <v>1</v>
      </c>
      <c r="AG3175" s="85">
        <v>7.7667200000000003</v>
      </c>
      <c r="AI3175" s="86">
        <v>8.75</v>
      </c>
      <c r="AK3175" s="81">
        <v>24.709800000000001</v>
      </c>
      <c r="AM3175" s="81">
        <v>36.778599999999997</v>
      </c>
      <c r="AO3175" s="85">
        <v>6.7887700000000004</v>
      </c>
    </row>
    <row r="3176" spans="1:41" x14ac:dyDescent="0.25">
      <c r="B3176" s="21">
        <v>45438</v>
      </c>
      <c r="C3176" s="91">
        <v>16.694500000000001</v>
      </c>
      <c r="E3176" s="83">
        <v>0.92191800000000002</v>
      </c>
      <c r="G3176" s="84">
        <v>890.74400000000003</v>
      </c>
      <c r="I3176" s="85">
        <v>6.9090199999999999</v>
      </c>
      <c r="K3176" s="85">
        <v>5.1661400000000004</v>
      </c>
      <c r="M3176" s="84">
        <v>906.62599999999998</v>
      </c>
      <c r="O3176" s="86">
        <v>3876.17</v>
      </c>
      <c r="Q3176" s="86">
        <v>7517.69</v>
      </c>
      <c r="S3176" s="86">
        <v>1455.2</v>
      </c>
      <c r="U3176" s="85">
        <v>3.7383600000000001</v>
      </c>
      <c r="W3176" s="81">
        <v>38.455399999999997</v>
      </c>
      <c r="Y3176" s="81">
        <v>7.4437600000000002</v>
      </c>
      <c r="AA3176" s="84">
        <v>512.49</v>
      </c>
      <c r="AC3176" s="81">
        <v>58.846499999999999</v>
      </c>
      <c r="AE3176" s="87">
        <v>1</v>
      </c>
      <c r="AG3176" s="85">
        <v>7.7665199999999999</v>
      </c>
      <c r="AI3176" s="86">
        <v>8.75</v>
      </c>
      <c r="AK3176" s="81">
        <v>24.709099999999999</v>
      </c>
      <c r="AM3176" s="81">
        <v>36.778199999999998</v>
      </c>
      <c r="AO3176" s="85">
        <v>6.78864</v>
      </c>
    </row>
    <row r="3177" spans="1:41" x14ac:dyDescent="0.25">
      <c r="B3177" s="21">
        <v>45439</v>
      </c>
      <c r="C3177" s="91">
        <v>16.702300000000001</v>
      </c>
      <c r="E3177" s="83">
        <v>0.92129499999999998</v>
      </c>
      <c r="G3177" s="84">
        <v>891.53599999999994</v>
      </c>
      <c r="I3177" s="85">
        <v>6.9051799999999997</v>
      </c>
      <c r="K3177" s="85">
        <v>5.1608200000000002</v>
      </c>
      <c r="M3177" s="84">
        <v>904.68200000000002</v>
      </c>
      <c r="O3177" s="86">
        <v>3866.34</v>
      </c>
      <c r="Q3177" s="86">
        <v>7516.9</v>
      </c>
      <c r="S3177" s="86">
        <v>1456.56</v>
      </c>
      <c r="U3177" s="85">
        <v>3.73733</v>
      </c>
      <c r="W3177" s="81">
        <v>38.4788</v>
      </c>
      <c r="Y3177" s="81">
        <v>7.4560500000000003</v>
      </c>
      <c r="AA3177" s="84">
        <v>512.74099999999999</v>
      </c>
      <c r="AC3177" s="81">
        <v>58.851199999999999</v>
      </c>
      <c r="AE3177" s="87">
        <v>1</v>
      </c>
      <c r="AG3177" s="85">
        <v>7.7626200000000001</v>
      </c>
      <c r="AI3177" s="86">
        <v>8.75</v>
      </c>
      <c r="AK3177" s="81">
        <v>24.6952</v>
      </c>
      <c r="AM3177" s="81">
        <v>36.782699999999998</v>
      </c>
      <c r="AO3177" s="85">
        <v>6.7853300000000001</v>
      </c>
    </row>
    <row r="3178" spans="1:41" x14ac:dyDescent="0.25">
      <c r="B3178" s="21">
        <v>45440</v>
      </c>
      <c r="C3178" s="91">
        <v>16.6568</v>
      </c>
      <c r="E3178" s="83">
        <v>0.91993000000000003</v>
      </c>
      <c r="G3178" s="84">
        <v>893.44200000000001</v>
      </c>
      <c r="I3178" s="85">
        <v>6.9066999999999998</v>
      </c>
      <c r="K3178" s="85">
        <v>5.1650999999999998</v>
      </c>
      <c r="M3178" s="84">
        <v>900.41800000000001</v>
      </c>
      <c r="O3178" s="86">
        <v>3861.38</v>
      </c>
      <c r="Q3178" s="86">
        <v>7522.67</v>
      </c>
      <c r="S3178" s="86">
        <v>1456.45</v>
      </c>
      <c r="U3178" s="85">
        <v>3.7431000000000001</v>
      </c>
      <c r="W3178" s="81">
        <v>38.503100000000003</v>
      </c>
      <c r="Y3178" s="81">
        <v>7.4545000000000003</v>
      </c>
      <c r="AA3178" s="84">
        <v>513.60799999999995</v>
      </c>
      <c r="AC3178" s="81">
        <v>58.884599999999999</v>
      </c>
      <c r="AE3178" s="87">
        <v>1</v>
      </c>
      <c r="AG3178" s="85">
        <v>7.7645999999999997</v>
      </c>
      <c r="AI3178" s="86">
        <v>8.75</v>
      </c>
      <c r="AK3178" s="81">
        <v>24.7104</v>
      </c>
      <c r="AM3178" s="81">
        <v>36.791400000000003</v>
      </c>
      <c r="AO3178" s="85">
        <v>6.7850700000000002</v>
      </c>
    </row>
    <row r="3179" spans="1:41" x14ac:dyDescent="0.25">
      <c r="B3179" s="21">
        <v>45441</v>
      </c>
      <c r="C3179" s="91">
        <v>16.745699999999999</v>
      </c>
      <c r="E3179" s="83">
        <v>0.92327999999999999</v>
      </c>
      <c r="G3179" s="84">
        <v>893.60599999999999</v>
      </c>
      <c r="I3179" s="85">
        <v>6.9201699999999997</v>
      </c>
      <c r="K3179" s="85">
        <v>5.1814499999999999</v>
      </c>
      <c r="M3179" s="84">
        <v>902.36400000000003</v>
      </c>
      <c r="O3179" s="86">
        <v>3864.76</v>
      </c>
      <c r="Q3179" s="86">
        <v>7542.93</v>
      </c>
      <c r="S3179" s="86">
        <v>1455.76</v>
      </c>
      <c r="U3179" s="85">
        <v>3.7538999999999998</v>
      </c>
      <c r="W3179" s="81">
        <v>38.583199999999998</v>
      </c>
      <c r="Y3179" s="81">
        <v>7.4464399999999999</v>
      </c>
      <c r="AA3179" s="84">
        <v>516.33399999999995</v>
      </c>
      <c r="AC3179" s="81">
        <v>59.052100000000003</v>
      </c>
      <c r="AE3179" s="87">
        <v>1</v>
      </c>
      <c r="AG3179" s="85">
        <v>7.78024</v>
      </c>
      <c r="AI3179" s="86">
        <v>8.75</v>
      </c>
      <c r="AK3179" s="81">
        <v>24.758099999999999</v>
      </c>
      <c r="AM3179" s="81">
        <v>36.846400000000003</v>
      </c>
      <c r="AO3179" s="85">
        <v>6.7976599999999996</v>
      </c>
    </row>
    <row r="3180" spans="1:41" x14ac:dyDescent="0.25">
      <c r="B3180" s="21">
        <v>45442</v>
      </c>
      <c r="C3180" s="91">
        <v>16.95</v>
      </c>
      <c r="E3180" s="83">
        <v>0.92434400000000005</v>
      </c>
      <c r="G3180" s="84">
        <v>893.99</v>
      </c>
      <c r="I3180" s="85">
        <v>6.9219600000000003</v>
      </c>
      <c r="K3180" s="85">
        <v>5.2034799999999999</v>
      </c>
      <c r="M3180" s="84">
        <v>913.33</v>
      </c>
      <c r="O3180" s="86">
        <v>3869.75</v>
      </c>
      <c r="Q3180" s="86">
        <v>7549.76</v>
      </c>
      <c r="S3180" s="86">
        <v>1450.91</v>
      </c>
      <c r="U3180" s="85">
        <v>3.7589800000000002</v>
      </c>
      <c r="W3180" s="81">
        <v>38.665799999999997</v>
      </c>
      <c r="Y3180" s="81">
        <v>7.4307800000000004</v>
      </c>
      <c r="AA3180" s="84">
        <v>518.05100000000004</v>
      </c>
      <c r="AC3180" s="81">
        <v>59.176499999999997</v>
      </c>
      <c r="AE3180" s="87">
        <v>1</v>
      </c>
      <c r="AG3180" s="85">
        <v>7.7824999999999998</v>
      </c>
      <c r="AI3180" s="86">
        <v>8.75</v>
      </c>
      <c r="AK3180" s="81">
        <v>24.773399999999999</v>
      </c>
      <c r="AM3180" s="81">
        <v>36.874699999999997</v>
      </c>
      <c r="AO3180" s="85">
        <v>6.7988799999999996</v>
      </c>
    </row>
    <row r="3181" spans="1:41" x14ac:dyDescent="0.25">
      <c r="A3181" s="92"/>
      <c r="B3181" s="21">
        <v>45443</v>
      </c>
      <c r="C3181" s="82">
        <v>16.9377</v>
      </c>
      <c r="D3181" s="92"/>
      <c r="E3181" s="93">
        <v>0.92244199999999998</v>
      </c>
      <c r="F3181" s="92"/>
      <c r="G3181" s="94">
        <v>894.83100000000002</v>
      </c>
      <c r="H3181" s="92"/>
      <c r="I3181" s="95">
        <v>6.9154400000000003</v>
      </c>
      <c r="J3181" s="92"/>
      <c r="K3181" s="95">
        <v>5.2218099999999996</v>
      </c>
      <c r="L3181" s="92"/>
      <c r="M3181" s="94">
        <v>917.322</v>
      </c>
      <c r="N3181" s="92"/>
      <c r="O3181" s="96">
        <v>3864.76</v>
      </c>
      <c r="P3181" s="92"/>
      <c r="Q3181" s="96">
        <v>7539.52</v>
      </c>
      <c r="R3181" s="92"/>
      <c r="S3181" s="96">
        <v>1443.86</v>
      </c>
      <c r="T3181" s="92"/>
      <c r="U3181" s="95">
        <v>3.75474</v>
      </c>
      <c r="V3181" s="92"/>
      <c r="W3181" s="91">
        <v>38.627400000000002</v>
      </c>
      <c r="X3181" s="92"/>
      <c r="Y3181" s="91">
        <v>7.3973599999999999</v>
      </c>
      <c r="Z3181" s="92"/>
      <c r="AA3181" s="94">
        <v>517.73800000000006</v>
      </c>
      <c r="AB3181" s="92"/>
      <c r="AC3181" s="91">
        <v>59.100200000000001</v>
      </c>
      <c r="AD3181" s="92"/>
      <c r="AE3181" s="97">
        <v>1</v>
      </c>
      <c r="AF3181" s="92"/>
      <c r="AG3181" s="95">
        <v>7.7697900000000004</v>
      </c>
      <c r="AH3181" s="92"/>
      <c r="AI3181" s="96">
        <v>8.75</v>
      </c>
      <c r="AJ3181" s="92"/>
      <c r="AK3181" s="91">
        <v>24.731999999999999</v>
      </c>
      <c r="AL3181" s="92"/>
      <c r="AM3181" s="91">
        <v>36.772799999999997</v>
      </c>
      <c r="AN3181" s="92"/>
      <c r="AO3181" s="95">
        <v>6.7881</v>
      </c>
    </row>
    <row r="3182" spans="1:41" ht="13" x14ac:dyDescent="0.3">
      <c r="B3182" s="25" t="str">
        <f>"PROM-"&amp;MONTH(B3181)&amp;YEAR(B3181)</f>
        <v>PROM-52024</v>
      </c>
      <c r="C3182" s="19">
        <f>AVERAGE(C3151:C3181)</f>
        <v>16.804483870967736</v>
      </c>
      <c r="E3182" s="24">
        <f>AVERAGE(E3151:E3181)</f>
        <v>0.92519922580645164</v>
      </c>
      <c r="G3182" s="42">
        <f>AVERAGE(G3151:G3181)</f>
        <v>885.65251612903216</v>
      </c>
      <c r="I3182" s="23">
        <f>AVERAGE(I3151:I3181)</f>
        <v>6.9123080645161297</v>
      </c>
      <c r="K3182" s="23">
        <f>AVERAGE(K3151:K3181)</f>
        <v>5.1358538709677424</v>
      </c>
      <c r="M3182" s="42">
        <f>AVERAGE(M3151:M3181)</f>
        <v>917.53829032258091</v>
      </c>
      <c r="O3182" s="80">
        <f>AVERAGE(O3151:O3181)</f>
        <v>3869.5080645161279</v>
      </c>
      <c r="Q3182" s="80">
        <f>AVERAGE(Q3151:Q3181)</f>
        <v>7498.1493548387098</v>
      </c>
      <c r="S3182" s="80">
        <f>AVERAGE(S3151:S3181)</f>
        <v>1460.033548387097</v>
      </c>
      <c r="U3182" s="23">
        <f>AVERAGE(U3151:U3181)</f>
        <v>3.7346603225806452</v>
      </c>
      <c r="W3182" s="19">
        <f>AVERAGE(W3151:W3181)</f>
        <v>38.482032258064514</v>
      </c>
      <c r="Y3182" s="19">
        <f>AVERAGE(Y3151:Y3181)</f>
        <v>7.493220322580644</v>
      </c>
      <c r="AA3182" s="42">
        <f>AVERAGE(AA3151:AA3181)</f>
        <v>512.165387096774</v>
      </c>
      <c r="AC3182" s="19">
        <f>AVERAGE(AC3151:AC3181)</f>
        <v>58.474887096774204</v>
      </c>
      <c r="AE3182" s="88">
        <f>AVERAGE(AE3151:AE3181)</f>
        <v>1</v>
      </c>
      <c r="AG3182" s="23">
        <f>AVERAGE(AG3151:AG3181)</f>
        <v>7.7696022580645163</v>
      </c>
      <c r="AI3182" s="80">
        <f>AVERAGE(AI3151:AI3181)</f>
        <v>8.75</v>
      </c>
      <c r="AK3182" s="19">
        <f>AVERAGE(AK3151:AK3181)</f>
        <v>24.720735483870971</v>
      </c>
      <c r="AM3182" s="19">
        <f>AVERAGE(AM3151:AM3181)</f>
        <v>36.788248387096772</v>
      </c>
      <c r="AO3182" s="23">
        <f>AVERAGE(AO3151:AO3181)</f>
        <v>6.7923441935483879</v>
      </c>
    </row>
    <row r="3183" spans="1:41" x14ac:dyDescent="0.25">
      <c r="B3183" s="21">
        <v>45444</v>
      </c>
      <c r="C3183" s="91">
        <v>16.9377</v>
      </c>
      <c r="E3183" s="83">
        <v>0.92178199999999999</v>
      </c>
      <c r="G3183" s="84">
        <v>895.72400000000005</v>
      </c>
      <c r="I3183" s="85">
        <v>6.92028</v>
      </c>
      <c r="K3183" s="85">
        <v>5.2459499999999997</v>
      </c>
      <c r="M3183" s="84">
        <v>917.92</v>
      </c>
      <c r="O3183" s="86">
        <v>3861.54</v>
      </c>
      <c r="Q3183" s="86">
        <v>7538.92</v>
      </c>
      <c r="S3183" s="86">
        <v>1437.1</v>
      </c>
      <c r="U3183" s="85">
        <v>3.75352</v>
      </c>
      <c r="W3183" s="81">
        <v>38.732599999999998</v>
      </c>
      <c r="Y3183" s="81">
        <v>7.3833599999999997</v>
      </c>
      <c r="AA3183" s="84">
        <v>517.87199999999996</v>
      </c>
      <c r="AC3183" s="81">
        <v>59.222499999999997</v>
      </c>
      <c r="AE3183" s="87">
        <v>1</v>
      </c>
      <c r="AG3183" s="85">
        <v>7.7705799999999998</v>
      </c>
      <c r="AI3183" s="86">
        <v>8.75</v>
      </c>
      <c r="AK3183" s="81">
        <v>24.770800000000001</v>
      </c>
      <c r="AM3183" s="81">
        <v>36.774799999999999</v>
      </c>
      <c r="AO3183" s="85">
        <v>6.7882400000000001</v>
      </c>
    </row>
    <row r="3184" spans="1:41" x14ac:dyDescent="0.25">
      <c r="B3184" s="21">
        <v>45445</v>
      </c>
      <c r="C3184" s="91">
        <v>16.9377</v>
      </c>
      <c r="E3184" s="83">
        <v>0.92175799999999997</v>
      </c>
      <c r="G3184" s="84">
        <v>895.55399999999997</v>
      </c>
      <c r="I3184" s="85">
        <v>6.9203000000000001</v>
      </c>
      <c r="K3184" s="85">
        <v>5.2450099999999997</v>
      </c>
      <c r="M3184" s="84">
        <v>917.93100000000004</v>
      </c>
      <c r="O3184" s="86">
        <v>3861.42</v>
      </c>
      <c r="Q3184" s="86">
        <v>7538.96</v>
      </c>
      <c r="S3184" s="86">
        <v>1437.36</v>
      </c>
      <c r="U3184" s="85">
        <v>3.75353</v>
      </c>
      <c r="W3184" s="81">
        <v>38.730800000000002</v>
      </c>
      <c r="Y3184" s="81">
        <v>7.3843199999999998</v>
      </c>
      <c r="AA3184" s="84">
        <v>517.85699999999997</v>
      </c>
      <c r="AC3184" s="81">
        <v>59.220999999999997</v>
      </c>
      <c r="AE3184" s="87">
        <v>1</v>
      </c>
      <c r="AG3184" s="85">
        <v>7.7706200000000001</v>
      </c>
      <c r="AI3184" s="86">
        <v>8.75</v>
      </c>
      <c r="AK3184" s="81">
        <v>24.770600000000002</v>
      </c>
      <c r="AM3184" s="81">
        <v>36.7746</v>
      </c>
      <c r="AO3184" s="85">
        <v>6.7882699999999998</v>
      </c>
    </row>
    <row r="3185" spans="2:41" x14ac:dyDescent="0.25">
      <c r="B3185" s="21">
        <v>45446</v>
      </c>
      <c r="C3185" s="91">
        <v>17.017700000000001</v>
      </c>
      <c r="E3185" s="83">
        <v>0.920207</v>
      </c>
      <c r="G3185" s="84">
        <v>895.68399999999997</v>
      </c>
      <c r="I3185" s="85">
        <v>6.9159100000000002</v>
      </c>
      <c r="K3185" s="85">
        <v>5.2424299999999997</v>
      </c>
      <c r="M3185" s="84">
        <v>913.42200000000003</v>
      </c>
      <c r="O3185" s="86">
        <v>3858.08</v>
      </c>
      <c r="Q3185" s="86">
        <v>7534.53</v>
      </c>
      <c r="S3185" s="86">
        <v>1437.23</v>
      </c>
      <c r="U3185" s="85">
        <v>3.7490399999999999</v>
      </c>
      <c r="W3185" s="81">
        <v>38.718400000000003</v>
      </c>
      <c r="Y3185" s="81">
        <v>7.3856200000000003</v>
      </c>
      <c r="AA3185" s="84">
        <v>519.17100000000005</v>
      </c>
      <c r="AC3185" s="81">
        <v>59.169699999999999</v>
      </c>
      <c r="AE3185" s="87">
        <v>1</v>
      </c>
      <c r="AG3185" s="85">
        <v>7.7685199999999996</v>
      </c>
      <c r="AI3185" s="86">
        <v>8.75</v>
      </c>
      <c r="AK3185" s="81">
        <v>24.7224</v>
      </c>
      <c r="AM3185" s="81">
        <v>36.779200000000003</v>
      </c>
      <c r="AO3185" s="85">
        <v>6.7863800000000003</v>
      </c>
    </row>
    <row r="3186" spans="2:41" x14ac:dyDescent="0.25">
      <c r="B3186" s="21">
        <v>45447</v>
      </c>
      <c r="C3186" s="91">
        <v>17.633800000000001</v>
      </c>
      <c r="E3186" s="83">
        <v>0.91858700000000004</v>
      </c>
      <c r="G3186" s="84">
        <v>896.68</v>
      </c>
      <c r="I3186" s="85">
        <v>6.9031799999999999</v>
      </c>
      <c r="K3186" s="85">
        <v>5.2658100000000001</v>
      </c>
      <c r="M3186" s="84">
        <v>905.28399999999999</v>
      </c>
      <c r="O3186" s="86">
        <v>3883.62</v>
      </c>
      <c r="Q3186" s="86">
        <v>7521.46</v>
      </c>
      <c r="S3186" s="86">
        <v>1428.36</v>
      </c>
      <c r="U3186" s="85">
        <v>3.7368100000000002</v>
      </c>
      <c r="W3186" s="81">
        <v>38.664099999999998</v>
      </c>
      <c r="Y3186" s="81">
        <v>7.3425000000000002</v>
      </c>
      <c r="AA3186" s="84">
        <v>522.14200000000005</v>
      </c>
      <c r="AC3186" s="81">
        <v>58.977600000000002</v>
      </c>
      <c r="AE3186" s="87">
        <v>1</v>
      </c>
      <c r="AG3186" s="85">
        <v>7.7576799999999997</v>
      </c>
      <c r="AI3186" s="86">
        <v>8.75</v>
      </c>
      <c r="AK3186" s="81">
        <v>24.6968</v>
      </c>
      <c r="AM3186" s="81">
        <v>36.659999999999997</v>
      </c>
      <c r="AO3186" s="85">
        <v>6.7751200000000003</v>
      </c>
    </row>
    <row r="3187" spans="2:41" x14ac:dyDescent="0.25">
      <c r="B3187" s="21">
        <v>45448</v>
      </c>
      <c r="C3187" s="91">
        <v>17.860700000000001</v>
      </c>
      <c r="E3187" s="83">
        <v>0.91962200000000005</v>
      </c>
      <c r="G3187" s="84">
        <v>897.58600000000001</v>
      </c>
      <c r="I3187" s="85">
        <v>6.9102800000000002</v>
      </c>
      <c r="K3187" s="85">
        <v>5.2911000000000001</v>
      </c>
      <c r="M3187" s="84">
        <v>906.82500000000005</v>
      </c>
      <c r="O3187" s="86">
        <v>3928.48</v>
      </c>
      <c r="Q3187" s="86">
        <v>7531.5</v>
      </c>
      <c r="S3187" s="86">
        <v>1423.44</v>
      </c>
      <c r="U3187" s="85">
        <v>3.7423600000000001</v>
      </c>
      <c r="W3187" s="81">
        <v>38.783900000000003</v>
      </c>
      <c r="Y3187" s="81">
        <v>7.33005</v>
      </c>
      <c r="AA3187" s="84">
        <v>524.93399999999997</v>
      </c>
      <c r="AC3187" s="81">
        <v>59.232599999999998</v>
      </c>
      <c r="AE3187" s="87">
        <v>1</v>
      </c>
      <c r="AG3187" s="85">
        <v>7.7642300000000004</v>
      </c>
      <c r="AI3187" s="86">
        <v>8.75</v>
      </c>
      <c r="AK3187" s="81">
        <v>24.714500000000001</v>
      </c>
      <c r="AM3187" s="81">
        <v>36.773600000000002</v>
      </c>
      <c r="AO3187" s="85">
        <v>6.7751999999999999</v>
      </c>
    </row>
    <row r="3188" spans="2:41" x14ac:dyDescent="0.25">
      <c r="B3188" s="21">
        <v>45449</v>
      </c>
      <c r="C3188" s="91">
        <v>17.559200000000001</v>
      </c>
      <c r="E3188" s="83">
        <v>0.91873199999999999</v>
      </c>
      <c r="G3188" s="84">
        <v>898.16200000000003</v>
      </c>
      <c r="I3188" s="85">
        <v>6.9082299999999996</v>
      </c>
      <c r="K3188" s="85">
        <v>5.2808000000000002</v>
      </c>
      <c r="M3188" s="84">
        <v>909.29600000000005</v>
      </c>
      <c r="O3188" s="86">
        <v>3935.08</v>
      </c>
      <c r="Q3188" s="86">
        <v>7527.19</v>
      </c>
      <c r="S3188" s="86">
        <v>1425.4</v>
      </c>
      <c r="U3188" s="85">
        <v>3.7423199999999999</v>
      </c>
      <c r="W3188" s="81">
        <v>38.844299999999997</v>
      </c>
      <c r="Y3188" s="81">
        <v>7.3558000000000003</v>
      </c>
      <c r="AA3188" s="84">
        <v>524.48900000000003</v>
      </c>
      <c r="AC3188" s="81">
        <v>59.290599999999998</v>
      </c>
      <c r="AE3188" s="87">
        <v>1</v>
      </c>
      <c r="AG3188" s="85">
        <v>7.7628300000000001</v>
      </c>
      <c r="AI3188" s="86">
        <v>8.75</v>
      </c>
      <c r="AK3188" s="81">
        <v>24.703199999999999</v>
      </c>
      <c r="AM3188" s="81">
        <v>36.779800000000002</v>
      </c>
      <c r="AO3188" s="85">
        <v>6.7682000000000002</v>
      </c>
    </row>
    <row r="3189" spans="2:41" x14ac:dyDescent="0.25">
      <c r="B3189" s="21">
        <v>45450</v>
      </c>
      <c r="C3189" s="91">
        <v>17.5335</v>
      </c>
      <c r="E3189" s="83">
        <v>0.92147199999999996</v>
      </c>
      <c r="G3189" s="84">
        <v>898.75300000000004</v>
      </c>
      <c r="I3189" s="85">
        <v>6.90639</v>
      </c>
      <c r="K3189" s="85">
        <v>5.2807000000000004</v>
      </c>
      <c r="M3189" s="84">
        <v>910.95399999999995</v>
      </c>
      <c r="O3189" s="86">
        <v>3940.8</v>
      </c>
      <c r="Q3189" s="86">
        <v>7524.47</v>
      </c>
      <c r="S3189" s="86">
        <v>1424.91</v>
      </c>
      <c r="U3189" s="85">
        <v>3.7424499999999998</v>
      </c>
      <c r="W3189" s="81">
        <v>38.904800000000002</v>
      </c>
      <c r="Y3189" s="81">
        <v>7.3673999999999999</v>
      </c>
      <c r="AA3189" s="84">
        <v>527.29100000000005</v>
      </c>
      <c r="AC3189" s="81">
        <v>59.359400000000001</v>
      </c>
      <c r="AE3189" s="87">
        <v>1</v>
      </c>
      <c r="AG3189" s="85">
        <v>7.7643199999999997</v>
      </c>
      <c r="AI3189" s="86">
        <v>8.75</v>
      </c>
      <c r="AK3189" s="81">
        <v>24.714600000000001</v>
      </c>
      <c r="AM3189" s="81">
        <v>36.764600000000002</v>
      </c>
      <c r="AO3189" s="85">
        <v>6.7659599999999998</v>
      </c>
    </row>
    <row r="3190" spans="2:41" x14ac:dyDescent="0.25">
      <c r="B3190" s="21">
        <v>45451</v>
      </c>
      <c r="C3190" s="91">
        <v>17.5335</v>
      </c>
      <c r="E3190" s="83">
        <v>0.92578000000000005</v>
      </c>
      <c r="G3190" s="84">
        <v>898.74800000000005</v>
      </c>
      <c r="I3190" s="85">
        <v>6.9080199999999996</v>
      </c>
      <c r="K3190" s="85">
        <v>5.3438999999999997</v>
      </c>
      <c r="M3190" s="84">
        <v>914.53</v>
      </c>
      <c r="O3190" s="86">
        <v>3939.26</v>
      </c>
      <c r="Q3190" s="86">
        <v>7528.17</v>
      </c>
      <c r="S3190" s="86">
        <v>1408.75</v>
      </c>
      <c r="U3190" s="85">
        <v>3.74431</v>
      </c>
      <c r="W3190" s="81">
        <v>38.965400000000002</v>
      </c>
      <c r="Y3190" s="81">
        <v>7.2915900000000002</v>
      </c>
      <c r="AA3190" s="84">
        <v>527.91</v>
      </c>
      <c r="AC3190" s="81">
        <v>59.497500000000002</v>
      </c>
      <c r="AE3190" s="87">
        <v>1</v>
      </c>
      <c r="AG3190" s="85">
        <v>7.76668</v>
      </c>
      <c r="AI3190" s="86">
        <v>8.75</v>
      </c>
      <c r="AK3190" s="81">
        <v>24.7546</v>
      </c>
      <c r="AM3190" s="81">
        <v>36.752200000000002</v>
      </c>
      <c r="AO3190" s="85">
        <v>6.7683999999999997</v>
      </c>
    </row>
    <row r="3191" spans="2:41" x14ac:dyDescent="0.25">
      <c r="B3191" s="21">
        <v>45452</v>
      </c>
      <c r="C3191" s="91">
        <v>17.5335</v>
      </c>
      <c r="E3191" s="83">
        <v>0.926064</v>
      </c>
      <c r="G3191" s="84">
        <v>899.90700000000004</v>
      </c>
      <c r="I3191" s="85">
        <v>6.9080199999999996</v>
      </c>
      <c r="K3191" s="85">
        <v>5.3439399999999999</v>
      </c>
      <c r="M3191" s="84">
        <v>914.53</v>
      </c>
      <c r="O3191" s="86">
        <v>3940.06</v>
      </c>
      <c r="Q3191" s="86">
        <v>7528.16</v>
      </c>
      <c r="S3191" s="86">
        <v>1408.74</v>
      </c>
      <c r="U3191" s="85">
        <v>3.74424</v>
      </c>
      <c r="W3191" s="81">
        <v>38.962000000000003</v>
      </c>
      <c r="Y3191" s="81">
        <v>7.2908900000000001</v>
      </c>
      <c r="AA3191" s="84">
        <v>527.98</v>
      </c>
      <c r="AC3191" s="81">
        <v>59.502899999999997</v>
      </c>
      <c r="AE3191" s="87">
        <v>1</v>
      </c>
      <c r="AG3191" s="85">
        <v>7.7666599999999999</v>
      </c>
      <c r="AI3191" s="86">
        <v>8.75</v>
      </c>
      <c r="AK3191" s="81">
        <v>24.7544</v>
      </c>
      <c r="AM3191" s="81">
        <v>36.752200000000002</v>
      </c>
      <c r="AO3191" s="85">
        <v>6.7683999999999997</v>
      </c>
    </row>
    <row r="3192" spans="2:41" x14ac:dyDescent="0.25">
      <c r="B3192" s="21">
        <v>45453</v>
      </c>
      <c r="C3192" s="91">
        <v>18.2622</v>
      </c>
      <c r="E3192" s="83">
        <v>0.92961400000000005</v>
      </c>
      <c r="G3192" s="84">
        <v>902.48199999999997</v>
      </c>
      <c r="I3192" s="85">
        <v>6.9245000000000001</v>
      </c>
      <c r="K3192" s="85">
        <v>5.3395999999999999</v>
      </c>
      <c r="M3192" s="84">
        <v>919.71799999999996</v>
      </c>
      <c r="O3192" s="86">
        <v>3976.1</v>
      </c>
      <c r="Q3192" s="86">
        <v>7544.77</v>
      </c>
      <c r="S3192" s="86">
        <v>1413.01</v>
      </c>
      <c r="U3192" s="85">
        <v>3.7547899999999998</v>
      </c>
      <c r="W3192" s="81">
        <v>39.107999999999997</v>
      </c>
      <c r="Y3192" s="81">
        <v>7.32423</v>
      </c>
      <c r="AA3192" s="84">
        <v>531.18200000000002</v>
      </c>
      <c r="AC3192" s="81">
        <v>59.8767</v>
      </c>
      <c r="AE3192" s="87">
        <v>1</v>
      </c>
      <c r="AG3192" s="85">
        <v>7.7854599999999996</v>
      </c>
      <c r="AI3192" s="86">
        <v>8.75</v>
      </c>
      <c r="AK3192" s="81">
        <v>24.775600000000001</v>
      </c>
      <c r="AM3192" s="81">
        <v>36.883400000000002</v>
      </c>
      <c r="AO3192" s="85">
        <v>6.7869700000000002</v>
      </c>
    </row>
    <row r="3193" spans="2:41" x14ac:dyDescent="0.25">
      <c r="B3193" s="21">
        <v>45454</v>
      </c>
      <c r="C3193" s="91">
        <v>18.384799999999998</v>
      </c>
      <c r="E3193" s="83">
        <v>0.93038399999999999</v>
      </c>
      <c r="G3193" s="84">
        <v>901.89700000000005</v>
      </c>
      <c r="I3193" s="85">
        <v>6.9071499999999997</v>
      </c>
      <c r="K3193" s="85">
        <v>5.3569100000000001</v>
      </c>
      <c r="M3193" s="84">
        <v>921.98299999999995</v>
      </c>
      <c r="O3193" s="86">
        <v>3963.44</v>
      </c>
      <c r="Q3193" s="86">
        <v>7524.4</v>
      </c>
      <c r="S3193" s="86">
        <v>1404.62</v>
      </c>
      <c r="U3193" s="85">
        <v>3.7521599999999999</v>
      </c>
      <c r="W3193" s="81">
        <v>38.8093</v>
      </c>
      <c r="Y3193" s="81">
        <v>7.2447499999999998</v>
      </c>
      <c r="AA3193" s="84">
        <v>530.68399999999997</v>
      </c>
      <c r="AC3193" s="81">
        <v>59.6678</v>
      </c>
      <c r="AE3193" s="87">
        <v>1</v>
      </c>
      <c r="AG3193" s="85">
        <v>7.7654300000000003</v>
      </c>
      <c r="AI3193" s="86">
        <v>8.75</v>
      </c>
      <c r="AK3193" s="81">
        <v>24.708200000000001</v>
      </c>
      <c r="AM3193" s="81">
        <v>36.756999999999998</v>
      </c>
      <c r="AO3193" s="85">
        <v>6.7731199999999996</v>
      </c>
    </row>
    <row r="3194" spans="2:41" x14ac:dyDescent="0.25">
      <c r="B3194" s="21">
        <v>45455</v>
      </c>
      <c r="C3194" s="91">
        <v>18.445699999999999</v>
      </c>
      <c r="E3194" s="83">
        <v>0.92732199999999998</v>
      </c>
      <c r="G3194" s="84">
        <v>901.97400000000005</v>
      </c>
      <c r="I3194" s="85">
        <v>6.9090400000000001</v>
      </c>
      <c r="K3194" s="85">
        <v>5.37941</v>
      </c>
      <c r="M3194" s="84">
        <v>920.81899999999996</v>
      </c>
      <c r="O3194" s="86">
        <v>4002.6</v>
      </c>
      <c r="Q3194" s="86">
        <v>7523.2</v>
      </c>
      <c r="S3194" s="86">
        <v>1398.52</v>
      </c>
      <c r="U3194" s="85">
        <v>3.78294</v>
      </c>
      <c r="W3194" s="81">
        <v>38.997199999999999</v>
      </c>
      <c r="Y3194" s="81">
        <v>7.24939</v>
      </c>
      <c r="AA3194" s="84">
        <v>531.226</v>
      </c>
      <c r="AC3194" s="81">
        <v>59.438400000000001</v>
      </c>
      <c r="AE3194" s="87">
        <v>1</v>
      </c>
      <c r="AG3194" s="85">
        <v>7.7668900000000001</v>
      </c>
      <c r="AI3194" s="86">
        <v>8.75</v>
      </c>
      <c r="AK3194" s="81">
        <v>24.723600000000001</v>
      </c>
      <c r="AM3194" s="81">
        <v>36.802799999999998</v>
      </c>
      <c r="AO3194" s="85">
        <v>6.7776199999999998</v>
      </c>
    </row>
    <row r="3195" spans="2:41" x14ac:dyDescent="0.25">
      <c r="B3195" s="21">
        <v>45456</v>
      </c>
      <c r="C3195" s="91">
        <v>18.783200000000001</v>
      </c>
      <c r="E3195" s="83">
        <v>0.92764599999999997</v>
      </c>
      <c r="G3195" s="84">
        <v>902.09799999999996</v>
      </c>
      <c r="I3195" s="85">
        <v>6.9097999999999997</v>
      </c>
      <c r="K3195" s="85">
        <v>5.3907299999999996</v>
      </c>
      <c r="M3195" s="84">
        <v>917.54700000000003</v>
      </c>
      <c r="O3195" s="86">
        <v>4060.06</v>
      </c>
      <c r="Q3195" s="86">
        <v>7517.42</v>
      </c>
      <c r="S3195" s="86">
        <v>1394.52</v>
      </c>
      <c r="U3195" s="85">
        <v>3.7745099999999998</v>
      </c>
      <c r="W3195" s="81">
        <v>39.1004</v>
      </c>
      <c r="Y3195" s="81">
        <v>7.2533000000000003</v>
      </c>
      <c r="AA3195" s="84">
        <v>529.99199999999996</v>
      </c>
      <c r="AC3195" s="81">
        <v>59.2346</v>
      </c>
      <c r="AE3195" s="87">
        <v>1</v>
      </c>
      <c r="AG3195" s="85">
        <v>7.7679400000000003</v>
      </c>
      <c r="AI3195" s="86">
        <v>8.75</v>
      </c>
      <c r="AK3195" s="81">
        <v>24.715</v>
      </c>
      <c r="AM3195" s="81">
        <v>36.7194</v>
      </c>
      <c r="AO3195" s="85">
        <v>6.7858799999999997</v>
      </c>
    </row>
    <row r="3196" spans="2:41" x14ac:dyDescent="0.25">
      <c r="B3196" s="21">
        <v>45457</v>
      </c>
      <c r="C3196" s="91">
        <v>18.538499999999999</v>
      </c>
      <c r="E3196" s="83">
        <v>0.933863</v>
      </c>
      <c r="G3196" s="84">
        <v>902.51800000000003</v>
      </c>
      <c r="I3196" s="85">
        <v>6.9318799999999996</v>
      </c>
      <c r="K3196" s="85">
        <v>5.3674200000000001</v>
      </c>
      <c r="M3196" s="84">
        <v>923.23800000000006</v>
      </c>
      <c r="O3196" s="86">
        <v>4143.28</v>
      </c>
      <c r="Q3196" s="86">
        <v>7532</v>
      </c>
      <c r="S3196" s="86">
        <v>1403.28</v>
      </c>
      <c r="U3196" s="85">
        <v>3.7808099999999998</v>
      </c>
      <c r="W3196" s="81">
        <v>39.2408</v>
      </c>
      <c r="Y3196" s="81">
        <v>7.3109599999999997</v>
      </c>
      <c r="AA3196" s="84">
        <v>529.13099999999997</v>
      </c>
      <c r="AC3196" s="81">
        <v>59.581499999999998</v>
      </c>
      <c r="AE3196" s="87">
        <v>1</v>
      </c>
      <c r="AG3196" s="85">
        <v>7.7932199999999998</v>
      </c>
      <c r="AI3196" s="86">
        <v>8.75</v>
      </c>
      <c r="AK3196" s="81">
        <v>24.810199999999998</v>
      </c>
      <c r="AM3196" s="81">
        <v>36.911700000000003</v>
      </c>
      <c r="AO3196" s="85">
        <v>6.8072800000000004</v>
      </c>
    </row>
    <row r="3197" spans="2:41" x14ac:dyDescent="0.25">
      <c r="B3197" s="21">
        <v>45458</v>
      </c>
      <c r="C3197" s="91">
        <v>18.538499999999999</v>
      </c>
      <c r="E3197" s="83">
        <v>0.93433500000000003</v>
      </c>
      <c r="G3197" s="84">
        <v>903.01499999999999</v>
      </c>
      <c r="I3197" s="85">
        <v>6.9230400000000003</v>
      </c>
      <c r="K3197" s="85">
        <v>5.3769</v>
      </c>
      <c r="M3197" s="84">
        <v>932.13</v>
      </c>
      <c r="O3197" s="86">
        <v>4135.6099999999997</v>
      </c>
      <c r="Q3197" s="86">
        <v>7519.64</v>
      </c>
      <c r="S3197" s="86">
        <v>1398.52</v>
      </c>
      <c r="U3197" s="85">
        <v>3.7748200000000001</v>
      </c>
      <c r="W3197" s="81">
        <v>39.240400000000001</v>
      </c>
      <c r="Y3197" s="81">
        <v>7.2979599999999998</v>
      </c>
      <c r="AA3197" s="84">
        <v>528.4</v>
      </c>
      <c r="AC3197" s="81">
        <v>59.42</v>
      </c>
      <c r="AE3197" s="87">
        <v>1</v>
      </c>
      <c r="AG3197" s="85">
        <v>7.7834000000000003</v>
      </c>
      <c r="AI3197" s="86">
        <v>8.75</v>
      </c>
      <c r="AK3197" s="81">
        <v>24.8126</v>
      </c>
      <c r="AM3197" s="81">
        <v>36.799799999999998</v>
      </c>
      <c r="AO3197" s="85">
        <v>6.7972799999999998</v>
      </c>
    </row>
    <row r="3198" spans="2:41" x14ac:dyDescent="0.25">
      <c r="B3198" s="21">
        <v>45459</v>
      </c>
      <c r="C3198" s="91">
        <v>18.538499999999999</v>
      </c>
      <c r="E3198" s="83">
        <v>0.93430800000000003</v>
      </c>
      <c r="G3198" s="84">
        <v>902.87300000000005</v>
      </c>
      <c r="I3198" s="85">
        <v>6.9207599999999996</v>
      </c>
      <c r="K3198" s="85">
        <v>5.3743400000000001</v>
      </c>
      <c r="M3198" s="84">
        <v>931.28599999999994</v>
      </c>
      <c r="O3198" s="86">
        <v>4136.5600000000004</v>
      </c>
      <c r="Q3198" s="86">
        <v>7519.04</v>
      </c>
      <c r="S3198" s="86">
        <v>1399.08</v>
      </c>
      <c r="U3198" s="85">
        <v>3.7749799999999998</v>
      </c>
      <c r="W3198" s="81">
        <v>39.229799999999997</v>
      </c>
      <c r="Y3198" s="81">
        <v>7.2995200000000002</v>
      </c>
      <c r="AA3198" s="84">
        <v>528.20399999999995</v>
      </c>
      <c r="AC3198" s="81">
        <v>59.403799999999997</v>
      </c>
      <c r="AE3198" s="87">
        <v>1</v>
      </c>
      <c r="AG3198" s="85">
        <v>7.7807599999999999</v>
      </c>
      <c r="AI3198" s="86">
        <v>8.75</v>
      </c>
      <c r="AK3198" s="81">
        <v>24.798200000000001</v>
      </c>
      <c r="AM3198" s="81">
        <v>36.794600000000003</v>
      </c>
      <c r="AO3198" s="85">
        <v>6.7964599999999997</v>
      </c>
    </row>
    <row r="3199" spans="2:41" x14ac:dyDescent="0.25">
      <c r="B3199" s="21">
        <v>45460</v>
      </c>
      <c r="C3199" s="91">
        <v>18.4512</v>
      </c>
      <c r="E3199" s="83">
        <v>0.93322300000000002</v>
      </c>
      <c r="G3199" s="84">
        <v>902.73599999999999</v>
      </c>
      <c r="I3199" s="85">
        <v>6.9033600000000002</v>
      </c>
      <c r="K3199" s="85">
        <v>5.3897399999999998</v>
      </c>
      <c r="M3199" s="84">
        <v>926.35900000000004</v>
      </c>
      <c r="O3199" s="86">
        <v>4138.6000000000004</v>
      </c>
      <c r="Q3199" s="86">
        <v>7516.22</v>
      </c>
      <c r="S3199" s="86">
        <v>1394.56</v>
      </c>
      <c r="U3199" s="85">
        <v>3.7740999999999998</v>
      </c>
      <c r="W3199" s="81">
        <v>39.224800000000002</v>
      </c>
      <c r="Y3199" s="81">
        <v>7.2777700000000003</v>
      </c>
      <c r="AA3199" s="84">
        <v>526.18200000000002</v>
      </c>
      <c r="AC3199" s="81">
        <v>59.299799999999998</v>
      </c>
      <c r="AE3199" s="87">
        <v>1</v>
      </c>
      <c r="AG3199" s="85">
        <v>7.7611800000000004</v>
      </c>
      <c r="AI3199" s="86">
        <v>8.75</v>
      </c>
      <c r="AK3199" s="81">
        <v>24.6952</v>
      </c>
      <c r="AM3199" s="81">
        <v>36.773200000000003</v>
      </c>
      <c r="AO3199" s="85">
        <v>6.7891500000000002</v>
      </c>
    </row>
    <row r="3200" spans="2:41" x14ac:dyDescent="0.25">
      <c r="B3200" s="21">
        <v>45461</v>
      </c>
      <c r="C3200" s="91">
        <v>18.524799999999999</v>
      </c>
      <c r="E3200" s="83">
        <v>0.93185799999999996</v>
      </c>
      <c r="G3200" s="84">
        <v>903.952</v>
      </c>
      <c r="I3200" s="85">
        <v>6.9012599999999997</v>
      </c>
      <c r="K3200" s="85">
        <v>5.4222599999999996</v>
      </c>
      <c r="M3200" s="84">
        <v>931.35400000000004</v>
      </c>
      <c r="O3200" s="86">
        <v>4133.22</v>
      </c>
      <c r="Q3200" s="86">
        <v>7514.9</v>
      </c>
      <c r="S3200" s="86">
        <v>1385.94</v>
      </c>
      <c r="U3200" s="85">
        <v>3.7760600000000002</v>
      </c>
      <c r="W3200" s="81">
        <v>39.218200000000003</v>
      </c>
      <c r="Y3200" s="81">
        <v>7.2328400000000004</v>
      </c>
      <c r="AA3200" s="84">
        <v>525.505</v>
      </c>
      <c r="AC3200" s="81">
        <v>59.1586</v>
      </c>
      <c r="AE3200" s="87">
        <v>1</v>
      </c>
      <c r="AG3200" s="85">
        <v>7.7565200000000001</v>
      </c>
      <c r="AI3200" s="86">
        <v>8.75</v>
      </c>
      <c r="AK3200" s="81">
        <v>24.756499999999999</v>
      </c>
      <c r="AM3200" s="81">
        <v>36.773000000000003</v>
      </c>
      <c r="AO3200" s="85">
        <v>6.7866600000000004</v>
      </c>
    </row>
    <row r="3201" spans="2:41" x14ac:dyDescent="0.25">
      <c r="B3201" s="21">
        <v>45462</v>
      </c>
      <c r="C3201" s="91">
        <v>18.412800000000001</v>
      </c>
      <c r="E3201" s="83">
        <v>0.93090899999999999</v>
      </c>
      <c r="G3201" s="84">
        <v>905.73599999999999</v>
      </c>
      <c r="I3201" s="85">
        <v>6.9039900000000003</v>
      </c>
      <c r="K3201" s="85">
        <v>5.4459200000000001</v>
      </c>
      <c r="M3201" s="84">
        <v>933.57500000000005</v>
      </c>
      <c r="O3201" s="86">
        <v>4150.38</v>
      </c>
      <c r="Q3201" s="86">
        <v>7518.91</v>
      </c>
      <c r="S3201" s="86">
        <v>1380.66</v>
      </c>
      <c r="U3201" s="85">
        <v>3.7848799999999998</v>
      </c>
      <c r="W3201" s="81">
        <v>39.262799999999999</v>
      </c>
      <c r="Y3201" s="81">
        <v>7.2096</v>
      </c>
      <c r="AA3201" s="84">
        <v>524.69200000000001</v>
      </c>
      <c r="AC3201" s="81">
        <v>59.120399999999997</v>
      </c>
      <c r="AE3201" s="87">
        <v>1</v>
      </c>
      <c r="AG3201" s="85">
        <v>7.7560799999999999</v>
      </c>
      <c r="AI3201" s="86">
        <v>8.75</v>
      </c>
      <c r="AK3201" s="81">
        <v>24.741399999999999</v>
      </c>
      <c r="AM3201" s="81">
        <v>36.772799999999997</v>
      </c>
      <c r="AO3201" s="85">
        <v>6.7881900000000002</v>
      </c>
    </row>
    <row r="3202" spans="2:41" x14ac:dyDescent="0.25">
      <c r="B3202" s="21">
        <v>45463</v>
      </c>
      <c r="C3202" s="91">
        <v>18.422999999999998</v>
      </c>
      <c r="E3202" s="83">
        <v>0.93256399999999995</v>
      </c>
      <c r="G3202" s="84">
        <v>905.74199999999996</v>
      </c>
      <c r="I3202" s="85">
        <v>6.9080399999999997</v>
      </c>
      <c r="K3202" s="85">
        <v>5.4329900000000002</v>
      </c>
      <c r="M3202" s="84">
        <v>932.93100000000004</v>
      </c>
      <c r="O3202" s="86">
        <v>4165.28</v>
      </c>
      <c r="Q3202" s="86">
        <v>7525.14</v>
      </c>
      <c r="S3202" s="86">
        <v>1385.09</v>
      </c>
      <c r="U3202" s="85">
        <v>3.7922500000000001</v>
      </c>
      <c r="W3202" s="81">
        <v>39.356200000000001</v>
      </c>
      <c r="Y3202" s="81">
        <v>7.2439600000000004</v>
      </c>
      <c r="AA3202" s="84">
        <v>524.20000000000005</v>
      </c>
      <c r="AC3202" s="81">
        <v>59.068800000000003</v>
      </c>
      <c r="AE3202" s="87">
        <v>1</v>
      </c>
      <c r="AG3202" s="85">
        <v>7.7596999999999996</v>
      </c>
      <c r="AI3202" s="86">
        <v>8.75</v>
      </c>
      <c r="AK3202" s="81">
        <v>24.764800000000001</v>
      </c>
      <c r="AM3202" s="81">
        <v>36.805199999999999</v>
      </c>
      <c r="AO3202" s="85">
        <v>6.7911999999999999</v>
      </c>
    </row>
    <row r="3203" spans="2:41" x14ac:dyDescent="0.25">
      <c r="B3203" s="21">
        <v>45464</v>
      </c>
      <c r="C3203" s="91">
        <v>18.402699999999999</v>
      </c>
      <c r="E3203" s="83">
        <v>0.93480600000000003</v>
      </c>
      <c r="G3203" s="84">
        <v>905.67600000000004</v>
      </c>
      <c r="I3203" s="85">
        <v>6.9114599999999999</v>
      </c>
      <c r="K3203" s="85">
        <v>5.4470400000000003</v>
      </c>
      <c r="M3203" s="84">
        <v>934.77700000000004</v>
      </c>
      <c r="O3203" s="86">
        <v>4157.3100000000004</v>
      </c>
      <c r="Q3203" s="86">
        <v>7528.22</v>
      </c>
      <c r="S3203" s="86">
        <v>1382.08</v>
      </c>
      <c r="U3203" s="85">
        <v>3.7949099999999998</v>
      </c>
      <c r="W3203" s="81">
        <v>39.403799999999997</v>
      </c>
      <c r="Y3203" s="81">
        <v>7.2340200000000001</v>
      </c>
      <c r="AA3203" s="84">
        <v>523.48099999999999</v>
      </c>
      <c r="AC3203" s="81">
        <v>59.064900000000002</v>
      </c>
      <c r="AE3203" s="87">
        <v>1</v>
      </c>
      <c r="AG3203" s="85">
        <v>7.7624599999999999</v>
      </c>
      <c r="AI3203" s="86">
        <v>8.75</v>
      </c>
      <c r="AK3203" s="81">
        <v>24.740600000000001</v>
      </c>
      <c r="AM3203" s="81">
        <v>36.836599999999997</v>
      </c>
      <c r="AO3203" s="85">
        <v>6.7923299999999998</v>
      </c>
    </row>
    <row r="3204" spans="2:41" x14ac:dyDescent="0.25">
      <c r="B3204" s="21">
        <v>45465</v>
      </c>
      <c r="C3204" s="91">
        <v>18.402699999999999</v>
      </c>
      <c r="E3204" s="83">
        <v>0.93521799999999999</v>
      </c>
      <c r="G3204" s="84">
        <v>905.55600000000004</v>
      </c>
      <c r="I3204" s="85">
        <v>6.9079600000000001</v>
      </c>
      <c r="K3204" s="85">
        <v>5.4316000000000004</v>
      </c>
      <c r="M3204" s="84">
        <v>940.97</v>
      </c>
      <c r="O3204" s="86">
        <v>4151.0600000000004</v>
      </c>
      <c r="Q3204" s="86">
        <v>7524.93</v>
      </c>
      <c r="S3204" s="86">
        <v>1385.4</v>
      </c>
      <c r="U3204" s="85">
        <v>3.7924000000000002</v>
      </c>
      <c r="W3204" s="81">
        <v>39.352400000000003</v>
      </c>
      <c r="Y3204" s="81">
        <v>7.24512</v>
      </c>
      <c r="AA3204" s="84">
        <v>523.12599999999998</v>
      </c>
      <c r="AC3204" s="81">
        <v>59.022500000000001</v>
      </c>
      <c r="AE3204" s="87">
        <v>1</v>
      </c>
      <c r="AG3204" s="85">
        <v>7.7582399999999998</v>
      </c>
      <c r="AI3204" s="86">
        <v>8.75</v>
      </c>
      <c r="AK3204" s="81">
        <v>24.724499999999999</v>
      </c>
      <c r="AM3204" s="81">
        <v>36.779800000000002</v>
      </c>
      <c r="AO3204" s="85">
        <v>6.78742</v>
      </c>
    </row>
    <row r="3205" spans="2:41" x14ac:dyDescent="0.25">
      <c r="B3205" s="21">
        <v>45466</v>
      </c>
      <c r="C3205" s="91">
        <v>18.402699999999999</v>
      </c>
      <c r="E3205" s="83">
        <v>0.93522799999999995</v>
      </c>
      <c r="G3205" s="84">
        <v>905.49300000000005</v>
      </c>
      <c r="I3205" s="85">
        <v>6.9079199999999998</v>
      </c>
      <c r="K3205" s="85">
        <v>5.4319800000000003</v>
      </c>
      <c r="M3205" s="84">
        <v>940.899</v>
      </c>
      <c r="O3205" s="86">
        <v>4151.42</v>
      </c>
      <c r="Q3205" s="86">
        <v>7524.87</v>
      </c>
      <c r="S3205" s="86">
        <v>1385.3</v>
      </c>
      <c r="U3205" s="85">
        <v>3.7928600000000001</v>
      </c>
      <c r="W3205" s="81">
        <v>39.353000000000002</v>
      </c>
      <c r="Y3205" s="81">
        <v>7.24472</v>
      </c>
      <c r="AA3205" s="84">
        <v>523.1</v>
      </c>
      <c r="AC3205" s="81">
        <v>59.019799999999996</v>
      </c>
      <c r="AE3205" s="87">
        <v>1</v>
      </c>
      <c r="AG3205" s="85">
        <v>7.7581800000000003</v>
      </c>
      <c r="AI3205" s="86">
        <v>8.75</v>
      </c>
      <c r="AK3205" s="81">
        <v>24.724299999999999</v>
      </c>
      <c r="AM3205" s="81">
        <v>36.779000000000003</v>
      </c>
      <c r="AO3205" s="85">
        <v>6.7873200000000002</v>
      </c>
    </row>
    <row r="3206" spans="2:41" x14ac:dyDescent="0.25">
      <c r="B3206" s="21">
        <v>45467</v>
      </c>
      <c r="C3206" s="91">
        <v>18.184799999999999</v>
      </c>
      <c r="E3206" s="83">
        <v>0.93297200000000002</v>
      </c>
      <c r="G3206" s="84">
        <v>906.93499999999995</v>
      </c>
      <c r="I3206" s="85">
        <v>6.9059400000000002</v>
      </c>
      <c r="K3206" s="85">
        <v>5.41418</v>
      </c>
      <c r="M3206" s="84">
        <v>937.87199999999996</v>
      </c>
      <c r="O3206" s="86">
        <v>4134.84</v>
      </c>
      <c r="Q3206" s="86">
        <v>7523.86</v>
      </c>
      <c r="S3206" s="86">
        <v>1389.67</v>
      </c>
      <c r="U3206" s="85">
        <v>3.8017400000000001</v>
      </c>
      <c r="W3206" s="81">
        <v>39.412199999999999</v>
      </c>
      <c r="Y3206" s="81">
        <v>7.27949</v>
      </c>
      <c r="AA3206" s="84">
        <v>522.31799999999998</v>
      </c>
      <c r="AC3206" s="81">
        <v>58.985399999999998</v>
      </c>
      <c r="AE3206" s="87">
        <v>1</v>
      </c>
      <c r="AG3206" s="85">
        <v>7.7583399999999996</v>
      </c>
      <c r="AI3206" s="86">
        <v>8.75</v>
      </c>
      <c r="AK3206" s="81">
        <v>24.730699999999999</v>
      </c>
      <c r="AM3206" s="81">
        <v>36.779200000000003</v>
      </c>
      <c r="AO3206" s="85">
        <v>6.7855100000000004</v>
      </c>
    </row>
    <row r="3207" spans="2:41" x14ac:dyDescent="0.25">
      <c r="B3207" s="21">
        <v>45468</v>
      </c>
      <c r="C3207" s="91">
        <v>17.962700000000002</v>
      </c>
      <c r="E3207" s="83">
        <v>0.93273799999999996</v>
      </c>
      <c r="G3207" s="84">
        <v>909.048</v>
      </c>
      <c r="I3207" s="85">
        <v>6.9077500000000001</v>
      </c>
      <c r="K3207" s="85">
        <v>5.4165799999999997</v>
      </c>
      <c r="M3207" s="84">
        <v>943.89099999999996</v>
      </c>
      <c r="O3207" s="86">
        <v>4090.5</v>
      </c>
      <c r="Q3207" s="86">
        <v>7529.59</v>
      </c>
      <c r="S3207" s="86">
        <v>1390.11</v>
      </c>
      <c r="U3207" s="85">
        <v>3.8027199999999999</v>
      </c>
      <c r="W3207" s="81">
        <v>39.492400000000004</v>
      </c>
      <c r="Y3207" s="81">
        <v>7.2910399999999997</v>
      </c>
      <c r="AA3207" s="84">
        <v>522.61800000000005</v>
      </c>
      <c r="AC3207" s="81">
        <v>59.076099999999997</v>
      </c>
      <c r="AE3207" s="87">
        <v>1</v>
      </c>
      <c r="AG3207" s="85">
        <v>7.7620399999999998</v>
      </c>
      <c r="AI3207" s="86">
        <v>8.75</v>
      </c>
      <c r="AK3207" s="81">
        <v>24.741599999999998</v>
      </c>
      <c r="AM3207" s="81">
        <v>36.806199999999997</v>
      </c>
      <c r="AO3207" s="85">
        <v>6.7888599999999997</v>
      </c>
    </row>
    <row r="3208" spans="2:41" x14ac:dyDescent="0.25">
      <c r="B3208" s="21">
        <v>45469</v>
      </c>
      <c r="C3208" s="91">
        <v>18.1372</v>
      </c>
      <c r="E3208" s="83">
        <v>0.93533599999999995</v>
      </c>
      <c r="G3208" s="84">
        <v>909.95600000000002</v>
      </c>
      <c r="I3208" s="85">
        <v>6.9092399999999996</v>
      </c>
      <c r="K3208" s="85">
        <v>5.4826699999999997</v>
      </c>
      <c r="M3208" s="84">
        <v>943.25800000000004</v>
      </c>
      <c r="O3208" s="86">
        <v>4111.13</v>
      </c>
      <c r="Q3208" s="86">
        <v>7535.2</v>
      </c>
      <c r="S3208" s="86">
        <v>1374.38</v>
      </c>
      <c r="U3208" s="85">
        <v>3.8063400000000001</v>
      </c>
      <c r="W3208" s="81">
        <v>39.438099999999999</v>
      </c>
      <c r="Y3208" s="81">
        <v>7.1932499999999999</v>
      </c>
      <c r="AA3208" s="84">
        <v>522.88400000000001</v>
      </c>
      <c r="AC3208" s="81">
        <v>59.139800000000001</v>
      </c>
      <c r="AE3208" s="87">
        <v>1</v>
      </c>
      <c r="AG3208" s="85">
        <v>7.7656400000000003</v>
      </c>
      <c r="AI3208" s="86">
        <v>8.75</v>
      </c>
      <c r="AK3208" s="81">
        <v>24.757300000000001</v>
      </c>
      <c r="AM3208" s="81">
        <v>36.830199999999998</v>
      </c>
      <c r="AO3208" s="85">
        <v>6.7914399999999997</v>
      </c>
    </row>
    <row r="3209" spans="2:41" x14ac:dyDescent="0.25">
      <c r="B3209" s="21">
        <v>45470</v>
      </c>
      <c r="C3209" s="91">
        <v>18.221499999999999</v>
      </c>
      <c r="E3209" s="83">
        <v>0.934612</v>
      </c>
      <c r="G3209" s="84">
        <v>911.12</v>
      </c>
      <c r="I3209" s="85">
        <v>6.9101299999999997</v>
      </c>
      <c r="K3209" s="85">
        <v>5.51762</v>
      </c>
      <c r="M3209" s="84">
        <v>950.11</v>
      </c>
      <c r="O3209" s="86">
        <v>4153.96</v>
      </c>
      <c r="Q3209" s="86">
        <v>7537.26</v>
      </c>
      <c r="S3209" s="86">
        <v>1366.04</v>
      </c>
      <c r="U3209" s="85">
        <v>3.8104800000000001</v>
      </c>
      <c r="W3209" s="81">
        <v>39.394799999999996</v>
      </c>
      <c r="Y3209" s="81">
        <v>7.1398299999999999</v>
      </c>
      <c r="AA3209" s="84">
        <v>522.88400000000001</v>
      </c>
      <c r="AC3209" s="81">
        <v>59.106299999999997</v>
      </c>
      <c r="AE3209" s="87">
        <v>1</v>
      </c>
      <c r="AG3209" s="85">
        <v>7.7688300000000003</v>
      </c>
      <c r="AI3209" s="86">
        <v>8.75</v>
      </c>
      <c r="AK3209" s="81">
        <v>24.7516</v>
      </c>
      <c r="AM3209" s="81">
        <v>36.8292</v>
      </c>
      <c r="AO3209" s="85">
        <v>6.7936199999999998</v>
      </c>
    </row>
    <row r="3210" spans="2:41" x14ac:dyDescent="0.25">
      <c r="B3210" s="21">
        <v>45471</v>
      </c>
      <c r="C3210" s="91">
        <v>18.377300000000002</v>
      </c>
      <c r="E3210" s="83">
        <v>0.93423400000000001</v>
      </c>
      <c r="G3210" s="84">
        <v>911.26099999999997</v>
      </c>
      <c r="I3210" s="85">
        <v>6.91153</v>
      </c>
      <c r="K3210" s="85">
        <v>5.53728</v>
      </c>
      <c r="M3210" s="84">
        <v>951.31299999999999</v>
      </c>
      <c r="O3210" s="86">
        <v>4154.68</v>
      </c>
      <c r="Q3210" s="86">
        <v>7539.92</v>
      </c>
      <c r="S3210" s="86">
        <v>1361.68</v>
      </c>
      <c r="U3210" s="85">
        <v>3.8199000000000001</v>
      </c>
      <c r="W3210" s="81">
        <v>39.428600000000003</v>
      </c>
      <c r="Y3210" s="81">
        <v>7.1205999999999996</v>
      </c>
      <c r="AA3210" s="84">
        <v>523.15599999999995</v>
      </c>
      <c r="AC3210" s="81">
        <v>59.079099999999997</v>
      </c>
      <c r="AE3210" s="87">
        <v>1</v>
      </c>
      <c r="AG3210" s="85">
        <v>7.7716599999999998</v>
      </c>
      <c r="AI3210" s="86">
        <v>8.75</v>
      </c>
      <c r="AK3210" s="81">
        <v>24.756</v>
      </c>
      <c r="AM3210" s="81">
        <v>36.819200000000002</v>
      </c>
      <c r="AO3210" s="85">
        <v>6.7939600000000002</v>
      </c>
    </row>
    <row r="3211" spans="2:41" x14ac:dyDescent="0.25">
      <c r="B3211" s="21">
        <v>45472</v>
      </c>
      <c r="C3211" s="91">
        <v>18.377300000000002</v>
      </c>
      <c r="E3211" s="83">
        <v>0.93343600000000004</v>
      </c>
      <c r="G3211" s="84">
        <v>911.50099999999998</v>
      </c>
      <c r="I3211" s="85">
        <v>6.9110500000000004</v>
      </c>
      <c r="K3211" s="85">
        <v>5.5940000000000003</v>
      </c>
      <c r="M3211" s="84">
        <v>947.05</v>
      </c>
      <c r="O3211" s="86">
        <v>4150.2</v>
      </c>
      <c r="Q3211" s="86">
        <v>7540.72</v>
      </c>
      <c r="S3211" s="86">
        <v>1348.01</v>
      </c>
      <c r="U3211" s="85">
        <v>3.8198400000000001</v>
      </c>
      <c r="W3211" s="81">
        <v>39.507599999999996</v>
      </c>
      <c r="Y3211" s="81">
        <v>7.0625400000000003</v>
      </c>
      <c r="AA3211" s="84">
        <v>523.28800000000001</v>
      </c>
      <c r="AC3211" s="81">
        <v>59.071800000000003</v>
      </c>
      <c r="AE3211" s="87">
        <v>1</v>
      </c>
      <c r="AG3211" s="85">
        <v>7.7714999999999996</v>
      </c>
      <c r="AI3211" s="86">
        <v>8.75</v>
      </c>
      <c r="AK3211" s="81">
        <v>24.755400000000002</v>
      </c>
      <c r="AM3211" s="81">
        <v>36.814399999999999</v>
      </c>
      <c r="AO3211" s="85">
        <v>6.7917800000000002</v>
      </c>
    </row>
    <row r="3212" spans="2:41" x14ac:dyDescent="0.25">
      <c r="B3212" s="21">
        <v>45473</v>
      </c>
      <c r="C3212" s="82">
        <v>18.377300000000002</v>
      </c>
      <c r="D3212" s="92"/>
      <c r="E3212" s="93">
        <v>0.93317399999999995</v>
      </c>
      <c r="F3212" s="92"/>
      <c r="G3212" s="94">
        <v>911.13300000000004</v>
      </c>
      <c r="H3212" s="92"/>
      <c r="I3212" s="95">
        <v>6.9110300000000002</v>
      </c>
      <c r="J3212" s="92"/>
      <c r="K3212" s="95">
        <v>5.5939399999999999</v>
      </c>
      <c r="L3212" s="92"/>
      <c r="M3212" s="94">
        <v>947.05</v>
      </c>
      <c r="N3212" s="92"/>
      <c r="O3212" s="96">
        <v>4151</v>
      </c>
      <c r="P3212" s="92"/>
      <c r="Q3212" s="96">
        <v>7540.72</v>
      </c>
      <c r="R3212" s="92"/>
      <c r="S3212" s="96">
        <v>1348.02</v>
      </c>
      <c r="T3212" s="92"/>
      <c r="U3212" s="95">
        <v>3.8197999999999999</v>
      </c>
      <c r="V3212" s="92"/>
      <c r="W3212" s="91">
        <v>39.507199999999997</v>
      </c>
      <c r="X3212" s="92"/>
      <c r="Y3212" s="91">
        <v>7.0625200000000001</v>
      </c>
      <c r="Z3212" s="92"/>
      <c r="AA3212" s="94">
        <v>523.28800000000001</v>
      </c>
      <c r="AB3212" s="92"/>
      <c r="AC3212" s="91">
        <v>59.071300000000001</v>
      </c>
      <c r="AD3212" s="92"/>
      <c r="AE3212" s="97">
        <v>1</v>
      </c>
      <c r="AF3212" s="92"/>
      <c r="AG3212" s="95">
        <v>7.7714800000000004</v>
      </c>
      <c r="AH3212" s="92"/>
      <c r="AI3212" s="96">
        <v>8.75</v>
      </c>
      <c r="AJ3212" s="92"/>
      <c r="AK3212" s="91">
        <v>24.755400000000002</v>
      </c>
      <c r="AL3212" s="92"/>
      <c r="AM3212" s="91">
        <v>36.814100000000003</v>
      </c>
      <c r="AN3212" s="92"/>
      <c r="AO3212" s="95">
        <v>6.79176</v>
      </c>
    </row>
    <row r="3213" spans="2:41" ht="13" x14ac:dyDescent="0.3">
      <c r="B3213" s="25" t="str">
        <f>"PROM-"&amp;MONTH(B3212)&amp;YEAR(B3212)</f>
        <v>PROM-62024</v>
      </c>
      <c r="C3213" s="19">
        <f>AVERAGE(C3183:C3212)</f>
        <v>18.08989</v>
      </c>
      <c r="E3213" s="24">
        <f>AVERAGE(E3183:E3212)</f>
        <v>0.92939280000000013</v>
      </c>
      <c r="G3213" s="42">
        <f>AVERAGE(G3183:G3212)</f>
        <v>903.31666666666638</v>
      </c>
      <c r="I3213" s="23">
        <f>AVERAGE(I3183:I3212)</f>
        <v>6.9112480000000005</v>
      </c>
      <c r="K3213" s="23">
        <f>AVERAGE(K3183:K3212)</f>
        <v>5.389425000000001</v>
      </c>
      <c r="M3213" s="42">
        <f>AVERAGE(M3183:M3212)</f>
        <v>927.96073333333334</v>
      </c>
      <c r="O3213" s="80">
        <f>AVERAGE(O3183:O3212)</f>
        <v>4051.9856666666665</v>
      </c>
      <c r="Q3213" s="80">
        <f>AVERAGE(Q3183:Q3212)</f>
        <v>7528.476333333334</v>
      </c>
      <c r="S3213" s="80">
        <f>AVERAGE(S3183:S3212)</f>
        <v>1397.326</v>
      </c>
      <c r="U3213" s="23">
        <f>AVERAGE(U3183:U3212)</f>
        <v>3.7763956666666663</v>
      </c>
      <c r="W3213" s="19">
        <f>AVERAGE(W3183:W3212)</f>
        <v>39.14614333333332</v>
      </c>
      <c r="Y3213" s="19">
        <f>AVERAGE(Y3183:Y3212)</f>
        <v>7.2649646666666667</v>
      </c>
      <c r="AA3213" s="42">
        <f>AVERAGE(AA3183:AA3212)</f>
        <v>524.9729000000001</v>
      </c>
      <c r="AC3213" s="19">
        <f>AVERAGE(AC3183:AC3212)</f>
        <v>59.246040000000001</v>
      </c>
      <c r="AE3213" s="88">
        <f>AVERAGE(AE3183:AE3212)</f>
        <v>1</v>
      </c>
      <c r="AG3213" s="23">
        <f>AVERAGE(AG3183:AG3212)</f>
        <v>7.7672356666666671</v>
      </c>
      <c r="AI3213" s="80">
        <f>AVERAGE(AI3183:AI3212)</f>
        <v>8.75</v>
      </c>
      <c r="AK3213" s="19">
        <f>AVERAGE(AK3183:AK3212)</f>
        <v>24.744686666666663</v>
      </c>
      <c r="AM3213" s="19">
        <f>AVERAGE(AM3183:AM3212)</f>
        <v>36.789726666666667</v>
      </c>
      <c r="AO3213" s="23">
        <f>AVERAGE(AO3183:AO3212)</f>
        <v>6.7855993333333338</v>
      </c>
    </row>
    <row r="3214" spans="2:41" x14ac:dyDescent="0.25">
      <c r="B3214" s="21">
        <v>45474</v>
      </c>
      <c r="C3214" s="91">
        <v>18.247800000000002</v>
      </c>
      <c r="E3214" s="83">
        <v>0.930562</v>
      </c>
      <c r="G3214" s="84">
        <v>911.55</v>
      </c>
      <c r="I3214" s="85">
        <v>6.9051600000000004</v>
      </c>
      <c r="K3214" s="85">
        <v>5.6051799999999998</v>
      </c>
      <c r="M3214" s="84">
        <v>947.86599999999999</v>
      </c>
      <c r="O3214" s="86">
        <v>4161.88</v>
      </c>
      <c r="Q3214" s="86">
        <v>7533.7</v>
      </c>
      <c r="S3214" s="86">
        <v>1344.07</v>
      </c>
      <c r="U3214" s="85">
        <v>3.8247</v>
      </c>
      <c r="W3214" s="81">
        <v>39.549399999999999</v>
      </c>
      <c r="Y3214" s="81">
        <v>7.0558800000000002</v>
      </c>
      <c r="AA3214" s="84">
        <v>523.18499999999995</v>
      </c>
      <c r="AC3214" s="81">
        <v>59.029000000000003</v>
      </c>
      <c r="AE3214" s="87">
        <v>1</v>
      </c>
      <c r="AG3214" s="85">
        <v>7.7650899999999998</v>
      </c>
      <c r="AI3214" s="86">
        <v>8.75</v>
      </c>
      <c r="AK3214" s="81">
        <v>24.736699999999999</v>
      </c>
      <c r="AM3214" s="81">
        <v>36.779200000000003</v>
      </c>
      <c r="AO3214" s="85">
        <v>6.7864800000000001</v>
      </c>
    </row>
    <row r="3215" spans="2:41" x14ac:dyDescent="0.25">
      <c r="B3215" s="21">
        <f>B3214+1</f>
        <v>45475</v>
      </c>
      <c r="C3215" s="91">
        <v>18.389700000000001</v>
      </c>
      <c r="E3215" s="83">
        <v>0.931701</v>
      </c>
      <c r="G3215" s="84">
        <v>913.85500000000002</v>
      </c>
      <c r="I3215" s="85">
        <v>6.9119599999999997</v>
      </c>
      <c r="K3215" s="85">
        <v>5.6650799999999997</v>
      </c>
      <c r="M3215" s="84">
        <v>946.88</v>
      </c>
      <c r="O3215" s="86">
        <v>4132.09</v>
      </c>
      <c r="Q3215" s="86">
        <v>7537.9</v>
      </c>
      <c r="S3215" s="86">
        <v>1330.6</v>
      </c>
      <c r="U3215" s="85">
        <v>3.8340399999999999</v>
      </c>
      <c r="W3215" s="81">
        <v>39.6678</v>
      </c>
      <c r="Y3215" s="81">
        <v>7.0021800000000001</v>
      </c>
      <c r="AA3215" s="84">
        <v>524.96</v>
      </c>
      <c r="AC3215" s="81">
        <v>59.058799999999998</v>
      </c>
      <c r="AE3215" s="87">
        <v>1</v>
      </c>
      <c r="AG3215" s="85">
        <v>7.77257</v>
      </c>
      <c r="AI3215" s="86">
        <v>8.75</v>
      </c>
      <c r="AK3215" s="81">
        <v>24.780799999999999</v>
      </c>
      <c r="AM3215" s="81">
        <v>36.835900000000002</v>
      </c>
      <c r="AO3215" s="85">
        <v>6.7885600000000004</v>
      </c>
    </row>
    <row r="3216" spans="2:41" x14ac:dyDescent="0.25">
      <c r="B3216" s="21">
        <f t="shared" ref="B3216:B3243" si="2">B3215+1</f>
        <v>45476</v>
      </c>
      <c r="C3216" s="91">
        <v>18.2485</v>
      </c>
      <c r="E3216" s="83">
        <v>0.92858200000000002</v>
      </c>
      <c r="G3216" s="84">
        <v>914.25599999999997</v>
      </c>
      <c r="I3216" s="85">
        <v>6.9013200000000001</v>
      </c>
      <c r="K3216" s="85">
        <v>5.6248199999999997</v>
      </c>
      <c r="M3216" s="84">
        <v>945.02800000000002</v>
      </c>
      <c r="O3216" s="86">
        <v>4114.9799999999996</v>
      </c>
      <c r="Q3216" s="86">
        <v>7529.17</v>
      </c>
      <c r="S3216" s="86">
        <v>1338.57</v>
      </c>
      <c r="U3216" s="85">
        <v>3.8223799999999999</v>
      </c>
      <c r="W3216" s="81">
        <v>39.977200000000003</v>
      </c>
      <c r="Y3216" s="81">
        <v>7.1073000000000004</v>
      </c>
      <c r="AA3216" s="84">
        <v>524.59400000000005</v>
      </c>
      <c r="AC3216" s="81">
        <v>59.050600000000003</v>
      </c>
      <c r="AE3216" s="87">
        <v>1</v>
      </c>
      <c r="AG3216" s="85">
        <v>7.7592800000000004</v>
      </c>
      <c r="AI3216" s="86">
        <v>8.75</v>
      </c>
      <c r="AK3216" s="81">
        <v>24.747699999999998</v>
      </c>
      <c r="AM3216" s="81">
        <v>36.772799999999997</v>
      </c>
      <c r="AO3216" s="85">
        <v>6.7715100000000001</v>
      </c>
    </row>
    <row r="3217" spans="2:41" x14ac:dyDescent="0.25">
      <c r="B3217" s="21">
        <f t="shared" si="2"/>
        <v>45477</v>
      </c>
      <c r="C3217" s="91">
        <v>18.1355</v>
      </c>
      <c r="E3217" s="83">
        <v>0.92587799999999998</v>
      </c>
      <c r="G3217" s="84">
        <v>913.73800000000006</v>
      </c>
      <c r="I3217" s="85">
        <v>6.9018199999999998</v>
      </c>
      <c r="K3217" s="85">
        <v>5.5224799999999998</v>
      </c>
      <c r="M3217" s="84">
        <v>939.78599999999994</v>
      </c>
      <c r="O3217" s="86">
        <v>4100.3599999999997</v>
      </c>
      <c r="Q3217" s="86">
        <v>7526.49</v>
      </c>
      <c r="S3217" s="86">
        <v>1362.89</v>
      </c>
      <c r="U3217" s="85">
        <v>3.8090199999999999</v>
      </c>
      <c r="W3217" s="81">
        <v>40.0608</v>
      </c>
      <c r="Y3217" s="81">
        <v>7.2541599999999997</v>
      </c>
      <c r="AA3217" s="84">
        <v>524.63199999999995</v>
      </c>
      <c r="AC3217" s="81">
        <v>59.003</v>
      </c>
      <c r="AE3217" s="87">
        <v>1</v>
      </c>
      <c r="AG3217" s="85">
        <v>7.7593800000000002</v>
      </c>
      <c r="AI3217" s="86">
        <v>8.75</v>
      </c>
      <c r="AK3217" s="81">
        <v>24.736899999999999</v>
      </c>
      <c r="AM3217" s="81">
        <v>36.750999999999998</v>
      </c>
      <c r="AO3217" s="85">
        <v>6.7624000000000004</v>
      </c>
    </row>
    <row r="3218" spans="2:41" x14ac:dyDescent="0.25">
      <c r="B3218" s="21">
        <f t="shared" si="2"/>
        <v>45478</v>
      </c>
      <c r="C3218" s="91">
        <v>18.095800000000001</v>
      </c>
      <c r="E3218" s="83">
        <v>0.92365399999999998</v>
      </c>
      <c r="G3218" s="84">
        <v>914.58600000000001</v>
      </c>
      <c r="I3218" s="85">
        <v>6.9043200000000002</v>
      </c>
      <c r="K3218" s="85">
        <v>5.48264</v>
      </c>
      <c r="M3218" s="84">
        <v>936.23</v>
      </c>
      <c r="O3218" s="86">
        <v>4090.26</v>
      </c>
      <c r="Q3218" s="86">
        <v>7528.7</v>
      </c>
      <c r="S3218" s="86">
        <v>1373.2</v>
      </c>
      <c r="U3218" s="85">
        <v>3.8028400000000002</v>
      </c>
      <c r="W3218" s="81">
        <v>40.187199999999997</v>
      </c>
      <c r="Y3218" s="81">
        <v>7.3299200000000004</v>
      </c>
      <c r="AA3218" s="84">
        <v>524.80600000000004</v>
      </c>
      <c r="AC3218" s="81">
        <v>59.088200000000001</v>
      </c>
      <c r="AE3218" s="87">
        <v>1</v>
      </c>
      <c r="AG3218" s="85">
        <v>7.7625400000000004</v>
      </c>
      <c r="AI3218" s="86">
        <v>8.75</v>
      </c>
      <c r="AK3218" s="81">
        <v>24.757200000000001</v>
      </c>
      <c r="AM3218" s="81">
        <v>36.782400000000003</v>
      </c>
      <c r="AO3218" s="85">
        <v>6.7647700000000004</v>
      </c>
    </row>
    <row r="3219" spans="2:41" x14ac:dyDescent="0.25">
      <c r="B3219" s="21">
        <f t="shared" si="2"/>
        <v>45479</v>
      </c>
      <c r="C3219" s="91">
        <v>18.095800000000001</v>
      </c>
      <c r="E3219" s="83">
        <v>0.92266199999999998</v>
      </c>
      <c r="G3219" s="84">
        <v>915.471</v>
      </c>
      <c r="I3219" s="85">
        <v>6.9016999999999999</v>
      </c>
      <c r="K3219" s="85">
        <v>5.4602500000000003</v>
      </c>
      <c r="M3219" s="84">
        <v>936.65</v>
      </c>
      <c r="O3219" s="86">
        <v>4084.44</v>
      </c>
      <c r="Q3219" s="86">
        <v>7526.15</v>
      </c>
      <c r="S3219" s="86">
        <v>1378.36</v>
      </c>
      <c r="U3219" s="85">
        <v>3.8028599999999999</v>
      </c>
      <c r="W3219" s="81">
        <v>40.247399999999999</v>
      </c>
      <c r="Y3219" s="81">
        <v>7.3710199999999997</v>
      </c>
      <c r="AA3219" s="84">
        <v>524.62199999999996</v>
      </c>
      <c r="AC3219" s="81">
        <v>59.065600000000003</v>
      </c>
      <c r="AE3219" s="87">
        <v>1</v>
      </c>
      <c r="AG3219" s="85">
        <v>7.7602000000000002</v>
      </c>
      <c r="AI3219" s="86">
        <v>8.75</v>
      </c>
      <c r="AK3219" s="81">
        <v>24.7898</v>
      </c>
      <c r="AM3219" s="81">
        <v>36.799799999999998</v>
      </c>
      <c r="AO3219" s="85">
        <v>6.7622600000000004</v>
      </c>
    </row>
    <row r="3220" spans="2:41" x14ac:dyDescent="0.25">
      <c r="B3220" s="21">
        <f t="shared" si="2"/>
        <v>45480</v>
      </c>
      <c r="C3220" s="91">
        <v>18.095800000000001</v>
      </c>
      <c r="E3220" s="83">
        <v>0.92281199999999997</v>
      </c>
      <c r="G3220" s="84">
        <v>915.28300000000002</v>
      </c>
      <c r="I3220" s="85">
        <v>6.90158</v>
      </c>
      <c r="K3220" s="85">
        <v>5.4611999999999998</v>
      </c>
      <c r="M3220" s="84">
        <v>936.64</v>
      </c>
      <c r="O3220" s="86">
        <v>4084.56</v>
      </c>
      <c r="Q3220" s="86">
        <v>7526.02</v>
      </c>
      <c r="S3220" s="86">
        <v>1378.1</v>
      </c>
      <c r="U3220" s="85">
        <v>3.8022</v>
      </c>
      <c r="W3220" s="81">
        <v>40.247599999999998</v>
      </c>
      <c r="Y3220" s="81">
        <v>7.3697800000000004</v>
      </c>
      <c r="AA3220" s="84">
        <v>524.61400000000003</v>
      </c>
      <c r="AC3220" s="81">
        <v>59.063000000000002</v>
      </c>
      <c r="AE3220" s="87">
        <v>1</v>
      </c>
      <c r="AG3220" s="85">
        <v>7.7601100000000001</v>
      </c>
      <c r="AI3220" s="86">
        <v>8.75</v>
      </c>
      <c r="AK3220" s="81">
        <v>24.788599999999999</v>
      </c>
      <c r="AM3220" s="81">
        <v>36.794800000000002</v>
      </c>
      <c r="AO3220" s="85">
        <v>6.7621599999999997</v>
      </c>
    </row>
    <row r="3221" spans="2:41" x14ac:dyDescent="0.25">
      <c r="B3221" s="21">
        <f t="shared" si="2"/>
        <v>45481</v>
      </c>
      <c r="C3221" s="91">
        <v>18.0977</v>
      </c>
      <c r="E3221" s="83">
        <v>0.92332599999999998</v>
      </c>
      <c r="G3221" s="84">
        <v>915.84900000000005</v>
      </c>
      <c r="I3221" s="85">
        <v>6.9059400000000002</v>
      </c>
      <c r="K3221" s="85">
        <v>5.4713200000000004</v>
      </c>
      <c r="M3221" s="84">
        <v>937.10599999999999</v>
      </c>
      <c r="O3221" s="86">
        <v>4082.66</v>
      </c>
      <c r="Q3221" s="86">
        <v>7532.04</v>
      </c>
      <c r="S3221" s="86">
        <v>1376.66</v>
      </c>
      <c r="U3221" s="85">
        <v>3.7939799999999999</v>
      </c>
      <c r="W3221" s="81">
        <v>40.142000000000003</v>
      </c>
      <c r="Y3221" s="81">
        <v>7.3368900000000004</v>
      </c>
      <c r="AA3221" s="84">
        <v>527.41099999999994</v>
      </c>
      <c r="AC3221" s="81">
        <v>59.126199999999997</v>
      </c>
      <c r="AE3221" s="87">
        <v>1</v>
      </c>
      <c r="AG3221" s="85">
        <v>7.7656000000000001</v>
      </c>
      <c r="AI3221" s="86">
        <v>8.75</v>
      </c>
      <c r="AK3221" s="81">
        <v>24.759799999999998</v>
      </c>
      <c r="AM3221" s="81">
        <v>36.7928</v>
      </c>
      <c r="AO3221" s="85">
        <v>6.7666199999999996</v>
      </c>
    </row>
    <row r="3222" spans="2:41" x14ac:dyDescent="0.25">
      <c r="B3222" s="21">
        <f t="shared" si="2"/>
        <v>45482</v>
      </c>
      <c r="C3222" s="91">
        <v>18.009499999999999</v>
      </c>
      <c r="E3222" s="83">
        <v>0.92424399999999995</v>
      </c>
      <c r="G3222" s="84">
        <v>917.24</v>
      </c>
      <c r="I3222" s="85">
        <v>6.9084000000000003</v>
      </c>
      <c r="K3222" s="85">
        <v>5.4500599999999997</v>
      </c>
      <c r="M3222" s="84">
        <v>937.47199999999998</v>
      </c>
      <c r="O3222" s="86">
        <v>4064.06</v>
      </c>
      <c r="Q3222" s="86">
        <v>7536.9</v>
      </c>
      <c r="S3222" s="86">
        <v>1382.91</v>
      </c>
      <c r="U3222" s="85">
        <v>3.7922400000000001</v>
      </c>
      <c r="W3222" s="81">
        <v>40.040799999999997</v>
      </c>
      <c r="Y3222" s="81">
        <v>7.3468799999999996</v>
      </c>
      <c r="AA3222" s="84">
        <v>529.68200000000002</v>
      </c>
      <c r="AC3222" s="81">
        <v>59.140799999999999</v>
      </c>
      <c r="AE3222" s="87">
        <v>1</v>
      </c>
      <c r="AG3222" s="85">
        <v>7.7674899999999996</v>
      </c>
      <c r="AI3222" s="86">
        <v>8.75</v>
      </c>
      <c r="AK3222" s="81">
        <v>24.761399999999998</v>
      </c>
      <c r="AM3222" s="81">
        <v>36.818600000000004</v>
      </c>
      <c r="AO3222" s="85">
        <v>6.76952</v>
      </c>
    </row>
    <row r="3223" spans="2:41" x14ac:dyDescent="0.25">
      <c r="B3223" s="21">
        <f t="shared" si="2"/>
        <v>45483</v>
      </c>
      <c r="C3223" s="91">
        <v>17.942799999999998</v>
      </c>
      <c r="E3223" s="83">
        <v>0.92401100000000003</v>
      </c>
      <c r="G3223" s="84">
        <v>917.95399999999995</v>
      </c>
      <c r="I3223" s="85">
        <v>6.9120299999999997</v>
      </c>
      <c r="K3223" s="85">
        <v>5.4128800000000004</v>
      </c>
      <c r="M3223" s="84">
        <v>927.10500000000002</v>
      </c>
      <c r="O3223" s="86">
        <v>4020.42</v>
      </c>
      <c r="Q3223" s="86">
        <v>7539.74</v>
      </c>
      <c r="S3223" s="86">
        <v>1392.94</v>
      </c>
      <c r="U3223" s="85">
        <v>3.7915800000000002</v>
      </c>
      <c r="W3223" s="81">
        <v>40.018999999999998</v>
      </c>
      <c r="Y3223" s="81">
        <v>7.3933200000000001</v>
      </c>
      <c r="AA3223" s="84">
        <v>529.46</v>
      </c>
      <c r="AC3223" s="81">
        <v>59.165500000000002</v>
      </c>
      <c r="AE3223" s="87">
        <v>1</v>
      </c>
      <c r="AG3223" s="85">
        <v>7.7677199999999997</v>
      </c>
      <c r="AI3223" s="86">
        <v>8.75</v>
      </c>
      <c r="AK3223" s="81">
        <v>24.780899999999999</v>
      </c>
      <c r="AM3223" s="81">
        <v>36.827399999999997</v>
      </c>
      <c r="AO3223" s="85">
        <v>6.7772800000000002</v>
      </c>
    </row>
    <row r="3224" spans="2:41" x14ac:dyDescent="0.25">
      <c r="B3224" s="21">
        <f t="shared" si="2"/>
        <v>45484</v>
      </c>
      <c r="C3224" s="91">
        <v>17.828800000000001</v>
      </c>
      <c r="E3224" s="83">
        <v>0.92122199999999999</v>
      </c>
      <c r="G3224" s="84">
        <v>919.04</v>
      </c>
      <c r="I3224" s="85">
        <v>6.90665</v>
      </c>
      <c r="K3224" s="85">
        <v>5.4238499999999998</v>
      </c>
      <c r="M3224" s="84">
        <v>916.26499999999999</v>
      </c>
      <c r="O3224" s="86">
        <v>3973.72</v>
      </c>
      <c r="Q3224" s="86">
        <v>7532.58</v>
      </c>
      <c r="S3224" s="86">
        <v>1388.79</v>
      </c>
      <c r="U3224" s="85">
        <v>3.7850799999999998</v>
      </c>
      <c r="W3224" s="81">
        <v>39.995800000000003</v>
      </c>
      <c r="Y3224" s="81">
        <v>7.3740800000000002</v>
      </c>
      <c r="AA3224" s="84">
        <v>528.83199999999999</v>
      </c>
      <c r="AC3224" s="81">
        <v>59.055799999999998</v>
      </c>
      <c r="AE3224" s="87">
        <v>1</v>
      </c>
      <c r="AG3224" s="85">
        <v>7.7570100000000002</v>
      </c>
      <c r="AI3224" s="86">
        <v>8.75</v>
      </c>
      <c r="AK3224" s="81">
        <v>24.7653</v>
      </c>
      <c r="AM3224" s="81">
        <v>36.7864</v>
      </c>
      <c r="AO3224" s="85">
        <v>6.7804900000000004</v>
      </c>
    </row>
    <row r="3225" spans="2:41" x14ac:dyDescent="0.25">
      <c r="B3225" s="21">
        <f t="shared" si="2"/>
        <v>45485</v>
      </c>
      <c r="C3225" s="91">
        <v>17.819199999999999</v>
      </c>
      <c r="E3225" s="83">
        <v>0.91838600000000004</v>
      </c>
      <c r="G3225" s="84">
        <v>919.25599999999997</v>
      </c>
      <c r="I3225" s="85">
        <v>6.9040999999999997</v>
      </c>
      <c r="K3225" s="85">
        <v>5.4386200000000002</v>
      </c>
      <c r="M3225" s="84">
        <v>911.95399999999995</v>
      </c>
      <c r="O3225" s="86">
        <v>3962.37</v>
      </c>
      <c r="Q3225" s="86">
        <v>7529.03</v>
      </c>
      <c r="S3225" s="86">
        <v>1384.37</v>
      </c>
      <c r="U3225" s="85">
        <v>3.7765499999999999</v>
      </c>
      <c r="W3225" s="81">
        <v>40.001300000000001</v>
      </c>
      <c r="Y3225" s="81">
        <v>7.3550599999999999</v>
      </c>
      <c r="AA3225" s="84">
        <v>528.56600000000003</v>
      </c>
      <c r="AC3225" s="81">
        <v>59.000999999999998</v>
      </c>
      <c r="AE3225" s="87">
        <v>1</v>
      </c>
      <c r="AG3225" s="85">
        <v>7.7536500000000004</v>
      </c>
      <c r="AI3225" s="86">
        <v>8.75</v>
      </c>
      <c r="AK3225" s="81">
        <v>24.744199999999999</v>
      </c>
      <c r="AM3225" s="81">
        <v>36.767699999999998</v>
      </c>
      <c r="AO3225" s="85">
        <v>6.7865399999999996</v>
      </c>
    </row>
    <row r="3226" spans="2:41" x14ac:dyDescent="0.25">
      <c r="B3226" s="21">
        <f t="shared" si="2"/>
        <v>45486</v>
      </c>
      <c r="C3226" s="91">
        <v>17.819199999999999</v>
      </c>
      <c r="E3226" s="83">
        <v>0.91684200000000005</v>
      </c>
      <c r="G3226" s="84">
        <v>919.30100000000004</v>
      </c>
      <c r="I3226" s="85">
        <v>6.9067299999999996</v>
      </c>
      <c r="K3226" s="85">
        <v>5.4297500000000003</v>
      </c>
      <c r="M3226" s="84">
        <v>905.89</v>
      </c>
      <c r="O3226" s="86">
        <v>3929.22</v>
      </c>
      <c r="Q3226" s="86">
        <v>7527.27</v>
      </c>
      <c r="S3226" s="86">
        <v>1386.31</v>
      </c>
      <c r="U3226" s="85">
        <v>3.77535</v>
      </c>
      <c r="W3226" s="81">
        <v>40.058599999999998</v>
      </c>
      <c r="Y3226" s="81">
        <v>7.3776599999999997</v>
      </c>
      <c r="AA3226" s="84">
        <v>527.96600000000001</v>
      </c>
      <c r="AC3226" s="81">
        <v>59.017800000000001</v>
      </c>
      <c r="AE3226" s="87">
        <v>1</v>
      </c>
      <c r="AG3226" s="85">
        <v>7.75746</v>
      </c>
      <c r="AI3226" s="86">
        <v>8.75</v>
      </c>
      <c r="AK3226" s="81">
        <v>24.7334</v>
      </c>
      <c r="AM3226" s="81">
        <v>36.754800000000003</v>
      </c>
      <c r="AO3226" s="85">
        <v>6.7874600000000003</v>
      </c>
    </row>
    <row r="3227" spans="2:41" x14ac:dyDescent="0.25">
      <c r="B3227" s="21">
        <f t="shared" si="2"/>
        <v>45487</v>
      </c>
      <c r="C3227" s="91">
        <v>17.819199999999999</v>
      </c>
      <c r="E3227" s="83">
        <v>0.91703800000000002</v>
      </c>
      <c r="G3227" s="84">
        <v>919.31700000000001</v>
      </c>
      <c r="I3227" s="85">
        <v>6.9065099999999999</v>
      </c>
      <c r="K3227" s="85">
        <v>5.4295799999999996</v>
      </c>
      <c r="M3227" s="84">
        <v>905.89</v>
      </c>
      <c r="O3227" s="86">
        <v>3929.6</v>
      </c>
      <c r="Q3227" s="86">
        <v>7527.22</v>
      </c>
      <c r="S3227" s="86">
        <v>1386.34</v>
      </c>
      <c r="U3227" s="85">
        <v>3.7753899999999998</v>
      </c>
      <c r="W3227" s="81">
        <v>40.056399999999996</v>
      </c>
      <c r="Y3227" s="81">
        <v>7.3774899999999999</v>
      </c>
      <c r="AA3227" s="84">
        <v>527.99800000000005</v>
      </c>
      <c r="AC3227" s="81">
        <v>59.016599999999997</v>
      </c>
      <c r="AE3227" s="87">
        <v>1</v>
      </c>
      <c r="AG3227" s="85">
        <v>7.7573699999999999</v>
      </c>
      <c r="AI3227" s="86">
        <v>8.75</v>
      </c>
      <c r="AK3227" s="81">
        <v>24.7331</v>
      </c>
      <c r="AM3227" s="81">
        <v>36.754100000000001</v>
      </c>
      <c r="AO3227" s="85">
        <v>6.7873000000000001</v>
      </c>
    </row>
    <row r="3228" spans="2:41" x14ac:dyDescent="0.25">
      <c r="B3228" s="21">
        <f t="shared" si="2"/>
        <v>45488</v>
      </c>
      <c r="C3228" s="91">
        <v>17.650200000000002</v>
      </c>
      <c r="E3228" s="83">
        <v>0.91744999999999999</v>
      </c>
      <c r="G3228" s="84">
        <v>920.53300000000002</v>
      </c>
      <c r="I3228" s="85">
        <v>6.9052899999999999</v>
      </c>
      <c r="K3228" s="85">
        <v>5.4385700000000003</v>
      </c>
      <c r="M3228" s="84">
        <v>909.298</v>
      </c>
      <c r="O3228" s="86">
        <v>3947.64</v>
      </c>
      <c r="Q3228" s="86">
        <v>7532.8</v>
      </c>
      <c r="S3228" s="86">
        <v>1385.09</v>
      </c>
      <c r="U3228" s="85">
        <v>3.7641900000000001</v>
      </c>
      <c r="W3228" s="81">
        <v>40.050600000000003</v>
      </c>
      <c r="Y3228" s="81">
        <v>7.3642599999999998</v>
      </c>
      <c r="AA3228" s="84">
        <v>528.44000000000005</v>
      </c>
      <c r="AC3228" s="81">
        <v>59.122999999999998</v>
      </c>
      <c r="AE3228" s="87">
        <v>1</v>
      </c>
      <c r="AG3228" s="85">
        <v>7.7564299999999999</v>
      </c>
      <c r="AI3228" s="86">
        <v>8.75</v>
      </c>
      <c r="AK3228" s="81">
        <v>24.7578</v>
      </c>
      <c r="AM3228" s="81">
        <v>36.796599999999998</v>
      </c>
      <c r="AO3228" s="85">
        <v>6.78545</v>
      </c>
    </row>
    <row r="3229" spans="2:41" x14ac:dyDescent="0.25">
      <c r="B3229" s="21">
        <f t="shared" si="2"/>
        <v>45489</v>
      </c>
      <c r="C3229" s="91">
        <v>17.7837</v>
      </c>
      <c r="E3229" s="83">
        <v>0.918022</v>
      </c>
      <c r="G3229" s="84">
        <v>922.44500000000005</v>
      </c>
      <c r="I3229" s="85">
        <v>6.9107200000000004</v>
      </c>
      <c r="K3229" s="85">
        <v>5.4392800000000001</v>
      </c>
      <c r="M3229" s="84">
        <v>909.89599999999996</v>
      </c>
      <c r="O3229" s="86">
        <v>3952.38</v>
      </c>
      <c r="Q3229" s="86">
        <v>7542.92</v>
      </c>
      <c r="S3229" s="86">
        <v>1386.76</v>
      </c>
      <c r="U3229" s="85">
        <v>3.7554799999999999</v>
      </c>
      <c r="W3229" s="81">
        <v>40.1205</v>
      </c>
      <c r="Y3229" s="81">
        <v>7.3761000000000001</v>
      </c>
      <c r="AA3229" s="84">
        <v>528.84799999999996</v>
      </c>
      <c r="AC3229" s="81">
        <v>59.179600000000001</v>
      </c>
      <c r="AE3229" s="87">
        <v>1</v>
      </c>
      <c r="AG3229" s="85">
        <v>7.7602399999999996</v>
      </c>
      <c r="AI3229" s="86">
        <v>8.75</v>
      </c>
      <c r="AK3229" s="81">
        <v>24.771799999999999</v>
      </c>
      <c r="AM3229" s="81">
        <v>36.85</v>
      </c>
      <c r="AO3229" s="85">
        <v>6.7904499999999999</v>
      </c>
    </row>
    <row r="3230" spans="2:41" x14ac:dyDescent="0.25">
      <c r="B3230" s="21">
        <f t="shared" si="2"/>
        <v>45490</v>
      </c>
      <c r="C3230" s="91">
        <v>17.679500000000001</v>
      </c>
      <c r="E3230" s="83">
        <v>0.91536099999999998</v>
      </c>
      <c r="G3230" s="84">
        <v>922.83600000000001</v>
      </c>
      <c r="I3230" s="85">
        <v>6.9086800000000004</v>
      </c>
      <c r="K3230" s="85">
        <v>5.4515000000000002</v>
      </c>
      <c r="M3230" s="84">
        <v>915.524</v>
      </c>
      <c r="O3230" s="86">
        <v>3980.66</v>
      </c>
      <c r="Q3230" s="86">
        <v>7548.18</v>
      </c>
      <c r="S3230" s="86">
        <v>1384.62</v>
      </c>
      <c r="U3230" s="85">
        <v>3.7512699999999999</v>
      </c>
      <c r="W3230" s="81">
        <v>40.131399999999999</v>
      </c>
      <c r="Y3230" s="81">
        <v>7.3615399999999998</v>
      </c>
      <c r="AA3230" s="84">
        <v>528.52800000000002</v>
      </c>
      <c r="AC3230" s="81">
        <v>59.115200000000002</v>
      </c>
      <c r="AE3230" s="87">
        <v>1</v>
      </c>
      <c r="AG3230" s="85">
        <v>7.7557400000000003</v>
      </c>
      <c r="AI3230" s="86">
        <v>8.75</v>
      </c>
      <c r="AK3230" s="81">
        <v>24.766999999999999</v>
      </c>
      <c r="AM3230" s="81">
        <v>36.820599999999999</v>
      </c>
      <c r="AO3230" s="85">
        <v>6.7877999999999998</v>
      </c>
    </row>
    <row r="3231" spans="2:41" x14ac:dyDescent="0.25">
      <c r="B3231" s="21">
        <f t="shared" si="2"/>
        <v>45491</v>
      </c>
      <c r="C3231" s="91">
        <v>17.7438</v>
      </c>
      <c r="E3231" s="83">
        <v>0.91573000000000004</v>
      </c>
      <c r="G3231" s="84">
        <v>923.57100000000003</v>
      </c>
      <c r="I3231" s="85">
        <v>6.90977</v>
      </c>
      <c r="K3231" s="85">
        <v>5.5213400000000004</v>
      </c>
      <c r="M3231" s="84">
        <v>926.11199999999997</v>
      </c>
      <c r="O3231" s="86">
        <v>4002.77</v>
      </c>
      <c r="Q3231" s="86">
        <v>7549.3</v>
      </c>
      <c r="S3231" s="86">
        <v>1367.3</v>
      </c>
      <c r="U3231" s="85">
        <v>3.7334000000000001</v>
      </c>
      <c r="W3231" s="81">
        <v>40.159500000000001</v>
      </c>
      <c r="Y3231" s="81">
        <v>7.2735399999999997</v>
      </c>
      <c r="AA3231" s="84">
        <v>525.19000000000005</v>
      </c>
      <c r="AC3231" s="81">
        <v>59.026000000000003</v>
      </c>
      <c r="AE3231" s="87">
        <v>1</v>
      </c>
      <c r="AG3231" s="85">
        <v>7.7565</v>
      </c>
      <c r="AI3231" s="86">
        <v>8.75</v>
      </c>
      <c r="AK3231" s="81">
        <v>24.767499999999998</v>
      </c>
      <c r="AM3231" s="81">
        <v>36.801400000000001</v>
      </c>
      <c r="AO3231" s="85">
        <v>6.7833199999999998</v>
      </c>
    </row>
    <row r="3232" spans="2:41" x14ac:dyDescent="0.25">
      <c r="B3232" s="21">
        <f t="shared" si="2"/>
        <v>45492</v>
      </c>
      <c r="C3232" s="91">
        <v>17.890699999999999</v>
      </c>
      <c r="E3232" s="83">
        <v>0.91864000000000001</v>
      </c>
      <c r="G3232" s="84">
        <v>924.62800000000004</v>
      </c>
      <c r="I3232" s="85">
        <v>6.9150400000000003</v>
      </c>
      <c r="K3232" s="85">
        <v>5.56067</v>
      </c>
      <c r="M3232" s="84">
        <v>934.10500000000002</v>
      </c>
      <c r="O3232" s="86">
        <v>4021.08</v>
      </c>
      <c r="Q3232" s="86">
        <v>7558.54</v>
      </c>
      <c r="S3232" s="86">
        <v>1359.29</v>
      </c>
      <c r="U3232" s="85">
        <v>3.73102</v>
      </c>
      <c r="W3232" s="81">
        <v>40.281999999999996</v>
      </c>
      <c r="Y3232" s="81">
        <v>7.2441300000000002</v>
      </c>
      <c r="AA3232" s="84">
        <v>524.26</v>
      </c>
      <c r="AC3232" s="81">
        <v>59.150599999999997</v>
      </c>
      <c r="AE3232" s="87">
        <v>1</v>
      </c>
      <c r="AG3232" s="85">
        <v>7.7668600000000003</v>
      </c>
      <c r="AI3232" s="86">
        <v>8.75</v>
      </c>
      <c r="AK3232" s="81">
        <v>24.785900000000002</v>
      </c>
      <c r="AM3232" s="81">
        <v>36.828600000000002</v>
      </c>
      <c r="AO3232" s="85">
        <v>6.7901800000000003</v>
      </c>
    </row>
    <row r="3233" spans="2:41" x14ac:dyDescent="0.25">
      <c r="B3233" s="21">
        <f t="shared" si="2"/>
        <v>45493</v>
      </c>
      <c r="C3233" s="91">
        <v>17.890699999999999</v>
      </c>
      <c r="E3233" s="83">
        <v>0.91893999999999998</v>
      </c>
      <c r="G3233" s="84">
        <v>924.452</v>
      </c>
      <c r="I3233" s="85">
        <v>6.9088799999999999</v>
      </c>
      <c r="K3233" s="85">
        <v>5.5973499999999996</v>
      </c>
      <c r="M3233" s="84">
        <v>936.21</v>
      </c>
      <c r="O3233" s="86">
        <v>4017.82</v>
      </c>
      <c r="Q3233" s="86">
        <v>7555.94</v>
      </c>
      <c r="S3233" s="86">
        <v>1349.92</v>
      </c>
      <c r="U3233" s="85">
        <v>3.7338399999999998</v>
      </c>
      <c r="W3233" s="81">
        <v>40.282699999999998</v>
      </c>
      <c r="Y3233" s="81">
        <v>7.1967600000000003</v>
      </c>
      <c r="AA3233" s="84">
        <v>524.625</v>
      </c>
      <c r="AC3233" s="81">
        <v>59.139800000000001</v>
      </c>
      <c r="AE3233" s="87">
        <v>1</v>
      </c>
      <c r="AG3233" s="85">
        <v>7.7625799999999998</v>
      </c>
      <c r="AI3233" s="86">
        <v>8.75</v>
      </c>
      <c r="AK3233" s="81">
        <v>24.763500000000001</v>
      </c>
      <c r="AM3233" s="81">
        <v>36.795999999999999</v>
      </c>
      <c r="AO3233" s="85">
        <v>6.7894600000000001</v>
      </c>
    </row>
    <row r="3234" spans="2:41" x14ac:dyDescent="0.25">
      <c r="B3234" s="21">
        <f t="shared" si="2"/>
        <v>45494</v>
      </c>
      <c r="C3234" s="91">
        <v>17.890699999999999</v>
      </c>
      <c r="E3234" s="83">
        <v>0.91882200000000003</v>
      </c>
      <c r="G3234" s="84">
        <v>924.39800000000002</v>
      </c>
      <c r="I3234" s="85">
        <v>6.9088599999999998</v>
      </c>
      <c r="K3234" s="85">
        <v>5.5947199999999997</v>
      </c>
      <c r="M3234" s="84">
        <v>936.34100000000001</v>
      </c>
      <c r="O3234" s="86">
        <v>4020.42</v>
      </c>
      <c r="Q3234" s="86">
        <v>7556.27</v>
      </c>
      <c r="S3234" s="86">
        <v>1350.62</v>
      </c>
      <c r="U3234" s="85">
        <v>3.7346900000000001</v>
      </c>
      <c r="W3234" s="81">
        <v>40.283200000000001</v>
      </c>
      <c r="Y3234" s="81">
        <v>7.2002800000000002</v>
      </c>
      <c r="AA3234" s="84">
        <v>524.62300000000005</v>
      </c>
      <c r="AC3234" s="81">
        <v>59.143999999999998</v>
      </c>
      <c r="AE3234" s="87">
        <v>1</v>
      </c>
      <c r="AG3234" s="85">
        <v>7.7630800000000004</v>
      </c>
      <c r="AI3234" s="86">
        <v>8.75</v>
      </c>
      <c r="AK3234" s="81">
        <v>24.763400000000001</v>
      </c>
      <c r="AM3234" s="81">
        <v>36.796199999999999</v>
      </c>
      <c r="AO3234" s="85">
        <v>6.7895099999999999</v>
      </c>
    </row>
    <row r="3235" spans="2:41" x14ac:dyDescent="0.25">
      <c r="B3235" s="21">
        <f t="shared" si="2"/>
        <v>45495</v>
      </c>
      <c r="C3235" s="91">
        <v>17.997</v>
      </c>
      <c r="E3235" s="83">
        <v>0.91846799999999995</v>
      </c>
      <c r="G3235" s="84">
        <v>925.06399999999996</v>
      </c>
      <c r="I3235" s="85">
        <v>6.9080000000000004</v>
      </c>
      <c r="K3235" s="85">
        <v>5.5686400000000003</v>
      </c>
      <c r="M3235" s="84">
        <v>942.38800000000003</v>
      </c>
      <c r="O3235" s="86">
        <v>4028.11</v>
      </c>
      <c r="Q3235" s="86">
        <v>7561.32</v>
      </c>
      <c r="S3235" s="86">
        <v>1357.87</v>
      </c>
      <c r="U3235" s="85">
        <v>3.74268</v>
      </c>
      <c r="W3235" s="81">
        <v>40.319400000000002</v>
      </c>
      <c r="Y3235" s="81">
        <v>7.2405600000000003</v>
      </c>
      <c r="AA3235" s="84">
        <v>525.85</v>
      </c>
      <c r="AC3235" s="81">
        <v>59.067599999999999</v>
      </c>
      <c r="AE3235" s="87">
        <v>1</v>
      </c>
      <c r="AG3235" s="85">
        <v>7.7638199999999999</v>
      </c>
      <c r="AI3235" s="86">
        <v>8.75</v>
      </c>
      <c r="AK3235" s="81">
        <v>24.7591</v>
      </c>
      <c r="AM3235" s="81">
        <v>36.804299999999998</v>
      </c>
      <c r="AO3235" s="85">
        <v>6.78932</v>
      </c>
    </row>
    <row r="3236" spans="2:41" x14ac:dyDescent="0.25">
      <c r="B3236" s="21">
        <f t="shared" si="2"/>
        <v>45496</v>
      </c>
      <c r="C3236" s="91">
        <v>17.910699999999999</v>
      </c>
      <c r="E3236" s="83">
        <v>0.92017599999999999</v>
      </c>
      <c r="G3236" s="84">
        <v>925.92600000000004</v>
      </c>
      <c r="I3236" s="85">
        <v>6.9082600000000003</v>
      </c>
      <c r="K3236" s="85">
        <v>5.5789499999999999</v>
      </c>
      <c r="M3236" s="84">
        <v>945.01800000000003</v>
      </c>
      <c r="O3236" s="86">
        <v>4001.46</v>
      </c>
      <c r="Q3236" s="86">
        <v>7564.03</v>
      </c>
      <c r="S3236" s="86">
        <v>1355.82</v>
      </c>
      <c r="U3236" s="85">
        <v>3.7475800000000001</v>
      </c>
      <c r="W3236" s="81">
        <v>40.309399999999997</v>
      </c>
      <c r="Y3236" s="81">
        <v>7.2252999999999998</v>
      </c>
      <c r="AA3236" s="84">
        <v>527.01400000000001</v>
      </c>
      <c r="AC3236" s="81">
        <v>59.206000000000003</v>
      </c>
      <c r="AE3236" s="87">
        <v>1</v>
      </c>
      <c r="AG3236" s="85">
        <v>7.7590000000000003</v>
      </c>
      <c r="AI3236" s="86">
        <v>8.75</v>
      </c>
      <c r="AK3236" s="81">
        <v>24.759</v>
      </c>
      <c r="AM3236" s="81">
        <v>36.8018</v>
      </c>
      <c r="AO3236" s="85">
        <v>6.7881999999999998</v>
      </c>
    </row>
    <row r="3237" spans="2:41" x14ac:dyDescent="0.25">
      <c r="B3237" s="21">
        <f t="shared" si="2"/>
        <v>45497</v>
      </c>
      <c r="C3237" s="91">
        <v>18.098700000000001</v>
      </c>
      <c r="E3237" s="83">
        <v>0.922068</v>
      </c>
      <c r="G3237" s="84">
        <v>926.82</v>
      </c>
      <c r="I3237" s="85">
        <v>6.9121600000000001</v>
      </c>
      <c r="K3237" s="85">
        <v>5.6141399999999999</v>
      </c>
      <c r="M3237" s="84">
        <v>947.20799999999997</v>
      </c>
      <c r="O3237" s="86">
        <v>4026.58</v>
      </c>
      <c r="Q3237" s="86">
        <v>7570.7</v>
      </c>
      <c r="S3237" s="86">
        <v>1348.51</v>
      </c>
      <c r="U3237" s="85">
        <v>3.7586400000000002</v>
      </c>
      <c r="W3237" s="81">
        <v>40.327100000000002</v>
      </c>
      <c r="Y3237" s="81">
        <v>7.18316</v>
      </c>
      <c r="AA3237" s="84">
        <v>527.35900000000004</v>
      </c>
      <c r="AC3237" s="81">
        <v>59.308900000000001</v>
      </c>
      <c r="AE3237" s="87">
        <v>1</v>
      </c>
      <c r="AG3237" s="85">
        <v>7.7627600000000001</v>
      </c>
      <c r="AI3237" s="86">
        <v>8.75</v>
      </c>
      <c r="AK3237" s="81">
        <v>24.773</v>
      </c>
      <c r="AM3237" s="81">
        <v>36.8279</v>
      </c>
      <c r="AO3237" s="85">
        <v>6.7941200000000004</v>
      </c>
    </row>
    <row r="3238" spans="2:41" x14ac:dyDescent="0.25">
      <c r="B3238" s="21">
        <f t="shared" si="2"/>
        <v>45498</v>
      </c>
      <c r="C3238" s="91">
        <v>18.345800000000001</v>
      </c>
      <c r="E3238" s="83">
        <v>0.92192200000000002</v>
      </c>
      <c r="G3238" s="84">
        <v>928.43899999999996</v>
      </c>
      <c r="I3238" s="85">
        <v>6.9108999999999998</v>
      </c>
      <c r="K3238" s="85">
        <v>5.6494200000000001</v>
      </c>
      <c r="M3238" s="84">
        <v>947.46400000000006</v>
      </c>
      <c r="O3238" s="86">
        <v>4039.36</v>
      </c>
      <c r="Q3238" s="86">
        <v>7578.98</v>
      </c>
      <c r="S3238" s="86">
        <v>1341.56</v>
      </c>
      <c r="U3238" s="85">
        <v>3.7528800000000002</v>
      </c>
      <c r="W3238" s="81">
        <v>40.186599999999999</v>
      </c>
      <c r="Y3238" s="81">
        <v>7.1134199999999996</v>
      </c>
      <c r="AA3238" s="84">
        <v>527.07000000000005</v>
      </c>
      <c r="AC3238" s="81">
        <v>59.270800000000001</v>
      </c>
      <c r="AE3238" s="87">
        <v>1</v>
      </c>
      <c r="AG3238" s="85">
        <v>7.7597199999999997</v>
      </c>
      <c r="AI3238" s="86">
        <v>8.75</v>
      </c>
      <c r="AK3238" s="81">
        <v>24.761700000000001</v>
      </c>
      <c r="AM3238" s="81">
        <v>36.816600000000001</v>
      </c>
      <c r="AO3238" s="85">
        <v>6.7970800000000002</v>
      </c>
    </row>
    <row r="3239" spans="2:41" x14ac:dyDescent="0.25">
      <c r="B3239" s="21">
        <f t="shared" si="2"/>
        <v>45499</v>
      </c>
      <c r="C3239" s="91">
        <v>18.385000000000002</v>
      </c>
      <c r="E3239" s="83">
        <v>0.92109600000000003</v>
      </c>
      <c r="G3239" s="84">
        <v>929.36199999999997</v>
      </c>
      <c r="I3239" s="85">
        <v>6.9090199999999999</v>
      </c>
      <c r="K3239" s="85">
        <v>5.6494600000000004</v>
      </c>
      <c r="M3239" s="84">
        <v>947.39200000000005</v>
      </c>
      <c r="O3239" s="86">
        <v>4031.8</v>
      </c>
      <c r="Q3239" s="86">
        <v>7579.02</v>
      </c>
      <c r="S3239" s="86">
        <v>1341.56</v>
      </c>
      <c r="U3239" s="85">
        <v>3.7499199999999999</v>
      </c>
      <c r="W3239" s="81">
        <v>40.220100000000002</v>
      </c>
      <c r="Y3239" s="81">
        <v>7.1193200000000001</v>
      </c>
      <c r="AA3239" s="84">
        <v>528.67999999999995</v>
      </c>
      <c r="AC3239" s="81">
        <v>59.2089</v>
      </c>
      <c r="AE3239" s="87">
        <v>1</v>
      </c>
      <c r="AG3239" s="85">
        <v>7.7532199999999998</v>
      </c>
      <c r="AI3239" s="86">
        <v>8.75</v>
      </c>
      <c r="AK3239" s="81">
        <v>24.7575</v>
      </c>
      <c r="AM3239" s="81">
        <v>36.802199999999999</v>
      </c>
      <c r="AO3239" s="85">
        <v>6.7929700000000004</v>
      </c>
    </row>
    <row r="3240" spans="2:41" x14ac:dyDescent="0.25">
      <c r="B3240" s="21">
        <f t="shared" si="2"/>
        <v>45500</v>
      </c>
      <c r="C3240" s="91">
        <v>18.385000000000002</v>
      </c>
      <c r="E3240" s="83">
        <v>0.92116600000000004</v>
      </c>
      <c r="G3240" s="84">
        <v>929.54</v>
      </c>
      <c r="I3240" s="85">
        <v>6.9082800000000004</v>
      </c>
      <c r="K3240" s="85">
        <v>5.6565500000000002</v>
      </c>
      <c r="M3240" s="84">
        <v>948.95</v>
      </c>
      <c r="O3240" s="86">
        <v>4032.58</v>
      </c>
      <c r="Q3240" s="86">
        <v>7573.78</v>
      </c>
      <c r="S3240" s="86">
        <v>1338.95</v>
      </c>
      <c r="U3240" s="85">
        <v>3.7518400000000001</v>
      </c>
      <c r="W3240" s="81">
        <v>40.229999999999997</v>
      </c>
      <c r="Y3240" s="81">
        <v>7.1121400000000001</v>
      </c>
      <c r="AA3240" s="84">
        <v>528.59299999999996</v>
      </c>
      <c r="AC3240" s="81">
        <v>59.183500000000002</v>
      </c>
      <c r="AE3240" s="87">
        <v>1</v>
      </c>
      <c r="AG3240" s="85">
        <v>7.7496799999999997</v>
      </c>
      <c r="AI3240" s="86">
        <v>8.75</v>
      </c>
      <c r="AK3240" s="81">
        <v>24.753</v>
      </c>
      <c r="AM3240" s="81">
        <v>36.797600000000003</v>
      </c>
      <c r="AO3240" s="85">
        <v>6.7886800000000003</v>
      </c>
    </row>
    <row r="3241" spans="2:41" x14ac:dyDescent="0.25">
      <c r="B3241" s="21">
        <f t="shared" si="2"/>
        <v>45501</v>
      </c>
      <c r="C3241" s="91">
        <v>18.385000000000002</v>
      </c>
      <c r="E3241" s="83">
        <v>0.92115199999999997</v>
      </c>
      <c r="G3241" s="84">
        <v>929.524</v>
      </c>
      <c r="I3241" s="85">
        <v>6.90822</v>
      </c>
      <c r="K3241" s="85">
        <v>5.6562599999999996</v>
      </c>
      <c r="M3241" s="84">
        <v>948.84199999999998</v>
      </c>
      <c r="O3241" s="86">
        <v>4032.46</v>
      </c>
      <c r="Q3241" s="86">
        <v>7573.66</v>
      </c>
      <c r="S3241" s="86">
        <v>1339</v>
      </c>
      <c r="U3241" s="85">
        <v>3.7519200000000001</v>
      </c>
      <c r="W3241" s="81">
        <v>40.229900000000001</v>
      </c>
      <c r="Y3241" s="81">
        <v>7.1124999999999998</v>
      </c>
      <c r="AA3241" s="84">
        <v>528.58799999999997</v>
      </c>
      <c r="AC3241" s="81">
        <v>59.1828</v>
      </c>
      <c r="AE3241" s="87">
        <v>1</v>
      </c>
      <c r="AG3241" s="85">
        <v>7.7495799999999999</v>
      </c>
      <c r="AI3241" s="86">
        <v>8.75</v>
      </c>
      <c r="AK3241" s="81">
        <v>24.752800000000001</v>
      </c>
      <c r="AM3241" s="81">
        <v>36.797400000000003</v>
      </c>
      <c r="AO3241" s="85">
        <v>6.7885799999999996</v>
      </c>
    </row>
    <row r="3242" spans="2:41" x14ac:dyDescent="0.25">
      <c r="B3242" s="21">
        <f t="shared" si="2"/>
        <v>45502</v>
      </c>
      <c r="C3242" s="91">
        <v>18.447500000000002</v>
      </c>
      <c r="E3242" s="83">
        <v>0.92286199999999996</v>
      </c>
      <c r="G3242" s="84">
        <v>930.05600000000004</v>
      </c>
      <c r="I3242" s="85">
        <v>6.9092000000000002</v>
      </c>
      <c r="K3242" s="85">
        <v>5.6445800000000004</v>
      </c>
      <c r="M3242" s="84">
        <v>953.52200000000005</v>
      </c>
      <c r="O3242" s="86">
        <v>4040.86</v>
      </c>
      <c r="Q3242" s="86">
        <v>7572.16</v>
      </c>
      <c r="S3242" s="86">
        <v>1341.5</v>
      </c>
      <c r="U3242" s="85">
        <v>3.7448199999999998</v>
      </c>
      <c r="W3242" s="81">
        <v>40.266300000000001</v>
      </c>
      <c r="Y3242" s="81">
        <v>7.1336399999999998</v>
      </c>
      <c r="AA3242" s="84">
        <v>528.87699999999995</v>
      </c>
      <c r="AC3242" s="81">
        <v>59.255200000000002</v>
      </c>
      <c r="AE3242" s="87">
        <v>1</v>
      </c>
      <c r="AG3242" s="85">
        <v>7.7492999999999999</v>
      </c>
      <c r="AI3242" s="86">
        <v>8.75</v>
      </c>
      <c r="AK3242" s="81">
        <v>24.754000000000001</v>
      </c>
      <c r="AM3242" s="81">
        <v>36.8048</v>
      </c>
      <c r="AO3242" s="85">
        <v>6.7887599999999999</v>
      </c>
    </row>
    <row r="3243" spans="2:41" x14ac:dyDescent="0.25">
      <c r="B3243" s="21">
        <f t="shared" si="2"/>
        <v>45503</v>
      </c>
      <c r="C3243" s="91">
        <v>18.681799999999999</v>
      </c>
      <c r="E3243" s="83">
        <v>0.924396</v>
      </c>
      <c r="G3243" s="84">
        <v>931.80799999999999</v>
      </c>
      <c r="I3243" s="85">
        <v>6.9175000000000004</v>
      </c>
      <c r="K3243" s="85">
        <v>5.6232600000000001</v>
      </c>
      <c r="M3243" s="84">
        <v>956.36699999999996</v>
      </c>
      <c r="O3243" s="86">
        <v>4065.84</v>
      </c>
      <c r="Q3243" s="86">
        <v>7577.49</v>
      </c>
      <c r="S3243" s="86">
        <v>1347.54</v>
      </c>
      <c r="U3243" s="85">
        <v>3.7373799999999999</v>
      </c>
      <c r="W3243" s="81">
        <v>40.320799999999998</v>
      </c>
      <c r="Y3243" s="81">
        <v>7.1703900000000003</v>
      </c>
      <c r="AA3243" s="84">
        <v>529.73099999999999</v>
      </c>
      <c r="AC3243" s="81">
        <v>59.175199999999997</v>
      </c>
      <c r="AE3243" s="87">
        <v>1</v>
      </c>
      <c r="AG3243" s="85">
        <v>7.7583200000000003</v>
      </c>
      <c r="AI3243" s="86">
        <v>8.75</v>
      </c>
      <c r="AK3243" s="81">
        <v>24.793299999999999</v>
      </c>
      <c r="AM3243" s="81">
        <v>36.852600000000002</v>
      </c>
      <c r="AO3243" s="85">
        <v>6.7940199999999997</v>
      </c>
    </row>
    <row r="3244" spans="2:41" x14ac:dyDescent="0.25">
      <c r="B3244" s="21">
        <f>B3243+1</f>
        <v>45504</v>
      </c>
      <c r="C3244" s="82">
        <v>18.79</v>
      </c>
      <c r="D3244" s="92"/>
      <c r="E3244" s="93">
        <v>0.92382200000000003</v>
      </c>
      <c r="F3244" s="92"/>
      <c r="G3244" s="94">
        <v>931.81200000000001</v>
      </c>
      <c r="H3244" s="92"/>
      <c r="I3244" s="95">
        <v>6.91526</v>
      </c>
      <c r="J3244" s="92"/>
      <c r="K3244" s="95">
        <v>5.6331600000000002</v>
      </c>
      <c r="L3244" s="92"/>
      <c r="M3244" s="94">
        <v>950.327</v>
      </c>
      <c r="N3244" s="92"/>
      <c r="O3244" s="96">
        <v>4068.26</v>
      </c>
      <c r="P3244" s="92"/>
      <c r="Q3244" s="96">
        <v>7575.45</v>
      </c>
      <c r="R3244" s="92"/>
      <c r="S3244" s="96">
        <v>1344.8</v>
      </c>
      <c r="T3244" s="92"/>
      <c r="U3244" s="95">
        <v>3.7352699999999999</v>
      </c>
      <c r="V3244" s="92"/>
      <c r="W3244" s="91">
        <v>40.299599999999998</v>
      </c>
      <c r="X3244" s="92"/>
      <c r="Y3244" s="91">
        <v>7.15402</v>
      </c>
      <c r="Z3244" s="92"/>
      <c r="AA3244" s="94">
        <v>528.36599999999999</v>
      </c>
      <c r="AB3244" s="92"/>
      <c r="AC3244" s="91">
        <v>59.308199999999999</v>
      </c>
      <c r="AD3244" s="92"/>
      <c r="AE3244" s="97">
        <v>1</v>
      </c>
      <c r="AF3244" s="92"/>
      <c r="AG3244" s="95">
        <v>7.7558499999999997</v>
      </c>
      <c r="AH3244" s="92"/>
      <c r="AI3244" s="96">
        <v>8.75</v>
      </c>
      <c r="AJ3244" s="92"/>
      <c r="AK3244" s="91">
        <v>24.791</v>
      </c>
      <c r="AL3244" s="92"/>
      <c r="AM3244" s="91">
        <v>36.851199999999999</v>
      </c>
      <c r="AN3244" s="92"/>
      <c r="AO3244" s="95">
        <v>6.7876000000000003</v>
      </c>
    </row>
    <row r="3245" spans="2:41" ht="13" x14ac:dyDescent="0.3">
      <c r="B3245" s="25" t="str">
        <f>"PROM-"&amp;MONTH(B3244)&amp;YEAR(B3244)</f>
        <v>PROM-72024</v>
      </c>
      <c r="C3245" s="19">
        <f>AVERAGE(C3214:C3244)</f>
        <v>18.083906451612901</v>
      </c>
      <c r="E3245" s="24">
        <f>AVERAGE(E3214:E3244)</f>
        <v>0.92164558064516133</v>
      </c>
      <c r="G3245" s="42">
        <f>AVERAGE(G3214:G3244)</f>
        <v>921.86806451612915</v>
      </c>
      <c r="I3245" s="23">
        <f>AVERAGE(I3214:I3244)</f>
        <v>6.908137419354837</v>
      </c>
      <c r="K3245" s="23">
        <f>AVERAGE(K3214:K3244)</f>
        <v>5.5405019354838707</v>
      </c>
      <c r="M3245" s="42">
        <f>AVERAGE(M3214:M3244)</f>
        <v>935.02341935483867</v>
      </c>
      <c r="O3245" s="80">
        <f>AVERAGE(O3214:O3244)</f>
        <v>4033.5709677419359</v>
      </c>
      <c r="Q3245" s="80">
        <f>AVERAGE(Q3214:Q3244)</f>
        <v>7548.4983870967744</v>
      </c>
      <c r="S3245" s="80">
        <f>AVERAGE(S3214:S3244)</f>
        <v>1362.7361290322578</v>
      </c>
      <c r="U3245" s="23">
        <f>AVERAGE(U3214:U3244)</f>
        <v>3.7698396774193554</v>
      </c>
      <c r="W3245" s="19">
        <f>AVERAGE(W3214:W3244)</f>
        <v>40.137754838709675</v>
      </c>
      <c r="Y3245" s="19">
        <f>AVERAGE(Y3214:Y3244)</f>
        <v>7.2462154838709676</v>
      </c>
      <c r="AA3245" s="42">
        <f>AVERAGE(AA3214:AA3244)</f>
        <v>526.96677419354842</v>
      </c>
      <c r="AC3245" s="19">
        <f>AVERAGE(AC3214:AC3244)</f>
        <v>59.126683870967739</v>
      </c>
      <c r="AE3245" s="88">
        <f>AVERAGE(AE3214:AE3244)</f>
        <v>1</v>
      </c>
      <c r="AG3245" s="23">
        <f>AVERAGE(AG3214:AG3244)</f>
        <v>7.7596177419354833</v>
      </c>
      <c r="AI3245" s="80">
        <f>AVERAGE(AI3214:AI3244)</f>
        <v>8.75</v>
      </c>
      <c r="AK3245" s="19">
        <f>AVERAGE(AK3214:AK3244)</f>
        <v>24.762809677419362</v>
      </c>
      <c r="AM3245" s="19">
        <f>AVERAGE(AM3214:AM3244)</f>
        <v>36.802048387096782</v>
      </c>
      <c r="AO3245" s="23">
        <f>AVERAGE(AO3214:AO3244)</f>
        <v>6.7831887096774173</v>
      </c>
    </row>
    <row r="3246" spans="2:41" x14ac:dyDescent="0.25">
      <c r="B3246" s="21">
        <v>45505</v>
      </c>
      <c r="C3246" s="91">
        <v>18.597000000000001</v>
      </c>
      <c r="E3246" s="83">
        <v>0.925763</v>
      </c>
      <c r="G3246" s="84">
        <v>931.32899999999995</v>
      </c>
      <c r="I3246" s="85">
        <v>6.9120600000000003</v>
      </c>
      <c r="K3246" s="85">
        <v>5.6858300000000002</v>
      </c>
      <c r="M3246" s="84">
        <v>944.21799999999996</v>
      </c>
      <c r="O3246" s="86">
        <v>4062.54</v>
      </c>
      <c r="Q3246" s="86">
        <v>7577.04</v>
      </c>
      <c r="S3246" s="86">
        <v>1332.62</v>
      </c>
      <c r="U3246" s="85">
        <v>3.7361200000000001</v>
      </c>
      <c r="W3246" s="81">
        <v>40.299300000000002</v>
      </c>
      <c r="Y3246" s="81">
        <v>7.0876999999999999</v>
      </c>
      <c r="AA3246" s="84">
        <v>526.61500000000001</v>
      </c>
      <c r="AC3246" s="81">
        <v>59.012599999999999</v>
      </c>
      <c r="AE3246" s="87">
        <v>1</v>
      </c>
      <c r="AG3246" s="85">
        <v>7.7523</v>
      </c>
      <c r="AI3246" s="86">
        <v>8.75</v>
      </c>
      <c r="AK3246" s="81">
        <v>24.787199999999999</v>
      </c>
      <c r="AM3246" s="81">
        <v>36.842799999999997</v>
      </c>
      <c r="AO3246" s="85">
        <v>6.7828499999999998</v>
      </c>
    </row>
    <row r="3247" spans="2:41" x14ac:dyDescent="0.25">
      <c r="B3247" s="21">
        <v>45506</v>
      </c>
      <c r="C3247" s="91">
        <v>18.706</v>
      </c>
      <c r="E3247" s="83">
        <v>0.92129799999999995</v>
      </c>
      <c r="G3247" s="84">
        <v>932.31399999999996</v>
      </c>
      <c r="I3247" s="85">
        <v>6.9100200000000003</v>
      </c>
      <c r="K3247" s="85">
        <v>5.7403399999999998</v>
      </c>
      <c r="M3247" s="84">
        <v>949.65200000000004</v>
      </c>
      <c r="O3247" s="86">
        <v>4100.7700000000004</v>
      </c>
      <c r="Q3247" s="86">
        <v>7574.21</v>
      </c>
      <c r="S3247" s="86">
        <v>1319.48</v>
      </c>
      <c r="U3247" s="85">
        <v>3.73868</v>
      </c>
      <c r="W3247" s="81">
        <v>40.311199999999999</v>
      </c>
      <c r="Y3247" s="81">
        <v>7.0224799999999998</v>
      </c>
      <c r="AA3247" s="84">
        <v>526.29999999999995</v>
      </c>
      <c r="AC3247" s="81">
        <v>59.103999999999999</v>
      </c>
      <c r="AE3247" s="87">
        <v>1</v>
      </c>
      <c r="AG3247" s="85">
        <v>7.75</v>
      </c>
      <c r="AI3247" s="86">
        <v>8.75</v>
      </c>
      <c r="AK3247" s="81">
        <v>24.7788</v>
      </c>
      <c r="AM3247" s="81">
        <v>36.8249</v>
      </c>
      <c r="AO3247" s="85">
        <v>6.7762599999999997</v>
      </c>
    </row>
    <row r="3248" spans="2:41" x14ac:dyDescent="0.25">
      <c r="B3248" s="21">
        <v>45507</v>
      </c>
      <c r="C3248" s="91">
        <v>18.706</v>
      </c>
      <c r="E3248" s="83">
        <v>0.91650200000000004</v>
      </c>
      <c r="G3248" s="84">
        <v>933.20799999999997</v>
      </c>
      <c r="I3248" s="85">
        <v>6.90998</v>
      </c>
      <c r="K3248" s="85">
        <v>5.7272999999999996</v>
      </c>
      <c r="M3248" s="84">
        <v>951.56</v>
      </c>
      <c r="O3248" s="86">
        <v>4133.82</v>
      </c>
      <c r="Q3248" s="86">
        <v>7572.8</v>
      </c>
      <c r="S3248" s="86">
        <v>1322.24</v>
      </c>
      <c r="U3248" s="85">
        <v>3.73658</v>
      </c>
      <c r="W3248" s="81">
        <v>40.364600000000003</v>
      </c>
      <c r="Y3248" s="81">
        <v>7.0477600000000002</v>
      </c>
      <c r="AA3248" s="84">
        <v>526.46</v>
      </c>
      <c r="AC3248" s="81">
        <v>59.402500000000003</v>
      </c>
      <c r="AE3248" s="87">
        <v>1</v>
      </c>
      <c r="AG3248" s="85">
        <v>7.7498800000000001</v>
      </c>
      <c r="AI3248" s="86">
        <v>8.75</v>
      </c>
      <c r="AK3248" s="81">
        <v>24.805</v>
      </c>
      <c r="AM3248" s="81">
        <v>36.849800000000002</v>
      </c>
      <c r="AO3248" s="85">
        <v>6.7756699999999999</v>
      </c>
    </row>
    <row r="3249" spans="2:41" x14ac:dyDescent="0.25">
      <c r="B3249" s="21">
        <v>45508</v>
      </c>
      <c r="C3249" s="91">
        <v>18.706</v>
      </c>
      <c r="E3249" s="83">
        <v>0.91649099999999994</v>
      </c>
      <c r="G3249" s="84">
        <v>932.07600000000002</v>
      </c>
      <c r="I3249" s="85">
        <v>6.90998</v>
      </c>
      <c r="K3249" s="85">
        <v>5.72722</v>
      </c>
      <c r="M3249" s="84">
        <v>951.56</v>
      </c>
      <c r="O3249" s="86">
        <v>4132.96</v>
      </c>
      <c r="Q3249" s="86">
        <v>7572.8</v>
      </c>
      <c r="S3249" s="86">
        <v>1322.26</v>
      </c>
      <c r="U3249" s="85">
        <v>3.73658</v>
      </c>
      <c r="W3249" s="81">
        <v>40.364600000000003</v>
      </c>
      <c r="Y3249" s="81">
        <v>7.04786</v>
      </c>
      <c r="AA3249" s="84">
        <v>526.46</v>
      </c>
      <c r="AC3249" s="81">
        <v>59.394599999999997</v>
      </c>
      <c r="AE3249" s="87">
        <v>1</v>
      </c>
      <c r="AG3249" s="85">
        <v>7.7498800000000001</v>
      </c>
      <c r="AI3249" s="86">
        <v>8.75</v>
      </c>
      <c r="AK3249" s="81">
        <v>24.805</v>
      </c>
      <c r="AM3249" s="81">
        <v>36.849800000000002</v>
      </c>
      <c r="AO3249" s="85">
        <v>6.7756699999999999</v>
      </c>
    </row>
    <row r="3250" spans="2:41" x14ac:dyDescent="0.25">
      <c r="B3250" s="21">
        <v>45509</v>
      </c>
      <c r="C3250" s="91">
        <v>19.0442</v>
      </c>
      <c r="E3250" s="83">
        <v>0.91343399999999997</v>
      </c>
      <c r="G3250" s="84">
        <v>933.50199999999995</v>
      </c>
      <c r="I3250" s="85">
        <v>6.8719099999999997</v>
      </c>
      <c r="K3250" s="85">
        <v>5.7365599999999999</v>
      </c>
      <c r="M3250" s="84">
        <v>951.30100000000004</v>
      </c>
      <c r="O3250" s="86">
        <v>4127.24</v>
      </c>
      <c r="Q3250" s="86">
        <v>7559.7</v>
      </c>
      <c r="S3250" s="86">
        <v>1317.82</v>
      </c>
      <c r="U3250" s="85">
        <v>3.7235900000000002</v>
      </c>
      <c r="W3250" s="81">
        <v>40.188000000000002</v>
      </c>
      <c r="Y3250" s="81">
        <v>7.0056200000000004</v>
      </c>
      <c r="AA3250" s="84">
        <v>522.82600000000002</v>
      </c>
      <c r="AC3250" s="81">
        <v>59.198399999999999</v>
      </c>
      <c r="AE3250" s="87">
        <v>1</v>
      </c>
      <c r="AG3250" s="85">
        <v>7.7351900000000002</v>
      </c>
      <c r="AI3250" s="86">
        <v>8.75</v>
      </c>
      <c r="AK3250" s="81">
        <v>24.713799999999999</v>
      </c>
      <c r="AM3250" s="81">
        <v>36.755800000000001</v>
      </c>
      <c r="AO3250" s="85">
        <v>6.7296199999999997</v>
      </c>
    </row>
    <row r="3251" spans="2:41" x14ac:dyDescent="0.25">
      <c r="B3251" s="21">
        <v>45510</v>
      </c>
      <c r="C3251" s="91">
        <v>19.390499999999999</v>
      </c>
      <c r="E3251" s="83">
        <v>0.91474900000000003</v>
      </c>
      <c r="G3251" s="84">
        <v>935.13499999999999</v>
      </c>
      <c r="I3251" s="85">
        <v>6.8783700000000003</v>
      </c>
      <c r="K3251" s="85">
        <v>5.6897399999999996</v>
      </c>
      <c r="M3251" s="84">
        <v>950.26599999999996</v>
      </c>
      <c r="O3251" s="86">
        <v>4152.5600000000004</v>
      </c>
      <c r="Q3251" s="86">
        <v>7548.5</v>
      </c>
      <c r="S3251" s="86">
        <v>1326.7</v>
      </c>
      <c r="U3251" s="85">
        <v>3.7256300000000002</v>
      </c>
      <c r="W3251" s="81">
        <v>40.278199999999998</v>
      </c>
      <c r="Y3251" s="81">
        <v>7.0791399999999998</v>
      </c>
      <c r="AA3251" s="84">
        <v>524.52300000000002</v>
      </c>
      <c r="AC3251" s="81">
        <v>59.406300000000002</v>
      </c>
      <c r="AE3251" s="87">
        <v>1</v>
      </c>
      <c r="AG3251" s="85">
        <v>7.7238300000000004</v>
      </c>
      <c r="AI3251" s="86">
        <v>8.75</v>
      </c>
      <c r="AK3251" s="81">
        <v>24.750599999999999</v>
      </c>
      <c r="AM3251" s="81">
        <v>36.776899999999998</v>
      </c>
      <c r="AO3251" s="85">
        <v>6.7434799999999999</v>
      </c>
    </row>
    <row r="3252" spans="2:41" x14ac:dyDescent="0.25">
      <c r="B3252" s="21">
        <v>45511</v>
      </c>
      <c r="C3252" s="91">
        <v>19.329999999999998</v>
      </c>
      <c r="E3252" s="83">
        <v>0.915686</v>
      </c>
      <c r="G3252" s="84">
        <v>935.81399999999996</v>
      </c>
      <c r="I3252" s="85">
        <v>6.8766100000000003</v>
      </c>
      <c r="K3252" s="85">
        <v>5.6392300000000004</v>
      </c>
      <c r="M3252" s="84">
        <v>944.59799999999996</v>
      </c>
      <c r="O3252" s="86">
        <v>4139.1000000000004</v>
      </c>
      <c r="Q3252" s="86">
        <v>7534.22</v>
      </c>
      <c r="S3252" s="86">
        <v>1336.04</v>
      </c>
      <c r="U3252" s="85">
        <v>3.7222200000000001</v>
      </c>
      <c r="W3252" s="81">
        <v>40.389400000000002</v>
      </c>
      <c r="Y3252" s="81">
        <v>7.1622399999999997</v>
      </c>
      <c r="AA3252" s="84">
        <v>523.83500000000004</v>
      </c>
      <c r="AC3252" s="81">
        <v>59.431600000000003</v>
      </c>
      <c r="AE3252" s="87">
        <v>1</v>
      </c>
      <c r="AG3252" s="85">
        <v>7.7124800000000002</v>
      </c>
      <c r="AI3252" s="86">
        <v>8.75</v>
      </c>
      <c r="AK3252" s="81">
        <v>24.750699999999998</v>
      </c>
      <c r="AM3252" s="81">
        <v>36.774099999999997</v>
      </c>
      <c r="AO3252" s="85">
        <v>6.7454599999999996</v>
      </c>
    </row>
    <row r="3253" spans="2:41" x14ac:dyDescent="0.25">
      <c r="B3253" s="21">
        <v>45512</v>
      </c>
      <c r="C3253" s="91">
        <v>19.189</v>
      </c>
      <c r="E3253" s="83">
        <v>0.91559000000000001</v>
      </c>
      <c r="G3253" s="84">
        <v>936.02200000000005</v>
      </c>
      <c r="I3253" s="85">
        <v>6.8797199999999998</v>
      </c>
      <c r="K3253" s="85">
        <v>5.6113</v>
      </c>
      <c r="M3253" s="84">
        <v>941.05</v>
      </c>
      <c r="O3253" s="86">
        <v>4116.3599999999997</v>
      </c>
      <c r="Q3253" s="86">
        <v>7557.97</v>
      </c>
      <c r="S3253" s="86">
        <v>1346.92</v>
      </c>
      <c r="U3253" s="85">
        <v>3.7269399999999999</v>
      </c>
      <c r="W3253" s="81">
        <v>40.510399999999997</v>
      </c>
      <c r="Y3253" s="81">
        <v>7.2194399999999996</v>
      </c>
      <c r="AA3253" s="84">
        <v>523.77800000000002</v>
      </c>
      <c r="AC3253" s="81">
        <v>59.565800000000003</v>
      </c>
      <c r="AE3253" s="87">
        <v>1</v>
      </c>
      <c r="AG3253" s="85">
        <v>7.7163300000000001</v>
      </c>
      <c r="AI3253" s="86">
        <v>8.75</v>
      </c>
      <c r="AK3253" s="81">
        <v>24.803599999999999</v>
      </c>
      <c r="AM3253" s="81">
        <v>36.803600000000003</v>
      </c>
      <c r="AO3253" s="85">
        <v>6.7490800000000002</v>
      </c>
    </row>
    <row r="3254" spans="2:41" x14ac:dyDescent="0.25">
      <c r="B3254" s="21">
        <v>45513</v>
      </c>
      <c r="C3254" s="91">
        <v>19.09</v>
      </c>
      <c r="E3254" s="83">
        <v>0.91580899999999998</v>
      </c>
      <c r="G3254" s="84">
        <v>936.47400000000005</v>
      </c>
      <c r="I3254" s="85">
        <v>6.9138400000000004</v>
      </c>
      <c r="K3254" s="85">
        <v>5.52881</v>
      </c>
      <c r="M3254" s="84">
        <v>934.49199999999996</v>
      </c>
      <c r="O3254" s="86">
        <v>4081.82</v>
      </c>
      <c r="Q3254" s="86">
        <v>7572.46</v>
      </c>
      <c r="S3254" s="86">
        <v>1369.64</v>
      </c>
      <c r="U3254" s="85">
        <v>3.73482</v>
      </c>
      <c r="W3254" s="81">
        <v>40.457599999999999</v>
      </c>
      <c r="Y3254" s="81">
        <v>7.3176199999999998</v>
      </c>
      <c r="AA3254" s="84">
        <v>529.25900000000001</v>
      </c>
      <c r="AC3254" s="81">
        <v>59.678100000000001</v>
      </c>
      <c r="AE3254" s="87">
        <v>1</v>
      </c>
      <c r="AG3254" s="85">
        <v>7.7546200000000001</v>
      </c>
      <c r="AI3254" s="86">
        <v>8.75</v>
      </c>
      <c r="AK3254" s="81">
        <v>24.864799999999999</v>
      </c>
      <c r="AM3254" s="81">
        <v>36.833199999999998</v>
      </c>
      <c r="AO3254" s="85">
        <v>6.7914399999999997</v>
      </c>
    </row>
    <row r="3255" spans="2:41" x14ac:dyDescent="0.25">
      <c r="B3255" s="21">
        <v>45514</v>
      </c>
      <c r="C3255" s="91">
        <v>19.09</v>
      </c>
      <c r="E3255" s="83">
        <v>0.91612800000000005</v>
      </c>
      <c r="G3255" s="84">
        <v>936.53099999999995</v>
      </c>
      <c r="I3255" s="85">
        <v>6.9131999999999998</v>
      </c>
      <c r="K3255" s="85">
        <v>5.5054499999999997</v>
      </c>
      <c r="M3255" s="84">
        <v>932.82</v>
      </c>
      <c r="O3255" s="86">
        <v>4070.31</v>
      </c>
      <c r="Q3255" s="86">
        <v>7571.89</v>
      </c>
      <c r="S3255" s="86">
        <v>1375.35</v>
      </c>
      <c r="U3255" s="85">
        <v>3.73082</v>
      </c>
      <c r="W3255" s="81">
        <v>40.372999999999998</v>
      </c>
      <c r="Y3255" s="81">
        <v>7.3333000000000004</v>
      </c>
      <c r="AA3255" s="84">
        <v>529.524</v>
      </c>
      <c r="AC3255" s="81">
        <v>59.682499999999997</v>
      </c>
      <c r="AE3255" s="87">
        <v>1</v>
      </c>
      <c r="AG3255" s="85">
        <v>7.7538200000000002</v>
      </c>
      <c r="AI3255" s="86">
        <v>8.75</v>
      </c>
      <c r="AK3255" s="81">
        <v>24.872499999999999</v>
      </c>
      <c r="AM3255" s="81">
        <v>36.819800000000001</v>
      </c>
      <c r="AO3255" s="85">
        <v>6.7945599999999997</v>
      </c>
    </row>
    <row r="3256" spans="2:41" x14ac:dyDescent="0.25">
      <c r="B3256" s="21">
        <v>45515</v>
      </c>
      <c r="C3256" s="91">
        <v>19.09</v>
      </c>
      <c r="E3256" s="83">
        <v>0.91613199999999995</v>
      </c>
      <c r="G3256" s="84">
        <v>936.55600000000004</v>
      </c>
      <c r="I3256" s="85">
        <v>6.9131999999999998</v>
      </c>
      <c r="K3256" s="85">
        <v>5.5055699999999996</v>
      </c>
      <c r="M3256" s="84">
        <v>932.81500000000005</v>
      </c>
      <c r="O3256" s="86">
        <v>4070.32</v>
      </c>
      <c r="Q3256" s="86">
        <v>7571.86</v>
      </c>
      <c r="S3256" s="86">
        <v>1375.32</v>
      </c>
      <c r="U3256" s="85">
        <v>3.73082</v>
      </c>
      <c r="W3256" s="81">
        <v>40.375999999999998</v>
      </c>
      <c r="Y3256" s="81">
        <v>7.3337000000000003</v>
      </c>
      <c r="AA3256" s="84">
        <v>529.52200000000005</v>
      </c>
      <c r="AC3256" s="81">
        <v>59.682200000000002</v>
      </c>
      <c r="AE3256" s="87">
        <v>1</v>
      </c>
      <c r="AG3256" s="85">
        <v>7.7538200000000002</v>
      </c>
      <c r="AI3256" s="86">
        <v>8.75</v>
      </c>
      <c r="AK3256" s="81">
        <v>24.869499999999999</v>
      </c>
      <c r="AM3256" s="81">
        <v>36.819099999999999</v>
      </c>
      <c r="AO3256" s="85">
        <v>6.7945399999999996</v>
      </c>
    </row>
    <row r="3257" spans="2:41" x14ac:dyDescent="0.25">
      <c r="B3257" s="21">
        <v>45516</v>
      </c>
      <c r="C3257" s="91">
        <v>18.8368</v>
      </c>
      <c r="E3257" s="83">
        <v>0.91534800000000005</v>
      </c>
      <c r="G3257" s="84">
        <v>937.59799999999996</v>
      </c>
      <c r="I3257" s="85">
        <v>6.9119000000000002</v>
      </c>
      <c r="K3257" s="85">
        <v>5.5028800000000002</v>
      </c>
      <c r="M3257" s="84">
        <v>932.59400000000005</v>
      </c>
      <c r="O3257" s="86">
        <v>4064.09</v>
      </c>
      <c r="Q3257" s="86">
        <v>7569.46</v>
      </c>
      <c r="S3257" s="86">
        <v>1375.56</v>
      </c>
      <c r="U3257" s="85">
        <v>3.73325</v>
      </c>
      <c r="W3257" s="81">
        <v>40.365400000000001</v>
      </c>
      <c r="Y3257" s="81">
        <v>7.3353599999999997</v>
      </c>
      <c r="AA3257" s="84">
        <v>529.47500000000002</v>
      </c>
      <c r="AC3257" s="81">
        <v>59.753599999999999</v>
      </c>
      <c r="AE3257" s="87">
        <v>1</v>
      </c>
      <c r="AG3257" s="85">
        <v>7.7523799999999996</v>
      </c>
      <c r="AI3257" s="86">
        <v>8.75</v>
      </c>
      <c r="AK3257" s="81">
        <v>24.784099999999999</v>
      </c>
      <c r="AM3257" s="81">
        <v>36.816299999999998</v>
      </c>
      <c r="AO3257" s="85">
        <v>6.7958699999999999</v>
      </c>
    </row>
    <row r="3258" spans="2:41" x14ac:dyDescent="0.25">
      <c r="B3258" s="21">
        <v>45517</v>
      </c>
      <c r="C3258" s="91">
        <v>19.032</v>
      </c>
      <c r="E3258" s="83">
        <v>0.91299399999999997</v>
      </c>
      <c r="G3258" s="84">
        <v>939.13499999999999</v>
      </c>
      <c r="I3258" s="85">
        <v>6.9097900000000001</v>
      </c>
      <c r="K3258" s="85">
        <v>5.4817999999999998</v>
      </c>
      <c r="M3258" s="84">
        <v>933.077</v>
      </c>
      <c r="O3258" s="86">
        <v>4047.13</v>
      </c>
      <c r="Q3258" s="86">
        <v>7565.5</v>
      </c>
      <c r="S3258" s="86">
        <v>1380.12</v>
      </c>
      <c r="U3258" s="85">
        <v>3.73766</v>
      </c>
      <c r="W3258" s="81">
        <v>40.329000000000001</v>
      </c>
      <c r="Y3258" s="81">
        <v>7.3569399999999998</v>
      </c>
      <c r="AA3258" s="84">
        <v>529.35699999999997</v>
      </c>
      <c r="AC3258" s="81">
        <v>59.726799999999997</v>
      </c>
      <c r="AE3258" s="87">
        <v>1</v>
      </c>
      <c r="AG3258" s="85">
        <v>7.7484200000000003</v>
      </c>
      <c r="AI3258" s="86">
        <v>8.75</v>
      </c>
      <c r="AK3258" s="81">
        <v>24.779</v>
      </c>
      <c r="AM3258" s="81">
        <v>36.816200000000002</v>
      </c>
      <c r="AO3258" s="85">
        <v>6.79216</v>
      </c>
    </row>
    <row r="3259" spans="2:41" x14ac:dyDescent="0.25">
      <c r="B3259" s="21">
        <v>45518</v>
      </c>
      <c r="C3259" s="91">
        <v>19.038699999999999</v>
      </c>
      <c r="E3259" s="83">
        <v>0.90820900000000004</v>
      </c>
      <c r="G3259" s="84">
        <v>940.08199999999999</v>
      </c>
      <c r="I3259" s="85">
        <v>6.9012500000000001</v>
      </c>
      <c r="K3259" s="85">
        <v>5.4605800000000002</v>
      </c>
      <c r="M3259" s="84">
        <v>932.44500000000005</v>
      </c>
      <c r="O3259" s="86">
        <v>4029.16</v>
      </c>
      <c r="Q3259" s="86">
        <v>7556.64</v>
      </c>
      <c r="S3259" s="86">
        <v>1383.86</v>
      </c>
      <c r="U3259" s="85">
        <v>3.7377199999999999</v>
      </c>
      <c r="W3259" s="81">
        <v>40.269199999999998</v>
      </c>
      <c r="Y3259" s="81">
        <v>7.3745399999999997</v>
      </c>
      <c r="AA3259" s="84">
        <v>527.81399999999996</v>
      </c>
      <c r="AC3259" s="81">
        <v>59.613100000000003</v>
      </c>
      <c r="AE3259" s="87">
        <v>1</v>
      </c>
      <c r="AG3259" s="85">
        <v>7.7378200000000001</v>
      </c>
      <c r="AI3259" s="86">
        <v>8.75</v>
      </c>
      <c r="AK3259" s="81">
        <v>24.737200000000001</v>
      </c>
      <c r="AM3259" s="81">
        <v>36.740900000000003</v>
      </c>
      <c r="AO3259" s="85">
        <v>6.7831900000000003</v>
      </c>
    </row>
    <row r="3260" spans="2:41" x14ac:dyDescent="0.25">
      <c r="B3260" s="21">
        <v>45519</v>
      </c>
      <c r="C3260" s="91">
        <v>18.847799999999999</v>
      </c>
      <c r="E3260" s="83">
        <v>0.90966000000000002</v>
      </c>
      <c r="G3260" s="84">
        <v>940.93100000000004</v>
      </c>
      <c r="I3260" s="85">
        <v>6.9144800000000002</v>
      </c>
      <c r="K3260" s="85">
        <v>5.4730699999999999</v>
      </c>
      <c r="M3260" s="84">
        <v>933.69100000000003</v>
      </c>
      <c r="O3260" s="86">
        <v>4013.91</v>
      </c>
      <c r="Q3260" s="86">
        <v>7572.27</v>
      </c>
      <c r="S3260" s="86">
        <v>1383.56</v>
      </c>
      <c r="U3260" s="85">
        <v>3.7435200000000002</v>
      </c>
      <c r="W3260" s="81">
        <v>40.365600000000001</v>
      </c>
      <c r="Y3260" s="81">
        <v>7.3753500000000001</v>
      </c>
      <c r="AA3260" s="84">
        <v>527.81399999999996</v>
      </c>
      <c r="AC3260" s="81">
        <v>59.811199999999999</v>
      </c>
      <c r="AE3260" s="87">
        <v>1</v>
      </c>
      <c r="AG3260" s="85">
        <v>7.7519600000000004</v>
      </c>
      <c r="AI3260" s="86">
        <v>8.75</v>
      </c>
      <c r="AK3260" s="81">
        <v>24.8063</v>
      </c>
      <c r="AM3260" s="81">
        <v>36.839300000000001</v>
      </c>
      <c r="AO3260" s="85">
        <v>6.7984999999999998</v>
      </c>
    </row>
    <row r="3261" spans="2:41" x14ac:dyDescent="0.25">
      <c r="B3261" s="21">
        <v>45520</v>
      </c>
      <c r="C3261" s="91">
        <v>18.651299999999999</v>
      </c>
      <c r="E3261" s="83">
        <v>0.90936799999999995</v>
      </c>
      <c r="G3261" s="84">
        <v>941.56</v>
      </c>
      <c r="I3261" s="85">
        <v>6.9248599999999998</v>
      </c>
      <c r="K3261" s="85">
        <v>5.47811</v>
      </c>
      <c r="M3261" s="84">
        <v>936.15499999999997</v>
      </c>
      <c r="O3261" s="86">
        <v>4014.38</v>
      </c>
      <c r="Q3261" s="86">
        <v>7583.78</v>
      </c>
      <c r="S3261" s="86">
        <v>1384.39</v>
      </c>
      <c r="U3261" s="85">
        <v>3.7448600000000001</v>
      </c>
      <c r="W3261" s="81">
        <v>40.425400000000003</v>
      </c>
      <c r="Y3261" s="81">
        <v>7.3794599999999999</v>
      </c>
      <c r="AA3261" s="84">
        <v>527.11599999999999</v>
      </c>
      <c r="AC3261" s="81">
        <v>59.945</v>
      </c>
      <c r="AE3261" s="87">
        <v>1</v>
      </c>
      <c r="AG3261" s="85">
        <v>7.7614000000000001</v>
      </c>
      <c r="AI3261" s="86">
        <v>8.75</v>
      </c>
      <c r="AK3261" s="81">
        <v>24.835000000000001</v>
      </c>
      <c r="AM3261" s="81">
        <v>36.887999999999998</v>
      </c>
      <c r="AO3261" s="85">
        <v>6.8079299999999998</v>
      </c>
    </row>
    <row r="3262" spans="2:41" x14ac:dyDescent="0.25">
      <c r="B3262" s="21">
        <v>45521</v>
      </c>
      <c r="C3262" s="91">
        <v>18.651299999999999</v>
      </c>
      <c r="E3262" s="83">
        <v>0.90679900000000002</v>
      </c>
      <c r="G3262" s="84">
        <v>941.46600000000001</v>
      </c>
      <c r="I3262" s="85">
        <v>6.9183199999999996</v>
      </c>
      <c r="K3262" s="85">
        <v>5.4741499999999998</v>
      </c>
      <c r="M3262" s="84">
        <v>939.78</v>
      </c>
      <c r="O3262" s="86">
        <v>4026.44</v>
      </c>
      <c r="Q3262" s="86">
        <v>7576.62</v>
      </c>
      <c r="S3262" s="86">
        <v>1384.08</v>
      </c>
      <c r="U3262" s="85">
        <v>3.7372999999999998</v>
      </c>
      <c r="W3262" s="81">
        <v>40.318199999999997</v>
      </c>
      <c r="Y3262" s="81">
        <v>7.3652100000000003</v>
      </c>
      <c r="AA3262" s="84">
        <v>526.63</v>
      </c>
      <c r="AC3262" s="81">
        <v>59.947499999999998</v>
      </c>
      <c r="AE3262" s="87">
        <v>1</v>
      </c>
      <c r="AG3262" s="85">
        <v>7.7541799999999999</v>
      </c>
      <c r="AI3262" s="86">
        <v>8.75</v>
      </c>
      <c r="AK3262" s="81">
        <v>24.8325</v>
      </c>
      <c r="AM3262" s="81">
        <v>36.854799999999997</v>
      </c>
      <c r="AO3262" s="85">
        <v>6.8011799999999996</v>
      </c>
    </row>
    <row r="3263" spans="2:41" x14ac:dyDescent="0.25">
      <c r="B3263" s="21">
        <v>45522</v>
      </c>
      <c r="C3263" s="91">
        <v>18.651299999999999</v>
      </c>
      <c r="E3263" s="83">
        <v>0.90681800000000001</v>
      </c>
      <c r="G3263" s="84">
        <v>941.03700000000003</v>
      </c>
      <c r="I3263" s="85">
        <v>6.9183399999999997</v>
      </c>
      <c r="K3263" s="85">
        <v>5.4741</v>
      </c>
      <c r="M3263" s="84">
        <v>939.78</v>
      </c>
      <c r="O3263" s="86">
        <v>4026.39</v>
      </c>
      <c r="Q3263" s="86">
        <v>7576.66</v>
      </c>
      <c r="S3263" s="86">
        <v>1384.1</v>
      </c>
      <c r="U3263" s="85">
        <v>3.7373799999999999</v>
      </c>
      <c r="W3263" s="81">
        <v>40.322499999999998</v>
      </c>
      <c r="Y3263" s="81">
        <v>7.3660699999999997</v>
      </c>
      <c r="AA3263" s="84">
        <v>526.63199999999995</v>
      </c>
      <c r="AC3263" s="81">
        <v>59.942399999999999</v>
      </c>
      <c r="AE3263" s="87">
        <v>1</v>
      </c>
      <c r="AG3263" s="85">
        <v>7.7542200000000001</v>
      </c>
      <c r="AI3263" s="86">
        <v>8.75</v>
      </c>
      <c r="AK3263" s="81">
        <v>24.830500000000001</v>
      </c>
      <c r="AM3263" s="81">
        <v>36.852400000000003</v>
      </c>
      <c r="AO3263" s="85">
        <v>6.8012199999999998</v>
      </c>
    </row>
    <row r="3264" spans="2:41" x14ac:dyDescent="0.25">
      <c r="B3264" s="21">
        <v>45523</v>
      </c>
      <c r="C3264" s="91">
        <v>18.622800000000002</v>
      </c>
      <c r="E3264" s="83">
        <v>0.904644</v>
      </c>
      <c r="G3264" s="84">
        <v>941.42600000000004</v>
      </c>
      <c r="I3264" s="85">
        <v>6.9037499999999996</v>
      </c>
      <c r="K3264" s="85">
        <v>5.4423000000000004</v>
      </c>
      <c r="M3264" s="84">
        <v>932.60900000000004</v>
      </c>
      <c r="O3264" s="86">
        <v>4030.12</v>
      </c>
      <c r="Q3264" s="86">
        <v>7562.92</v>
      </c>
      <c r="S3264" s="86">
        <v>1389.68</v>
      </c>
      <c r="U3264" s="85">
        <v>3.7343700000000002</v>
      </c>
      <c r="W3264" s="81">
        <v>40.327800000000003</v>
      </c>
      <c r="Y3264" s="81">
        <v>7.4101600000000003</v>
      </c>
      <c r="AA3264" s="84">
        <v>523.41</v>
      </c>
      <c r="AC3264" s="81">
        <v>59.722700000000003</v>
      </c>
      <c r="AE3264" s="87">
        <v>1</v>
      </c>
      <c r="AG3264" s="85">
        <v>7.73766</v>
      </c>
      <c r="AI3264" s="86">
        <v>8.75</v>
      </c>
      <c r="AK3264" s="81">
        <v>24.759399999999999</v>
      </c>
      <c r="AM3264" s="81">
        <v>36.776200000000003</v>
      </c>
      <c r="AO3264" s="85">
        <v>6.7840400000000001</v>
      </c>
    </row>
    <row r="3265" spans="2:41" x14ac:dyDescent="0.25">
      <c r="B3265" s="21">
        <v>45524</v>
      </c>
      <c r="C3265" s="91">
        <v>18.735700000000001</v>
      </c>
      <c r="E3265" s="83">
        <v>0.90110999999999997</v>
      </c>
      <c r="G3265" s="84">
        <v>943.48400000000004</v>
      </c>
      <c r="I3265" s="85">
        <v>6.89635</v>
      </c>
      <c r="K3265" s="85">
        <v>5.4391400000000001</v>
      </c>
      <c r="M3265" s="84">
        <v>923.29</v>
      </c>
      <c r="O3265" s="86">
        <v>4020.82</v>
      </c>
      <c r="Q3265" s="86">
        <v>7562.62</v>
      </c>
      <c r="S3265" s="86">
        <v>1390.42</v>
      </c>
      <c r="U3265" s="85">
        <v>3.7354099999999999</v>
      </c>
      <c r="W3265" s="81">
        <v>40.232999999999997</v>
      </c>
      <c r="Y3265" s="81">
        <v>7.3969699999999996</v>
      </c>
      <c r="AA3265" s="84">
        <v>521.20000000000005</v>
      </c>
      <c r="AC3265" s="81">
        <v>59.634399999999999</v>
      </c>
      <c r="AE3265" s="87">
        <v>1</v>
      </c>
      <c r="AG3265" s="85">
        <v>7.7290999999999999</v>
      </c>
      <c r="AI3265" s="86">
        <v>8.75</v>
      </c>
      <c r="AK3265" s="81">
        <v>24.7378</v>
      </c>
      <c r="AM3265" s="81">
        <v>36.758600000000001</v>
      </c>
      <c r="AO3265" s="85">
        <v>6.7717200000000002</v>
      </c>
    </row>
    <row r="3266" spans="2:41" x14ac:dyDescent="0.25">
      <c r="B3266" s="21">
        <v>45525</v>
      </c>
      <c r="C3266" s="91">
        <v>18.944800000000001</v>
      </c>
      <c r="E3266" s="83">
        <v>0.898316</v>
      </c>
      <c r="G3266" s="84">
        <v>943.91600000000005</v>
      </c>
      <c r="I3266" s="85">
        <v>6.8959200000000003</v>
      </c>
      <c r="K3266" s="85">
        <v>5.48034</v>
      </c>
      <c r="M3266" s="84">
        <v>920.87599999999998</v>
      </c>
      <c r="O3266" s="86">
        <v>4013.98</v>
      </c>
      <c r="Q3266" s="86">
        <v>7567.47</v>
      </c>
      <c r="S3266" s="86">
        <v>1380.84</v>
      </c>
      <c r="U3266" s="85">
        <v>3.7406000000000001</v>
      </c>
      <c r="W3266" s="81">
        <v>40.235199999999999</v>
      </c>
      <c r="Y3266" s="81">
        <v>7.3417599999999998</v>
      </c>
      <c r="AA3266" s="84">
        <v>521.99599999999998</v>
      </c>
      <c r="AC3266" s="81">
        <v>59.680700000000002</v>
      </c>
      <c r="AE3266" s="87">
        <v>1</v>
      </c>
      <c r="AG3266" s="85">
        <v>7.7283400000000002</v>
      </c>
      <c r="AI3266" s="86">
        <v>8.75</v>
      </c>
      <c r="AK3266" s="81">
        <v>24.754000000000001</v>
      </c>
      <c r="AM3266" s="81">
        <v>36.750999999999998</v>
      </c>
      <c r="AO3266" s="85">
        <v>6.7686999999999999</v>
      </c>
    </row>
    <row r="3267" spans="2:41" x14ac:dyDescent="0.25">
      <c r="B3267" s="21">
        <v>45526</v>
      </c>
      <c r="C3267" s="91">
        <v>19.253499999999999</v>
      </c>
      <c r="E3267" s="83">
        <v>0.89857500000000001</v>
      </c>
      <c r="G3267" s="84">
        <v>944.55499999999995</v>
      </c>
      <c r="I3267" s="85">
        <v>6.9050500000000001</v>
      </c>
      <c r="K3267" s="85">
        <v>5.5274999999999999</v>
      </c>
      <c r="M3267" s="84">
        <v>917.84199999999998</v>
      </c>
      <c r="O3267" s="86">
        <v>4044.85</v>
      </c>
      <c r="Q3267" s="86">
        <v>7578.7</v>
      </c>
      <c r="S3267" s="86">
        <v>1371.1</v>
      </c>
      <c r="U3267" s="85">
        <v>3.7481200000000001</v>
      </c>
      <c r="W3267" s="81">
        <v>40.26</v>
      </c>
      <c r="Y3267" s="81">
        <v>7.28362</v>
      </c>
      <c r="AA3267" s="84">
        <v>522.78899999999999</v>
      </c>
      <c r="AC3267" s="81">
        <v>59.765799999999999</v>
      </c>
      <c r="AE3267" s="87">
        <v>1</v>
      </c>
      <c r="AG3267" s="85">
        <v>7.7385799999999998</v>
      </c>
      <c r="AI3267" s="86">
        <v>8.75</v>
      </c>
      <c r="AK3267" s="81">
        <v>24.7986</v>
      </c>
      <c r="AM3267" s="81">
        <v>36.777099999999997</v>
      </c>
      <c r="AO3267" s="85">
        <v>6.7804200000000003</v>
      </c>
    </row>
    <row r="3268" spans="2:41" x14ac:dyDescent="0.25">
      <c r="B3268" s="21">
        <v>45527</v>
      </c>
      <c r="C3268" s="91">
        <v>19.423500000000001</v>
      </c>
      <c r="E3268" s="83">
        <v>0.89698199999999995</v>
      </c>
      <c r="G3268" s="84">
        <v>945.42399999999998</v>
      </c>
      <c r="I3268" s="85">
        <v>6.9169200000000002</v>
      </c>
      <c r="K3268" s="85">
        <v>5.5484600000000004</v>
      </c>
      <c r="M3268" s="84">
        <v>915.04</v>
      </c>
      <c r="O3268" s="86">
        <v>4050.4</v>
      </c>
      <c r="Q3268" s="86">
        <v>7596.22</v>
      </c>
      <c r="S3268" s="86">
        <v>1369.08</v>
      </c>
      <c r="U3268" s="85">
        <v>3.7503299999999999</v>
      </c>
      <c r="W3268" s="81">
        <v>40.363199999999999</v>
      </c>
      <c r="Y3268" s="81">
        <v>7.2747000000000002</v>
      </c>
      <c r="AA3268" s="84">
        <v>522.94600000000003</v>
      </c>
      <c r="AC3268" s="81">
        <v>59.819800000000001</v>
      </c>
      <c r="AE3268" s="87">
        <v>1</v>
      </c>
      <c r="AG3268" s="85">
        <v>7.7517500000000004</v>
      </c>
      <c r="AI3268" s="86">
        <v>8.75</v>
      </c>
      <c r="AK3268" s="81">
        <v>24.848199999999999</v>
      </c>
      <c r="AM3268" s="81">
        <v>36.849299999999999</v>
      </c>
      <c r="AO3268" s="85">
        <v>6.7949799999999998</v>
      </c>
    </row>
    <row r="3269" spans="2:41" x14ac:dyDescent="0.25">
      <c r="B3269" s="21">
        <v>45528</v>
      </c>
      <c r="C3269" s="91">
        <v>19.423500000000001</v>
      </c>
      <c r="E3269" s="83">
        <v>0.89343600000000001</v>
      </c>
      <c r="G3269" s="84">
        <v>946.02499999999998</v>
      </c>
      <c r="I3269" s="85">
        <v>6.9133699999999996</v>
      </c>
      <c r="K3269" s="85">
        <v>5.4892000000000003</v>
      </c>
      <c r="M3269" s="84">
        <v>908.9</v>
      </c>
      <c r="O3269" s="86">
        <v>4025.95</v>
      </c>
      <c r="Q3269" s="86">
        <v>7595.85</v>
      </c>
      <c r="S3269" s="86">
        <v>1383.78</v>
      </c>
      <c r="U3269" s="85">
        <v>3.7468499999999998</v>
      </c>
      <c r="W3269" s="81">
        <v>40.3658</v>
      </c>
      <c r="Y3269" s="81">
        <v>7.3536900000000003</v>
      </c>
      <c r="AA3269" s="84">
        <v>522.93799999999999</v>
      </c>
      <c r="AC3269" s="81">
        <v>59.697499999999998</v>
      </c>
      <c r="AE3269" s="87">
        <v>1</v>
      </c>
      <c r="AG3269" s="85">
        <v>7.7481900000000001</v>
      </c>
      <c r="AI3269" s="86">
        <v>8.75</v>
      </c>
      <c r="AK3269" s="81">
        <v>24.877500000000001</v>
      </c>
      <c r="AM3269" s="81">
        <v>36.799799999999998</v>
      </c>
      <c r="AO3269" s="85">
        <v>6.7919999999999998</v>
      </c>
    </row>
    <row r="3270" spans="2:41" x14ac:dyDescent="0.25">
      <c r="B3270" s="21">
        <v>45529</v>
      </c>
      <c r="C3270" s="91">
        <v>19.423500000000001</v>
      </c>
      <c r="E3270" s="83">
        <v>0.89346000000000003</v>
      </c>
      <c r="G3270" s="84">
        <v>945.20699999999999</v>
      </c>
      <c r="I3270" s="85">
        <v>6.9133800000000001</v>
      </c>
      <c r="K3270" s="85">
        <v>5.4895899999999997</v>
      </c>
      <c r="M3270" s="84">
        <v>908.9</v>
      </c>
      <c r="O3270" s="86">
        <v>4025.94</v>
      </c>
      <c r="Q3270" s="86">
        <v>7595.84</v>
      </c>
      <c r="S3270" s="86">
        <v>1383.69</v>
      </c>
      <c r="U3270" s="85">
        <v>3.7462399999999998</v>
      </c>
      <c r="W3270" s="81">
        <v>40.365000000000002</v>
      </c>
      <c r="Y3270" s="81">
        <v>7.3530199999999999</v>
      </c>
      <c r="AA3270" s="84">
        <v>523.03</v>
      </c>
      <c r="AC3270" s="81">
        <v>59.689</v>
      </c>
      <c r="AE3270" s="87">
        <v>1</v>
      </c>
      <c r="AG3270" s="85">
        <v>7.7481999999999998</v>
      </c>
      <c r="AI3270" s="86">
        <v>8.75</v>
      </c>
      <c r="AK3270" s="81">
        <v>24.871300000000002</v>
      </c>
      <c r="AM3270" s="81">
        <v>36.793900000000001</v>
      </c>
      <c r="AO3270" s="85">
        <v>6.7919999999999998</v>
      </c>
    </row>
    <row r="3271" spans="2:41" x14ac:dyDescent="0.25">
      <c r="B3271" s="21">
        <v>45530</v>
      </c>
      <c r="C3271" s="91">
        <v>19.070799999999998</v>
      </c>
      <c r="E3271" s="83">
        <v>0.89494899999999999</v>
      </c>
      <c r="G3271" s="84">
        <v>945.74199999999996</v>
      </c>
      <c r="I3271" s="85">
        <v>6.8868</v>
      </c>
      <c r="K3271" s="85">
        <v>5.4894600000000002</v>
      </c>
      <c r="M3271" s="84">
        <v>908.12</v>
      </c>
      <c r="O3271" s="86">
        <v>4025.61</v>
      </c>
      <c r="Q3271" s="86">
        <v>7569.92</v>
      </c>
      <c r="S3271" s="86">
        <v>1379</v>
      </c>
      <c r="U3271" s="85">
        <v>3.7368299999999999</v>
      </c>
      <c r="W3271" s="81">
        <v>40.211100000000002</v>
      </c>
      <c r="Y3271" s="81">
        <v>7.3251799999999996</v>
      </c>
      <c r="AA3271" s="84">
        <v>524.03599999999994</v>
      </c>
      <c r="AC3271" s="81">
        <v>59.483199999999997</v>
      </c>
      <c r="AE3271" s="87">
        <v>1</v>
      </c>
      <c r="AG3271" s="85">
        <v>7.7178399999999998</v>
      </c>
      <c r="AI3271" s="86">
        <v>8.75</v>
      </c>
      <c r="AK3271" s="81">
        <v>24.683</v>
      </c>
      <c r="AM3271" s="81">
        <v>36.671399999999998</v>
      </c>
      <c r="AO3271" s="85">
        <v>6.7664999999999997</v>
      </c>
    </row>
    <row r="3272" spans="2:41" x14ac:dyDescent="0.25">
      <c r="B3272" s="21">
        <v>45531</v>
      </c>
      <c r="C3272" s="91">
        <v>19.382000000000001</v>
      </c>
      <c r="E3272" s="83">
        <v>0.89518399999999998</v>
      </c>
      <c r="G3272" s="84">
        <v>949.16300000000001</v>
      </c>
      <c r="I3272" s="85">
        <v>6.8968699999999998</v>
      </c>
      <c r="K3272" s="85">
        <v>5.5000600000000004</v>
      </c>
      <c r="M3272" s="84">
        <v>907.13099999999997</v>
      </c>
      <c r="O3272" s="86">
        <v>4033.88</v>
      </c>
      <c r="Q3272" s="86">
        <v>7586.96</v>
      </c>
      <c r="S3272" s="86">
        <v>1379.44</v>
      </c>
      <c r="U3272" s="85">
        <v>3.7454200000000002</v>
      </c>
      <c r="W3272" s="81">
        <v>40.316000000000003</v>
      </c>
      <c r="Y3272" s="81">
        <v>7.33012</v>
      </c>
      <c r="AA3272" s="84">
        <v>525.41399999999999</v>
      </c>
      <c r="AC3272" s="81">
        <v>59.617400000000004</v>
      </c>
      <c r="AE3272" s="87">
        <v>1</v>
      </c>
      <c r="AG3272" s="85">
        <v>7.7294</v>
      </c>
      <c r="AI3272" s="86">
        <v>8.75</v>
      </c>
      <c r="AK3272" s="81">
        <v>24.799600000000002</v>
      </c>
      <c r="AM3272" s="81">
        <v>36.808700000000002</v>
      </c>
      <c r="AO3272" s="85">
        <v>6.7771400000000002</v>
      </c>
    </row>
    <row r="3273" spans="2:41" x14ac:dyDescent="0.25">
      <c r="B3273" s="21">
        <v>45532</v>
      </c>
      <c r="C3273" s="91">
        <v>19.6692</v>
      </c>
      <c r="E3273" s="83">
        <v>0.897984</v>
      </c>
      <c r="G3273" s="84">
        <v>948.76199999999994</v>
      </c>
      <c r="I3273" s="85">
        <v>6.8948700000000001</v>
      </c>
      <c r="K3273" s="85">
        <v>5.5281399999999996</v>
      </c>
      <c r="M3273" s="84">
        <v>909.79899999999998</v>
      </c>
      <c r="O3273" s="86">
        <v>4056.34</v>
      </c>
      <c r="Q3273" s="86">
        <v>7588.98</v>
      </c>
      <c r="S3273" s="86">
        <v>1372.8</v>
      </c>
      <c r="U3273" s="85">
        <v>3.7437399999999998</v>
      </c>
      <c r="W3273" s="81">
        <v>40.226799999999997</v>
      </c>
      <c r="Y3273" s="81">
        <v>7.2767600000000003</v>
      </c>
      <c r="AA3273" s="84">
        <v>525.149</v>
      </c>
      <c r="AC3273" s="81">
        <v>59.631</v>
      </c>
      <c r="AE3273" s="87">
        <v>1</v>
      </c>
      <c r="AG3273" s="85">
        <v>7.7253400000000001</v>
      </c>
      <c r="AI3273" s="86">
        <v>8.75</v>
      </c>
      <c r="AK3273" s="81">
        <v>24.782</v>
      </c>
      <c r="AM3273" s="81">
        <v>36.794800000000002</v>
      </c>
      <c r="AO3273" s="85">
        <v>6.7737699999999998</v>
      </c>
    </row>
    <row r="3274" spans="2:41" x14ac:dyDescent="0.25">
      <c r="B3274" s="21">
        <v>45533</v>
      </c>
      <c r="C3274" s="91">
        <v>19.6037</v>
      </c>
      <c r="E3274" s="83">
        <v>0.90099799999999997</v>
      </c>
      <c r="G3274" s="84">
        <v>949.10599999999999</v>
      </c>
      <c r="I3274" s="85">
        <v>6.9041100000000002</v>
      </c>
      <c r="K3274" s="85">
        <v>5.5951899999999997</v>
      </c>
      <c r="M3274" s="84">
        <v>914.37400000000002</v>
      </c>
      <c r="O3274" s="86">
        <v>4101.5</v>
      </c>
      <c r="Q3274" s="86">
        <v>7603.1</v>
      </c>
      <c r="S3274" s="86">
        <v>1358.87</v>
      </c>
      <c r="U3274" s="85">
        <v>3.74282</v>
      </c>
      <c r="W3274" s="81">
        <v>40.303199999999997</v>
      </c>
      <c r="Y3274" s="81">
        <v>7.2031999999999998</v>
      </c>
      <c r="AA3274" s="84">
        <v>523.98</v>
      </c>
      <c r="AC3274" s="81">
        <v>59.639000000000003</v>
      </c>
      <c r="AE3274" s="87">
        <v>1</v>
      </c>
      <c r="AG3274" s="85">
        <v>7.73123</v>
      </c>
      <c r="AI3274" s="86">
        <v>8.75</v>
      </c>
      <c r="AK3274" s="81">
        <v>24.796800000000001</v>
      </c>
      <c r="AM3274" s="81">
        <v>36.817100000000003</v>
      </c>
      <c r="AO3274" s="85">
        <v>6.7798699999999998</v>
      </c>
    </row>
    <row r="3275" spans="2:41" x14ac:dyDescent="0.25">
      <c r="B3275" s="21">
        <v>45534</v>
      </c>
      <c r="C3275" s="91">
        <v>19.816800000000001</v>
      </c>
      <c r="E3275" s="83">
        <v>0.90353000000000006</v>
      </c>
      <c r="G3275" s="84">
        <v>950.52</v>
      </c>
      <c r="I3275" s="85">
        <v>6.9120600000000003</v>
      </c>
      <c r="K3275" s="85">
        <v>5.6320399999999999</v>
      </c>
      <c r="M3275" s="84">
        <v>914.76300000000003</v>
      </c>
      <c r="O3275" s="86">
        <v>4143.32</v>
      </c>
      <c r="Q3275" s="86">
        <v>7616.64</v>
      </c>
      <c r="S3275" s="86">
        <v>1352.38</v>
      </c>
      <c r="U3275" s="85">
        <v>3.7480199999999999</v>
      </c>
      <c r="W3275" s="81">
        <v>40.323799999999999</v>
      </c>
      <c r="Y3275" s="81">
        <v>7.1597400000000002</v>
      </c>
      <c r="AA3275" s="84">
        <v>522.16300000000001</v>
      </c>
      <c r="AC3275" s="81">
        <v>59.724600000000002</v>
      </c>
      <c r="AE3275" s="87">
        <v>1</v>
      </c>
      <c r="AG3275" s="85">
        <v>7.7379600000000002</v>
      </c>
      <c r="AI3275" s="86">
        <v>8.75</v>
      </c>
      <c r="AK3275" s="81">
        <v>24.8187</v>
      </c>
      <c r="AM3275" s="81">
        <v>36.832999999999998</v>
      </c>
      <c r="AO3275" s="85">
        <v>6.7887000000000004</v>
      </c>
    </row>
    <row r="3276" spans="2:41" x14ac:dyDescent="0.25">
      <c r="B3276" s="21">
        <v>45535</v>
      </c>
      <c r="C3276" s="82">
        <v>19.816800000000001</v>
      </c>
      <c r="D3276" s="92"/>
      <c r="E3276" s="93">
        <v>0.905219</v>
      </c>
      <c r="F3276" s="92"/>
      <c r="G3276" s="94">
        <v>951.10799999999995</v>
      </c>
      <c r="H3276" s="92"/>
      <c r="I3276" s="95">
        <v>6.9099399999999997</v>
      </c>
      <c r="J3276" s="92"/>
      <c r="K3276" s="95">
        <v>5.6092500000000003</v>
      </c>
      <c r="L3276" s="92"/>
      <c r="M3276" s="94">
        <v>913.9</v>
      </c>
      <c r="N3276" s="92"/>
      <c r="O3276" s="96">
        <v>4179.4399999999996</v>
      </c>
      <c r="P3276" s="92"/>
      <c r="Q3276" s="96">
        <v>7621.36</v>
      </c>
      <c r="R3276" s="92"/>
      <c r="S3276" s="96">
        <v>1358.72</v>
      </c>
      <c r="T3276" s="92"/>
      <c r="U3276" s="95">
        <v>3.7480500000000001</v>
      </c>
      <c r="V3276" s="92"/>
      <c r="W3276" s="91">
        <v>40.3142</v>
      </c>
      <c r="X3276" s="92"/>
      <c r="Y3276" s="91">
        <v>7.1871099999999997</v>
      </c>
      <c r="Z3276" s="92"/>
      <c r="AA3276" s="94">
        <v>521.79999999999995</v>
      </c>
      <c r="AB3276" s="92"/>
      <c r="AC3276" s="91">
        <v>59.772500000000001</v>
      </c>
      <c r="AD3276" s="92"/>
      <c r="AE3276" s="97">
        <v>1</v>
      </c>
      <c r="AF3276" s="92"/>
      <c r="AG3276" s="95">
        <v>7.7343099999999998</v>
      </c>
      <c r="AH3276" s="92"/>
      <c r="AI3276" s="96">
        <v>8.75</v>
      </c>
      <c r="AJ3276" s="92"/>
      <c r="AK3276" s="91">
        <v>24.83</v>
      </c>
      <c r="AL3276" s="92"/>
      <c r="AM3276" s="91">
        <v>36.819800000000001</v>
      </c>
      <c r="AN3276" s="92"/>
      <c r="AO3276" s="95">
        <v>6.7880900000000004</v>
      </c>
    </row>
    <row r="3277" spans="2:41" ht="13" x14ac:dyDescent="0.3">
      <c r="B3277" s="25" t="str">
        <f>"PROM-"&amp;MONTH(B3276)&amp;YEAR(B3276)</f>
        <v>PROM-82024</v>
      </c>
      <c r="C3277" s="19">
        <f>AVERAGE(C3246:C3276)</f>
        <v>19.091435483870967</v>
      </c>
      <c r="E3277" s="24">
        <f>AVERAGE(E3246:E3276)</f>
        <v>0.90777951612903252</v>
      </c>
      <c r="G3277" s="42">
        <f>AVERAGE(G3246:G3276)</f>
        <v>940.81316129032257</v>
      </c>
      <c r="I3277" s="23">
        <f>AVERAGE(I3246:I3276)</f>
        <v>6.9044264516129017</v>
      </c>
      <c r="K3277" s="23">
        <f>AVERAGE(K3246:K3276)</f>
        <v>5.5552487096774188</v>
      </c>
      <c r="M3277" s="42">
        <f>AVERAGE(M3246:M3276)</f>
        <v>929.91606451612915</v>
      </c>
      <c r="O3277" s="80">
        <f>AVERAGE(O3246:O3276)</f>
        <v>4069.7241935483867</v>
      </c>
      <c r="Q3277" s="80">
        <f>AVERAGE(Q3246:Q3276)</f>
        <v>7576.1600000000017</v>
      </c>
      <c r="S3277" s="80">
        <f>AVERAGE(S3246:S3276)</f>
        <v>1364.1890322580646</v>
      </c>
      <c r="U3277" s="23">
        <f>AVERAGE(U3246:U3276)</f>
        <v>3.7381061290322579</v>
      </c>
      <c r="W3277" s="19">
        <f>AVERAGE(W3246:W3276)</f>
        <v>40.327506451612898</v>
      </c>
      <c r="Y3277" s="19">
        <f>AVERAGE(Y3246:Y3276)</f>
        <v>7.261478064516127</v>
      </c>
      <c r="AA3277" s="42">
        <f>AVERAGE(AA3246:AA3276)</f>
        <v>525.31583870967745</v>
      </c>
      <c r="AC3277" s="19">
        <f>AVERAGE(AC3246:AC3276)</f>
        <v>59.618574193548376</v>
      </c>
      <c r="AE3277" s="88">
        <f>AVERAGE(AE3246:AE3276)</f>
        <v>1</v>
      </c>
      <c r="AG3277" s="23">
        <f>AVERAGE(AG3246:AG3276)</f>
        <v>7.7409816129032247</v>
      </c>
      <c r="AI3277" s="80">
        <f>AVERAGE(AI3246:AI3276)</f>
        <v>8.75</v>
      </c>
      <c r="AK3277" s="19">
        <f>AVERAGE(AK3246:AK3276)</f>
        <v>24.798806451612911</v>
      </c>
      <c r="AM3277" s="19">
        <f>AVERAGE(AM3246:AM3276)</f>
        <v>36.806722580645157</v>
      </c>
      <c r="AO3277" s="23">
        <f>AVERAGE(AO3246:AO3276)</f>
        <v>6.7805358064516135</v>
      </c>
    </row>
    <row r="3278" spans="2:41" x14ac:dyDescent="0.25">
      <c r="B3278" s="21">
        <v>45536</v>
      </c>
      <c r="C3278" s="91">
        <v>19.816800000000001</v>
      </c>
      <c r="E3278" s="83">
        <v>0.90521600000000002</v>
      </c>
      <c r="G3278" s="84">
        <v>951.17600000000004</v>
      </c>
      <c r="I3278" s="85">
        <v>6.9100400000000004</v>
      </c>
      <c r="K3278" s="85">
        <v>5.6093999999999999</v>
      </c>
      <c r="M3278" s="84">
        <v>913.90099999999995</v>
      </c>
      <c r="O3278" s="86">
        <v>4178.88</v>
      </c>
      <c r="Q3278" s="86">
        <v>7625.53</v>
      </c>
      <c r="S3278" s="86">
        <v>1359.43</v>
      </c>
      <c r="U3278" s="85">
        <v>3.7482199999999999</v>
      </c>
      <c r="W3278" s="81">
        <v>40.313000000000002</v>
      </c>
      <c r="Y3278" s="81">
        <v>7.1867000000000001</v>
      </c>
      <c r="AA3278" s="84">
        <v>521.56200000000001</v>
      </c>
      <c r="AC3278" s="81">
        <v>59.770800000000001</v>
      </c>
      <c r="AE3278" s="87">
        <v>1</v>
      </c>
      <c r="AG3278" s="85">
        <v>7.7344299999999997</v>
      </c>
      <c r="AI3278" s="86">
        <v>8.75</v>
      </c>
      <c r="AK3278" s="81">
        <v>24.829599999999999</v>
      </c>
      <c r="AM3278" s="81">
        <v>36.820599999999999</v>
      </c>
      <c r="AO3278" s="85">
        <v>6.7881999999999998</v>
      </c>
    </row>
    <row r="3279" spans="2:41" x14ac:dyDescent="0.25">
      <c r="B3279" s="21">
        <f>B3278+1</f>
        <v>45537</v>
      </c>
      <c r="C3279" s="91">
        <v>19.653500000000001</v>
      </c>
      <c r="E3279" s="83">
        <v>0.90388999999999997</v>
      </c>
      <c r="G3279" s="84">
        <v>952.23599999999999</v>
      </c>
      <c r="I3279" s="85">
        <v>6.9121300000000003</v>
      </c>
      <c r="K3279" s="85">
        <v>5.6170200000000001</v>
      </c>
      <c r="M3279" s="84">
        <v>914.38</v>
      </c>
      <c r="O3279" s="86">
        <v>4152.96</v>
      </c>
      <c r="Q3279" s="86">
        <v>7682.43</v>
      </c>
      <c r="S3279" s="86">
        <v>1367.72</v>
      </c>
      <c r="U3279" s="85">
        <v>3.7550699999999999</v>
      </c>
      <c r="W3279" s="81">
        <v>40.323599999999999</v>
      </c>
      <c r="Y3279" s="81">
        <v>7.1788600000000002</v>
      </c>
      <c r="AA3279" s="84">
        <v>519.30799999999999</v>
      </c>
      <c r="AC3279" s="81">
        <v>59.717100000000002</v>
      </c>
      <c r="AE3279" s="87">
        <v>1</v>
      </c>
      <c r="AG3279" s="85">
        <v>7.7362099999999998</v>
      </c>
      <c r="AI3279" s="86">
        <v>8.75</v>
      </c>
      <c r="AK3279" s="81">
        <v>24.811399999999999</v>
      </c>
      <c r="AM3279" s="81">
        <v>36.856000000000002</v>
      </c>
      <c r="AO3279" s="85">
        <v>6.79338</v>
      </c>
    </row>
    <row r="3280" spans="2:41" x14ac:dyDescent="0.25">
      <c r="B3280" s="21">
        <f t="shared" ref="B3280:B3307" si="3">B3279+1</f>
        <v>45538</v>
      </c>
      <c r="C3280" s="91">
        <v>19.797999999999998</v>
      </c>
      <c r="E3280" s="83">
        <v>0.90508200000000005</v>
      </c>
      <c r="G3280" s="84">
        <v>953.05399999999997</v>
      </c>
      <c r="I3280" s="85">
        <v>6.9119400000000004</v>
      </c>
      <c r="K3280" s="85">
        <v>5.6262600000000003</v>
      </c>
      <c r="M3280" s="84">
        <v>920.32100000000003</v>
      </c>
      <c r="O3280" s="86">
        <v>4162.6499999999996</v>
      </c>
      <c r="Q3280" s="86">
        <v>7681.72</v>
      </c>
      <c r="S3280" s="86">
        <v>1365.34</v>
      </c>
      <c r="U3280" s="85">
        <v>3.7585700000000002</v>
      </c>
      <c r="W3280" s="81">
        <v>40.360999999999997</v>
      </c>
      <c r="Y3280" s="81">
        <v>7.1737000000000002</v>
      </c>
      <c r="AA3280" s="84">
        <v>518.73400000000004</v>
      </c>
      <c r="AC3280" s="81">
        <v>59.703499999999998</v>
      </c>
      <c r="AE3280" s="87">
        <v>1</v>
      </c>
      <c r="AG3280" s="85">
        <v>7.7348800000000004</v>
      </c>
      <c r="AI3280" s="86">
        <v>8.75</v>
      </c>
      <c r="AK3280" s="81">
        <v>24.8</v>
      </c>
      <c r="AM3280" s="81">
        <v>36.846400000000003</v>
      </c>
      <c r="AO3280" s="85">
        <v>6.7852600000000001</v>
      </c>
    </row>
    <row r="3281" spans="2:41" x14ac:dyDescent="0.25">
      <c r="B3281" s="21">
        <f t="shared" si="3"/>
        <v>45539</v>
      </c>
      <c r="C3281" s="91">
        <v>19.833500000000001</v>
      </c>
      <c r="E3281" s="83">
        <v>0.90381500000000004</v>
      </c>
      <c r="G3281" s="84">
        <v>953.46400000000006</v>
      </c>
      <c r="I3281" s="85">
        <v>6.9082999999999997</v>
      </c>
      <c r="K3281" s="85">
        <v>5.6433999999999997</v>
      </c>
      <c r="M3281" s="84">
        <v>933.38400000000001</v>
      </c>
      <c r="O3281" s="86">
        <v>4181.96</v>
      </c>
      <c r="Q3281" s="86">
        <v>7689.86</v>
      </c>
      <c r="S3281" s="86">
        <v>1362.64</v>
      </c>
      <c r="U3281" s="85">
        <v>3.77929</v>
      </c>
      <c r="W3281" s="81">
        <v>40.317599999999999</v>
      </c>
      <c r="Y3281" s="81">
        <v>7.1442300000000003</v>
      </c>
      <c r="AA3281" s="84">
        <v>518.18499999999995</v>
      </c>
      <c r="AC3281" s="81">
        <v>59.678400000000003</v>
      </c>
      <c r="AE3281" s="87">
        <v>1</v>
      </c>
      <c r="AG3281" s="85">
        <v>7.7306299999999997</v>
      </c>
      <c r="AI3281" s="86">
        <v>8.75</v>
      </c>
      <c r="AK3281" s="81">
        <v>24.769500000000001</v>
      </c>
      <c r="AM3281" s="81">
        <v>36.805999999999997</v>
      </c>
      <c r="AO3281" s="85">
        <v>6.7784399999999998</v>
      </c>
    </row>
    <row r="3282" spans="2:41" x14ac:dyDescent="0.25">
      <c r="B3282" s="21">
        <f t="shared" si="3"/>
        <v>45540</v>
      </c>
      <c r="C3282" s="91">
        <v>19.846</v>
      </c>
      <c r="E3282" s="83">
        <v>0.90136700000000003</v>
      </c>
      <c r="G3282" s="84">
        <v>953.49</v>
      </c>
      <c r="I3282" s="85">
        <v>6.9040499999999998</v>
      </c>
      <c r="K3282" s="85">
        <v>5.6156100000000002</v>
      </c>
      <c r="M3282" s="84">
        <v>942.88499999999999</v>
      </c>
      <c r="O3282" s="86">
        <v>4176.82</v>
      </c>
      <c r="Q3282" s="86">
        <v>7700.2</v>
      </c>
      <c r="S3282" s="86">
        <v>1371.22</v>
      </c>
      <c r="U3282" s="85">
        <v>3.7841999999999998</v>
      </c>
      <c r="W3282" s="81">
        <v>40.287599999999998</v>
      </c>
      <c r="Y3282" s="81">
        <v>7.1742400000000002</v>
      </c>
      <c r="AA3282" s="84">
        <v>518.00199999999995</v>
      </c>
      <c r="AC3282" s="81">
        <v>59.737000000000002</v>
      </c>
      <c r="AE3282" s="87">
        <v>1</v>
      </c>
      <c r="AG3282" s="85">
        <v>7.7272800000000004</v>
      </c>
      <c r="AI3282" s="86">
        <v>8.75</v>
      </c>
      <c r="AK3282" s="81">
        <v>24.8004</v>
      </c>
      <c r="AM3282" s="81">
        <v>36.802799999999998</v>
      </c>
      <c r="AO3282" s="85">
        <v>6.7794800000000004</v>
      </c>
    </row>
    <row r="3283" spans="2:41" x14ac:dyDescent="0.25">
      <c r="B3283" s="21">
        <f t="shared" si="3"/>
        <v>45541</v>
      </c>
      <c r="C3283" s="91">
        <v>20.002800000000001</v>
      </c>
      <c r="E3283" s="83">
        <v>0.900806</v>
      </c>
      <c r="G3283" s="84">
        <v>954.49900000000002</v>
      </c>
      <c r="I3283" s="85">
        <v>6.9054200000000003</v>
      </c>
      <c r="K3283" s="85">
        <v>5.5772599999999999</v>
      </c>
      <c r="M3283" s="84">
        <v>943.61400000000003</v>
      </c>
      <c r="O3283" s="86">
        <v>4166.96</v>
      </c>
      <c r="Q3283" s="86">
        <v>7706.14</v>
      </c>
      <c r="S3283" s="86">
        <v>1381.72</v>
      </c>
      <c r="U3283" s="85">
        <v>3.7907700000000002</v>
      </c>
      <c r="W3283" s="81">
        <v>40.33</v>
      </c>
      <c r="Y3283" s="81">
        <v>7.2311899999999998</v>
      </c>
      <c r="AA3283" s="84">
        <v>519.85199999999998</v>
      </c>
      <c r="AC3283" s="81">
        <v>59.834800000000001</v>
      </c>
      <c r="AE3283" s="87">
        <v>1</v>
      </c>
      <c r="AG3283" s="85">
        <v>7.7302200000000001</v>
      </c>
      <c r="AI3283" s="86">
        <v>8.75</v>
      </c>
      <c r="AK3283" s="81">
        <v>24.779599999999999</v>
      </c>
      <c r="AM3283" s="81">
        <v>36.792000000000002</v>
      </c>
      <c r="AO3283" s="85">
        <v>6.7797700000000001</v>
      </c>
    </row>
    <row r="3284" spans="2:41" x14ac:dyDescent="0.25">
      <c r="B3284" s="21">
        <f t="shared" si="3"/>
        <v>45542</v>
      </c>
      <c r="C3284" s="91">
        <v>20.002800000000001</v>
      </c>
      <c r="E3284" s="83">
        <v>0.90207999999999999</v>
      </c>
      <c r="G3284" s="84">
        <v>956.27599999999995</v>
      </c>
      <c r="I3284" s="85">
        <v>6.9077999999999999</v>
      </c>
      <c r="K3284" s="85">
        <v>5.5981500000000004</v>
      </c>
      <c r="M3284" s="84">
        <v>945.83</v>
      </c>
      <c r="O3284" s="86">
        <v>4173.62</v>
      </c>
      <c r="Q3284" s="86">
        <v>7706.76</v>
      </c>
      <c r="S3284" s="86">
        <v>1376.66</v>
      </c>
      <c r="U3284" s="85">
        <v>3.7966500000000001</v>
      </c>
      <c r="W3284" s="81">
        <v>40.354999999999997</v>
      </c>
      <c r="Y3284" s="81">
        <v>7.2086399999999999</v>
      </c>
      <c r="AA3284" s="84">
        <v>521.60900000000004</v>
      </c>
      <c r="AC3284" s="81">
        <v>59.822499999999998</v>
      </c>
      <c r="AE3284" s="87">
        <v>1</v>
      </c>
      <c r="AG3284" s="85">
        <v>7.7328400000000004</v>
      </c>
      <c r="AI3284" s="86">
        <v>8.75</v>
      </c>
      <c r="AK3284" s="81">
        <v>24.8125</v>
      </c>
      <c r="AM3284" s="81">
        <v>36.809800000000003</v>
      </c>
      <c r="AO3284" s="85">
        <v>6.7777799999999999</v>
      </c>
    </row>
    <row r="3285" spans="2:41" x14ac:dyDescent="0.25">
      <c r="B3285" s="21">
        <f t="shared" si="3"/>
        <v>45543</v>
      </c>
      <c r="C3285" s="91">
        <v>20.002800000000001</v>
      </c>
      <c r="E3285" s="83">
        <v>0.902061</v>
      </c>
      <c r="G3285" s="84">
        <v>956.178</v>
      </c>
      <c r="I3285" s="85">
        <v>6.9078499999999998</v>
      </c>
      <c r="K3285" s="85">
        <v>5.5980600000000003</v>
      </c>
      <c r="M3285" s="84">
        <v>945.81</v>
      </c>
      <c r="O3285" s="86">
        <v>4173.5200000000004</v>
      </c>
      <c r="Q3285" s="86">
        <v>7707.38</v>
      </c>
      <c r="S3285" s="86">
        <v>1376.8</v>
      </c>
      <c r="U3285" s="85">
        <v>3.7966000000000002</v>
      </c>
      <c r="W3285" s="81">
        <v>40.355400000000003</v>
      </c>
      <c r="Y3285" s="81">
        <v>7.2088400000000004</v>
      </c>
      <c r="AA3285" s="84">
        <v>521.59</v>
      </c>
      <c r="AC3285" s="81">
        <v>59.824100000000001</v>
      </c>
      <c r="AE3285" s="87">
        <v>1</v>
      </c>
      <c r="AG3285" s="85">
        <v>7.73292</v>
      </c>
      <c r="AI3285" s="86">
        <v>8.75</v>
      </c>
      <c r="AK3285" s="81">
        <v>24.8125</v>
      </c>
      <c r="AM3285" s="81">
        <v>36.810400000000001</v>
      </c>
      <c r="AO3285" s="85">
        <v>6.7778400000000003</v>
      </c>
    </row>
    <row r="3286" spans="2:41" x14ac:dyDescent="0.25">
      <c r="B3286" s="21">
        <f t="shared" si="3"/>
        <v>45544</v>
      </c>
      <c r="C3286" s="91">
        <v>20.017199999999999</v>
      </c>
      <c r="E3286" s="83">
        <v>0.90460600000000002</v>
      </c>
      <c r="G3286" s="84">
        <v>956.75599999999997</v>
      </c>
      <c r="I3286" s="85">
        <v>6.9141199999999996</v>
      </c>
      <c r="K3286" s="85">
        <v>5.5971599999999997</v>
      </c>
      <c r="M3286" s="84">
        <v>944.36</v>
      </c>
      <c r="O3286" s="86">
        <v>4188.9799999999996</v>
      </c>
      <c r="Q3286" s="86">
        <v>7732.82</v>
      </c>
      <c r="S3286" s="86">
        <v>1381.57</v>
      </c>
      <c r="U3286" s="85">
        <v>3.8020800000000001</v>
      </c>
      <c r="W3286" s="81">
        <v>40.407800000000002</v>
      </c>
      <c r="Y3286" s="81">
        <v>7.21936</v>
      </c>
      <c r="AA3286" s="84">
        <v>522.10799999999995</v>
      </c>
      <c r="AC3286" s="81">
        <v>59.9574</v>
      </c>
      <c r="AE3286" s="87">
        <v>1</v>
      </c>
      <c r="AG3286" s="85">
        <v>7.7420400000000003</v>
      </c>
      <c r="AI3286" s="86">
        <v>8.75</v>
      </c>
      <c r="AK3286" s="81">
        <v>24.821999999999999</v>
      </c>
      <c r="AM3286" s="81">
        <v>36.835799999999999</v>
      </c>
      <c r="AO3286" s="85">
        <v>6.7892599999999996</v>
      </c>
    </row>
    <row r="3287" spans="2:41" x14ac:dyDescent="0.25">
      <c r="B3287" s="21">
        <f t="shared" si="3"/>
        <v>45545</v>
      </c>
      <c r="C3287" s="91">
        <v>19.879799999999999</v>
      </c>
      <c r="E3287" s="83">
        <v>0.90656599999999998</v>
      </c>
      <c r="G3287" s="84">
        <v>957.63800000000003</v>
      </c>
      <c r="I3287" s="85">
        <v>6.9136800000000003</v>
      </c>
      <c r="K3287" s="85">
        <v>5.6142399999999997</v>
      </c>
      <c r="M3287" s="84">
        <v>946.26599999999996</v>
      </c>
      <c r="O3287" s="86">
        <v>4244.0600000000004</v>
      </c>
      <c r="Q3287" s="86">
        <v>7732.56</v>
      </c>
      <c r="S3287" s="86">
        <v>1377.32</v>
      </c>
      <c r="U3287" s="85">
        <v>3.8113199999999998</v>
      </c>
      <c r="W3287" s="81">
        <v>40.386200000000002</v>
      </c>
      <c r="Y3287" s="81">
        <v>7.1935500000000001</v>
      </c>
      <c r="AA3287" s="84">
        <v>522.25</v>
      </c>
      <c r="AC3287" s="81">
        <v>59.917700000000004</v>
      </c>
      <c r="AE3287" s="87">
        <v>1</v>
      </c>
      <c r="AG3287" s="85">
        <v>7.74139</v>
      </c>
      <c r="AI3287" s="86">
        <v>8.75</v>
      </c>
      <c r="AK3287" s="81">
        <v>24.830200000000001</v>
      </c>
      <c r="AM3287" s="81">
        <v>36.812199999999997</v>
      </c>
      <c r="AO3287" s="85">
        <v>6.7920600000000002</v>
      </c>
    </row>
    <row r="3288" spans="2:41" x14ac:dyDescent="0.25">
      <c r="B3288" s="21">
        <f t="shared" si="3"/>
        <v>45546</v>
      </c>
      <c r="C3288" s="91">
        <v>20.058299999999999</v>
      </c>
      <c r="E3288" s="83">
        <v>0.90673800000000004</v>
      </c>
      <c r="G3288" s="84">
        <v>957.726</v>
      </c>
      <c r="I3288" s="85">
        <v>6.9154099999999996</v>
      </c>
      <c r="K3288" s="85">
        <v>5.6573000000000002</v>
      </c>
      <c r="M3288" s="84">
        <v>947.37699999999995</v>
      </c>
      <c r="O3288" s="86">
        <v>4280.2</v>
      </c>
      <c r="Q3288" s="86">
        <v>7732.8</v>
      </c>
      <c r="S3288" s="86">
        <v>1366.88</v>
      </c>
      <c r="U3288" s="85">
        <v>3.8147500000000001</v>
      </c>
      <c r="W3288" s="81">
        <v>40.4208</v>
      </c>
      <c r="Y3288" s="81">
        <v>7.1449299999999996</v>
      </c>
      <c r="AA3288" s="84">
        <v>524.17600000000004</v>
      </c>
      <c r="AC3288" s="81">
        <v>59.948999999999998</v>
      </c>
      <c r="AE3288" s="87">
        <v>1</v>
      </c>
      <c r="AG3288" s="85">
        <v>7.7405299999999997</v>
      </c>
      <c r="AI3288" s="86">
        <v>8.75</v>
      </c>
      <c r="AK3288" s="81">
        <v>24.828299999999999</v>
      </c>
      <c r="AM3288" s="81">
        <v>36.835599999999999</v>
      </c>
      <c r="AO3288" s="85">
        <v>6.7888400000000004</v>
      </c>
    </row>
    <row r="3289" spans="2:41" x14ac:dyDescent="0.25">
      <c r="B3289" s="21">
        <f t="shared" si="3"/>
        <v>45547</v>
      </c>
      <c r="C3289" s="91">
        <v>19.838999999999999</v>
      </c>
      <c r="E3289" s="83">
        <v>0.906304</v>
      </c>
      <c r="G3289" s="84">
        <v>958.57399999999996</v>
      </c>
      <c r="I3289" s="85">
        <v>6.9206599999999998</v>
      </c>
      <c r="K3289" s="85">
        <v>5.6538599999999999</v>
      </c>
      <c r="M3289" s="84">
        <v>939.12199999999996</v>
      </c>
      <c r="O3289" s="86">
        <v>4251.54</v>
      </c>
      <c r="Q3289" s="86">
        <v>7744.26</v>
      </c>
      <c r="S3289" s="86">
        <v>1369.74</v>
      </c>
      <c r="U3289" s="85">
        <v>3.7966799999999998</v>
      </c>
      <c r="W3289" s="81">
        <v>40.607999999999997</v>
      </c>
      <c r="Y3289" s="81">
        <v>7.1823600000000001</v>
      </c>
      <c r="AA3289" s="84">
        <v>522.49699999999996</v>
      </c>
      <c r="AC3289" s="81">
        <v>59.962699999999998</v>
      </c>
      <c r="AE3289" s="87">
        <v>1</v>
      </c>
      <c r="AG3289" s="85">
        <v>7.7455299999999996</v>
      </c>
      <c r="AI3289" s="86">
        <v>8.75</v>
      </c>
      <c r="AK3289" s="81">
        <v>24.8475</v>
      </c>
      <c r="AM3289" s="81">
        <v>36.869399999999999</v>
      </c>
      <c r="AO3289" s="85">
        <v>6.7908600000000003</v>
      </c>
    </row>
    <row r="3290" spans="2:41" x14ac:dyDescent="0.25">
      <c r="B3290" s="21">
        <f t="shared" si="3"/>
        <v>45548</v>
      </c>
      <c r="C3290" s="91">
        <v>19.588699999999999</v>
      </c>
      <c r="E3290" s="83">
        <v>0.90219400000000005</v>
      </c>
      <c r="G3290" s="84">
        <v>959.65300000000002</v>
      </c>
      <c r="I3290" s="85">
        <v>6.9006999999999996</v>
      </c>
      <c r="K3290" s="85">
        <v>5.5973800000000002</v>
      </c>
      <c r="M3290" s="84">
        <v>930.08299999999997</v>
      </c>
      <c r="O3290" s="86">
        <v>4196.38</v>
      </c>
      <c r="Q3290" s="86">
        <v>7730.31</v>
      </c>
      <c r="S3290" s="86">
        <v>1381.06</v>
      </c>
      <c r="U3290" s="85">
        <v>3.7677999999999998</v>
      </c>
      <c r="W3290" s="81">
        <v>40.6599</v>
      </c>
      <c r="Y3290" s="81">
        <v>7.2641099999999996</v>
      </c>
      <c r="AA3290" s="84">
        <v>518.75900000000001</v>
      </c>
      <c r="AC3290" s="81">
        <v>59.9084</v>
      </c>
      <c r="AE3290" s="87">
        <v>1</v>
      </c>
      <c r="AG3290" s="85">
        <v>7.71326</v>
      </c>
      <c r="AI3290" s="86">
        <v>8.75</v>
      </c>
      <c r="AK3290" s="81">
        <v>24.793600000000001</v>
      </c>
      <c r="AM3290" s="81">
        <v>36.738199999999999</v>
      </c>
      <c r="AO3290" s="85">
        <v>6.7717000000000001</v>
      </c>
    </row>
    <row r="3291" spans="2:41" x14ac:dyDescent="0.25">
      <c r="B3291" s="21">
        <f t="shared" si="3"/>
        <v>45549</v>
      </c>
      <c r="C3291" s="91">
        <v>19.588699999999999</v>
      </c>
      <c r="E3291" s="83">
        <v>0.90285700000000002</v>
      </c>
      <c r="G3291" s="84">
        <v>959.21400000000006</v>
      </c>
      <c r="I3291" s="85">
        <v>6.9056800000000003</v>
      </c>
      <c r="K3291" s="85">
        <v>5.5660999999999996</v>
      </c>
      <c r="M3291" s="84">
        <v>924.93</v>
      </c>
      <c r="O3291" s="86">
        <v>4178.5600000000004</v>
      </c>
      <c r="Q3291" s="86">
        <v>7756.46</v>
      </c>
      <c r="S3291" s="86">
        <v>1393.52</v>
      </c>
      <c r="U3291" s="85">
        <v>3.7713000000000001</v>
      </c>
      <c r="W3291" s="81">
        <v>41.066400000000002</v>
      </c>
      <c r="Y3291" s="81">
        <v>7.3779700000000004</v>
      </c>
      <c r="AA3291" s="84">
        <v>517.26</v>
      </c>
      <c r="AC3291" s="81">
        <v>60.112499999999997</v>
      </c>
      <c r="AE3291" s="87">
        <v>1</v>
      </c>
      <c r="AG3291" s="85">
        <v>7.7303800000000003</v>
      </c>
      <c r="AI3291" s="86">
        <v>8.75</v>
      </c>
      <c r="AK3291" s="81">
        <v>24.83</v>
      </c>
      <c r="AM3291" s="81">
        <v>36.774799999999999</v>
      </c>
      <c r="AO3291" s="85">
        <v>6.7760499999999997</v>
      </c>
    </row>
    <row r="3292" spans="2:41" x14ac:dyDescent="0.25">
      <c r="B3292" s="21">
        <f t="shared" si="3"/>
        <v>45550</v>
      </c>
      <c r="C3292" s="91">
        <v>19.588699999999999</v>
      </c>
      <c r="E3292" s="83">
        <v>0.90278599999999998</v>
      </c>
      <c r="G3292" s="84">
        <v>959.27</v>
      </c>
      <c r="I3292" s="85">
        <v>6.9058700000000002</v>
      </c>
      <c r="K3292" s="85">
        <v>5.5662399999999996</v>
      </c>
      <c r="M3292" s="84">
        <v>924.92499999999995</v>
      </c>
      <c r="O3292" s="86">
        <v>4178.78</v>
      </c>
      <c r="Q3292" s="86">
        <v>7756.8</v>
      </c>
      <c r="S3292" s="86">
        <v>1393.55</v>
      </c>
      <c r="U3292" s="85">
        <v>3.7713000000000001</v>
      </c>
      <c r="W3292" s="81">
        <v>41.066400000000002</v>
      </c>
      <c r="Y3292" s="81">
        <v>7.3777999999999997</v>
      </c>
      <c r="AA3292" s="84">
        <v>517.27800000000002</v>
      </c>
      <c r="AC3292" s="81">
        <v>60.110199999999999</v>
      </c>
      <c r="AE3292" s="87">
        <v>1</v>
      </c>
      <c r="AG3292" s="85">
        <v>7.7305799999999998</v>
      </c>
      <c r="AI3292" s="86">
        <v>8.75</v>
      </c>
      <c r="AK3292" s="81">
        <v>24.8294</v>
      </c>
      <c r="AM3292" s="81">
        <v>36.775199999999998</v>
      </c>
      <c r="AO3292" s="85">
        <v>6.77623</v>
      </c>
    </row>
    <row r="3293" spans="2:41" x14ac:dyDescent="0.25">
      <c r="B3293" s="21">
        <f t="shared" si="3"/>
        <v>45551</v>
      </c>
      <c r="C3293" s="91">
        <v>19.588699999999999</v>
      </c>
      <c r="E3293" s="83">
        <v>0.89960799999999996</v>
      </c>
      <c r="G3293" s="84">
        <v>959.99</v>
      </c>
      <c r="I3293" s="85">
        <v>6.9190699999999996</v>
      </c>
      <c r="K3293" s="85">
        <v>5.5622800000000003</v>
      </c>
      <c r="M3293" s="84">
        <v>925.24699999999996</v>
      </c>
      <c r="O3293" s="86">
        <v>4205.83</v>
      </c>
      <c r="Q3293" s="86">
        <v>7769.96</v>
      </c>
      <c r="S3293" s="86">
        <v>1396.92</v>
      </c>
      <c r="U3293" s="85">
        <v>3.7755800000000002</v>
      </c>
      <c r="W3293" s="81">
        <v>41.022799999999997</v>
      </c>
      <c r="Y3293" s="81">
        <v>7.3752599999999999</v>
      </c>
      <c r="AA3293" s="84">
        <v>518.11900000000003</v>
      </c>
      <c r="AC3293" s="81">
        <v>60.011299999999999</v>
      </c>
      <c r="AE3293" s="87">
        <v>1</v>
      </c>
      <c r="AG3293" s="85">
        <v>7.7379100000000003</v>
      </c>
      <c r="AI3293" s="86">
        <v>8.75</v>
      </c>
      <c r="AK3293" s="81">
        <v>24.817</v>
      </c>
      <c r="AM3293" s="81">
        <v>36.804400000000001</v>
      </c>
      <c r="AO3293" s="85">
        <v>6.7854099999999997</v>
      </c>
    </row>
    <row r="3294" spans="2:41" x14ac:dyDescent="0.25">
      <c r="B3294" s="21">
        <f t="shared" si="3"/>
        <v>45552</v>
      </c>
      <c r="C3294" s="91">
        <v>19.2483</v>
      </c>
      <c r="E3294" s="83">
        <v>0.89890899999999996</v>
      </c>
      <c r="G3294" s="84">
        <v>960.85</v>
      </c>
      <c r="I3294" s="85">
        <v>6.9216800000000003</v>
      </c>
      <c r="K3294" s="85">
        <v>5.49878</v>
      </c>
      <c r="M3294" s="84">
        <v>926.4</v>
      </c>
      <c r="O3294" s="86">
        <v>4213.6400000000003</v>
      </c>
      <c r="Q3294" s="86">
        <v>7774.7</v>
      </c>
      <c r="S3294" s="86">
        <v>1413.9</v>
      </c>
      <c r="U3294" s="85">
        <v>3.77908</v>
      </c>
      <c r="W3294" s="81">
        <v>40.9724</v>
      </c>
      <c r="Y3294" s="81">
        <v>7.4512</v>
      </c>
      <c r="AA3294" s="84">
        <v>518.26800000000003</v>
      </c>
      <c r="AC3294" s="81">
        <v>60.004800000000003</v>
      </c>
      <c r="AE3294" s="87">
        <v>1</v>
      </c>
      <c r="AG3294" s="85">
        <v>7.7375800000000003</v>
      </c>
      <c r="AI3294" s="86">
        <v>8.75</v>
      </c>
      <c r="AK3294" s="81">
        <v>24.8354</v>
      </c>
      <c r="AM3294" s="81">
        <v>36.7988</v>
      </c>
      <c r="AO3294" s="85">
        <v>6.7890800000000002</v>
      </c>
    </row>
    <row r="3295" spans="2:41" x14ac:dyDescent="0.25">
      <c r="B3295" s="21">
        <f t="shared" si="3"/>
        <v>45553</v>
      </c>
      <c r="C3295" s="91">
        <v>19.266999999999999</v>
      </c>
      <c r="E3295" s="83">
        <v>0.89880400000000005</v>
      </c>
      <c r="G3295" s="84">
        <v>961.71</v>
      </c>
      <c r="I3295" s="85">
        <v>6.9182800000000002</v>
      </c>
      <c r="K3295" s="85">
        <v>5.4748400000000004</v>
      </c>
      <c r="M3295" s="84">
        <v>930.14599999999996</v>
      </c>
      <c r="O3295" s="86">
        <v>4210.17</v>
      </c>
      <c r="Q3295" s="86">
        <v>7785.94</v>
      </c>
      <c r="S3295" s="86">
        <v>1422.14</v>
      </c>
      <c r="U3295" s="85">
        <v>3.7673700000000001</v>
      </c>
      <c r="W3295" s="81">
        <v>40.937600000000003</v>
      </c>
      <c r="Y3295" s="81">
        <v>7.47743</v>
      </c>
      <c r="AA3295" s="84">
        <v>518.20699999999999</v>
      </c>
      <c r="AC3295" s="81">
        <v>60.034999999999997</v>
      </c>
      <c r="AE3295" s="87">
        <v>1</v>
      </c>
      <c r="AG3295" s="85">
        <v>7.7398199999999999</v>
      </c>
      <c r="AI3295" s="86">
        <v>8.75</v>
      </c>
      <c r="AK3295" s="81">
        <v>24.8858</v>
      </c>
      <c r="AM3295" s="81">
        <v>36.799199999999999</v>
      </c>
      <c r="AO3295" s="85">
        <v>6.7936199999999998</v>
      </c>
    </row>
    <row r="3296" spans="2:41" x14ac:dyDescent="0.25">
      <c r="B3296" s="21">
        <f t="shared" si="3"/>
        <v>45554</v>
      </c>
      <c r="C3296" s="91">
        <v>19.3033</v>
      </c>
      <c r="E3296" s="83">
        <v>0.89755200000000002</v>
      </c>
      <c r="G3296" s="84">
        <v>962.47400000000005</v>
      </c>
      <c r="I3296" s="85">
        <v>6.92652</v>
      </c>
      <c r="K3296" s="85">
        <v>5.4421999999999997</v>
      </c>
      <c r="M3296" s="84">
        <v>930.87099999999998</v>
      </c>
      <c r="O3296" s="86">
        <v>4173.8900000000003</v>
      </c>
      <c r="Q3296" s="86">
        <v>7801.68</v>
      </c>
      <c r="S3296" s="86">
        <v>1433.56</v>
      </c>
      <c r="U3296" s="85">
        <v>3.75922</v>
      </c>
      <c r="W3296" s="81">
        <v>41.179000000000002</v>
      </c>
      <c r="Y3296" s="81">
        <v>7.5666200000000003</v>
      </c>
      <c r="AA3296" s="84">
        <v>518.9</v>
      </c>
      <c r="AC3296" s="81">
        <v>60.166200000000003</v>
      </c>
      <c r="AE3296" s="87">
        <v>1</v>
      </c>
      <c r="AG3296" s="85">
        <v>7.7463199999999999</v>
      </c>
      <c r="AI3296" s="86">
        <v>8.75</v>
      </c>
      <c r="AK3296" s="81">
        <v>24.9008</v>
      </c>
      <c r="AM3296" s="81">
        <v>36.866799999999998</v>
      </c>
      <c r="AO3296" s="85">
        <v>6.8029799999999998</v>
      </c>
    </row>
    <row r="3297" spans="2:41" x14ac:dyDescent="0.25">
      <c r="B3297" s="21">
        <f t="shared" si="3"/>
        <v>45555</v>
      </c>
      <c r="C3297" s="91">
        <v>19.2773</v>
      </c>
      <c r="E3297" s="83">
        <v>0.89585899999999996</v>
      </c>
      <c r="G3297" s="84">
        <v>962.69399999999996</v>
      </c>
      <c r="I3297" s="85">
        <v>6.9178600000000001</v>
      </c>
      <c r="K3297" s="85">
        <v>5.4614399999999996</v>
      </c>
      <c r="M3297" s="84">
        <v>930.80100000000004</v>
      </c>
      <c r="O3297" s="86">
        <v>4161.28</v>
      </c>
      <c r="Q3297" s="86">
        <v>7797.72</v>
      </c>
      <c r="S3297" s="86">
        <v>1427.78</v>
      </c>
      <c r="U3297" s="85">
        <v>3.7530199999999998</v>
      </c>
      <c r="W3297" s="81">
        <v>41.289200000000001</v>
      </c>
      <c r="Y3297" s="81">
        <v>7.5601599999999998</v>
      </c>
      <c r="AA3297" s="84">
        <v>518.76499999999999</v>
      </c>
      <c r="AC3297" s="81">
        <v>60.073399999999999</v>
      </c>
      <c r="AE3297" s="87">
        <v>1</v>
      </c>
      <c r="AG3297" s="85">
        <v>7.7368399999999999</v>
      </c>
      <c r="AI3297" s="86">
        <v>8.75</v>
      </c>
      <c r="AK3297" s="81">
        <v>24.843599999999999</v>
      </c>
      <c r="AM3297" s="81">
        <v>36.823599999999999</v>
      </c>
      <c r="AO3297" s="85">
        <v>6.8001699999999996</v>
      </c>
    </row>
    <row r="3298" spans="2:41" x14ac:dyDescent="0.25">
      <c r="B3298" s="21">
        <f t="shared" si="3"/>
        <v>45556</v>
      </c>
      <c r="C3298" s="91">
        <v>19.2773</v>
      </c>
      <c r="E3298" s="83">
        <v>0.89577200000000001</v>
      </c>
      <c r="G3298" s="84">
        <v>962.50599999999997</v>
      </c>
      <c r="I3298" s="85">
        <v>6.9162499999999998</v>
      </c>
      <c r="K3298" s="85">
        <v>5.5118</v>
      </c>
      <c r="M3298" s="84">
        <v>930.65</v>
      </c>
      <c r="O3298" s="86">
        <v>4155.0600000000004</v>
      </c>
      <c r="Q3298" s="86">
        <v>7798.32</v>
      </c>
      <c r="S3298" s="86">
        <v>1414.84</v>
      </c>
      <c r="U3298" s="85">
        <v>3.7523399999999998</v>
      </c>
      <c r="W3298" s="81">
        <v>41.516599999999997</v>
      </c>
      <c r="Y3298" s="81">
        <v>7.5323200000000003</v>
      </c>
      <c r="AA3298" s="84">
        <v>518.88499999999999</v>
      </c>
      <c r="AC3298" s="81">
        <v>60.058399999999999</v>
      </c>
      <c r="AE3298" s="87">
        <v>1</v>
      </c>
      <c r="AG3298" s="85">
        <v>7.7355799999999997</v>
      </c>
      <c r="AI3298" s="86">
        <v>8.75</v>
      </c>
      <c r="AK3298" s="81">
        <v>24.834</v>
      </c>
      <c r="AM3298" s="81">
        <v>36.819099999999999</v>
      </c>
      <c r="AO3298" s="85">
        <v>6.8005000000000004</v>
      </c>
    </row>
    <row r="3299" spans="2:41" x14ac:dyDescent="0.25">
      <c r="B3299" s="21">
        <f t="shared" si="3"/>
        <v>45557</v>
      </c>
      <c r="C3299" s="91">
        <v>19.2773</v>
      </c>
      <c r="E3299" s="83">
        <v>0.89578199999999997</v>
      </c>
      <c r="G3299" s="84">
        <v>962.5</v>
      </c>
      <c r="I3299" s="85">
        <v>6.9162699999999999</v>
      </c>
      <c r="K3299" s="85">
        <v>5.5118499999999999</v>
      </c>
      <c r="M3299" s="84">
        <v>930.62900000000002</v>
      </c>
      <c r="O3299" s="86">
        <v>4155.04</v>
      </c>
      <c r="Q3299" s="86">
        <v>7798.29</v>
      </c>
      <c r="S3299" s="86">
        <v>1414.83</v>
      </c>
      <c r="U3299" s="85">
        <v>3.7524000000000002</v>
      </c>
      <c r="W3299" s="81">
        <v>41.502800000000001</v>
      </c>
      <c r="Y3299" s="81">
        <v>7.5297599999999996</v>
      </c>
      <c r="AA3299" s="84">
        <v>518.88400000000001</v>
      </c>
      <c r="AC3299" s="81">
        <v>60.058500000000002</v>
      </c>
      <c r="AE3299" s="87">
        <v>1</v>
      </c>
      <c r="AG3299" s="85">
        <v>7.7355999999999998</v>
      </c>
      <c r="AI3299" s="86">
        <v>8.75</v>
      </c>
      <c r="AK3299" s="81">
        <v>24.834199999999999</v>
      </c>
      <c r="AM3299" s="81">
        <v>36.819200000000002</v>
      </c>
      <c r="AO3299" s="85">
        <v>6.8004800000000003</v>
      </c>
    </row>
    <row r="3300" spans="2:41" x14ac:dyDescent="0.25">
      <c r="B3300" s="21">
        <f t="shared" si="3"/>
        <v>45558</v>
      </c>
      <c r="C3300" s="91">
        <v>19.372499999999999</v>
      </c>
      <c r="E3300" s="83">
        <v>0.89847399999999999</v>
      </c>
      <c r="G3300" s="84">
        <v>963.8</v>
      </c>
      <c r="I3300" s="85">
        <v>6.9155800000000003</v>
      </c>
      <c r="K3300" s="85">
        <v>5.5164799999999996</v>
      </c>
      <c r="M3300" s="84">
        <v>926.46400000000006</v>
      </c>
      <c r="O3300" s="86">
        <v>4156.38</v>
      </c>
      <c r="Q3300" s="86">
        <v>7790.9</v>
      </c>
      <c r="S3300" s="86">
        <v>1412.32</v>
      </c>
      <c r="U3300" s="85">
        <v>3.7518199999999999</v>
      </c>
      <c r="W3300" s="81">
        <v>41.475999999999999</v>
      </c>
      <c r="Y3300" s="81">
        <v>7.5186400000000004</v>
      </c>
      <c r="AA3300" s="84">
        <v>518.59</v>
      </c>
      <c r="AC3300" s="81">
        <v>60.099699999999999</v>
      </c>
      <c r="AE3300" s="87">
        <v>1</v>
      </c>
      <c r="AG3300" s="85">
        <v>7.7304700000000004</v>
      </c>
      <c r="AI3300" s="86">
        <v>8.75</v>
      </c>
      <c r="AK3300" s="81">
        <v>24.831499999999998</v>
      </c>
      <c r="AM3300" s="81">
        <v>36.790799999999997</v>
      </c>
      <c r="AO3300" s="85">
        <v>6.7986899999999997</v>
      </c>
    </row>
    <row r="3301" spans="2:41" x14ac:dyDescent="0.25">
      <c r="B3301" s="21">
        <f t="shared" si="3"/>
        <v>45559</v>
      </c>
      <c r="C3301" s="91">
        <v>19.414999999999999</v>
      </c>
      <c r="E3301" s="83">
        <v>0.89755200000000002</v>
      </c>
      <c r="G3301" s="84">
        <v>965.34100000000001</v>
      </c>
      <c r="I3301" s="85">
        <v>6.9205800000000002</v>
      </c>
      <c r="K3301" s="85">
        <v>5.4992900000000002</v>
      </c>
      <c r="M3301" s="84">
        <v>918.57</v>
      </c>
      <c r="O3301" s="86">
        <v>4155.5200000000004</v>
      </c>
      <c r="Q3301" s="86">
        <v>7786.44</v>
      </c>
      <c r="S3301" s="86">
        <v>1415.9</v>
      </c>
      <c r="U3301" s="85">
        <v>3.7671000000000001</v>
      </c>
      <c r="W3301" s="81">
        <v>41.754600000000003</v>
      </c>
      <c r="Y3301" s="81">
        <v>7.59274</v>
      </c>
      <c r="AA3301" s="84">
        <v>518.904</v>
      </c>
      <c r="AC3301" s="81">
        <v>60.215000000000003</v>
      </c>
      <c r="AE3301" s="87">
        <v>1</v>
      </c>
      <c r="AG3301" s="85">
        <v>7.7346300000000001</v>
      </c>
      <c r="AI3301" s="86">
        <v>8.75</v>
      </c>
      <c r="AK3301" s="81">
        <v>24.846599999999999</v>
      </c>
      <c r="AM3301" s="81">
        <v>36.805399999999999</v>
      </c>
      <c r="AO3301" s="85">
        <v>6.8026999999999997</v>
      </c>
    </row>
    <row r="3302" spans="2:41" x14ac:dyDescent="0.25">
      <c r="B3302" s="21">
        <f t="shared" si="3"/>
        <v>45560</v>
      </c>
      <c r="C3302" s="91">
        <v>19.356200000000001</v>
      </c>
      <c r="E3302" s="83">
        <v>0.89522400000000002</v>
      </c>
      <c r="G3302" s="84">
        <v>966.38699999999994</v>
      </c>
      <c r="I3302" s="85">
        <v>6.9034500000000003</v>
      </c>
      <c r="K3302" s="85">
        <v>5.4639199999999999</v>
      </c>
      <c r="M3302" s="84">
        <v>913.30899999999997</v>
      </c>
      <c r="O3302" s="86">
        <v>4168.32</v>
      </c>
      <c r="Q3302" s="86">
        <v>7777.52</v>
      </c>
      <c r="S3302" s="86">
        <v>1423.44</v>
      </c>
      <c r="U3302" s="85">
        <v>3.7607599999999999</v>
      </c>
      <c r="W3302" s="81">
        <v>41.972000000000001</v>
      </c>
      <c r="Y3302" s="81">
        <v>7.6817000000000002</v>
      </c>
      <c r="AA3302" s="84">
        <v>517.95100000000002</v>
      </c>
      <c r="AC3302" s="81">
        <v>60.177399999999999</v>
      </c>
      <c r="AE3302" s="87">
        <v>1</v>
      </c>
      <c r="AG3302" s="85">
        <v>7.71983</v>
      </c>
      <c r="AI3302" s="86">
        <v>8.75</v>
      </c>
      <c r="AK3302" s="81">
        <v>24.790800000000001</v>
      </c>
      <c r="AM3302" s="81">
        <v>36.707999999999998</v>
      </c>
      <c r="AO3302" s="85">
        <v>6.7944000000000004</v>
      </c>
    </row>
    <row r="3303" spans="2:41" x14ac:dyDescent="0.25">
      <c r="B3303" s="21">
        <f t="shared" si="3"/>
        <v>45561</v>
      </c>
      <c r="C3303" s="91">
        <v>19.587</v>
      </c>
      <c r="E3303" s="83">
        <v>0.89630799999999999</v>
      </c>
      <c r="G3303" s="84">
        <v>968.08799999999997</v>
      </c>
      <c r="I3303" s="85">
        <v>6.9173600000000004</v>
      </c>
      <c r="K3303" s="85">
        <v>5.4565900000000003</v>
      </c>
      <c r="M3303" s="84">
        <v>908.596</v>
      </c>
      <c r="O3303" s="86">
        <v>4188.6499999999996</v>
      </c>
      <c r="Q3303" s="86">
        <v>7803.6</v>
      </c>
      <c r="S3303" s="86">
        <v>1430.13</v>
      </c>
      <c r="U3303" s="85">
        <v>3.7606199999999999</v>
      </c>
      <c r="W3303" s="81">
        <v>42.140999999999998</v>
      </c>
      <c r="Y3303" s="81">
        <v>7.7229900000000002</v>
      </c>
      <c r="AA3303" s="84">
        <v>520.48</v>
      </c>
      <c r="AC3303" s="81">
        <v>60.209000000000003</v>
      </c>
      <c r="AE3303" s="87">
        <v>1</v>
      </c>
      <c r="AG3303" s="85">
        <v>7.7365599999999999</v>
      </c>
      <c r="AI3303" s="86">
        <v>8.75</v>
      </c>
      <c r="AK3303" s="81">
        <v>24.9284</v>
      </c>
      <c r="AM3303" s="81">
        <v>36.929699999999997</v>
      </c>
      <c r="AO3303" s="85">
        <v>6.8054100000000002</v>
      </c>
    </row>
    <row r="3304" spans="2:41" x14ac:dyDescent="0.25">
      <c r="B3304" s="21">
        <f t="shared" si="3"/>
        <v>45562</v>
      </c>
      <c r="C3304" s="91">
        <v>19.629000000000001</v>
      </c>
      <c r="E3304" s="83">
        <v>0.89580400000000004</v>
      </c>
      <c r="G3304" s="84">
        <v>967.10599999999999</v>
      </c>
      <c r="I3304" s="85">
        <v>6.9085400000000003</v>
      </c>
      <c r="K3304" s="85">
        <v>5.43764</v>
      </c>
      <c r="M3304" s="84">
        <v>902.94</v>
      </c>
      <c r="O3304" s="86">
        <v>4167.6400000000003</v>
      </c>
      <c r="Q3304" s="86">
        <v>7799.34</v>
      </c>
      <c r="S3304" s="86">
        <v>1434.33</v>
      </c>
      <c r="U3304" s="85">
        <v>3.7431800000000002</v>
      </c>
      <c r="W3304" s="81">
        <v>42.000999999999998</v>
      </c>
      <c r="Y3304" s="81">
        <v>7.7241400000000002</v>
      </c>
      <c r="AA3304" s="84">
        <v>520.30499999999995</v>
      </c>
      <c r="AC3304" s="81">
        <v>60.229599999999998</v>
      </c>
      <c r="AE3304" s="87">
        <v>1</v>
      </c>
      <c r="AG3304" s="85">
        <v>7.7286400000000004</v>
      </c>
      <c r="AI3304" s="86">
        <v>8.75</v>
      </c>
      <c r="AK3304" s="81">
        <v>24.8856</v>
      </c>
      <c r="AM3304" s="81">
        <v>36.83</v>
      </c>
      <c r="AO3304" s="85">
        <v>6.7942999999999998</v>
      </c>
    </row>
    <row r="3305" spans="2:41" x14ac:dyDescent="0.25">
      <c r="B3305" s="21">
        <f t="shared" si="3"/>
        <v>45563</v>
      </c>
      <c r="C3305" s="91">
        <v>19.629000000000001</v>
      </c>
      <c r="E3305" s="83">
        <v>0.89573999999999998</v>
      </c>
      <c r="G3305" s="84">
        <v>966.29600000000005</v>
      </c>
      <c r="I3305" s="85">
        <v>6.9103500000000002</v>
      </c>
      <c r="K3305" s="85">
        <v>5.4341999999999997</v>
      </c>
      <c r="M3305" s="84">
        <v>899.15</v>
      </c>
      <c r="O3305" s="86">
        <v>4174.6400000000003</v>
      </c>
      <c r="Q3305" s="86">
        <v>7800.27</v>
      </c>
      <c r="S3305" s="86">
        <v>1435.41</v>
      </c>
      <c r="U3305" s="85">
        <v>3.7406000000000001</v>
      </c>
      <c r="W3305" s="81">
        <v>41.814399999999999</v>
      </c>
      <c r="Y3305" s="81">
        <v>7.6946899999999996</v>
      </c>
      <c r="AA3305" s="84">
        <v>519.45699999999999</v>
      </c>
      <c r="AC3305" s="81">
        <v>60.384999999999998</v>
      </c>
      <c r="AE3305" s="87">
        <v>1</v>
      </c>
      <c r="AG3305" s="85">
        <v>7.7319199999999997</v>
      </c>
      <c r="AI3305" s="86">
        <v>8.75</v>
      </c>
      <c r="AK3305" s="81">
        <v>24.882000000000001</v>
      </c>
      <c r="AM3305" s="81">
        <v>36.799799999999998</v>
      </c>
      <c r="AO3305" s="85">
        <v>6.7963399999999998</v>
      </c>
    </row>
    <row r="3306" spans="2:41" x14ac:dyDescent="0.25">
      <c r="B3306" s="21">
        <f t="shared" si="3"/>
        <v>45564</v>
      </c>
      <c r="C3306" s="91">
        <v>19.629000000000001</v>
      </c>
      <c r="E3306" s="83">
        <v>0.89571000000000001</v>
      </c>
      <c r="G3306" s="84">
        <v>966.25400000000002</v>
      </c>
      <c r="I3306" s="85">
        <v>6.9103599999999998</v>
      </c>
      <c r="K3306" s="85">
        <v>5.4341999999999997</v>
      </c>
      <c r="M3306" s="84">
        <v>899.16</v>
      </c>
      <c r="O3306" s="86">
        <v>4174.7</v>
      </c>
      <c r="Q3306" s="86">
        <v>7800.25</v>
      </c>
      <c r="S3306" s="86">
        <v>1435.4</v>
      </c>
      <c r="U3306" s="85">
        <v>3.74098</v>
      </c>
      <c r="W3306" s="81">
        <v>41.817599999999999</v>
      </c>
      <c r="Y3306" s="81">
        <v>7.6952800000000003</v>
      </c>
      <c r="AA3306" s="84">
        <v>519.46</v>
      </c>
      <c r="AC3306" s="81">
        <v>60.384799999999998</v>
      </c>
      <c r="AE3306" s="87">
        <v>1</v>
      </c>
      <c r="AG3306" s="85">
        <v>7.7319199999999997</v>
      </c>
      <c r="AI3306" s="86">
        <v>8.75</v>
      </c>
      <c r="AK3306" s="81">
        <v>24.882000000000001</v>
      </c>
      <c r="AM3306" s="81">
        <v>36.799799999999998</v>
      </c>
      <c r="AO3306" s="85">
        <v>6.79636</v>
      </c>
    </row>
    <row r="3307" spans="2:41" x14ac:dyDescent="0.25">
      <c r="B3307" s="21">
        <f t="shared" si="3"/>
        <v>45565</v>
      </c>
      <c r="C3307" s="82">
        <v>19.669699999999999</v>
      </c>
      <c r="D3307" s="92"/>
      <c r="E3307" s="93">
        <v>0.89598</v>
      </c>
      <c r="F3307" s="92"/>
      <c r="G3307" s="94">
        <v>967.81799999999998</v>
      </c>
      <c r="H3307" s="92"/>
      <c r="I3307" s="95">
        <v>6.9158999999999997</v>
      </c>
      <c r="J3307" s="92"/>
      <c r="K3307" s="95">
        <v>5.4413200000000002</v>
      </c>
      <c r="L3307" s="92"/>
      <c r="M3307" s="94">
        <v>899.01099999999997</v>
      </c>
      <c r="N3307" s="92"/>
      <c r="O3307" s="96">
        <v>4177.6499999999996</v>
      </c>
      <c r="P3307" s="92"/>
      <c r="Q3307" s="96">
        <v>7796.12</v>
      </c>
      <c r="R3307" s="92"/>
      <c r="S3307" s="96">
        <v>1432.77</v>
      </c>
      <c r="T3307" s="92"/>
      <c r="U3307" s="95">
        <v>3.7219799999999998</v>
      </c>
      <c r="V3307" s="92"/>
      <c r="W3307" s="91">
        <v>41.783000000000001</v>
      </c>
      <c r="X3307" s="92"/>
      <c r="Y3307" s="91">
        <v>7.6788499999999997</v>
      </c>
      <c r="Z3307" s="92"/>
      <c r="AA3307" s="94">
        <v>519.57600000000002</v>
      </c>
      <c r="AB3307" s="92"/>
      <c r="AC3307" s="91">
        <v>60.303199999999997</v>
      </c>
      <c r="AD3307" s="92"/>
      <c r="AE3307" s="97">
        <v>1</v>
      </c>
      <c r="AF3307" s="92"/>
      <c r="AG3307" s="95">
        <v>7.7314299999999996</v>
      </c>
      <c r="AH3307" s="92"/>
      <c r="AI3307" s="96">
        <v>8.75</v>
      </c>
      <c r="AJ3307" s="92"/>
      <c r="AK3307" s="91">
        <v>24.883800000000001</v>
      </c>
      <c r="AL3307" s="92"/>
      <c r="AM3307" s="91">
        <v>36.793599999999998</v>
      </c>
      <c r="AN3307" s="92"/>
      <c r="AO3307" s="95">
        <v>6.7967599999999999</v>
      </c>
    </row>
    <row r="3308" spans="2:41" ht="13" x14ac:dyDescent="0.3">
      <c r="B3308" s="25" t="str">
        <f>"PROM-"&amp;MONTH(B3307)&amp;YEAR(B3307)</f>
        <v>PROM-92024</v>
      </c>
      <c r="C3308" s="19">
        <f>AVERAGE(C3278:C3307)</f>
        <v>19.634773333333339</v>
      </c>
      <c r="E3308" s="24">
        <f>AVERAGE(E3278:E3307)</f>
        <v>0.90031486666666694</v>
      </c>
      <c r="G3308" s="42">
        <f>AVERAGE(G3278:G3307)</f>
        <v>960.10059999999987</v>
      </c>
      <c r="I3308" s="23">
        <f>AVERAGE(I3278:I3307)</f>
        <v>6.9127233333333322</v>
      </c>
      <c r="K3308" s="23">
        <f>AVERAGE(K3278:K3307)</f>
        <v>5.5428089999999992</v>
      </c>
      <c r="M3308" s="42">
        <f>AVERAGE(M3278:M3307)</f>
        <v>926.3044000000001</v>
      </c>
      <c r="O3308" s="80">
        <f>AVERAGE(O3278:O3307)</f>
        <v>4184.1426666666648</v>
      </c>
      <c r="Q3308" s="80">
        <f>AVERAGE(Q3278:Q3307)</f>
        <v>7752.2359999999999</v>
      </c>
      <c r="S3308" s="80">
        <f>AVERAGE(S3278:S3307)</f>
        <v>1398.9613333333336</v>
      </c>
      <c r="U3308" s="23">
        <f>AVERAGE(U3278:U3307)</f>
        <v>3.7690216666666667</v>
      </c>
      <c r="W3308" s="19">
        <f>AVERAGE(W3278:W3307)</f>
        <v>41.014623333333333</v>
      </c>
      <c r="Y3308" s="19">
        <f>AVERAGE(Y3278:Y3307)</f>
        <v>7.4022753333333347</v>
      </c>
      <c r="AA3308" s="42">
        <f>AVERAGE(AA3278:AA3307)</f>
        <v>519.59736666666674</v>
      </c>
      <c r="AC3308" s="19">
        <f>AVERAGE(AC3278:AC3307)</f>
        <v>60.013913333333328</v>
      </c>
      <c r="AE3308" s="88">
        <f>AVERAGE(AE3278:AE3307)</f>
        <v>1</v>
      </c>
      <c r="AG3308" s="23">
        <f>AVERAGE(AG3278:AG3307)</f>
        <v>7.7339390000000012</v>
      </c>
      <c r="AI3308" s="80">
        <f>AVERAGE(AI3278:AI3307)</f>
        <v>8.75</v>
      </c>
      <c r="AK3308" s="19">
        <f>AVERAGE(AK3278:AK3307)</f>
        <v>24.835933333333326</v>
      </c>
      <c r="AM3308" s="19">
        <f>AVERAGE(AM3278:AM3307)</f>
        <v>36.812446666666673</v>
      </c>
      <c r="AO3308" s="23">
        <f>AVERAGE(AO3278:AO3307)</f>
        <v>6.790078333333331</v>
      </c>
    </row>
    <row r="3309" spans="2:41" x14ac:dyDescent="0.25">
      <c r="B3309" s="21">
        <v>45566</v>
      </c>
      <c r="C3309" s="91">
        <v>19.669699999999999</v>
      </c>
      <c r="E3309" s="83">
        <v>0.90125999999999995</v>
      </c>
      <c r="G3309" s="84">
        <v>969.26599999999996</v>
      </c>
      <c r="I3309" s="85">
        <v>6.9200699999999999</v>
      </c>
      <c r="K3309" s="85">
        <v>5.4499500000000003</v>
      </c>
      <c r="M3309" s="84">
        <v>901.80499999999995</v>
      </c>
      <c r="O3309" s="86">
        <v>4200.08</v>
      </c>
      <c r="Q3309" s="86">
        <v>7798.63</v>
      </c>
      <c r="S3309" s="86">
        <v>1430.96</v>
      </c>
      <c r="U3309" s="85">
        <v>3.71712</v>
      </c>
      <c r="W3309" s="81">
        <v>41.7346</v>
      </c>
      <c r="Y3309" s="81">
        <v>7.6578400000000002</v>
      </c>
      <c r="AA3309" s="84">
        <v>519.37199999999996</v>
      </c>
      <c r="AC3309" s="81">
        <v>60.424500000000002</v>
      </c>
      <c r="AE3309" s="87">
        <v>1</v>
      </c>
      <c r="AG3309" s="85">
        <v>7.7362700000000002</v>
      </c>
      <c r="AI3309" s="86">
        <v>8.75</v>
      </c>
      <c r="AK3309" s="81">
        <v>24.8962</v>
      </c>
      <c r="AM3309" s="81">
        <v>36.816099999999999</v>
      </c>
      <c r="AO3309" s="85">
        <v>6.79514</v>
      </c>
    </row>
    <row r="3310" spans="2:41" x14ac:dyDescent="0.25">
      <c r="B3310" s="21">
        <v>45567</v>
      </c>
      <c r="C3310" s="91">
        <v>19.643999999999998</v>
      </c>
      <c r="E3310" s="83">
        <v>0.90431300000000003</v>
      </c>
      <c r="G3310" s="84">
        <v>970.03800000000001</v>
      </c>
      <c r="I3310" s="85">
        <v>6.9129899999999997</v>
      </c>
      <c r="K3310" s="85">
        <v>5.4317200000000003</v>
      </c>
      <c r="M3310" s="84">
        <v>906.49400000000003</v>
      </c>
      <c r="O3310" s="86">
        <v>4210.51</v>
      </c>
      <c r="Q3310" s="86">
        <v>7796.01</v>
      </c>
      <c r="S3310" s="86">
        <v>1435.28</v>
      </c>
      <c r="U3310" s="85">
        <v>3.7166800000000002</v>
      </c>
      <c r="W3310" s="81">
        <v>41.689799999999998</v>
      </c>
      <c r="Y3310" s="81">
        <v>7.6752799999999999</v>
      </c>
      <c r="AA3310" s="84">
        <v>518.19000000000005</v>
      </c>
      <c r="AC3310" s="81">
        <v>60.531300000000002</v>
      </c>
      <c r="AE3310" s="87">
        <v>1</v>
      </c>
      <c r="AG3310" s="85">
        <v>7.7335099999999999</v>
      </c>
      <c r="AI3310" s="86">
        <v>8.75</v>
      </c>
      <c r="AK3310" s="81">
        <v>24.895</v>
      </c>
      <c r="AM3310" s="81">
        <v>36.820500000000003</v>
      </c>
      <c r="AO3310" s="85">
        <v>6.7862400000000003</v>
      </c>
    </row>
    <row r="3311" spans="2:41" x14ac:dyDescent="0.25">
      <c r="B3311" s="21">
        <v>45568</v>
      </c>
      <c r="C3311" s="91">
        <v>19.388500000000001</v>
      </c>
      <c r="E3311" s="83">
        <v>0.90633600000000003</v>
      </c>
      <c r="G3311" s="84">
        <v>970.91899999999998</v>
      </c>
      <c r="I3311" s="85">
        <v>6.9170800000000003</v>
      </c>
      <c r="K3311" s="85">
        <v>5.4602700000000004</v>
      </c>
      <c r="M3311" s="84">
        <v>915.30600000000004</v>
      </c>
      <c r="O3311" s="86">
        <v>4186.72</v>
      </c>
      <c r="Q3311" s="86">
        <v>7801.67</v>
      </c>
      <c r="S3311" s="86">
        <v>1428.82</v>
      </c>
      <c r="U3311" s="85">
        <v>3.7241300000000002</v>
      </c>
      <c r="W3311" s="81">
        <v>41.809600000000003</v>
      </c>
      <c r="Y3311" s="81">
        <v>7.6570799999999997</v>
      </c>
      <c r="AA3311" s="84">
        <v>518.16200000000003</v>
      </c>
      <c r="AC3311" s="81">
        <v>60.526400000000002</v>
      </c>
      <c r="AE3311" s="87">
        <v>1</v>
      </c>
      <c r="AG3311" s="85">
        <v>7.7397200000000002</v>
      </c>
      <c r="AI3311" s="86">
        <v>8.75</v>
      </c>
      <c r="AK3311" s="81">
        <v>24.945699999999999</v>
      </c>
      <c r="AM3311" s="81">
        <v>36.784599999999998</v>
      </c>
      <c r="AO3311" s="85">
        <v>6.7897299999999996</v>
      </c>
    </row>
    <row r="3312" spans="2:41" x14ac:dyDescent="0.25">
      <c r="B3312" s="21">
        <v>45569</v>
      </c>
      <c r="C3312" s="91">
        <v>19.4678</v>
      </c>
      <c r="E3312" s="83">
        <v>0.90897399999999995</v>
      </c>
      <c r="G3312" s="84">
        <v>971.60500000000002</v>
      </c>
      <c r="I3312" s="85">
        <v>6.9129800000000001</v>
      </c>
      <c r="K3312" s="85">
        <v>5.4715600000000002</v>
      </c>
      <c r="M3312" s="84">
        <v>920.65099999999995</v>
      </c>
      <c r="O3312" s="86">
        <v>4180.99</v>
      </c>
      <c r="Q3312" s="86">
        <v>7798.43</v>
      </c>
      <c r="S3312" s="86">
        <v>1425.28</v>
      </c>
      <c r="U3312" s="85">
        <v>3.7280600000000002</v>
      </c>
      <c r="W3312" s="81">
        <v>41.8294</v>
      </c>
      <c r="Y3312" s="81">
        <v>7.6449199999999999</v>
      </c>
      <c r="AA3312" s="84">
        <v>518.48400000000004</v>
      </c>
      <c r="AC3312" s="81">
        <v>60.273600000000002</v>
      </c>
      <c r="AE3312" s="87">
        <v>1</v>
      </c>
      <c r="AG3312" s="85">
        <v>7.7378999999999998</v>
      </c>
      <c r="AI3312" s="86">
        <v>8.75</v>
      </c>
      <c r="AK3312" s="81">
        <v>24.959700000000002</v>
      </c>
      <c r="AM3312" s="81">
        <v>36.800400000000003</v>
      </c>
      <c r="AO3312" s="85">
        <v>6.7854400000000004</v>
      </c>
    </row>
    <row r="3313" spans="2:41" x14ac:dyDescent="0.25">
      <c r="B3313" s="21">
        <v>45570</v>
      </c>
      <c r="C3313" s="91">
        <v>19.4678</v>
      </c>
      <c r="E3313" s="83">
        <v>0.91116200000000003</v>
      </c>
      <c r="G3313" s="84">
        <v>971.32100000000003</v>
      </c>
      <c r="I3313" s="85">
        <v>6.9108999999999998</v>
      </c>
      <c r="K3313" s="85">
        <v>5.4570999999999996</v>
      </c>
      <c r="M3313" s="84">
        <v>924.75</v>
      </c>
      <c r="O3313" s="86">
        <v>4169.46</v>
      </c>
      <c r="Q3313" s="86">
        <v>7795.74</v>
      </c>
      <c r="S3313" s="86">
        <v>1428.56</v>
      </c>
      <c r="U3313" s="85">
        <v>3.7299500000000001</v>
      </c>
      <c r="W3313" s="81">
        <v>41.788800000000002</v>
      </c>
      <c r="Y3313" s="81">
        <v>7.6577200000000003</v>
      </c>
      <c r="AA3313" s="84">
        <v>518.42399999999998</v>
      </c>
      <c r="AC3313" s="81">
        <v>60.48</v>
      </c>
      <c r="AE3313" s="87">
        <v>1</v>
      </c>
      <c r="AG3313" s="85">
        <v>7.7364600000000001</v>
      </c>
      <c r="AI3313" s="86">
        <v>8.75</v>
      </c>
      <c r="AK3313" s="81">
        <v>24.975000000000001</v>
      </c>
      <c r="AM3313" s="81">
        <v>36.774799999999999</v>
      </c>
      <c r="AO3313" s="85">
        <v>6.7833199999999998</v>
      </c>
    </row>
    <row r="3314" spans="2:41" x14ac:dyDescent="0.25">
      <c r="B3314" s="21">
        <v>45571</v>
      </c>
      <c r="C3314" s="91">
        <v>19.4678</v>
      </c>
      <c r="E3314" s="83">
        <v>0.91122000000000003</v>
      </c>
      <c r="G3314" s="84">
        <v>972.02499999999998</v>
      </c>
      <c r="I3314" s="85">
        <v>6.9111799999999999</v>
      </c>
      <c r="K3314" s="85">
        <v>5.4571899999999998</v>
      </c>
      <c r="M3314" s="84">
        <v>924.74599999999998</v>
      </c>
      <c r="O3314" s="86">
        <v>4169.7</v>
      </c>
      <c r="Q3314" s="86">
        <v>7796.08</v>
      </c>
      <c r="S3314" s="86">
        <v>1428.6</v>
      </c>
      <c r="U3314" s="85">
        <v>3.7301199999999999</v>
      </c>
      <c r="W3314" s="81">
        <v>41.792000000000002</v>
      </c>
      <c r="Y3314" s="81">
        <v>7.6581999999999999</v>
      </c>
      <c r="AA3314" s="84">
        <v>518.452</v>
      </c>
      <c r="AC3314" s="81">
        <v>60.4786</v>
      </c>
      <c r="AE3314" s="87">
        <v>1</v>
      </c>
      <c r="AG3314" s="85">
        <v>7.7368300000000003</v>
      </c>
      <c r="AI3314" s="86">
        <v>8.75</v>
      </c>
      <c r="AK3314" s="81">
        <v>24.975300000000001</v>
      </c>
      <c r="AM3314" s="81">
        <v>36.777200000000001</v>
      </c>
      <c r="AO3314" s="85">
        <v>6.7835999999999999</v>
      </c>
    </row>
    <row r="3315" spans="2:41" x14ac:dyDescent="0.25">
      <c r="B3315" s="21">
        <v>45572</v>
      </c>
      <c r="C3315" s="91">
        <v>19.212700000000002</v>
      </c>
      <c r="E3315" s="83">
        <v>0.91130599999999995</v>
      </c>
      <c r="G3315" s="84">
        <v>973.98800000000006</v>
      </c>
      <c r="I3315" s="85">
        <v>6.9303400000000002</v>
      </c>
      <c r="K3315" s="85">
        <v>5.4670699999999997</v>
      </c>
      <c r="M3315" s="84">
        <v>925.32399999999996</v>
      </c>
      <c r="O3315" s="86">
        <v>4184.5600000000004</v>
      </c>
      <c r="Q3315" s="86">
        <v>7814.03</v>
      </c>
      <c r="S3315" s="86">
        <v>1429.3</v>
      </c>
      <c r="U3315" s="85">
        <v>3.7351100000000002</v>
      </c>
      <c r="W3315" s="81">
        <v>41.798999999999999</v>
      </c>
      <c r="Y3315" s="81">
        <v>7.6456299999999997</v>
      </c>
      <c r="AA3315" s="84">
        <v>520.16999999999996</v>
      </c>
      <c r="AC3315" s="81">
        <v>60.4024</v>
      </c>
      <c r="AE3315" s="87">
        <v>1</v>
      </c>
      <c r="AG3315" s="85">
        <v>7.7557400000000003</v>
      </c>
      <c r="AI3315" s="86">
        <v>8.75</v>
      </c>
      <c r="AK3315" s="81">
        <v>24.979600000000001</v>
      </c>
      <c r="AM3315" s="81">
        <v>36.866300000000003</v>
      </c>
      <c r="AO3315" s="85">
        <v>6.7978300000000003</v>
      </c>
    </row>
    <row r="3316" spans="2:41" x14ac:dyDescent="0.25">
      <c r="B3316" s="21">
        <v>45573</v>
      </c>
      <c r="C3316" s="91">
        <v>19.338799999999999</v>
      </c>
      <c r="E3316" s="83">
        <v>0.91073999999999999</v>
      </c>
      <c r="G3316" s="84">
        <v>974.649</v>
      </c>
      <c r="I3316" s="85">
        <v>6.9213800000000001</v>
      </c>
      <c r="K3316" s="85">
        <v>5.5117399999999996</v>
      </c>
      <c r="M3316" s="84">
        <v>929.96600000000001</v>
      </c>
      <c r="O3316" s="86">
        <v>4222.28</v>
      </c>
      <c r="Q3316" s="86">
        <v>7803.74</v>
      </c>
      <c r="S3316" s="86">
        <v>1415.84</v>
      </c>
      <c r="U3316" s="85">
        <v>3.7295600000000002</v>
      </c>
      <c r="W3316" s="81">
        <v>41.670999999999999</v>
      </c>
      <c r="Y3316" s="81">
        <v>7.5604399999999998</v>
      </c>
      <c r="AA3316" s="84">
        <v>519.51499999999999</v>
      </c>
      <c r="AC3316" s="81">
        <v>60.317100000000003</v>
      </c>
      <c r="AE3316" s="87">
        <v>1</v>
      </c>
      <c r="AG3316" s="85">
        <v>7.7446999999999999</v>
      </c>
      <c r="AI3316" s="86">
        <v>8.75</v>
      </c>
      <c r="AK3316" s="81">
        <v>24.887799999999999</v>
      </c>
      <c r="AM3316" s="81">
        <v>36.796999999999997</v>
      </c>
      <c r="AO3316" s="85">
        <v>6.7878999999999996</v>
      </c>
    </row>
    <row r="3317" spans="2:41" x14ac:dyDescent="0.25">
      <c r="B3317" s="21">
        <v>45574</v>
      </c>
      <c r="C3317" s="91">
        <v>19.353200000000001</v>
      </c>
      <c r="E3317" s="83">
        <v>0.91276199999999996</v>
      </c>
      <c r="G3317" s="84">
        <v>974.56200000000001</v>
      </c>
      <c r="I3317" s="85">
        <v>6.9209800000000001</v>
      </c>
      <c r="K3317" s="85">
        <v>5.5602799999999997</v>
      </c>
      <c r="M3317" s="84">
        <v>933.81100000000004</v>
      </c>
      <c r="O3317" s="86">
        <v>4232.22</v>
      </c>
      <c r="Q3317" s="86">
        <v>7806.3</v>
      </c>
      <c r="S3317" s="86">
        <v>1403.94</v>
      </c>
      <c r="U3317" s="85">
        <v>3.7313800000000001</v>
      </c>
      <c r="W3317" s="81">
        <v>41.504600000000003</v>
      </c>
      <c r="Y3317" s="81">
        <v>7.4645200000000003</v>
      </c>
      <c r="AA3317" s="84">
        <v>518.85400000000004</v>
      </c>
      <c r="AC3317" s="81">
        <v>60.281100000000002</v>
      </c>
      <c r="AE3317" s="87">
        <v>1</v>
      </c>
      <c r="AG3317" s="85">
        <v>7.7465700000000002</v>
      </c>
      <c r="AI3317" s="86">
        <v>8.75</v>
      </c>
      <c r="AK3317" s="81">
        <v>24.9678</v>
      </c>
      <c r="AM3317" s="81">
        <v>36.807499999999997</v>
      </c>
      <c r="AO3317" s="85">
        <v>6.7896000000000001</v>
      </c>
    </row>
    <row r="3318" spans="2:41" x14ac:dyDescent="0.25">
      <c r="B3318" s="21">
        <v>45575</v>
      </c>
      <c r="C3318" s="91">
        <v>19.4175</v>
      </c>
      <c r="E3318" s="83">
        <v>0.914578</v>
      </c>
      <c r="G3318" s="84">
        <v>974.79499999999996</v>
      </c>
      <c r="I3318" s="85">
        <v>6.9214700000000002</v>
      </c>
      <c r="K3318" s="85">
        <v>5.5900499999999997</v>
      </c>
      <c r="M3318" s="84">
        <v>931.86400000000003</v>
      </c>
      <c r="O3318" s="86">
        <v>4226.08</v>
      </c>
      <c r="Q3318" s="86">
        <v>7807.74</v>
      </c>
      <c r="S3318" s="86">
        <v>1396.72</v>
      </c>
      <c r="U3318" s="85">
        <v>3.7401800000000001</v>
      </c>
      <c r="W3318" s="81">
        <v>41.643799999999999</v>
      </c>
      <c r="Y3318" s="81">
        <v>7.4496799999999999</v>
      </c>
      <c r="AA3318" s="84">
        <v>518.59</v>
      </c>
      <c r="AC3318" s="81">
        <v>60.325000000000003</v>
      </c>
      <c r="AE3318" s="87">
        <v>1</v>
      </c>
      <c r="AG3318" s="85">
        <v>7.7464399999999998</v>
      </c>
      <c r="AI3318" s="86">
        <v>8.75</v>
      </c>
      <c r="AK3318" s="81">
        <v>24.865400000000001</v>
      </c>
      <c r="AM3318" s="81">
        <v>36.810600000000001</v>
      </c>
      <c r="AO3318" s="85">
        <v>6.79277</v>
      </c>
    </row>
    <row r="3319" spans="2:41" x14ac:dyDescent="0.25">
      <c r="B3319" s="21">
        <v>45576</v>
      </c>
      <c r="C3319" s="91">
        <v>19.511299999999999</v>
      </c>
      <c r="E3319" s="83">
        <v>0.914192</v>
      </c>
      <c r="G3319" s="84">
        <v>974.76199999999994</v>
      </c>
      <c r="I3319" s="85">
        <v>6.9234999999999998</v>
      </c>
      <c r="K3319" s="85">
        <v>5.6013000000000002</v>
      </c>
      <c r="M3319" s="84">
        <v>928.45399999999995</v>
      </c>
      <c r="O3319" s="86">
        <v>4209.75</v>
      </c>
      <c r="Q3319" s="86">
        <v>7804.64</v>
      </c>
      <c r="S3319" s="86">
        <v>1393.37</v>
      </c>
      <c r="U3319" s="85">
        <v>3.7408199999999998</v>
      </c>
      <c r="W3319" s="81">
        <v>41.82</v>
      </c>
      <c r="Y3319" s="81">
        <v>7.4661499999999998</v>
      </c>
      <c r="AA3319" s="84">
        <v>518.44500000000005</v>
      </c>
      <c r="AC3319" s="81">
        <v>60.314999999999998</v>
      </c>
      <c r="AE3319" s="87">
        <v>1</v>
      </c>
      <c r="AG3319" s="85">
        <v>7.7395199999999997</v>
      </c>
      <c r="AI3319" s="86">
        <v>8.75</v>
      </c>
      <c r="AK3319" s="81">
        <v>24.856100000000001</v>
      </c>
      <c r="AM3319" s="81">
        <v>36.819600000000001</v>
      </c>
      <c r="AO3319" s="85">
        <v>6.7901400000000001</v>
      </c>
    </row>
    <row r="3320" spans="2:41" x14ac:dyDescent="0.25">
      <c r="B3320" s="21">
        <v>45577</v>
      </c>
      <c r="C3320" s="91">
        <v>19.511299999999999</v>
      </c>
      <c r="E3320" s="83">
        <v>0.91433200000000003</v>
      </c>
      <c r="G3320" s="84">
        <v>974.89700000000005</v>
      </c>
      <c r="I3320" s="85">
        <v>6.9300800000000002</v>
      </c>
      <c r="K3320" s="85">
        <v>5.6113</v>
      </c>
      <c r="M3320" s="84">
        <v>926.68</v>
      </c>
      <c r="O3320" s="86">
        <v>4209.68</v>
      </c>
      <c r="Q3320" s="86">
        <v>7806.39</v>
      </c>
      <c r="S3320" s="86">
        <v>1391.2</v>
      </c>
      <c r="U3320" s="85">
        <v>3.7584</v>
      </c>
      <c r="W3320" s="81">
        <v>41.900399999999998</v>
      </c>
      <c r="Y3320" s="81">
        <v>7.4671799999999999</v>
      </c>
      <c r="AA3320" s="84">
        <v>518.53399999999999</v>
      </c>
      <c r="AC3320" s="81">
        <v>60.395000000000003</v>
      </c>
      <c r="AE3320" s="87">
        <v>1</v>
      </c>
      <c r="AG3320" s="85">
        <v>7.73916</v>
      </c>
      <c r="AI3320" s="86">
        <v>8.75</v>
      </c>
      <c r="AK3320" s="81">
        <v>24.844999999999999</v>
      </c>
      <c r="AM3320" s="81">
        <v>36.829799999999999</v>
      </c>
      <c r="AO3320" s="85">
        <v>6.7900200000000002</v>
      </c>
    </row>
    <row r="3321" spans="2:41" x14ac:dyDescent="0.25">
      <c r="B3321" s="21">
        <v>45578</v>
      </c>
      <c r="C3321" s="91">
        <v>19.511299999999999</v>
      </c>
      <c r="E3321" s="83">
        <v>0.91440999999999995</v>
      </c>
      <c r="G3321" s="84">
        <v>974.94200000000001</v>
      </c>
      <c r="I3321" s="85">
        <v>6.9300600000000001</v>
      </c>
      <c r="K3321" s="85">
        <v>5.6112500000000001</v>
      </c>
      <c r="M3321" s="84">
        <v>926.71400000000006</v>
      </c>
      <c r="O3321" s="86">
        <v>4209.4799999999996</v>
      </c>
      <c r="Q3321" s="86">
        <v>7806.31</v>
      </c>
      <c r="S3321" s="86">
        <v>1391.2</v>
      </c>
      <c r="U3321" s="85">
        <v>3.7584</v>
      </c>
      <c r="W3321" s="81">
        <v>41.897100000000002</v>
      </c>
      <c r="Y3321" s="81">
        <v>7.4666399999999999</v>
      </c>
      <c r="AA3321" s="84">
        <v>518.47400000000005</v>
      </c>
      <c r="AC3321" s="81">
        <v>60.391199999999998</v>
      </c>
      <c r="AE3321" s="87">
        <v>1</v>
      </c>
      <c r="AG3321" s="85">
        <v>7.7389900000000003</v>
      </c>
      <c r="AI3321" s="86">
        <v>8.75</v>
      </c>
      <c r="AK3321" s="81">
        <v>24.844799999999999</v>
      </c>
      <c r="AM3321" s="81">
        <v>36.828499999999998</v>
      </c>
      <c r="AO3321" s="85">
        <v>6.7899399999999996</v>
      </c>
    </row>
    <row r="3322" spans="2:41" x14ac:dyDescent="0.25">
      <c r="B3322" s="21">
        <v>45579</v>
      </c>
      <c r="C3322" s="91">
        <v>19.398299999999999</v>
      </c>
      <c r="E3322" s="83">
        <v>0.91606200000000004</v>
      </c>
      <c r="G3322" s="84">
        <v>977.24199999999996</v>
      </c>
      <c r="I3322" s="85">
        <v>6.9341999999999997</v>
      </c>
      <c r="K3322" s="85">
        <v>5.6039599999999998</v>
      </c>
      <c r="M3322" s="84">
        <v>927.62699999999995</v>
      </c>
      <c r="O3322" s="86">
        <v>4204.28</v>
      </c>
      <c r="Q3322" s="86">
        <v>7808.28</v>
      </c>
      <c r="S3322" s="86">
        <v>1393.36</v>
      </c>
      <c r="U3322" s="85">
        <v>3.7335799999999999</v>
      </c>
      <c r="W3322" s="81">
        <v>41.817599999999999</v>
      </c>
      <c r="Y3322" s="81">
        <v>7.4622000000000002</v>
      </c>
      <c r="AA3322" s="84">
        <v>516.95000000000005</v>
      </c>
      <c r="AC3322" s="81">
        <v>60.246000000000002</v>
      </c>
      <c r="AE3322" s="87">
        <v>1</v>
      </c>
      <c r="AG3322" s="85">
        <v>7.7376800000000001</v>
      </c>
      <c r="AI3322" s="86">
        <v>8.75</v>
      </c>
      <c r="AK3322" s="81">
        <v>24.882100000000001</v>
      </c>
      <c r="AM3322" s="81">
        <v>36.814799999999998</v>
      </c>
      <c r="AO3322" s="85">
        <v>6.7917800000000002</v>
      </c>
    </row>
    <row r="3323" spans="2:41" x14ac:dyDescent="0.25">
      <c r="B3323" s="21">
        <v>45580</v>
      </c>
      <c r="C3323" s="91">
        <v>19.341999999999999</v>
      </c>
      <c r="E3323" s="83">
        <v>0.91758700000000004</v>
      </c>
      <c r="G3323" s="84">
        <v>979.75699999999995</v>
      </c>
      <c r="I3323" s="85">
        <v>6.9320300000000001</v>
      </c>
      <c r="K3323" s="85">
        <v>5.62148</v>
      </c>
      <c r="M3323" s="84">
        <v>932.11400000000003</v>
      </c>
      <c r="O3323" s="86">
        <v>4223.08</v>
      </c>
      <c r="Q3323" s="86">
        <v>7818.05</v>
      </c>
      <c r="S3323" s="86">
        <v>1390.75</v>
      </c>
      <c r="U3323" s="85">
        <v>3.7459600000000002</v>
      </c>
      <c r="W3323" s="81">
        <v>41.712699999999998</v>
      </c>
      <c r="Y3323" s="81">
        <v>7.4202700000000004</v>
      </c>
      <c r="AA3323" s="84">
        <v>516.36</v>
      </c>
      <c r="AC3323" s="81">
        <v>60.259599999999999</v>
      </c>
      <c r="AE3323" s="87">
        <v>1</v>
      </c>
      <c r="AG3323" s="85">
        <v>7.7350599999999998</v>
      </c>
      <c r="AI3323" s="86">
        <v>8.75</v>
      </c>
      <c r="AK3323" s="81">
        <v>24.948399999999999</v>
      </c>
      <c r="AM3323" s="81">
        <v>36.808799999999998</v>
      </c>
      <c r="AO3323" s="85">
        <v>6.7906599999999999</v>
      </c>
    </row>
    <row r="3324" spans="2:41" x14ac:dyDescent="0.25">
      <c r="B3324" s="21">
        <v>45581</v>
      </c>
      <c r="C3324" s="91">
        <v>19.62</v>
      </c>
      <c r="E3324" s="83">
        <v>0.91923200000000005</v>
      </c>
      <c r="G3324" s="84">
        <v>979.928</v>
      </c>
      <c r="I3324" s="85">
        <v>6.9295200000000001</v>
      </c>
      <c r="K3324" s="85">
        <v>5.65944</v>
      </c>
      <c r="M3324" s="84">
        <v>939.351</v>
      </c>
      <c r="O3324" s="86">
        <v>4251.0200000000004</v>
      </c>
      <c r="Q3324" s="86">
        <v>7824.6</v>
      </c>
      <c r="S3324" s="86">
        <v>1382.58</v>
      </c>
      <c r="U3324" s="85">
        <v>3.7681900000000002</v>
      </c>
      <c r="W3324" s="81">
        <v>41.633600000000001</v>
      </c>
      <c r="Y3324" s="81">
        <v>7.3565199999999997</v>
      </c>
      <c r="AA3324" s="84">
        <v>515.26199999999994</v>
      </c>
      <c r="AC3324" s="81">
        <v>60.278599999999997</v>
      </c>
      <c r="AE3324" s="87">
        <v>1</v>
      </c>
      <c r="AG3324" s="85">
        <v>7.7346000000000004</v>
      </c>
      <c r="AI3324" s="86">
        <v>8.75</v>
      </c>
      <c r="AK3324" s="81">
        <v>25.0458</v>
      </c>
      <c r="AM3324" s="81">
        <v>36.823399999999999</v>
      </c>
      <c r="AO3324" s="85">
        <v>6.7901199999999999</v>
      </c>
    </row>
    <row r="3325" spans="2:41" x14ac:dyDescent="0.25">
      <c r="B3325" s="21">
        <v>45582</v>
      </c>
      <c r="C3325" s="91">
        <v>19.892499999999998</v>
      </c>
      <c r="E3325" s="83">
        <v>0.92218699999999998</v>
      </c>
      <c r="G3325" s="84">
        <v>980.46400000000006</v>
      </c>
      <c r="I3325" s="85">
        <v>6.9233900000000004</v>
      </c>
      <c r="K3325" s="85">
        <v>5.6683599999999998</v>
      </c>
      <c r="M3325" s="84">
        <v>941.55899999999997</v>
      </c>
      <c r="O3325" s="86">
        <v>4257.16</v>
      </c>
      <c r="Q3325" s="86">
        <v>7835.75</v>
      </c>
      <c r="S3325" s="86">
        <v>1382.37</v>
      </c>
      <c r="U3325" s="85">
        <v>3.7724799999999998</v>
      </c>
      <c r="W3325" s="81">
        <v>41.678600000000003</v>
      </c>
      <c r="Y3325" s="81">
        <v>7.3528799999999999</v>
      </c>
      <c r="AA3325" s="84">
        <v>515.28</v>
      </c>
      <c r="AC3325" s="81">
        <v>60.312800000000003</v>
      </c>
      <c r="AE3325" s="87">
        <v>1</v>
      </c>
      <c r="AG3325" s="85">
        <v>7.73712</v>
      </c>
      <c r="AI3325" s="86">
        <v>8.75</v>
      </c>
      <c r="AK3325" s="81">
        <v>25.0824</v>
      </c>
      <c r="AM3325" s="81">
        <v>36.840200000000003</v>
      </c>
      <c r="AO3325" s="85">
        <v>6.7926000000000002</v>
      </c>
    </row>
    <row r="3326" spans="2:41" x14ac:dyDescent="0.25">
      <c r="B3326" s="21">
        <v>45583</v>
      </c>
      <c r="C3326" s="91">
        <v>19.9313</v>
      </c>
      <c r="E3326" s="83">
        <v>0.92158399999999996</v>
      </c>
      <c r="G3326" s="84">
        <v>980.76</v>
      </c>
      <c r="I3326" s="85">
        <v>6.9241200000000003</v>
      </c>
      <c r="K3326" s="85">
        <v>5.66744</v>
      </c>
      <c r="M3326" s="84">
        <v>948.24599999999998</v>
      </c>
      <c r="O3326" s="86">
        <v>4257.04</v>
      </c>
      <c r="Q3326" s="86">
        <v>7858.5</v>
      </c>
      <c r="S3326" s="86">
        <v>1386.61</v>
      </c>
      <c r="U3326" s="85">
        <v>3.7702800000000001</v>
      </c>
      <c r="W3326" s="81">
        <v>41.814999999999998</v>
      </c>
      <c r="Y3326" s="81">
        <v>7.3781400000000001</v>
      </c>
      <c r="AA3326" s="84">
        <v>515.22199999999998</v>
      </c>
      <c r="AC3326" s="81">
        <v>60.343600000000002</v>
      </c>
      <c r="AE3326" s="87">
        <v>1</v>
      </c>
      <c r="AG3326" s="85">
        <v>7.7412000000000001</v>
      </c>
      <c r="AI3326" s="86">
        <v>8.75</v>
      </c>
      <c r="AK3326" s="81">
        <v>25.021599999999999</v>
      </c>
      <c r="AM3326" s="81">
        <v>36.839199999999998</v>
      </c>
      <c r="AO3326" s="85">
        <v>6.79589</v>
      </c>
    </row>
    <row r="3327" spans="2:41" x14ac:dyDescent="0.25">
      <c r="B3327" s="21">
        <v>45584</v>
      </c>
      <c r="C3327" s="91">
        <v>19.9313</v>
      </c>
      <c r="E3327" s="83">
        <v>0.92018299999999997</v>
      </c>
      <c r="G3327" s="84">
        <v>980.75400000000002</v>
      </c>
      <c r="I3327" s="85">
        <v>6.9191200000000004</v>
      </c>
      <c r="K3327" s="85">
        <v>5.6928999999999998</v>
      </c>
      <c r="M3327" s="84">
        <v>953.46</v>
      </c>
      <c r="O3327" s="86">
        <v>4267.62</v>
      </c>
      <c r="Q3327" s="86">
        <v>7867.64</v>
      </c>
      <c r="S3327" s="86">
        <v>1382.01</v>
      </c>
      <c r="U3327" s="85">
        <v>3.7646999999999999</v>
      </c>
      <c r="W3327" s="81">
        <v>41.793100000000003</v>
      </c>
      <c r="Y3327" s="81">
        <v>7.3413000000000004</v>
      </c>
      <c r="AA3327" s="84">
        <v>514.726</v>
      </c>
      <c r="AC3327" s="81">
        <v>60.422499999999999</v>
      </c>
      <c r="AE3327" s="87">
        <v>1</v>
      </c>
      <c r="AG3327" s="85">
        <v>7.7362700000000002</v>
      </c>
      <c r="AI3327" s="86">
        <v>8.75</v>
      </c>
      <c r="AK3327" s="81">
        <v>25.085000000000001</v>
      </c>
      <c r="AM3327" s="81">
        <v>36.779800000000002</v>
      </c>
      <c r="AO3327" s="85">
        <v>6.7907000000000002</v>
      </c>
    </row>
    <row r="3328" spans="2:41" x14ac:dyDescent="0.25">
      <c r="B3328" s="21">
        <v>45585</v>
      </c>
      <c r="C3328" s="91">
        <v>19.9313</v>
      </c>
      <c r="E3328" s="83">
        <v>0.92018200000000006</v>
      </c>
      <c r="G3328" s="84">
        <v>980.50300000000004</v>
      </c>
      <c r="I3328" s="85">
        <v>6.9191700000000003</v>
      </c>
      <c r="K3328" s="85">
        <v>5.6917400000000002</v>
      </c>
      <c r="M3328" s="84">
        <v>953.46</v>
      </c>
      <c r="O3328" s="86">
        <v>4266.9799999999996</v>
      </c>
      <c r="Q3328" s="86">
        <v>7868.6</v>
      </c>
      <c r="S3328" s="86">
        <v>1382.46</v>
      </c>
      <c r="U3328" s="85">
        <v>3.7647900000000001</v>
      </c>
      <c r="W3328" s="81">
        <v>41.793199999999999</v>
      </c>
      <c r="Y3328" s="81">
        <v>7.3428199999999997</v>
      </c>
      <c r="AA3328" s="84">
        <v>514.73</v>
      </c>
      <c r="AC3328" s="81">
        <v>60.415999999999997</v>
      </c>
      <c r="AE3328" s="87">
        <v>1</v>
      </c>
      <c r="AG3328" s="85">
        <v>7.73604</v>
      </c>
      <c r="AI3328" s="86">
        <v>8.75</v>
      </c>
      <c r="AK3328" s="81">
        <v>25.082100000000001</v>
      </c>
      <c r="AM3328" s="81">
        <v>36.778599999999997</v>
      </c>
      <c r="AO3328" s="85">
        <v>6.7907200000000003</v>
      </c>
    </row>
    <row r="3329" spans="2:41" x14ac:dyDescent="0.25">
      <c r="B3329" s="21">
        <v>45586</v>
      </c>
      <c r="C3329" s="91">
        <v>19.8325</v>
      </c>
      <c r="E3329" s="83">
        <v>0.92234799999999995</v>
      </c>
      <c r="G3329" s="84">
        <v>981.46400000000006</v>
      </c>
      <c r="I3329" s="85">
        <v>6.9091399999999998</v>
      </c>
      <c r="K3329" s="85">
        <v>5.6800100000000002</v>
      </c>
      <c r="M3329" s="84">
        <v>950.95799999999997</v>
      </c>
      <c r="O3329" s="86">
        <v>4260.74</v>
      </c>
      <c r="Q3329" s="86">
        <v>7897.42</v>
      </c>
      <c r="S3329" s="86">
        <v>1390.39</v>
      </c>
      <c r="U3329" s="85">
        <v>3.7603</v>
      </c>
      <c r="W3329" s="81">
        <v>41.705599999999997</v>
      </c>
      <c r="Y3329" s="81">
        <v>7.3425399999999996</v>
      </c>
      <c r="AA3329" s="84">
        <v>513.76199999999994</v>
      </c>
      <c r="AC3329" s="81">
        <v>60.219900000000003</v>
      </c>
      <c r="AE3329" s="87">
        <v>1</v>
      </c>
      <c r="AG3329" s="85">
        <v>7.7258199999999997</v>
      </c>
      <c r="AI3329" s="86">
        <v>8.75</v>
      </c>
      <c r="AK3329" s="81">
        <v>24.959</v>
      </c>
      <c r="AM3329" s="81">
        <v>36.738399999999999</v>
      </c>
      <c r="AO3329" s="85">
        <v>6.7809600000000003</v>
      </c>
    </row>
    <row r="3330" spans="2:41" x14ac:dyDescent="0.25">
      <c r="B3330" s="21">
        <v>45587</v>
      </c>
      <c r="C3330" s="91">
        <v>20.0075</v>
      </c>
      <c r="E3330" s="83">
        <v>0.92479199999999995</v>
      </c>
      <c r="G3330" s="84">
        <v>983.447</v>
      </c>
      <c r="I3330" s="85">
        <v>6.9166600000000003</v>
      </c>
      <c r="K3330" s="85">
        <v>5.6928200000000002</v>
      </c>
      <c r="M3330" s="84">
        <v>950.77</v>
      </c>
      <c r="O3330" s="86">
        <v>4272.49</v>
      </c>
      <c r="Q3330" s="86">
        <v>7910.79</v>
      </c>
      <c r="S3330" s="86">
        <v>1389.62</v>
      </c>
      <c r="U3330" s="85">
        <v>3.7644799999999998</v>
      </c>
      <c r="W3330" s="81">
        <v>41.663400000000003</v>
      </c>
      <c r="Y3330" s="81">
        <v>7.3186200000000001</v>
      </c>
      <c r="AA3330" s="84">
        <v>514.59900000000005</v>
      </c>
      <c r="AC3330" s="81">
        <v>60.344700000000003</v>
      </c>
      <c r="AE3330" s="87">
        <v>1</v>
      </c>
      <c r="AG3330" s="85">
        <v>7.73454</v>
      </c>
      <c r="AI3330" s="86">
        <v>8.75</v>
      </c>
      <c r="AK3330" s="81">
        <v>24.994299999999999</v>
      </c>
      <c r="AM3330" s="81">
        <v>36.802999999999997</v>
      </c>
      <c r="AO3330" s="85">
        <v>6.7902500000000003</v>
      </c>
    </row>
    <row r="3331" spans="2:41" x14ac:dyDescent="0.25">
      <c r="B3331" s="21">
        <v>45588</v>
      </c>
      <c r="C3331" s="91">
        <v>19.898499999999999</v>
      </c>
      <c r="E3331" s="83">
        <v>0.92720000000000002</v>
      </c>
      <c r="G3331" s="84">
        <v>984.13099999999997</v>
      </c>
      <c r="I3331" s="85">
        <v>6.9137399999999998</v>
      </c>
      <c r="K3331" s="85">
        <v>5.6963999999999997</v>
      </c>
      <c r="M3331" s="84">
        <v>949.27499999999998</v>
      </c>
      <c r="O3331" s="86">
        <v>4283.46</v>
      </c>
      <c r="Q3331" s="86">
        <v>7922.86</v>
      </c>
      <c r="S3331" s="86">
        <v>1390.86</v>
      </c>
      <c r="U3331" s="85">
        <v>3.7658800000000001</v>
      </c>
      <c r="W3331" s="81">
        <v>41.598199999999999</v>
      </c>
      <c r="Y3331" s="81">
        <v>7.3025799999999998</v>
      </c>
      <c r="AA3331" s="84">
        <v>515.072</v>
      </c>
      <c r="AC3331" s="81">
        <v>60.384099999999997</v>
      </c>
      <c r="AE3331" s="87">
        <v>1</v>
      </c>
      <c r="AG3331" s="85">
        <v>7.7350500000000002</v>
      </c>
      <c r="AI3331" s="86">
        <v>8.75</v>
      </c>
      <c r="AK3331" s="81">
        <v>25.043500000000002</v>
      </c>
      <c r="AM3331" s="81">
        <v>36.817999999999998</v>
      </c>
      <c r="AO3331" s="85">
        <v>6.7930400000000004</v>
      </c>
    </row>
    <row r="3332" spans="2:41" x14ac:dyDescent="0.25">
      <c r="B3332" s="21">
        <v>45589</v>
      </c>
      <c r="C3332" s="91">
        <v>19.933800000000002</v>
      </c>
      <c r="E3332" s="83">
        <v>0.92564400000000002</v>
      </c>
      <c r="G3332" s="84">
        <v>984.56</v>
      </c>
      <c r="I3332" s="85">
        <v>6.91038</v>
      </c>
      <c r="K3332" s="85">
        <v>5.6887400000000001</v>
      </c>
      <c r="M3332" s="84">
        <v>945.73599999999999</v>
      </c>
      <c r="O3332" s="86">
        <v>4304.4399999999996</v>
      </c>
      <c r="Q3332" s="86">
        <v>7931.74</v>
      </c>
      <c r="S3332" s="86">
        <v>1394.29</v>
      </c>
      <c r="U3332" s="85">
        <v>3.7524600000000001</v>
      </c>
      <c r="W3332" s="81">
        <v>41.551900000000003</v>
      </c>
      <c r="Y3332" s="81">
        <v>7.3042600000000002</v>
      </c>
      <c r="AA3332" s="84">
        <v>515.03099999999995</v>
      </c>
      <c r="AC3332" s="81">
        <v>60.283200000000001</v>
      </c>
      <c r="AE3332" s="87">
        <v>1</v>
      </c>
      <c r="AG3332" s="85">
        <v>7.7321400000000002</v>
      </c>
      <c r="AI3332" s="86">
        <v>8.75</v>
      </c>
      <c r="AK3332" s="81">
        <v>25.159199999999998</v>
      </c>
      <c r="AM3332" s="81">
        <v>36.7864</v>
      </c>
      <c r="AO3332" s="85">
        <v>6.7911599999999996</v>
      </c>
    </row>
    <row r="3333" spans="2:41" x14ac:dyDescent="0.25">
      <c r="B3333" s="21">
        <v>45590</v>
      </c>
      <c r="C3333" s="91">
        <v>19.8385</v>
      </c>
      <c r="E3333" s="83">
        <v>0.92453600000000002</v>
      </c>
      <c r="G3333" s="84">
        <v>985.18700000000001</v>
      </c>
      <c r="I3333" s="85">
        <v>6.9114100000000001</v>
      </c>
      <c r="K3333" s="85">
        <v>5.6834800000000003</v>
      </c>
      <c r="M3333" s="84">
        <v>947.44399999999996</v>
      </c>
      <c r="O3333" s="86">
        <v>4309.28</v>
      </c>
      <c r="Q3333" s="86">
        <v>7954.58</v>
      </c>
      <c r="S3333" s="86">
        <v>1399.6</v>
      </c>
      <c r="U3333" s="85">
        <v>3.7528199999999998</v>
      </c>
      <c r="W3333" s="81">
        <v>41.5794</v>
      </c>
      <c r="Y3333" s="81">
        <v>7.3158599999999998</v>
      </c>
      <c r="AA3333" s="84">
        <v>515.11199999999997</v>
      </c>
      <c r="AC3333" s="81">
        <v>60.200499999999998</v>
      </c>
      <c r="AE3333" s="87">
        <v>1</v>
      </c>
      <c r="AG3333" s="85">
        <v>7.7343799999999998</v>
      </c>
      <c r="AI3333" s="86">
        <v>8.75</v>
      </c>
      <c r="AK3333" s="81">
        <v>25.187000000000001</v>
      </c>
      <c r="AM3333" s="81">
        <v>36.778700000000001</v>
      </c>
      <c r="AO3333" s="85">
        <v>6.7931400000000002</v>
      </c>
    </row>
    <row r="3334" spans="2:41" x14ac:dyDescent="0.25">
      <c r="B3334" s="21">
        <v>45591</v>
      </c>
      <c r="C3334" s="91">
        <v>19.8385</v>
      </c>
      <c r="E3334" s="83">
        <v>0.92625599999999997</v>
      </c>
      <c r="G3334" s="84">
        <v>985.00400000000002</v>
      </c>
      <c r="I3334" s="85">
        <v>6.92096</v>
      </c>
      <c r="K3334" s="85">
        <v>5.7076000000000002</v>
      </c>
      <c r="M3334" s="84">
        <v>947.9</v>
      </c>
      <c r="O3334" s="86">
        <v>4326.18</v>
      </c>
      <c r="Q3334" s="86">
        <v>7975.63</v>
      </c>
      <c r="S3334" s="86">
        <v>1397.38</v>
      </c>
      <c r="U3334" s="85">
        <v>3.7608600000000001</v>
      </c>
      <c r="W3334" s="81">
        <v>41.643799999999999</v>
      </c>
      <c r="Y3334" s="81">
        <v>7.2962199999999999</v>
      </c>
      <c r="AA3334" s="84">
        <v>515.85500000000002</v>
      </c>
      <c r="AC3334" s="81">
        <v>60.299399999999999</v>
      </c>
      <c r="AE3334" s="87">
        <v>1</v>
      </c>
      <c r="AG3334" s="85">
        <v>7.7457000000000003</v>
      </c>
      <c r="AI3334" s="86">
        <v>8.75</v>
      </c>
      <c r="AK3334" s="81">
        <v>25.25</v>
      </c>
      <c r="AM3334" s="81">
        <v>36.835999999999999</v>
      </c>
      <c r="AO3334" s="85">
        <v>6.80328</v>
      </c>
    </row>
    <row r="3335" spans="2:41" x14ac:dyDescent="0.25">
      <c r="B3335" s="21">
        <v>45592</v>
      </c>
      <c r="C3335" s="91">
        <v>19.8385</v>
      </c>
      <c r="E3335" s="83">
        <v>0.92626600000000003</v>
      </c>
      <c r="G3335" s="84">
        <v>985.36599999999999</v>
      </c>
      <c r="I3335" s="85">
        <v>6.92096</v>
      </c>
      <c r="K3335" s="85">
        <v>5.7076099999999999</v>
      </c>
      <c r="M3335" s="84">
        <v>947.9</v>
      </c>
      <c r="O3335" s="86">
        <v>4326.18</v>
      </c>
      <c r="Q3335" s="86">
        <v>7975.63</v>
      </c>
      <c r="S3335" s="86">
        <v>1397.38</v>
      </c>
      <c r="U3335" s="85">
        <v>3.7608600000000001</v>
      </c>
      <c r="W3335" s="81">
        <v>41.643799999999999</v>
      </c>
      <c r="Y3335" s="81">
        <v>7.2962199999999999</v>
      </c>
      <c r="AA3335" s="84">
        <v>515.85500000000002</v>
      </c>
      <c r="AC3335" s="81">
        <v>60.299399999999999</v>
      </c>
      <c r="AE3335" s="87">
        <v>1</v>
      </c>
      <c r="AG3335" s="85">
        <v>7.7457000000000003</v>
      </c>
      <c r="AI3335" s="86">
        <v>8.75</v>
      </c>
      <c r="AK3335" s="81">
        <v>25.25</v>
      </c>
      <c r="AM3335" s="81">
        <v>36.835999999999999</v>
      </c>
      <c r="AO3335" s="85">
        <v>6.80328</v>
      </c>
    </row>
    <row r="3336" spans="2:41" x14ac:dyDescent="0.25">
      <c r="B3336" s="21">
        <v>45593</v>
      </c>
      <c r="C3336" s="91">
        <v>19.930299999999999</v>
      </c>
      <c r="E3336" s="83">
        <v>0.92525900000000005</v>
      </c>
      <c r="G3336" s="84">
        <v>987.06200000000001</v>
      </c>
      <c r="I3336" s="85">
        <v>6.9133199999999997</v>
      </c>
      <c r="K3336" s="85">
        <v>5.7072200000000004</v>
      </c>
      <c r="M3336" s="84">
        <v>947.67100000000005</v>
      </c>
      <c r="O3336" s="86">
        <v>4337.4799999999996</v>
      </c>
      <c r="Q3336" s="86">
        <v>7998.08</v>
      </c>
      <c r="S3336" s="86">
        <v>1401.44</v>
      </c>
      <c r="U3336" s="85">
        <v>3.7617600000000002</v>
      </c>
      <c r="W3336" s="81">
        <v>41.617600000000003</v>
      </c>
      <c r="Y3336" s="81">
        <v>7.2922700000000003</v>
      </c>
      <c r="AA3336" s="84">
        <v>515.15200000000004</v>
      </c>
      <c r="AC3336" s="81">
        <v>60.346600000000002</v>
      </c>
      <c r="AE3336" s="87">
        <v>1</v>
      </c>
      <c r="AG3336" s="85">
        <v>7.7375499999999997</v>
      </c>
      <c r="AI3336" s="86">
        <v>8.75</v>
      </c>
      <c r="AK3336" s="81">
        <v>25.216999999999999</v>
      </c>
      <c r="AM3336" s="81">
        <v>36.838500000000003</v>
      </c>
      <c r="AO3336" s="85">
        <v>6.7903599999999997</v>
      </c>
    </row>
    <row r="3337" spans="2:41" x14ac:dyDescent="0.25">
      <c r="B3337" s="21">
        <v>45594</v>
      </c>
      <c r="C3337" s="91">
        <v>20.000699999999998</v>
      </c>
      <c r="E3337" s="83">
        <v>0.92518699999999998</v>
      </c>
      <c r="G3337" s="84">
        <v>987.63</v>
      </c>
      <c r="I3337" s="85">
        <v>6.9099300000000001</v>
      </c>
      <c r="K3337" s="85">
        <v>5.7274799999999999</v>
      </c>
      <c r="M3337" s="84">
        <v>950.17899999999997</v>
      </c>
      <c r="O3337" s="86">
        <v>4365.3599999999997</v>
      </c>
      <c r="Q3337" s="86">
        <v>7995.97</v>
      </c>
      <c r="S3337" s="86">
        <v>1396.08</v>
      </c>
      <c r="U3337" s="85">
        <v>3.7674500000000002</v>
      </c>
      <c r="W3337" s="81">
        <v>41.526000000000003</v>
      </c>
      <c r="Y3337" s="81">
        <v>7.2503399999999996</v>
      </c>
      <c r="AA3337" s="84">
        <v>514.04600000000005</v>
      </c>
      <c r="AC3337" s="81">
        <v>60.335799999999999</v>
      </c>
      <c r="AE3337" s="87">
        <v>1</v>
      </c>
      <c r="AG3337" s="85">
        <v>7.7331300000000001</v>
      </c>
      <c r="AI3337" s="86">
        <v>8.75</v>
      </c>
      <c r="AK3337" s="81">
        <v>25.177800000000001</v>
      </c>
      <c r="AM3337" s="81">
        <v>36.808199999999999</v>
      </c>
      <c r="AO3337" s="85">
        <v>6.78024</v>
      </c>
    </row>
    <row r="3338" spans="2:41" x14ac:dyDescent="0.25">
      <c r="B3338" s="21">
        <v>45595</v>
      </c>
      <c r="C3338" s="91">
        <v>20.020800000000001</v>
      </c>
      <c r="E3338" s="83">
        <v>0.92260799999999998</v>
      </c>
      <c r="G3338" s="84">
        <v>988.21699999999998</v>
      </c>
      <c r="I3338" s="85">
        <v>6.9057199999999996</v>
      </c>
      <c r="K3338" s="85">
        <v>5.7661100000000003</v>
      </c>
      <c r="M3338" s="84">
        <v>953.30399999999997</v>
      </c>
      <c r="O3338" s="86">
        <v>4385.5</v>
      </c>
      <c r="Q3338" s="86">
        <v>7970.32</v>
      </c>
      <c r="S3338" s="86">
        <v>1382.28</v>
      </c>
      <c r="U3338" s="85">
        <v>3.7667600000000001</v>
      </c>
      <c r="W3338" s="81">
        <v>41.360799999999998</v>
      </c>
      <c r="Y3338" s="81">
        <v>7.1731100000000003</v>
      </c>
      <c r="AA3338" s="84">
        <v>512.78</v>
      </c>
      <c r="AC3338" s="81">
        <v>60.275300000000001</v>
      </c>
      <c r="AE3338" s="87">
        <v>1</v>
      </c>
      <c r="AG3338" s="85">
        <v>7.7259599999999997</v>
      </c>
      <c r="AI3338" s="86">
        <v>8.75</v>
      </c>
      <c r="AK3338" s="81">
        <v>25.125299999999999</v>
      </c>
      <c r="AM3338" s="81">
        <v>36.771500000000003</v>
      </c>
      <c r="AO3338" s="85">
        <v>6.7762799999999999</v>
      </c>
    </row>
    <row r="3339" spans="2:41" x14ac:dyDescent="0.25">
      <c r="B3339" s="21">
        <v>45596</v>
      </c>
      <c r="C3339" s="82">
        <v>20.1617</v>
      </c>
      <c r="D3339" s="92"/>
      <c r="E3339" s="93">
        <v>0.92049400000000003</v>
      </c>
      <c r="F3339" s="92"/>
      <c r="G3339" s="94">
        <v>989.34</v>
      </c>
      <c r="H3339" s="92"/>
      <c r="I3339" s="95">
        <v>6.9039799999999998</v>
      </c>
      <c r="J3339" s="92"/>
      <c r="K3339" s="95">
        <v>5.7732400000000004</v>
      </c>
      <c r="L3339" s="92"/>
      <c r="M3339" s="94">
        <v>961.7</v>
      </c>
      <c r="N3339" s="92"/>
      <c r="O3339" s="96">
        <v>4415.5200000000004</v>
      </c>
      <c r="P3339" s="92"/>
      <c r="Q3339" s="96">
        <v>7954.78</v>
      </c>
      <c r="R3339" s="92"/>
      <c r="S3339" s="96">
        <v>1377.88</v>
      </c>
      <c r="T3339" s="92"/>
      <c r="U3339" s="95">
        <v>3.7675800000000002</v>
      </c>
      <c r="V3339" s="92"/>
      <c r="W3339" s="91">
        <v>41.134399999999999</v>
      </c>
      <c r="X3339" s="92"/>
      <c r="Y3339" s="91">
        <v>7.1250400000000003</v>
      </c>
      <c r="Z3339" s="92"/>
      <c r="AA3339" s="94">
        <v>512.43799999999999</v>
      </c>
      <c r="AB3339" s="92"/>
      <c r="AC3339" s="91">
        <v>60.241</v>
      </c>
      <c r="AD3339" s="92"/>
      <c r="AE3339" s="97">
        <v>1</v>
      </c>
      <c r="AF3339" s="92"/>
      <c r="AG3339" s="95">
        <v>7.7223300000000004</v>
      </c>
      <c r="AH3339" s="92"/>
      <c r="AI3339" s="96">
        <v>8.75</v>
      </c>
      <c r="AJ3339" s="92"/>
      <c r="AK3339" s="91">
        <v>25.141200000000001</v>
      </c>
      <c r="AL3339" s="92"/>
      <c r="AM3339" s="91">
        <v>36.767899999999997</v>
      </c>
      <c r="AN3339" s="92"/>
      <c r="AO3339" s="95">
        <v>6.7774099999999997</v>
      </c>
    </row>
    <row r="3340" spans="2:41" ht="13" x14ac:dyDescent="0.3">
      <c r="B3340" s="25" t="s">
        <v>448</v>
      </c>
      <c r="C3340" s="19">
        <v>19.687409677419357</v>
      </c>
      <c r="E3340" s="24">
        <v>0.91752232258064514</v>
      </c>
      <c r="G3340" s="42">
        <v>978.98661290322627</v>
      </c>
      <c r="I3340" s="23">
        <v>6.9187341935483877</v>
      </c>
      <c r="K3340" s="23">
        <v>5.6166712903225795</v>
      </c>
      <c r="M3340" s="42">
        <v>936.94254838709685</v>
      </c>
      <c r="O3340" s="80">
        <v>4255.6554838709681</v>
      </c>
      <c r="Q3340" s="80">
        <v>7864.6751612903236</v>
      </c>
      <c r="S3340" s="80">
        <v>1400.5293548387094</v>
      </c>
      <c r="U3340" s="23">
        <v>3.7497129032258063</v>
      </c>
      <c r="W3340" s="19">
        <v>41.682219354838708</v>
      </c>
      <c r="Y3340" s="19">
        <v>7.4239506451612902</v>
      </c>
      <c r="AA3340" s="42">
        <v>516.51283870967734</v>
      </c>
      <c r="AC3340" s="19">
        <v>60.343554838709686</v>
      </c>
      <c r="AE3340" s="88">
        <v>1</v>
      </c>
      <c r="AG3340" s="23">
        <v>7.7374864516129014</v>
      </c>
      <c r="AI3340" s="80">
        <v>8.75</v>
      </c>
      <c r="AK3340" s="19">
        <v>25.017583870967744</v>
      </c>
      <c r="AM3340" s="19">
        <v>36.806461290322581</v>
      </c>
      <c r="AO3340" s="23">
        <v>6.7897916129032234</v>
      </c>
    </row>
    <row r="3341" spans="2:41" x14ac:dyDescent="0.25">
      <c r="B3341" s="21">
        <v>45597</v>
      </c>
      <c r="C3341" s="91">
        <v>20.037800000000001</v>
      </c>
      <c r="E3341" s="83">
        <v>0.92081000000000002</v>
      </c>
      <c r="G3341" s="84">
        <v>990.18200000000002</v>
      </c>
      <c r="I3341" s="85">
        <v>6.91188</v>
      </c>
      <c r="K3341" s="85">
        <v>5.81562</v>
      </c>
      <c r="M3341" s="84">
        <v>961.32600000000002</v>
      </c>
      <c r="O3341" s="86">
        <v>4420.9799999999996</v>
      </c>
      <c r="Q3341" s="86">
        <v>7953.94</v>
      </c>
      <c r="S3341" s="86">
        <v>1367.7</v>
      </c>
      <c r="U3341" s="85">
        <v>3.7695400000000001</v>
      </c>
      <c r="W3341" s="81">
        <v>41.3797</v>
      </c>
      <c r="Y3341" s="81">
        <v>7.1153000000000004</v>
      </c>
      <c r="AA3341" s="84">
        <v>512.63499999999999</v>
      </c>
      <c r="AC3341" s="81">
        <v>60.276400000000002</v>
      </c>
      <c r="AE3341" s="87">
        <v>1</v>
      </c>
      <c r="AG3341" s="85">
        <v>7.7235199999999997</v>
      </c>
      <c r="AI3341" s="86">
        <v>8.75</v>
      </c>
      <c r="AK3341" s="81">
        <v>25.145</v>
      </c>
      <c r="AM3341" s="81">
        <v>36.773600000000002</v>
      </c>
      <c r="AO3341" s="85">
        <v>6.7780800000000001</v>
      </c>
    </row>
    <row r="3342" spans="2:41" x14ac:dyDescent="0.25">
      <c r="B3342" s="21">
        <v>45598</v>
      </c>
      <c r="C3342" s="91">
        <v>20.037800000000001</v>
      </c>
      <c r="E3342" s="83">
        <v>0.92305400000000004</v>
      </c>
      <c r="G3342" s="84">
        <v>990.20600000000002</v>
      </c>
      <c r="I3342" s="85">
        <v>6.9203799999999998</v>
      </c>
      <c r="K3342" s="85">
        <v>5.8685</v>
      </c>
      <c r="M3342" s="84">
        <v>961.1</v>
      </c>
      <c r="O3342" s="86">
        <v>4426.58</v>
      </c>
      <c r="Q3342" s="86">
        <v>7954.7</v>
      </c>
      <c r="S3342" s="86">
        <v>1355.5</v>
      </c>
      <c r="U3342" s="85">
        <v>3.7742499999999999</v>
      </c>
      <c r="W3342" s="81">
        <v>41.543199999999999</v>
      </c>
      <c r="Y3342" s="81">
        <v>7.07904</v>
      </c>
      <c r="AA3342" s="84">
        <v>512.83000000000004</v>
      </c>
      <c r="AC3342" s="81">
        <v>60.397500000000001</v>
      </c>
      <c r="AE3342" s="87">
        <v>1</v>
      </c>
      <c r="AG3342" s="85">
        <v>7.7258899999999997</v>
      </c>
      <c r="AI3342" s="86">
        <v>8.75</v>
      </c>
      <c r="AK3342" s="81">
        <v>25.1052</v>
      </c>
      <c r="AM3342" s="81">
        <v>36.774799999999999</v>
      </c>
      <c r="AO3342" s="85">
        <v>6.7783699999999998</v>
      </c>
    </row>
    <row r="3343" spans="2:41" x14ac:dyDescent="0.25">
      <c r="B3343" s="21">
        <v>45599</v>
      </c>
      <c r="C3343" s="91">
        <v>20.037800000000001</v>
      </c>
      <c r="E3343" s="83">
        <v>0.92275799999999997</v>
      </c>
      <c r="G3343" s="84">
        <v>990.13800000000003</v>
      </c>
      <c r="I3343" s="85">
        <v>6.9203799999999998</v>
      </c>
      <c r="K3343" s="85">
        <v>5.8684900000000004</v>
      </c>
      <c r="M3343" s="84">
        <v>961.101</v>
      </c>
      <c r="O3343" s="86">
        <v>4426.58</v>
      </c>
      <c r="Q3343" s="86">
        <v>7954.7</v>
      </c>
      <c r="S3343" s="86">
        <v>1355.5</v>
      </c>
      <c r="U3343" s="85">
        <v>3.7742499999999999</v>
      </c>
      <c r="W3343" s="81">
        <v>41.543199999999999</v>
      </c>
      <c r="Y3343" s="81">
        <v>7.07904</v>
      </c>
      <c r="AA3343" s="84">
        <v>512.83000000000004</v>
      </c>
      <c r="AC3343" s="81">
        <v>60.397500000000001</v>
      </c>
      <c r="AE3343" s="87">
        <v>1</v>
      </c>
      <c r="AG3343" s="85">
        <v>7.7258899999999997</v>
      </c>
      <c r="AI3343" s="86">
        <v>8.75</v>
      </c>
      <c r="AK3343" s="81">
        <v>25.1052</v>
      </c>
      <c r="AM3343" s="81">
        <v>36.774799999999999</v>
      </c>
      <c r="AO3343" s="85">
        <v>6.7783699999999998</v>
      </c>
    </row>
    <row r="3344" spans="2:41" x14ac:dyDescent="0.25">
      <c r="B3344" s="21">
        <v>45600</v>
      </c>
      <c r="C3344" s="91">
        <v>20.090800000000002</v>
      </c>
      <c r="E3344" s="83">
        <v>0.91817000000000004</v>
      </c>
      <c r="G3344" s="84">
        <v>990.75599999999997</v>
      </c>
      <c r="I3344" s="85">
        <v>6.9238</v>
      </c>
      <c r="K3344" s="85">
        <v>5.7445199999999996</v>
      </c>
      <c r="M3344" s="84">
        <v>957.63</v>
      </c>
      <c r="O3344" s="86">
        <v>4415.28</v>
      </c>
      <c r="Q3344" s="86">
        <v>7897.11</v>
      </c>
      <c r="S3344" s="86">
        <v>1374.76</v>
      </c>
      <c r="U3344" s="85">
        <v>3.7694800000000002</v>
      </c>
      <c r="W3344" s="81">
        <v>41.445799999999998</v>
      </c>
      <c r="Y3344" s="81">
        <v>7.2149900000000002</v>
      </c>
      <c r="AA3344" s="84">
        <v>512.39400000000001</v>
      </c>
      <c r="AC3344" s="81">
        <v>60.2072</v>
      </c>
      <c r="AE3344" s="87">
        <v>1</v>
      </c>
      <c r="AG3344" s="85">
        <v>7.7195200000000002</v>
      </c>
      <c r="AI3344" s="86">
        <v>8.75</v>
      </c>
      <c r="AK3344" s="81">
        <v>25.140899999999998</v>
      </c>
      <c r="AM3344" s="81">
        <v>36.746499999999997</v>
      </c>
      <c r="AO3344" s="85">
        <v>6.7734399999999999</v>
      </c>
    </row>
    <row r="3345" spans="2:41" x14ac:dyDescent="0.25">
      <c r="B3345" s="21">
        <v>45601</v>
      </c>
      <c r="C3345" s="91">
        <v>20.0367</v>
      </c>
      <c r="E3345" s="83">
        <v>0.91740699999999997</v>
      </c>
      <c r="G3345" s="84">
        <v>992.74800000000005</v>
      </c>
      <c r="I3345" s="85">
        <v>6.9223600000000003</v>
      </c>
      <c r="K3345" s="85">
        <v>5.77902</v>
      </c>
      <c r="M3345" s="84">
        <v>954.89700000000005</v>
      </c>
      <c r="O3345" s="86">
        <v>4417.4399999999996</v>
      </c>
      <c r="Q3345" s="86">
        <v>7870.36</v>
      </c>
      <c r="S3345" s="86">
        <v>1361.9</v>
      </c>
      <c r="U3345" s="85">
        <v>3.7702399999999998</v>
      </c>
      <c r="W3345" s="81">
        <v>41.526899999999998</v>
      </c>
      <c r="Y3345" s="81">
        <v>7.1858199999999997</v>
      </c>
      <c r="AA3345" s="84">
        <v>512.274</v>
      </c>
      <c r="AC3345" s="81">
        <v>60.3675</v>
      </c>
      <c r="AE3345" s="87">
        <v>1</v>
      </c>
      <c r="AG3345" s="85">
        <v>7.72112</v>
      </c>
      <c r="AI3345" s="86">
        <v>8.75</v>
      </c>
      <c r="AK3345" s="81">
        <v>25.121700000000001</v>
      </c>
      <c r="AM3345" s="81">
        <v>36.775199999999998</v>
      </c>
      <c r="AO3345" s="85">
        <v>6.7774999999999999</v>
      </c>
    </row>
    <row r="3346" spans="2:41" x14ac:dyDescent="0.25">
      <c r="B3346" s="21">
        <v>45602</v>
      </c>
      <c r="C3346" s="91">
        <v>20.269500000000001</v>
      </c>
      <c r="E3346" s="83">
        <v>0.93029399999999995</v>
      </c>
      <c r="G3346" s="84">
        <v>992.745</v>
      </c>
      <c r="I3346" s="85">
        <v>6.9169600000000004</v>
      </c>
      <c r="K3346" s="85">
        <v>6.0262000000000002</v>
      </c>
      <c r="M3346" s="84">
        <v>960.28899999999999</v>
      </c>
      <c r="O3346" s="86">
        <v>4417.4799999999996</v>
      </c>
      <c r="Q3346" s="86">
        <v>7844.3</v>
      </c>
      <c r="S3346" s="86">
        <v>1301.7</v>
      </c>
      <c r="U3346" s="85">
        <v>3.77752</v>
      </c>
      <c r="W3346" s="81">
        <v>41.493600000000001</v>
      </c>
      <c r="Y3346" s="81">
        <v>6.8855599999999999</v>
      </c>
      <c r="AA3346" s="84">
        <v>512.05399999999997</v>
      </c>
      <c r="AC3346" s="81">
        <v>60.3782</v>
      </c>
      <c r="AE3346" s="87">
        <v>1</v>
      </c>
      <c r="AG3346" s="85">
        <v>7.7174899999999997</v>
      </c>
      <c r="AI3346" s="86">
        <v>8.75</v>
      </c>
      <c r="AK3346" s="81">
        <v>25.106000000000002</v>
      </c>
      <c r="AM3346" s="81">
        <v>36.782400000000003</v>
      </c>
      <c r="AO3346" s="85">
        <v>6.7770000000000001</v>
      </c>
    </row>
    <row r="3347" spans="2:41" x14ac:dyDescent="0.25">
      <c r="B3347" s="21">
        <v>45603</v>
      </c>
      <c r="C3347" s="91">
        <v>20.3093</v>
      </c>
      <c r="E3347" s="83">
        <v>0.92849800000000005</v>
      </c>
      <c r="G3347" s="84">
        <v>993.29899999999998</v>
      </c>
      <c r="I3347" s="85">
        <v>6.92204</v>
      </c>
      <c r="K3347" s="85">
        <v>5.9993800000000004</v>
      </c>
      <c r="M3347" s="84">
        <v>960.66700000000003</v>
      </c>
      <c r="O3347" s="86">
        <v>4380.55</v>
      </c>
      <c r="Q3347" s="86">
        <v>7826.45</v>
      </c>
      <c r="S3347" s="86">
        <v>1304.55</v>
      </c>
      <c r="U3347" s="85">
        <v>3.76864</v>
      </c>
      <c r="W3347" s="81">
        <v>41.568399999999997</v>
      </c>
      <c r="Y3347" s="81">
        <v>6.92882</v>
      </c>
      <c r="AA3347" s="84">
        <v>511.49299999999999</v>
      </c>
      <c r="AC3347" s="81">
        <v>60.2804</v>
      </c>
      <c r="AE3347" s="87">
        <v>1</v>
      </c>
      <c r="AG3347" s="85">
        <v>7.7143899999999999</v>
      </c>
      <c r="AI3347" s="86">
        <v>8.75</v>
      </c>
      <c r="AK3347" s="81">
        <v>25.128299999999999</v>
      </c>
      <c r="AM3347" s="81">
        <v>36.778199999999998</v>
      </c>
      <c r="AO3347" s="85">
        <v>6.7774200000000002</v>
      </c>
    </row>
    <row r="3348" spans="2:41" x14ac:dyDescent="0.25">
      <c r="B3348" s="21">
        <v>45604</v>
      </c>
      <c r="C3348" s="91">
        <v>19.8277</v>
      </c>
      <c r="E3348" s="83">
        <v>0.92971199999999998</v>
      </c>
      <c r="G3348" s="84">
        <v>993.77300000000002</v>
      </c>
      <c r="I3348" s="85">
        <v>6.9256200000000003</v>
      </c>
      <c r="K3348" s="85">
        <v>5.7241400000000002</v>
      </c>
      <c r="M3348" s="84">
        <v>963.02099999999996</v>
      </c>
      <c r="O3348" s="86">
        <v>4337.13</v>
      </c>
      <c r="Q3348" s="86">
        <v>7767.86</v>
      </c>
      <c r="S3348" s="86">
        <v>1357.04</v>
      </c>
      <c r="U3348" s="85">
        <v>3.7637999999999998</v>
      </c>
      <c r="W3348" s="81">
        <v>41.629800000000003</v>
      </c>
      <c r="Y3348" s="81">
        <v>7.2727000000000004</v>
      </c>
      <c r="AA3348" s="84">
        <v>510.88400000000001</v>
      </c>
      <c r="AC3348" s="81">
        <v>60.317399999999999</v>
      </c>
      <c r="AE3348" s="87">
        <v>1</v>
      </c>
      <c r="AG3348" s="85">
        <v>7.7186599999999999</v>
      </c>
      <c r="AI3348" s="86">
        <v>8.75</v>
      </c>
      <c r="AK3348" s="81">
        <v>25.1279</v>
      </c>
      <c r="AM3348" s="81">
        <v>36.750799999999998</v>
      </c>
      <c r="AO3348" s="85">
        <v>6.7847999999999997</v>
      </c>
    </row>
    <row r="3349" spans="2:41" x14ac:dyDescent="0.25">
      <c r="B3349" s="21">
        <v>45605</v>
      </c>
      <c r="C3349" s="91">
        <v>19.8277</v>
      </c>
      <c r="E3349" s="83">
        <v>0.93293599999999999</v>
      </c>
      <c r="G3349" s="84">
        <v>993.64200000000005</v>
      </c>
      <c r="I3349" s="85">
        <v>6.9288600000000002</v>
      </c>
      <c r="K3349" s="85">
        <v>5.7378</v>
      </c>
      <c r="M3349" s="84">
        <v>970.36</v>
      </c>
      <c r="O3349" s="86">
        <v>4359.76</v>
      </c>
      <c r="Q3349" s="86">
        <v>7788.94</v>
      </c>
      <c r="S3349" s="86">
        <v>1357.48</v>
      </c>
      <c r="U3349" s="85">
        <v>3.7688999999999999</v>
      </c>
      <c r="W3349" s="81">
        <v>41.7712</v>
      </c>
      <c r="Y3349" s="81">
        <v>7.2800200000000004</v>
      </c>
      <c r="AA3349" s="84">
        <v>511.78399999999999</v>
      </c>
      <c r="AC3349" s="81">
        <v>60.475000000000001</v>
      </c>
      <c r="AE3349" s="87">
        <v>1</v>
      </c>
      <c r="AG3349" s="85">
        <v>7.73428</v>
      </c>
      <c r="AI3349" s="86">
        <v>8.75</v>
      </c>
      <c r="AK3349" s="81">
        <v>25.06</v>
      </c>
      <c r="AM3349" s="81">
        <v>36.777200000000001</v>
      </c>
      <c r="AO3349" s="85">
        <v>6.7990399999999998</v>
      </c>
    </row>
    <row r="3350" spans="2:41" x14ac:dyDescent="0.25">
      <c r="B3350" s="21">
        <v>45606</v>
      </c>
      <c r="C3350" s="91">
        <v>19.8277</v>
      </c>
      <c r="E3350" s="83">
        <v>0.93298099999999995</v>
      </c>
      <c r="G3350" s="84">
        <v>994.18899999999996</v>
      </c>
      <c r="I3350" s="85">
        <v>6.9288600000000002</v>
      </c>
      <c r="K3350" s="85">
        <v>5.7378</v>
      </c>
      <c r="M3350" s="84">
        <v>970.36</v>
      </c>
      <c r="O3350" s="86">
        <v>4359.76</v>
      </c>
      <c r="Q3350" s="86">
        <v>7788.34</v>
      </c>
      <c r="S3350" s="86">
        <v>1357.38</v>
      </c>
      <c r="U3350" s="85">
        <v>3.7689900000000001</v>
      </c>
      <c r="W3350" s="81">
        <v>41.7712</v>
      </c>
      <c r="Y3350" s="81">
        <v>7.2800200000000004</v>
      </c>
      <c r="AA3350" s="84">
        <v>511.78399999999999</v>
      </c>
      <c r="AC3350" s="81">
        <v>60.475000000000001</v>
      </c>
      <c r="AE3350" s="87">
        <v>1</v>
      </c>
      <c r="AG3350" s="85">
        <v>7.73428</v>
      </c>
      <c r="AI3350" s="86">
        <v>8.75</v>
      </c>
      <c r="AK3350" s="81">
        <v>25.06</v>
      </c>
      <c r="AM3350" s="81">
        <v>36.777200000000001</v>
      </c>
      <c r="AO3350" s="85">
        <v>6.7990399999999998</v>
      </c>
    </row>
    <row r="3351" spans="2:41" x14ac:dyDescent="0.25">
      <c r="B3351" s="21">
        <v>45607</v>
      </c>
      <c r="C3351" s="91">
        <v>20.133199999999999</v>
      </c>
      <c r="E3351" s="83">
        <v>0.93652800000000003</v>
      </c>
      <c r="G3351" s="84">
        <v>997.3</v>
      </c>
      <c r="I3351" s="85">
        <v>6.9520799999999996</v>
      </c>
      <c r="K3351" s="85">
        <v>5.7637400000000003</v>
      </c>
      <c r="M3351" s="84">
        <v>969.26800000000003</v>
      </c>
      <c r="O3351" s="86">
        <v>4360.83</v>
      </c>
      <c r="Q3351" s="86">
        <v>7814.96</v>
      </c>
      <c r="S3351" s="86">
        <v>1355.89</v>
      </c>
      <c r="U3351" s="85">
        <v>3.7704</v>
      </c>
      <c r="W3351" s="81">
        <v>41.889099999999999</v>
      </c>
      <c r="Y3351" s="81">
        <v>7.2677199999999997</v>
      </c>
      <c r="AA3351" s="84">
        <v>513.47799999999995</v>
      </c>
      <c r="AC3351" s="81">
        <v>60.518999999999998</v>
      </c>
      <c r="AE3351" s="87">
        <v>1</v>
      </c>
      <c r="AG3351" s="85">
        <v>7.7492200000000002</v>
      </c>
      <c r="AI3351" s="86">
        <v>8.75</v>
      </c>
      <c r="AK3351" s="81">
        <v>25.245000000000001</v>
      </c>
      <c r="AM3351" s="81">
        <v>36.951500000000003</v>
      </c>
      <c r="AO3351" s="85">
        <v>6.8204200000000004</v>
      </c>
    </row>
    <row r="3352" spans="2:41" x14ac:dyDescent="0.25">
      <c r="B3352" s="21">
        <v>45608</v>
      </c>
      <c r="C3352" s="91">
        <v>20.450199999999999</v>
      </c>
      <c r="E3352" s="83">
        <v>0.94108800000000004</v>
      </c>
      <c r="G3352" s="84">
        <v>998.19</v>
      </c>
      <c r="I3352" s="85">
        <v>6.9465500000000002</v>
      </c>
      <c r="K3352" s="85">
        <v>5.7623699999999998</v>
      </c>
      <c r="M3352" s="84">
        <v>981.60799999999995</v>
      </c>
      <c r="O3352" s="86">
        <v>4387.76</v>
      </c>
      <c r="Q3352" s="86">
        <v>7833.57</v>
      </c>
      <c r="S3352" s="86">
        <v>1359.44</v>
      </c>
      <c r="U3352" s="85">
        <v>3.7752699999999999</v>
      </c>
      <c r="W3352" s="81">
        <v>41.9542</v>
      </c>
      <c r="Y3352" s="81">
        <v>7.2807399999999998</v>
      </c>
      <c r="AA3352" s="84">
        <v>512.92200000000003</v>
      </c>
      <c r="AC3352" s="81">
        <v>60.434800000000003</v>
      </c>
      <c r="AE3352" s="87">
        <v>1</v>
      </c>
      <c r="AG3352" s="85">
        <v>7.7446400000000004</v>
      </c>
      <c r="AI3352" s="86">
        <v>8.75</v>
      </c>
      <c r="AK3352" s="81">
        <v>25.2744</v>
      </c>
      <c r="AM3352" s="81">
        <v>36.881500000000003</v>
      </c>
      <c r="AO3352" s="85">
        <v>6.8103199999999999</v>
      </c>
    </row>
    <row r="3353" spans="2:41" x14ac:dyDescent="0.25">
      <c r="B3353" s="21">
        <v>45609</v>
      </c>
      <c r="C3353" s="91">
        <v>20.569299999999998</v>
      </c>
      <c r="E3353" s="83">
        <v>0.94347099999999995</v>
      </c>
      <c r="G3353" s="84">
        <v>997.96199999999999</v>
      </c>
      <c r="I3353" s="85">
        <v>6.9368600000000002</v>
      </c>
      <c r="K3353" s="85">
        <v>5.7703199999999999</v>
      </c>
      <c r="M3353" s="84">
        <v>983.77</v>
      </c>
      <c r="O3353" s="86">
        <v>4454.54</v>
      </c>
      <c r="Q3353" s="86">
        <v>7827.48</v>
      </c>
      <c r="S3353" s="86">
        <v>1356.51</v>
      </c>
      <c r="U3353" s="85">
        <v>3.7882099999999999</v>
      </c>
      <c r="W3353" s="81">
        <v>42.145600000000002</v>
      </c>
      <c r="Y3353" s="81">
        <v>7.30389</v>
      </c>
      <c r="AA3353" s="84">
        <v>512.274</v>
      </c>
      <c r="AC3353" s="81">
        <v>60.299799999999998</v>
      </c>
      <c r="AE3353" s="87">
        <v>1</v>
      </c>
      <c r="AG3353" s="85">
        <v>7.7376899999999997</v>
      </c>
      <c r="AI3353" s="86">
        <v>8.75</v>
      </c>
      <c r="AK3353" s="81">
        <v>25.203600000000002</v>
      </c>
      <c r="AM3353" s="81">
        <v>36.800600000000003</v>
      </c>
      <c r="AO3353" s="85">
        <v>6.8053499999999998</v>
      </c>
    </row>
    <row r="3354" spans="2:41" x14ac:dyDescent="0.25">
      <c r="B3354" s="21">
        <v>45610</v>
      </c>
      <c r="C3354" s="91">
        <v>20.602499999999999</v>
      </c>
      <c r="E3354" s="83">
        <v>0.94848200000000005</v>
      </c>
      <c r="G3354" s="84">
        <v>999.51</v>
      </c>
      <c r="I3354" s="85">
        <v>6.94238</v>
      </c>
      <c r="K3354" s="85">
        <v>5.8018400000000003</v>
      </c>
      <c r="M3354" s="84">
        <v>979.71</v>
      </c>
      <c r="O3354" s="86">
        <v>4481.43</v>
      </c>
      <c r="Q3354" s="86">
        <v>7839.8</v>
      </c>
      <c r="S3354" s="86">
        <v>1351.27</v>
      </c>
      <c r="U3354" s="85">
        <v>3.8111299999999999</v>
      </c>
      <c r="W3354" s="81">
        <v>42.368400000000001</v>
      </c>
      <c r="Y3354" s="81">
        <v>7.3026200000000001</v>
      </c>
      <c r="AA3354" s="84">
        <v>512.9</v>
      </c>
      <c r="AC3354" s="81">
        <v>60.514800000000001</v>
      </c>
      <c r="AE3354" s="87">
        <v>1</v>
      </c>
      <c r="AG3354" s="85">
        <v>7.7480399999999996</v>
      </c>
      <c r="AI3354" s="86">
        <v>8.75</v>
      </c>
      <c r="AK3354" s="81">
        <v>25.292899999999999</v>
      </c>
      <c r="AM3354" s="81">
        <v>36.907800000000002</v>
      </c>
      <c r="AO3354" s="85">
        <v>6.8145100000000003</v>
      </c>
    </row>
    <row r="3355" spans="2:41" x14ac:dyDescent="0.25">
      <c r="B3355" s="21">
        <v>45611</v>
      </c>
      <c r="C3355" s="91">
        <v>20.494</v>
      </c>
      <c r="E3355" s="83">
        <v>0.94803999999999999</v>
      </c>
      <c r="G3355" s="84">
        <v>998.63400000000001</v>
      </c>
      <c r="I3355" s="85">
        <v>6.9261200000000001</v>
      </c>
      <c r="K3355" s="85">
        <v>5.7951300000000003</v>
      </c>
      <c r="M3355" s="84">
        <v>976.82100000000003</v>
      </c>
      <c r="O3355" s="86">
        <v>4469.08</v>
      </c>
      <c r="Q3355" s="86">
        <v>7811.63</v>
      </c>
      <c r="S3355" s="86">
        <v>1347.98</v>
      </c>
      <c r="U3355" s="85">
        <v>3.8043800000000001</v>
      </c>
      <c r="W3355" s="81">
        <v>42.650599999999997</v>
      </c>
      <c r="Y3355" s="81">
        <v>7.3597599999999996</v>
      </c>
      <c r="AA3355" s="84">
        <v>510.87799999999999</v>
      </c>
      <c r="AC3355" s="81">
        <v>60.419499999999999</v>
      </c>
      <c r="AE3355" s="87">
        <v>1</v>
      </c>
      <c r="AG3355" s="85">
        <v>7.7327399999999997</v>
      </c>
      <c r="AI3355" s="86">
        <v>8.75</v>
      </c>
      <c r="AK3355" s="81">
        <v>25.2029</v>
      </c>
      <c r="AM3355" s="81">
        <v>36.789400000000001</v>
      </c>
      <c r="AO3355" s="85">
        <v>6.7983200000000004</v>
      </c>
    </row>
    <row r="3356" spans="2:41" x14ac:dyDescent="0.25">
      <c r="B3356" s="21">
        <v>45612</v>
      </c>
      <c r="C3356" s="91">
        <v>20.494</v>
      </c>
      <c r="E3356" s="83">
        <v>0.94877599999999995</v>
      </c>
      <c r="G3356" s="84">
        <v>998.19799999999998</v>
      </c>
      <c r="I3356" s="85">
        <v>6.9225599999999998</v>
      </c>
      <c r="K3356" s="85">
        <v>5.7963199999999997</v>
      </c>
      <c r="M3356" s="84">
        <v>980.33</v>
      </c>
      <c r="O3356" s="86">
        <v>4439.74</v>
      </c>
      <c r="Q3356" s="86">
        <v>7809.76</v>
      </c>
      <c r="S3356" s="86">
        <v>1347.38</v>
      </c>
      <c r="U3356" s="85">
        <v>3.8025000000000002</v>
      </c>
      <c r="W3356" s="81">
        <v>42.913200000000003</v>
      </c>
      <c r="Y3356" s="81">
        <v>7.4035599999999997</v>
      </c>
      <c r="AA3356" s="84">
        <v>510.44799999999998</v>
      </c>
      <c r="AC3356" s="81">
        <v>60.397500000000001</v>
      </c>
      <c r="AE3356" s="87">
        <v>1</v>
      </c>
      <c r="AG3356" s="85">
        <v>7.7344200000000001</v>
      </c>
      <c r="AI3356" s="86">
        <v>8.75</v>
      </c>
      <c r="AK3356" s="81">
        <v>25.147500000000001</v>
      </c>
      <c r="AM3356" s="81">
        <v>36.757199999999997</v>
      </c>
      <c r="AO3356" s="85">
        <v>6.7989499999999996</v>
      </c>
    </row>
    <row r="3357" spans="2:41" x14ac:dyDescent="0.25">
      <c r="B3357" s="21">
        <v>45613</v>
      </c>
      <c r="C3357" s="91">
        <v>20.494</v>
      </c>
      <c r="E3357" s="83">
        <v>0.94881800000000005</v>
      </c>
      <c r="G3357" s="84">
        <v>998.20699999999999</v>
      </c>
      <c r="I3357" s="85">
        <v>6.9225599999999998</v>
      </c>
      <c r="K3357" s="85">
        <v>5.7963199999999997</v>
      </c>
      <c r="M3357" s="84">
        <v>980.33</v>
      </c>
      <c r="O3357" s="86">
        <v>4439.74</v>
      </c>
      <c r="Q3357" s="86">
        <v>7809.76</v>
      </c>
      <c r="S3357" s="86">
        <v>1347.38</v>
      </c>
      <c r="U3357" s="85">
        <v>3.8025000000000002</v>
      </c>
      <c r="W3357" s="81">
        <v>42.913200000000003</v>
      </c>
      <c r="Y3357" s="81">
        <v>7.4035599999999997</v>
      </c>
      <c r="AA3357" s="84">
        <v>510.44799999999998</v>
      </c>
      <c r="AC3357" s="81">
        <v>60.397500000000001</v>
      </c>
      <c r="AE3357" s="87">
        <v>1</v>
      </c>
      <c r="AG3357" s="85">
        <v>7.7344200000000001</v>
      </c>
      <c r="AI3357" s="86">
        <v>8.75</v>
      </c>
      <c r="AK3357" s="81">
        <v>25.147500000000001</v>
      </c>
      <c r="AM3357" s="81">
        <v>36.757199999999997</v>
      </c>
      <c r="AO3357" s="85">
        <v>6.7989499999999996</v>
      </c>
    </row>
    <row r="3358" spans="2:41" x14ac:dyDescent="0.25">
      <c r="B3358" s="21">
        <v>45614</v>
      </c>
      <c r="C3358" s="91">
        <v>20.494</v>
      </c>
      <c r="E3358" s="83">
        <v>0.94678799999999996</v>
      </c>
      <c r="G3358" s="84">
        <v>999.14599999999996</v>
      </c>
      <c r="I3358" s="85">
        <v>6.9207799999999997</v>
      </c>
      <c r="K3358" s="85">
        <v>5.7792599999999998</v>
      </c>
      <c r="M3358" s="84">
        <v>977.23699999999997</v>
      </c>
      <c r="O3358" s="86">
        <v>4425.8</v>
      </c>
      <c r="Q3358" s="86">
        <v>7812.42</v>
      </c>
      <c r="S3358" s="86">
        <v>1351.81</v>
      </c>
      <c r="U3358" s="85">
        <v>3.8035700000000001</v>
      </c>
      <c r="W3358" s="81">
        <v>42.679000000000002</v>
      </c>
      <c r="Y3358" s="81">
        <v>7.3848900000000004</v>
      </c>
      <c r="AA3358" s="84">
        <v>510.20400000000001</v>
      </c>
      <c r="AC3358" s="81">
        <v>60.411200000000001</v>
      </c>
      <c r="AE3358" s="87">
        <v>1</v>
      </c>
      <c r="AG3358" s="85">
        <v>7.7358599999999997</v>
      </c>
      <c r="AI3358" s="86">
        <v>8.75</v>
      </c>
      <c r="AK3358" s="81">
        <v>25.252800000000001</v>
      </c>
      <c r="AM3358" s="81">
        <v>36.856900000000003</v>
      </c>
      <c r="AO3358" s="85">
        <v>6.79976</v>
      </c>
    </row>
    <row r="3359" spans="2:41" x14ac:dyDescent="0.25">
      <c r="B3359" s="21">
        <v>45615</v>
      </c>
      <c r="C3359" s="91">
        <v>20.3887</v>
      </c>
      <c r="E3359" s="83">
        <v>0.94487600000000005</v>
      </c>
      <c r="G3359" s="84">
        <v>1000.02</v>
      </c>
      <c r="I3359" s="85">
        <v>6.9164599999999998</v>
      </c>
      <c r="K3359" s="85">
        <v>5.76525</v>
      </c>
      <c r="M3359" s="84">
        <v>972.46100000000001</v>
      </c>
      <c r="O3359" s="86">
        <v>4397.3</v>
      </c>
      <c r="Q3359" s="86">
        <v>7791.68</v>
      </c>
      <c r="S3359" s="86">
        <v>1351.5</v>
      </c>
      <c r="U3359" s="85">
        <v>3.7917000000000001</v>
      </c>
      <c r="W3359" s="81">
        <v>42.747300000000003</v>
      </c>
      <c r="Y3359" s="81">
        <v>7.4146799999999997</v>
      </c>
      <c r="AA3359" s="84">
        <v>508.971</v>
      </c>
      <c r="AC3359" s="81">
        <v>60.254399999999997</v>
      </c>
      <c r="AE3359" s="87">
        <v>1</v>
      </c>
      <c r="AG3359" s="85">
        <v>7.7206000000000001</v>
      </c>
      <c r="AI3359" s="86">
        <v>8.75</v>
      </c>
      <c r="AK3359" s="81">
        <v>25.184000000000001</v>
      </c>
      <c r="AM3359" s="81">
        <v>36.734400000000001</v>
      </c>
      <c r="AO3359" s="85">
        <v>6.7876300000000001</v>
      </c>
    </row>
    <row r="3360" spans="2:41" x14ac:dyDescent="0.25">
      <c r="B3360" s="21">
        <v>45616</v>
      </c>
      <c r="C3360" s="91">
        <v>20.184799999999999</v>
      </c>
      <c r="E3360" s="83">
        <v>0.94691999999999998</v>
      </c>
      <c r="G3360" s="84">
        <v>1002.2</v>
      </c>
      <c r="I3360" s="85">
        <v>6.9165799999999997</v>
      </c>
      <c r="K3360" s="85">
        <v>5.7744999999999997</v>
      </c>
      <c r="M3360" s="84">
        <v>971.92600000000004</v>
      </c>
      <c r="O3360" s="86">
        <v>4396.22</v>
      </c>
      <c r="Q3360" s="86">
        <v>7797.98</v>
      </c>
      <c r="S3360" s="86">
        <v>1350.43</v>
      </c>
      <c r="U3360" s="85">
        <v>3.7914099999999999</v>
      </c>
      <c r="W3360" s="81">
        <v>42.731400000000001</v>
      </c>
      <c r="Y3360" s="81">
        <v>7.4000599999999999</v>
      </c>
      <c r="AA3360" s="84">
        <v>508.31299999999999</v>
      </c>
      <c r="AC3360" s="81">
        <v>60.244999999999997</v>
      </c>
      <c r="AE3360" s="87">
        <v>1</v>
      </c>
      <c r="AG3360" s="85">
        <v>7.7161799999999996</v>
      </c>
      <c r="AI3360" s="86">
        <v>8.75</v>
      </c>
      <c r="AK3360" s="81">
        <v>25.194400000000002</v>
      </c>
      <c r="AM3360" s="81">
        <v>36.749600000000001</v>
      </c>
      <c r="AO3360" s="85">
        <v>6.7807300000000001</v>
      </c>
    </row>
    <row r="3361" spans="2:41" x14ac:dyDescent="0.25">
      <c r="B3361" s="21">
        <v>45617</v>
      </c>
      <c r="C3361" s="91">
        <v>20.290299999999998</v>
      </c>
      <c r="E3361" s="83">
        <v>0.95077599999999995</v>
      </c>
      <c r="G3361" s="84">
        <v>1003.26</v>
      </c>
      <c r="I3361" s="85">
        <v>6.9171399999999998</v>
      </c>
      <c r="K3361" s="85">
        <v>5.7976200000000002</v>
      </c>
      <c r="M3361" s="84">
        <v>973.55200000000002</v>
      </c>
      <c r="O3361" s="86">
        <v>4394.5200000000004</v>
      </c>
      <c r="Q3361" s="86">
        <v>7820.57</v>
      </c>
      <c r="S3361" s="86">
        <v>1348.94</v>
      </c>
      <c r="U3361" s="85">
        <v>3.7956799999999999</v>
      </c>
      <c r="W3361" s="81">
        <v>42.6982</v>
      </c>
      <c r="Y3361" s="81">
        <v>7.3648199999999999</v>
      </c>
      <c r="AA3361" s="84">
        <v>508.28199999999998</v>
      </c>
      <c r="AC3361" s="81">
        <v>60.371499999999997</v>
      </c>
      <c r="AE3361" s="87">
        <v>1</v>
      </c>
      <c r="AG3361" s="85">
        <v>7.7203400000000002</v>
      </c>
      <c r="AI3361" s="86">
        <v>8.75</v>
      </c>
      <c r="AK3361" s="81">
        <v>25.230399999999999</v>
      </c>
      <c r="AM3361" s="81">
        <v>36.8232</v>
      </c>
      <c r="AO3361" s="85">
        <v>6.7809400000000002</v>
      </c>
    </row>
    <row r="3362" spans="2:41" x14ac:dyDescent="0.25">
      <c r="B3362" s="21">
        <v>45618</v>
      </c>
      <c r="C3362" s="91">
        <v>20.377500000000001</v>
      </c>
      <c r="E3362" s="83">
        <v>0.95823000000000003</v>
      </c>
      <c r="G3362" s="84">
        <v>1004</v>
      </c>
      <c r="I3362" s="85">
        <v>6.91988</v>
      </c>
      <c r="K3362" s="85">
        <v>5.8119199999999998</v>
      </c>
      <c r="M3362" s="84">
        <v>978.23400000000004</v>
      </c>
      <c r="O3362" s="86">
        <v>4401</v>
      </c>
      <c r="Q3362" s="86">
        <v>7825.2</v>
      </c>
      <c r="S3362" s="86">
        <v>1346.41</v>
      </c>
      <c r="U3362" s="85">
        <v>3.8011499999999998</v>
      </c>
      <c r="W3362" s="81">
        <v>42.693100000000001</v>
      </c>
      <c r="Y3362" s="81">
        <v>7.3457999999999997</v>
      </c>
      <c r="AA3362" s="84">
        <v>509.10300000000001</v>
      </c>
      <c r="AC3362" s="81">
        <v>60.453600000000002</v>
      </c>
      <c r="AE3362" s="87">
        <v>1</v>
      </c>
      <c r="AG3362" s="85">
        <v>7.7269800000000002</v>
      </c>
      <c r="AI3362" s="86">
        <v>8.75</v>
      </c>
      <c r="AK3362" s="81">
        <v>25.303999999999998</v>
      </c>
      <c r="AM3362" s="81">
        <v>36.790999999999997</v>
      </c>
      <c r="AO3362" s="85">
        <v>6.7925399999999998</v>
      </c>
    </row>
    <row r="3363" spans="2:41" x14ac:dyDescent="0.25">
      <c r="B3363" s="21">
        <v>45619</v>
      </c>
      <c r="C3363" s="91">
        <v>20.377500000000001</v>
      </c>
      <c r="E3363" s="83">
        <v>0.95982699999999999</v>
      </c>
      <c r="G3363" s="84">
        <v>1004.08</v>
      </c>
      <c r="I3363" s="85">
        <v>6.9143100000000004</v>
      </c>
      <c r="K3363" s="85">
        <v>5.8011999999999997</v>
      </c>
      <c r="M3363" s="84">
        <v>986.68</v>
      </c>
      <c r="O3363" s="86">
        <v>4419.82</v>
      </c>
      <c r="Q3363" s="86">
        <v>7811.34</v>
      </c>
      <c r="S3363" s="86">
        <v>1346.51</v>
      </c>
      <c r="U3363" s="85">
        <v>3.7924000000000002</v>
      </c>
      <c r="W3363" s="81">
        <v>42.591999999999999</v>
      </c>
      <c r="Y3363" s="81">
        <v>7.3419400000000001</v>
      </c>
      <c r="AA3363" s="84">
        <v>508.96100000000001</v>
      </c>
      <c r="AC3363" s="81">
        <v>60.422499999999999</v>
      </c>
      <c r="AE3363" s="87">
        <v>1</v>
      </c>
      <c r="AG3363" s="85">
        <v>7.7207999999999997</v>
      </c>
      <c r="AI3363" s="86">
        <v>8.75</v>
      </c>
      <c r="AK3363" s="81">
        <v>25.276399999999999</v>
      </c>
      <c r="AM3363" s="81">
        <v>36.7498</v>
      </c>
      <c r="AO3363" s="85">
        <v>6.7884399999999996</v>
      </c>
    </row>
    <row r="3364" spans="2:41" x14ac:dyDescent="0.25">
      <c r="B3364" s="21">
        <v>45620</v>
      </c>
      <c r="C3364" s="91">
        <v>20.377500000000001</v>
      </c>
      <c r="E3364" s="83">
        <v>0.95938000000000001</v>
      </c>
      <c r="G3364" s="84">
        <v>1003.58</v>
      </c>
      <c r="I3364" s="85">
        <v>6.9143100000000004</v>
      </c>
      <c r="K3364" s="85">
        <v>5.8011999999999997</v>
      </c>
      <c r="M3364" s="84">
        <v>986.68</v>
      </c>
      <c r="O3364" s="86">
        <v>4419.82</v>
      </c>
      <c r="Q3364" s="86">
        <v>7811.34</v>
      </c>
      <c r="S3364" s="86">
        <v>1346.51</v>
      </c>
      <c r="U3364" s="85">
        <v>3.7924000000000002</v>
      </c>
      <c r="W3364" s="81">
        <v>42.591999999999999</v>
      </c>
      <c r="Y3364" s="81">
        <v>7.3419400000000001</v>
      </c>
      <c r="AA3364" s="84">
        <v>508.96100000000001</v>
      </c>
      <c r="AC3364" s="81">
        <v>60.422499999999999</v>
      </c>
      <c r="AE3364" s="87">
        <v>1</v>
      </c>
      <c r="AG3364" s="85">
        <v>7.7207999999999997</v>
      </c>
      <c r="AI3364" s="86">
        <v>8.75</v>
      </c>
      <c r="AK3364" s="81">
        <v>25.276399999999999</v>
      </c>
      <c r="AM3364" s="81">
        <v>36.7498</v>
      </c>
      <c r="AO3364" s="85">
        <v>6.7884399999999996</v>
      </c>
    </row>
    <row r="3365" spans="2:41" x14ac:dyDescent="0.25">
      <c r="B3365" s="21">
        <v>45621</v>
      </c>
      <c r="C3365" s="91">
        <v>20.487200000000001</v>
      </c>
      <c r="E3365" s="83">
        <v>0.95348200000000005</v>
      </c>
      <c r="G3365" s="84">
        <v>1003.48</v>
      </c>
      <c r="I3365" s="85">
        <v>6.92258</v>
      </c>
      <c r="K3365" s="85">
        <v>5.8120399999999997</v>
      </c>
      <c r="M3365" s="84">
        <v>978.178</v>
      </c>
      <c r="O3365" s="86">
        <v>4391.17</v>
      </c>
      <c r="Q3365" s="86">
        <v>7802.3</v>
      </c>
      <c r="S3365" s="86">
        <v>1342.45</v>
      </c>
      <c r="U3365" s="85">
        <v>3.7820200000000002</v>
      </c>
      <c r="W3365" s="81">
        <v>42.656999999999996</v>
      </c>
      <c r="Y3365" s="81">
        <v>7.3394500000000003</v>
      </c>
      <c r="AA3365" s="84">
        <v>508.70400000000001</v>
      </c>
      <c r="AC3365" s="81">
        <v>60.227499999999999</v>
      </c>
      <c r="AE3365" s="87">
        <v>1</v>
      </c>
      <c r="AG3365" s="85">
        <v>7.7241400000000002</v>
      </c>
      <c r="AI3365" s="86">
        <v>8.75</v>
      </c>
      <c r="AK3365" s="81">
        <v>25.220400000000001</v>
      </c>
      <c r="AM3365" s="81">
        <v>36.7271</v>
      </c>
      <c r="AO3365" s="85">
        <v>6.7824200000000001</v>
      </c>
    </row>
    <row r="3366" spans="2:41" x14ac:dyDescent="0.25">
      <c r="B3366" s="21">
        <v>45622</v>
      </c>
      <c r="C3366" s="91">
        <v>20.299299999999999</v>
      </c>
      <c r="E3366" s="83">
        <v>0.95385399999999998</v>
      </c>
      <c r="G3366" s="84">
        <v>1006.79</v>
      </c>
      <c r="I3366" s="85">
        <v>6.9202199999999996</v>
      </c>
      <c r="K3366" s="85">
        <v>5.8056700000000001</v>
      </c>
      <c r="M3366" s="84">
        <v>976.48699999999997</v>
      </c>
      <c r="O3366" s="86">
        <v>4393.29</v>
      </c>
      <c r="Q3366" s="86">
        <v>7804.14</v>
      </c>
      <c r="S3366" s="86">
        <v>1344.24</v>
      </c>
      <c r="U3366" s="85">
        <v>3.7819799999999999</v>
      </c>
      <c r="W3366" s="81">
        <v>42.669400000000003</v>
      </c>
      <c r="Y3366" s="81">
        <v>7.3496199999999998</v>
      </c>
      <c r="AA3366" s="84">
        <v>509.72800000000001</v>
      </c>
      <c r="AC3366" s="81">
        <v>60.351799999999997</v>
      </c>
      <c r="AE3366" s="87">
        <v>1</v>
      </c>
      <c r="AG3366" s="85">
        <v>7.72126</v>
      </c>
      <c r="AI3366" s="86">
        <v>8.75</v>
      </c>
      <c r="AK3366" s="81">
        <v>25.269400000000001</v>
      </c>
      <c r="AM3366" s="81">
        <v>36.792200000000001</v>
      </c>
      <c r="AO3366" s="85">
        <v>6.7921800000000001</v>
      </c>
    </row>
    <row r="3367" spans="2:41" x14ac:dyDescent="0.25">
      <c r="B3367" s="21">
        <v>45623</v>
      </c>
      <c r="C3367" s="91">
        <v>20.718499999999999</v>
      </c>
      <c r="E3367" s="83">
        <v>0.94980799999999999</v>
      </c>
      <c r="G3367" s="84">
        <v>1007.58</v>
      </c>
      <c r="I3367" s="85">
        <v>6.9198000000000004</v>
      </c>
      <c r="K3367" s="85">
        <v>5.84762</v>
      </c>
      <c r="M3367" s="84">
        <v>977.26400000000001</v>
      </c>
      <c r="O3367" s="86">
        <v>4399.62</v>
      </c>
      <c r="Q3367" s="86">
        <v>7810.61</v>
      </c>
      <c r="S3367" s="86">
        <v>1335.7</v>
      </c>
      <c r="U3367" s="85">
        <v>3.7721399999999998</v>
      </c>
      <c r="W3367" s="81">
        <v>42.769399999999997</v>
      </c>
      <c r="Y3367" s="81">
        <v>7.3140099999999997</v>
      </c>
      <c r="AA3367" s="84">
        <v>510.60599999999999</v>
      </c>
      <c r="AC3367" s="81">
        <v>60.408299999999997</v>
      </c>
      <c r="AE3367" s="87">
        <v>1</v>
      </c>
      <c r="AG3367" s="85">
        <v>7.7239100000000001</v>
      </c>
      <c r="AI3367" s="86">
        <v>8.75</v>
      </c>
      <c r="AK3367" s="81">
        <v>25.3062</v>
      </c>
      <c r="AM3367" s="81">
        <v>36.830399999999997</v>
      </c>
      <c r="AO3367" s="85">
        <v>6.7958800000000004</v>
      </c>
    </row>
    <row r="3368" spans="2:41" x14ac:dyDescent="0.25">
      <c r="B3368" s="21">
        <v>45624</v>
      </c>
      <c r="C3368" s="91">
        <v>20.6418</v>
      </c>
      <c r="E3368" s="83">
        <v>0.947824</v>
      </c>
      <c r="G3368" s="84">
        <v>1008.62</v>
      </c>
      <c r="I3368" s="85">
        <v>6.9103399999999997</v>
      </c>
      <c r="K3368" s="85">
        <v>5.9725099999999998</v>
      </c>
      <c r="M3368" s="84">
        <v>977.43200000000002</v>
      </c>
      <c r="O3368" s="86">
        <v>4394.26</v>
      </c>
      <c r="Q3368" s="86">
        <v>7798.71</v>
      </c>
      <c r="S3368" s="86">
        <v>1305.78</v>
      </c>
      <c r="U3368" s="85">
        <v>3.7560600000000002</v>
      </c>
      <c r="W3368" s="81">
        <v>42.733800000000002</v>
      </c>
      <c r="Y3368" s="81">
        <v>7.1551200000000001</v>
      </c>
      <c r="AA3368" s="84">
        <v>510.05399999999997</v>
      </c>
      <c r="AC3368" s="81">
        <v>60.272599999999997</v>
      </c>
      <c r="AE3368" s="87">
        <v>1</v>
      </c>
      <c r="AG3368" s="85">
        <v>7.7123999999999997</v>
      </c>
      <c r="AI3368" s="86">
        <v>8.75</v>
      </c>
      <c r="AK3368" s="81">
        <v>25.271000000000001</v>
      </c>
      <c r="AM3368" s="81">
        <v>36.7714</v>
      </c>
      <c r="AO3368" s="85">
        <v>6.7860899999999997</v>
      </c>
    </row>
    <row r="3369" spans="2:41" x14ac:dyDescent="0.25">
      <c r="B3369" s="21">
        <v>45625</v>
      </c>
      <c r="C3369" s="91">
        <v>20.417300000000001</v>
      </c>
      <c r="E3369" s="83">
        <v>0.94628900000000005</v>
      </c>
      <c r="G3369" s="84">
        <v>1009.72</v>
      </c>
      <c r="I3369" s="85">
        <v>6.91275</v>
      </c>
      <c r="K3369" s="85">
        <v>6.0162800000000001</v>
      </c>
      <c r="M3369" s="84">
        <v>976.48699999999997</v>
      </c>
      <c r="O3369" s="86">
        <v>4420.38</v>
      </c>
      <c r="Q3369" s="86">
        <v>7801</v>
      </c>
      <c r="S3369" s="86">
        <v>1296.6600000000001</v>
      </c>
      <c r="U3369" s="85">
        <v>3.74891</v>
      </c>
      <c r="W3369" s="81">
        <v>42.878700000000002</v>
      </c>
      <c r="Y3369" s="81">
        <v>7.1271399999999998</v>
      </c>
      <c r="AA3369" s="84">
        <v>509.80900000000003</v>
      </c>
      <c r="AC3369" s="81">
        <v>60.361400000000003</v>
      </c>
      <c r="AE3369" s="87">
        <v>1</v>
      </c>
      <c r="AG3369" s="85">
        <v>7.7159399999999998</v>
      </c>
      <c r="AI3369" s="86">
        <v>8.75</v>
      </c>
      <c r="AK3369" s="81">
        <v>25.276299999999999</v>
      </c>
      <c r="AM3369" s="81">
        <v>36.790399999999998</v>
      </c>
      <c r="AO3369" s="85">
        <v>6.7864199999999997</v>
      </c>
    </row>
    <row r="3370" spans="2:41" x14ac:dyDescent="0.25">
      <c r="B3370" s="21">
        <v>45626</v>
      </c>
      <c r="C3370" s="82">
        <v>20.417300000000001</v>
      </c>
      <c r="D3370" s="92"/>
      <c r="E3370" s="93">
        <v>0.94537599999999999</v>
      </c>
      <c r="F3370" s="92"/>
      <c r="G3370" s="94">
        <v>1010.53</v>
      </c>
      <c r="H3370" s="92"/>
      <c r="I3370" s="95">
        <v>6.9154999999999998</v>
      </c>
      <c r="J3370" s="92"/>
      <c r="K3370" s="95">
        <v>5.9730999999999996</v>
      </c>
      <c r="L3370" s="92"/>
      <c r="M3370" s="94">
        <v>973.85</v>
      </c>
      <c r="N3370" s="92"/>
      <c r="O3370" s="96">
        <v>4426.3</v>
      </c>
      <c r="P3370" s="92"/>
      <c r="Q3370" s="96">
        <v>7807.02</v>
      </c>
      <c r="R3370" s="92"/>
      <c r="S3370" s="96">
        <v>1307.04</v>
      </c>
      <c r="T3370" s="92"/>
      <c r="U3370" s="95">
        <v>3.7498999999999998</v>
      </c>
      <c r="V3370" s="92"/>
      <c r="W3370" s="91">
        <v>43.022599999999997</v>
      </c>
      <c r="X3370" s="92"/>
      <c r="Y3370" s="91">
        <v>7.2027599999999996</v>
      </c>
      <c r="Z3370" s="92"/>
      <c r="AA3370" s="94">
        <v>509.358</v>
      </c>
      <c r="AB3370" s="92"/>
      <c r="AC3370" s="91">
        <v>60.397500000000001</v>
      </c>
      <c r="AD3370" s="92"/>
      <c r="AE3370" s="97">
        <v>1</v>
      </c>
      <c r="AF3370" s="92"/>
      <c r="AG3370" s="95">
        <v>7.7189899999999998</v>
      </c>
      <c r="AH3370" s="92"/>
      <c r="AI3370" s="96">
        <v>8.75</v>
      </c>
      <c r="AJ3370" s="92"/>
      <c r="AK3370" s="91">
        <v>25.242999999999999</v>
      </c>
      <c r="AL3370" s="92"/>
      <c r="AM3370" s="91">
        <v>36.799799999999998</v>
      </c>
      <c r="AN3370" s="92"/>
      <c r="AO3370" s="95">
        <v>6.7836699999999999</v>
      </c>
    </row>
    <row r="3371" spans="2:41" ht="13" x14ac:dyDescent="0.3">
      <c r="B3371" s="25" t="s">
        <v>449</v>
      </c>
      <c r="C3371" s="19">
        <v>20.300389999999997</v>
      </c>
      <c r="E3371" s="24">
        <v>0.94117510000000026</v>
      </c>
      <c r="G3371" s="42">
        <v>999.08950000000016</v>
      </c>
      <c r="I3371" s="23">
        <v>6.9230299999999998</v>
      </c>
      <c r="K3371" s="23">
        <v>5.8248559999999987</v>
      </c>
      <c r="M3371" s="42">
        <v>972.63520000000005</v>
      </c>
      <c r="O3371" s="80">
        <v>4409.1386666666676</v>
      </c>
      <c r="Q3371" s="80">
        <v>7829.5990000000002</v>
      </c>
      <c r="S3371" s="80">
        <v>1344.4446666666665</v>
      </c>
      <c r="U3371" s="23">
        <v>3.7806440000000006</v>
      </c>
      <c r="W3371" s="19">
        <v>42.265706666666659</v>
      </c>
      <c r="Y3371" s="19">
        <v>7.2575130000000003</v>
      </c>
      <c r="AA3371" s="42">
        <v>510.84546666666648</v>
      </c>
      <c r="AC3371" s="19">
        <v>60.371826666666657</v>
      </c>
      <c r="AE3371" s="88">
        <v>1</v>
      </c>
      <c r="AG3371" s="23">
        <v>7.7264803333333321</v>
      </c>
      <c r="AI3371" s="80">
        <v>8.75</v>
      </c>
      <c r="AK3371" s="19">
        <v>25.197289999999999</v>
      </c>
      <c r="AM3371" s="19">
        <v>36.790730000000011</v>
      </c>
      <c r="AO3371" s="23">
        <v>6.7905006666666683</v>
      </c>
    </row>
    <row r="3372" spans="2:41" x14ac:dyDescent="0.25">
      <c r="B3372" s="21">
        <v>45627</v>
      </c>
      <c r="C3372" s="91">
        <v>20.417300000000001</v>
      </c>
      <c r="E3372" s="83">
        <v>0.94552700000000001</v>
      </c>
      <c r="G3372" s="84">
        <v>1010.48</v>
      </c>
      <c r="I3372" s="85">
        <v>6.9154999999999998</v>
      </c>
      <c r="K3372" s="85">
        <v>5.9730999999999996</v>
      </c>
      <c r="M3372" s="84">
        <v>973.85</v>
      </c>
      <c r="O3372" s="86">
        <v>4426.3</v>
      </c>
      <c r="Q3372" s="86">
        <v>7807.02</v>
      </c>
      <c r="S3372" s="86">
        <v>1307.04</v>
      </c>
      <c r="U3372" s="85">
        <v>3.7498999999999998</v>
      </c>
      <c r="W3372" s="81">
        <v>43.022599999999997</v>
      </c>
      <c r="Y3372" s="81">
        <v>7.2027599999999996</v>
      </c>
      <c r="AA3372" s="84">
        <v>509.358</v>
      </c>
      <c r="AC3372" s="81">
        <v>60.397500000000001</v>
      </c>
      <c r="AE3372" s="87">
        <v>1</v>
      </c>
      <c r="AG3372" s="85">
        <v>7.7189899999999998</v>
      </c>
      <c r="AI3372" s="86">
        <v>8.75</v>
      </c>
      <c r="AK3372" s="81">
        <v>25.242999999999999</v>
      </c>
      <c r="AM3372" s="81">
        <v>36.799799999999998</v>
      </c>
      <c r="AO3372" s="85">
        <v>6.7836699999999999</v>
      </c>
    </row>
    <row r="3373" spans="2:41" x14ac:dyDescent="0.25">
      <c r="B3373" s="21">
        <v>45628</v>
      </c>
      <c r="C3373" s="91">
        <v>20.321200000000001</v>
      </c>
      <c r="E3373" s="83">
        <v>0.95160199999999995</v>
      </c>
      <c r="G3373" s="84">
        <v>1011.56</v>
      </c>
      <c r="I3373" s="85">
        <v>6.9112999999999998</v>
      </c>
      <c r="K3373" s="85">
        <v>6.0338399999999996</v>
      </c>
      <c r="M3373" s="84">
        <v>976.50400000000002</v>
      </c>
      <c r="O3373" s="86">
        <v>4439.8</v>
      </c>
      <c r="Q3373" s="86">
        <v>7809.22</v>
      </c>
      <c r="S3373" s="86">
        <v>1294.24</v>
      </c>
      <c r="U3373" s="85">
        <v>3.7513000000000001</v>
      </c>
      <c r="W3373" s="81">
        <v>42.966999999999999</v>
      </c>
      <c r="Y3373" s="81">
        <v>7.1210399999999998</v>
      </c>
      <c r="AA3373" s="84">
        <v>508.767</v>
      </c>
      <c r="AC3373" s="81">
        <v>60.415599999999998</v>
      </c>
      <c r="AE3373" s="87">
        <v>1</v>
      </c>
      <c r="AG3373" s="85">
        <v>7.7193800000000001</v>
      </c>
      <c r="AI3373" s="86">
        <v>8.75</v>
      </c>
      <c r="AK3373" s="81">
        <v>25.2852</v>
      </c>
      <c r="AM3373" s="81">
        <v>36.799999999999997</v>
      </c>
      <c r="AO3373" s="85">
        <v>6.7781000000000002</v>
      </c>
    </row>
    <row r="3374" spans="2:41" x14ac:dyDescent="0.25">
      <c r="B3374" s="21">
        <v>45629</v>
      </c>
      <c r="C3374" s="91">
        <v>20.435700000000001</v>
      </c>
      <c r="E3374" s="83">
        <v>0.95169199999999998</v>
      </c>
      <c r="G3374" s="84">
        <v>1011.7</v>
      </c>
      <c r="I3374" s="85">
        <v>6.9141199999999996</v>
      </c>
      <c r="K3374" s="85">
        <v>6.0592199999999998</v>
      </c>
      <c r="M3374" s="84">
        <v>976.62199999999996</v>
      </c>
      <c r="O3374" s="86">
        <v>4451.68</v>
      </c>
      <c r="Q3374" s="86">
        <v>7807.66</v>
      </c>
      <c r="S3374" s="86">
        <v>1288.56</v>
      </c>
      <c r="U3374" s="85">
        <v>3.7496</v>
      </c>
      <c r="W3374" s="81">
        <v>43.094299999999997</v>
      </c>
      <c r="Y3374" s="81">
        <v>7.1122199999999998</v>
      </c>
      <c r="AA3374" s="84">
        <v>508.49799999999999</v>
      </c>
      <c r="AC3374" s="81">
        <v>60.525300000000001</v>
      </c>
      <c r="AE3374" s="87">
        <v>1</v>
      </c>
      <c r="AG3374" s="85">
        <v>7.7247899999999996</v>
      </c>
      <c r="AI3374" s="86">
        <v>8.75</v>
      </c>
      <c r="AK3374" s="81">
        <v>25.321999999999999</v>
      </c>
      <c r="AM3374" s="81">
        <v>36.8324</v>
      </c>
      <c r="AO3374" s="85">
        <v>6.7769599999999999</v>
      </c>
    </row>
    <row r="3375" spans="2:41" x14ac:dyDescent="0.25">
      <c r="B3375" s="21">
        <v>45630</v>
      </c>
      <c r="C3375" s="91">
        <v>20.3233</v>
      </c>
      <c r="E3375" s="83">
        <v>0.95156399999999997</v>
      </c>
      <c r="G3375" s="84">
        <v>1012.04</v>
      </c>
      <c r="I3375" s="85">
        <v>6.9140300000000003</v>
      </c>
      <c r="K3375" s="85">
        <v>6.0443199999999999</v>
      </c>
      <c r="M3375" s="84">
        <v>973.82799999999997</v>
      </c>
      <c r="O3375" s="86">
        <v>4433.8</v>
      </c>
      <c r="Q3375" s="86">
        <v>7805.46</v>
      </c>
      <c r="S3375" s="86">
        <v>1291.3800000000001</v>
      </c>
      <c r="U3375" s="85">
        <v>3.7444799999999998</v>
      </c>
      <c r="W3375" s="81">
        <v>43.076599999999999</v>
      </c>
      <c r="Y3375" s="81">
        <v>7.1268200000000004</v>
      </c>
      <c r="AA3375" s="84">
        <v>508.05500000000001</v>
      </c>
      <c r="AC3375" s="81">
        <v>60.522799999999997</v>
      </c>
      <c r="AE3375" s="87">
        <v>1</v>
      </c>
      <c r="AG3375" s="85">
        <v>7.7240900000000003</v>
      </c>
      <c r="AI3375" s="86">
        <v>8.75</v>
      </c>
      <c r="AK3375" s="81">
        <v>25.302800000000001</v>
      </c>
      <c r="AM3375" s="81">
        <v>36.809800000000003</v>
      </c>
      <c r="AO3375" s="85">
        <v>6.7781200000000004</v>
      </c>
    </row>
    <row r="3376" spans="2:41" x14ac:dyDescent="0.25">
      <c r="B3376" s="21">
        <v>45631</v>
      </c>
      <c r="C3376" s="91">
        <v>20.283000000000001</v>
      </c>
      <c r="E3376" s="83">
        <v>0.94807799999999998</v>
      </c>
      <c r="G3376" s="84">
        <v>1012.46</v>
      </c>
      <c r="I3376" s="85">
        <v>6.9116799999999996</v>
      </c>
      <c r="K3376" s="85">
        <v>6.02088</v>
      </c>
      <c r="M3376" s="84">
        <v>973.62300000000005</v>
      </c>
      <c r="O3376" s="86">
        <v>4423.9799999999996</v>
      </c>
      <c r="Q3376" s="86">
        <v>7810.03</v>
      </c>
      <c r="S3376" s="86">
        <v>1297.1600000000001</v>
      </c>
      <c r="U3376" s="85">
        <v>3.7367599999999999</v>
      </c>
      <c r="W3376" s="81">
        <v>42.712000000000003</v>
      </c>
      <c r="Y3376" s="81">
        <v>7.0940000000000003</v>
      </c>
      <c r="AA3376" s="84">
        <v>509.976</v>
      </c>
      <c r="AC3376" s="81">
        <v>60.441400000000002</v>
      </c>
      <c r="AE3376" s="87">
        <v>1</v>
      </c>
      <c r="AG3376" s="85">
        <v>7.7195799999999997</v>
      </c>
      <c r="AI3376" s="86">
        <v>8.75</v>
      </c>
      <c r="AK3376" s="81">
        <v>25.2773</v>
      </c>
      <c r="AM3376" s="81">
        <v>36.7729</v>
      </c>
      <c r="AO3376" s="85">
        <v>6.7780199999999997</v>
      </c>
    </row>
    <row r="3377" spans="2:41" x14ac:dyDescent="0.25">
      <c r="B3377" s="21">
        <v>45632</v>
      </c>
      <c r="C3377" s="91">
        <v>20.196300000000001</v>
      </c>
      <c r="E3377" s="83">
        <v>0.94589900000000005</v>
      </c>
      <c r="G3377" s="84">
        <v>1012.56</v>
      </c>
      <c r="I3377" s="85">
        <v>6.90822</v>
      </c>
      <c r="K3377" s="85">
        <v>6.0414899999999996</v>
      </c>
      <c r="M3377" s="84">
        <v>971.79700000000003</v>
      </c>
      <c r="O3377" s="86">
        <v>4411.42</v>
      </c>
      <c r="Q3377" s="86">
        <v>7812.46</v>
      </c>
      <c r="S3377" s="86">
        <v>1293.1400000000001</v>
      </c>
      <c r="U3377" s="85">
        <v>3.7265799999999998</v>
      </c>
      <c r="W3377" s="81">
        <v>42.002400000000002</v>
      </c>
      <c r="Y3377" s="81">
        <v>6.9523400000000004</v>
      </c>
      <c r="AA3377" s="84">
        <v>509.65</v>
      </c>
      <c r="AC3377" s="81">
        <v>60.3874</v>
      </c>
      <c r="AE3377" s="87">
        <v>1</v>
      </c>
      <c r="AG3377" s="85">
        <v>7.7140599999999999</v>
      </c>
      <c r="AI3377" s="86">
        <v>8.75</v>
      </c>
      <c r="AK3377" s="81">
        <v>25.2776</v>
      </c>
      <c r="AM3377" s="81">
        <v>36.767899999999997</v>
      </c>
      <c r="AO3377" s="85">
        <v>6.7746599999999999</v>
      </c>
    </row>
    <row r="3378" spans="2:41" x14ac:dyDescent="0.25">
      <c r="B3378" s="21">
        <v>45633</v>
      </c>
      <c r="C3378" s="91">
        <v>20.196300000000001</v>
      </c>
      <c r="E3378" s="83">
        <v>0.94630199999999998</v>
      </c>
      <c r="G3378" s="84">
        <v>1012.76</v>
      </c>
      <c r="I3378" s="85">
        <v>6.9132400000000001</v>
      </c>
      <c r="K3378" s="85">
        <v>6.08995</v>
      </c>
      <c r="M3378" s="84">
        <v>975.19</v>
      </c>
      <c r="O3378" s="86">
        <v>4408.32</v>
      </c>
      <c r="Q3378" s="86">
        <v>7818.96</v>
      </c>
      <c r="S3378" s="86">
        <v>1283.92</v>
      </c>
      <c r="U3378" s="85">
        <v>3.72553</v>
      </c>
      <c r="W3378" s="81">
        <v>43.185099999999998</v>
      </c>
      <c r="Y3378" s="81">
        <v>7.09124</v>
      </c>
      <c r="AA3378" s="84">
        <v>507.69200000000001</v>
      </c>
      <c r="AC3378" s="81">
        <v>60.464700000000001</v>
      </c>
      <c r="AE3378" s="87">
        <v>1</v>
      </c>
      <c r="AG3378" s="85">
        <v>7.7197100000000001</v>
      </c>
      <c r="AI3378" s="86">
        <v>8.75</v>
      </c>
      <c r="AK3378" s="81">
        <v>25.304400000000001</v>
      </c>
      <c r="AM3378" s="81">
        <v>36.7958</v>
      </c>
      <c r="AO3378" s="85">
        <v>6.7820299999999998</v>
      </c>
    </row>
    <row r="3379" spans="2:41" x14ac:dyDescent="0.25">
      <c r="B3379" s="21">
        <v>45634</v>
      </c>
      <c r="C3379" s="91">
        <v>20.196300000000001</v>
      </c>
      <c r="E3379" s="83">
        <v>0.94633199999999995</v>
      </c>
      <c r="G3379" s="84">
        <v>1012.86</v>
      </c>
      <c r="I3379" s="85">
        <v>6.9133100000000001</v>
      </c>
      <c r="K3379" s="85">
        <v>6.0899400000000004</v>
      </c>
      <c r="M3379" s="84">
        <v>975.19</v>
      </c>
      <c r="O3379" s="86">
        <v>4408.32</v>
      </c>
      <c r="Q3379" s="86">
        <v>7819.26</v>
      </c>
      <c r="S3379" s="86">
        <v>1283.97</v>
      </c>
      <c r="U3379" s="85">
        <v>3.72553</v>
      </c>
      <c r="W3379" s="81">
        <v>43.189599999999999</v>
      </c>
      <c r="Y3379" s="81">
        <v>7.0919800000000004</v>
      </c>
      <c r="AA3379" s="84">
        <v>507.68799999999999</v>
      </c>
      <c r="AC3379" s="81">
        <v>60.464700000000001</v>
      </c>
      <c r="AE3379" s="87">
        <v>1</v>
      </c>
      <c r="AG3379" s="85">
        <v>7.7197100000000001</v>
      </c>
      <c r="AI3379" s="86">
        <v>8.75</v>
      </c>
      <c r="AK3379" s="81">
        <v>25.304400000000001</v>
      </c>
      <c r="AM3379" s="81">
        <v>36.796700000000001</v>
      </c>
      <c r="AO3379" s="85">
        <v>6.7822199999999997</v>
      </c>
    </row>
    <row r="3380" spans="2:41" x14ac:dyDescent="0.25">
      <c r="B3380" s="21">
        <v>45635</v>
      </c>
      <c r="C3380" s="91">
        <v>20.227499999999999</v>
      </c>
      <c r="E3380" s="83">
        <v>0.946936</v>
      </c>
      <c r="G3380" s="84">
        <v>1014.98</v>
      </c>
      <c r="I3380" s="85">
        <v>6.9227699999999999</v>
      </c>
      <c r="K3380" s="85">
        <v>6.0864599999999998</v>
      </c>
      <c r="M3380" s="84">
        <v>972.15200000000004</v>
      </c>
      <c r="O3380" s="86">
        <v>4405.57</v>
      </c>
      <c r="Q3380" s="86">
        <v>7835.84</v>
      </c>
      <c r="S3380" s="86">
        <v>1287.42</v>
      </c>
      <c r="U3380" s="85">
        <v>3.7256800000000001</v>
      </c>
      <c r="W3380" s="81">
        <v>43.474400000000003</v>
      </c>
      <c r="Y3380" s="81">
        <v>7.14283</v>
      </c>
      <c r="AA3380" s="84">
        <v>507.36</v>
      </c>
      <c r="AC3380" s="81">
        <v>60.594799999999999</v>
      </c>
      <c r="AE3380" s="87">
        <v>1</v>
      </c>
      <c r="AG3380" s="85">
        <v>7.7272499999999997</v>
      </c>
      <c r="AI3380" s="86">
        <v>8.75</v>
      </c>
      <c r="AK3380" s="81">
        <v>25.345600000000001</v>
      </c>
      <c r="AM3380" s="81">
        <v>36.865299999999998</v>
      </c>
      <c r="AO3380" s="85">
        <v>6.7961999999999998</v>
      </c>
    </row>
    <row r="3381" spans="2:41" x14ac:dyDescent="0.25">
      <c r="B3381" s="21">
        <v>45636</v>
      </c>
      <c r="C3381" s="91">
        <v>20.154699999999998</v>
      </c>
      <c r="E3381" s="83">
        <v>0.94917899999999999</v>
      </c>
      <c r="G3381" s="84">
        <v>1015.98</v>
      </c>
      <c r="I3381" s="85">
        <v>6.9188999999999998</v>
      </c>
      <c r="K3381" s="85">
        <v>6.0668199999999999</v>
      </c>
      <c r="M3381" s="84">
        <v>971.721</v>
      </c>
      <c r="O3381" s="86">
        <v>4388.74</v>
      </c>
      <c r="Q3381" s="86">
        <v>7825.04</v>
      </c>
      <c r="S3381" s="86">
        <v>1289.82</v>
      </c>
      <c r="U3381" s="85">
        <v>3.72126</v>
      </c>
      <c r="W3381" s="81">
        <v>43.564599999999999</v>
      </c>
      <c r="Y3381" s="81">
        <v>7.1808199999999998</v>
      </c>
      <c r="AA3381" s="84">
        <v>505.16300000000001</v>
      </c>
      <c r="AC3381" s="81">
        <v>60.627600000000001</v>
      </c>
      <c r="AE3381" s="87">
        <v>1</v>
      </c>
      <c r="AG3381" s="85">
        <v>7.7176999999999998</v>
      </c>
      <c r="AI3381" s="86">
        <v>8.75</v>
      </c>
      <c r="AK3381" s="81">
        <v>25.363</v>
      </c>
      <c r="AM3381" s="81">
        <v>36.841799999999999</v>
      </c>
      <c r="AO3381" s="85">
        <v>6.7913399999999999</v>
      </c>
    </row>
    <row r="3382" spans="2:41" x14ac:dyDescent="0.25">
      <c r="B3382" s="21">
        <v>45637</v>
      </c>
      <c r="C3382" s="91">
        <v>20.2485</v>
      </c>
      <c r="E3382" s="83">
        <v>0.95160599999999995</v>
      </c>
      <c r="G3382" s="84">
        <v>1016.52</v>
      </c>
      <c r="I3382" s="85">
        <v>6.9117800000000003</v>
      </c>
      <c r="K3382" s="85">
        <v>6.0253399999999999</v>
      </c>
      <c r="M3382" s="84">
        <v>975.29700000000003</v>
      </c>
      <c r="O3382" s="86">
        <v>4361.54</v>
      </c>
      <c r="Q3382" s="86">
        <v>7817.55</v>
      </c>
      <c r="S3382" s="86">
        <v>1297.46</v>
      </c>
      <c r="U3382" s="85">
        <v>3.71604</v>
      </c>
      <c r="W3382" s="81">
        <v>43.680799999999998</v>
      </c>
      <c r="Y3382" s="81">
        <v>7.2495399999999997</v>
      </c>
      <c r="AA3382" s="84">
        <v>503.75200000000001</v>
      </c>
      <c r="AC3382" s="81">
        <v>60.544400000000003</v>
      </c>
      <c r="AE3382" s="87">
        <v>1</v>
      </c>
      <c r="AG3382" s="85">
        <v>7.7060199999999996</v>
      </c>
      <c r="AI3382" s="86">
        <v>8.75</v>
      </c>
      <c r="AK3382" s="81">
        <v>25.338200000000001</v>
      </c>
      <c r="AM3382" s="81">
        <v>36.802399999999999</v>
      </c>
      <c r="AO3382" s="85">
        <v>6.7844199999999999</v>
      </c>
    </row>
    <row r="3383" spans="2:41" x14ac:dyDescent="0.25">
      <c r="B3383" s="21">
        <v>45638</v>
      </c>
      <c r="C3383" s="91">
        <v>20.2485</v>
      </c>
      <c r="E3383" s="83">
        <v>0.95271399999999995</v>
      </c>
      <c r="G3383" s="84">
        <v>1017.46</v>
      </c>
      <c r="I3383" s="85">
        <v>6.9133599999999999</v>
      </c>
      <c r="K3383" s="85">
        <v>5.9719600000000002</v>
      </c>
      <c r="M3383" s="84">
        <v>975.654</v>
      </c>
      <c r="O3383" s="86">
        <v>4340.5600000000004</v>
      </c>
      <c r="Q3383" s="86">
        <v>7823.6</v>
      </c>
      <c r="S3383" s="86">
        <v>1310.06</v>
      </c>
      <c r="U3383" s="85">
        <v>3.7220800000000001</v>
      </c>
      <c r="W3383" s="81">
        <v>43.952199999999998</v>
      </c>
      <c r="Y3383" s="81">
        <v>7.3597999999999999</v>
      </c>
      <c r="AA3383" s="84">
        <v>503.87799999999999</v>
      </c>
      <c r="AC3383" s="81">
        <v>60.552999999999997</v>
      </c>
      <c r="AE3383" s="87">
        <v>1</v>
      </c>
      <c r="AG3383" s="85">
        <v>7.7110399999999997</v>
      </c>
      <c r="AI3383" s="86">
        <v>8.75</v>
      </c>
      <c r="AK3383" s="81">
        <v>25.362500000000001</v>
      </c>
      <c r="AM3383" s="81">
        <v>36.817</v>
      </c>
      <c r="AO3383" s="85">
        <v>6.7902300000000002</v>
      </c>
    </row>
    <row r="3384" spans="2:41" x14ac:dyDescent="0.25">
      <c r="B3384" s="21">
        <v>45639</v>
      </c>
      <c r="C3384" s="91">
        <v>20.1647</v>
      </c>
      <c r="E3384" s="83">
        <v>0.953816</v>
      </c>
      <c r="G3384" s="84">
        <v>1018.09</v>
      </c>
      <c r="I3384" s="85">
        <v>6.9181999999999997</v>
      </c>
      <c r="K3384" s="85">
        <v>6.0197399999999996</v>
      </c>
      <c r="M3384" s="84">
        <v>978.83399999999995</v>
      </c>
      <c r="O3384" s="86">
        <v>4346.8100000000004</v>
      </c>
      <c r="Q3384" s="86">
        <v>7830.39</v>
      </c>
      <c r="S3384" s="86">
        <v>1300.79</v>
      </c>
      <c r="U3384" s="85">
        <v>3.7365599999999999</v>
      </c>
      <c r="W3384" s="81">
        <v>44.191600000000001</v>
      </c>
      <c r="Y3384" s="81">
        <v>7.3411600000000004</v>
      </c>
      <c r="AA3384" s="84">
        <v>504.35599999999999</v>
      </c>
      <c r="AC3384" s="81">
        <v>60.712200000000003</v>
      </c>
      <c r="AE3384" s="87">
        <v>1</v>
      </c>
      <c r="AG3384" s="85">
        <v>7.7154400000000001</v>
      </c>
      <c r="AI3384" s="86">
        <v>8.75</v>
      </c>
      <c r="AK3384" s="81">
        <v>25.383099999999999</v>
      </c>
      <c r="AM3384" s="81">
        <v>36.843800000000002</v>
      </c>
      <c r="AO3384" s="85">
        <v>6.7954999999999997</v>
      </c>
    </row>
    <row r="3385" spans="2:41" x14ac:dyDescent="0.25">
      <c r="B3385" s="21">
        <v>45640</v>
      </c>
      <c r="C3385" s="91">
        <v>20.1647</v>
      </c>
      <c r="E3385" s="83">
        <v>0.95215399999999994</v>
      </c>
      <c r="G3385" s="84">
        <v>1017.95</v>
      </c>
      <c r="I3385" s="85">
        <v>6.9117800000000003</v>
      </c>
      <c r="K3385" s="85">
        <v>6.0418000000000003</v>
      </c>
      <c r="M3385" s="84">
        <v>981.29</v>
      </c>
      <c r="O3385" s="86">
        <v>4339.68</v>
      </c>
      <c r="Q3385" s="86">
        <v>7825.16</v>
      </c>
      <c r="S3385" s="86">
        <v>1295.18</v>
      </c>
      <c r="U3385" s="85">
        <v>3.7343000000000002</v>
      </c>
      <c r="W3385" s="81">
        <v>44.360999999999997</v>
      </c>
      <c r="Y3385" s="81">
        <v>7.3423699999999998</v>
      </c>
      <c r="AA3385" s="84">
        <v>503.95299999999997</v>
      </c>
      <c r="AC3385" s="81">
        <v>60.705599999999997</v>
      </c>
      <c r="AE3385" s="87">
        <v>1</v>
      </c>
      <c r="AG3385" s="85">
        <v>7.7081</v>
      </c>
      <c r="AI3385" s="86">
        <v>8.75</v>
      </c>
      <c r="AK3385" s="81">
        <v>25.3626</v>
      </c>
      <c r="AM3385" s="81">
        <v>36.809199999999997</v>
      </c>
      <c r="AO3385" s="85">
        <v>6.7894199999999998</v>
      </c>
    </row>
    <row r="3386" spans="2:41" x14ac:dyDescent="0.25">
      <c r="B3386" s="21">
        <v>45641</v>
      </c>
      <c r="C3386" s="91">
        <v>20.1647</v>
      </c>
      <c r="E3386" s="83">
        <v>0.95216999999999996</v>
      </c>
      <c r="G3386" s="84">
        <v>1017.9</v>
      </c>
      <c r="I3386" s="85">
        <v>6.9117800000000003</v>
      </c>
      <c r="K3386" s="85">
        <v>6.0418000000000003</v>
      </c>
      <c r="M3386" s="84">
        <v>981.29</v>
      </c>
      <c r="O3386" s="86">
        <v>4339.68</v>
      </c>
      <c r="Q3386" s="86">
        <v>7825.16</v>
      </c>
      <c r="S3386" s="86">
        <v>1295.18</v>
      </c>
      <c r="U3386" s="85">
        <v>3.7343000000000002</v>
      </c>
      <c r="W3386" s="81">
        <v>44.360999999999997</v>
      </c>
      <c r="Y3386" s="81">
        <v>7.3423699999999998</v>
      </c>
      <c r="AA3386" s="84">
        <v>503.95299999999997</v>
      </c>
      <c r="AC3386" s="81">
        <v>60.705599999999997</v>
      </c>
      <c r="AE3386" s="87">
        <v>1</v>
      </c>
      <c r="AG3386" s="85">
        <v>7.7081</v>
      </c>
      <c r="AI3386" s="86">
        <v>8.75</v>
      </c>
      <c r="AK3386" s="81">
        <v>25.3626</v>
      </c>
      <c r="AM3386" s="81">
        <v>36.809199999999997</v>
      </c>
      <c r="AO3386" s="85">
        <v>6.7894199999999998</v>
      </c>
    </row>
    <row r="3387" spans="2:41" x14ac:dyDescent="0.25">
      <c r="B3387" s="21">
        <v>45642</v>
      </c>
      <c r="C3387" s="91">
        <v>20.141999999999999</v>
      </c>
      <c r="E3387" s="83">
        <v>0.95162500000000005</v>
      </c>
      <c r="G3387" s="84">
        <v>1018.69</v>
      </c>
      <c r="I3387" s="85">
        <v>6.9042300000000001</v>
      </c>
      <c r="K3387" s="85">
        <v>6.0731599999999997</v>
      </c>
      <c r="M3387" s="84">
        <v>981.92</v>
      </c>
      <c r="O3387" s="86">
        <v>4329.6899999999996</v>
      </c>
      <c r="Q3387" s="86">
        <v>7813.3</v>
      </c>
      <c r="S3387" s="86">
        <v>1286.54</v>
      </c>
      <c r="U3387" s="85">
        <v>3.7282999999999999</v>
      </c>
      <c r="W3387" s="81">
        <v>44.364100000000001</v>
      </c>
      <c r="Y3387" s="81">
        <v>7.30497</v>
      </c>
      <c r="AA3387" s="84">
        <v>503.39800000000002</v>
      </c>
      <c r="AC3387" s="81">
        <v>60.653199999999998</v>
      </c>
      <c r="AE3387" s="87">
        <v>1</v>
      </c>
      <c r="AG3387" s="85">
        <v>7.6905599999999996</v>
      </c>
      <c r="AI3387" s="86">
        <v>8.75</v>
      </c>
      <c r="AK3387" s="81">
        <v>25.320499999999999</v>
      </c>
      <c r="AM3387" s="81">
        <v>36.7395</v>
      </c>
      <c r="AO3387" s="85">
        <v>6.7772800000000002</v>
      </c>
    </row>
    <row r="3388" spans="2:41" x14ac:dyDescent="0.25">
      <c r="B3388" s="21">
        <v>45643</v>
      </c>
      <c r="C3388" s="91">
        <v>20.1448</v>
      </c>
      <c r="E3388" s="83">
        <v>0.95233000000000001</v>
      </c>
      <c r="G3388" s="84">
        <v>1020.98</v>
      </c>
      <c r="I3388" s="85">
        <v>6.9067400000000001</v>
      </c>
      <c r="K3388" s="85">
        <v>6.1388999999999996</v>
      </c>
      <c r="M3388" s="84">
        <v>983.70399999999995</v>
      </c>
      <c r="O3388" s="86">
        <v>4331.58</v>
      </c>
      <c r="Q3388" s="86">
        <v>7811.36</v>
      </c>
      <c r="S3388" s="86">
        <v>1272.44</v>
      </c>
      <c r="U3388" s="85">
        <v>3.7292900000000002</v>
      </c>
      <c r="W3388" s="81">
        <v>44.3444</v>
      </c>
      <c r="Y3388" s="81">
        <v>7.2235399999999998</v>
      </c>
      <c r="AA3388" s="84">
        <v>503.39800000000002</v>
      </c>
      <c r="AC3388" s="81">
        <v>60.639400000000002</v>
      </c>
      <c r="AE3388" s="87">
        <v>1</v>
      </c>
      <c r="AG3388" s="85">
        <v>7.69137</v>
      </c>
      <c r="AI3388" s="86">
        <v>8.75</v>
      </c>
      <c r="AK3388" s="81">
        <v>25.331399999999999</v>
      </c>
      <c r="AM3388" s="81">
        <v>36.746600000000001</v>
      </c>
      <c r="AO3388" s="85">
        <v>6.7793099999999997</v>
      </c>
    </row>
    <row r="3389" spans="2:41" x14ac:dyDescent="0.25">
      <c r="B3389" s="21">
        <v>45644</v>
      </c>
      <c r="C3389" s="91">
        <v>20.2363</v>
      </c>
      <c r="E3389" s="83">
        <v>0.95527799999999996</v>
      </c>
      <c r="G3389" s="84">
        <v>1021.18</v>
      </c>
      <c r="I3389" s="85">
        <v>6.9047400000000003</v>
      </c>
      <c r="K3389" s="85">
        <v>6.1627400000000003</v>
      </c>
      <c r="M3389" s="84">
        <v>988.99699999999996</v>
      </c>
      <c r="O3389" s="86">
        <v>4357.8999999999996</v>
      </c>
      <c r="Q3389" s="86">
        <v>7810.46</v>
      </c>
      <c r="S3389" s="86">
        <v>1267.3800000000001</v>
      </c>
      <c r="U3389" s="85">
        <v>3.7350400000000001</v>
      </c>
      <c r="W3389" s="81">
        <v>44.48</v>
      </c>
      <c r="Y3389" s="81">
        <v>7.2176</v>
      </c>
      <c r="AA3389" s="84">
        <v>503.20600000000002</v>
      </c>
      <c r="AC3389" s="81">
        <v>60.697099999999999</v>
      </c>
      <c r="AE3389" s="87">
        <v>1</v>
      </c>
      <c r="AG3389" s="85">
        <v>7.6959799999999996</v>
      </c>
      <c r="AI3389" s="86">
        <v>8.75</v>
      </c>
      <c r="AK3389" s="81">
        <v>25.353000000000002</v>
      </c>
      <c r="AM3389" s="81">
        <v>36.7682</v>
      </c>
      <c r="AO3389" s="85">
        <v>6.7837800000000001</v>
      </c>
    </row>
    <row r="3390" spans="2:41" x14ac:dyDescent="0.25">
      <c r="B3390" s="21">
        <v>45645</v>
      </c>
      <c r="C3390" s="91">
        <v>20.139500000000002</v>
      </c>
      <c r="E3390" s="83">
        <v>0.96305099999999999</v>
      </c>
      <c r="G3390" s="84">
        <v>1022.18</v>
      </c>
      <c r="I3390" s="85">
        <v>6.9240199999999996</v>
      </c>
      <c r="K3390" s="85">
        <v>6.2299899999999999</v>
      </c>
      <c r="M3390" s="84">
        <v>994.16399999999999</v>
      </c>
      <c r="O3390" s="86">
        <v>4384.5600000000004</v>
      </c>
      <c r="Q3390" s="86">
        <v>7829.78</v>
      </c>
      <c r="S3390" s="86">
        <v>1256.8</v>
      </c>
      <c r="U3390" s="85">
        <v>3.7497600000000002</v>
      </c>
      <c r="W3390" s="81">
        <v>44.669899999999998</v>
      </c>
      <c r="Y3390" s="81">
        <v>7.1701699999999997</v>
      </c>
      <c r="AA3390" s="84">
        <v>504.45800000000003</v>
      </c>
      <c r="AC3390" s="81">
        <v>60.892299999999999</v>
      </c>
      <c r="AE3390" s="87">
        <v>1</v>
      </c>
      <c r="AG3390" s="85">
        <v>7.7173999999999996</v>
      </c>
      <c r="AI3390" s="86">
        <v>8.75</v>
      </c>
      <c r="AK3390" s="81">
        <v>25.425799999999999</v>
      </c>
      <c r="AM3390" s="81">
        <v>36.872599999999998</v>
      </c>
      <c r="AO3390" s="85">
        <v>6.8043899999999997</v>
      </c>
    </row>
    <row r="3391" spans="2:41" x14ac:dyDescent="0.25">
      <c r="B3391" s="21">
        <v>45646</v>
      </c>
      <c r="C3391" s="91">
        <v>20.440200000000001</v>
      </c>
      <c r="E3391" s="83">
        <v>0.96188600000000002</v>
      </c>
      <c r="G3391" s="84">
        <v>1022.16</v>
      </c>
      <c r="I3391" s="85">
        <v>6.9138400000000004</v>
      </c>
      <c r="K3391" s="85">
        <v>6.1187800000000001</v>
      </c>
      <c r="M3391" s="84">
        <v>990.80499999999995</v>
      </c>
      <c r="O3391" s="86">
        <v>4378.5200000000004</v>
      </c>
      <c r="Q3391" s="86">
        <v>7814.5</v>
      </c>
      <c r="S3391" s="86">
        <v>1277.1400000000001</v>
      </c>
      <c r="U3391" s="85">
        <v>3.7324799999999998</v>
      </c>
      <c r="W3391" s="81">
        <v>44.619799999999998</v>
      </c>
      <c r="Y3391" s="81">
        <v>7.2922900000000004</v>
      </c>
      <c r="AA3391" s="84">
        <v>503.995</v>
      </c>
      <c r="AC3391" s="81">
        <v>60.820599999999999</v>
      </c>
      <c r="AE3391" s="87">
        <v>1</v>
      </c>
      <c r="AG3391" s="85">
        <v>7.7066400000000002</v>
      </c>
      <c r="AI3391" s="86">
        <v>8.75</v>
      </c>
      <c r="AK3391" s="81">
        <v>25.3886</v>
      </c>
      <c r="AM3391" s="81">
        <v>36.816800000000001</v>
      </c>
      <c r="AO3391" s="85">
        <v>6.7933300000000001</v>
      </c>
    </row>
    <row r="3392" spans="2:41" x14ac:dyDescent="0.25">
      <c r="B3392" s="21">
        <v>45647</v>
      </c>
      <c r="C3392" s="91">
        <v>20.440200000000001</v>
      </c>
      <c r="E3392" s="83">
        <v>0.95887900000000004</v>
      </c>
      <c r="G3392" s="84">
        <v>1022.14</v>
      </c>
      <c r="I3392" s="85">
        <v>6.9088799999999999</v>
      </c>
      <c r="K3392" s="85">
        <v>6.0865</v>
      </c>
      <c r="M3392" s="84">
        <v>989.15</v>
      </c>
      <c r="O3392" s="86">
        <v>4384.68</v>
      </c>
      <c r="Q3392" s="86">
        <v>7803.96</v>
      </c>
      <c r="S3392" s="86">
        <v>1282.18</v>
      </c>
      <c r="U3392" s="85">
        <v>3.7244899999999999</v>
      </c>
      <c r="W3392" s="81">
        <v>44.667999999999999</v>
      </c>
      <c r="Y3392" s="81">
        <v>7.3388799999999996</v>
      </c>
      <c r="AA3392" s="84">
        <v>503.99400000000003</v>
      </c>
      <c r="AC3392" s="81">
        <v>60.806199999999997</v>
      </c>
      <c r="AE3392" s="87">
        <v>1</v>
      </c>
      <c r="AG3392" s="85">
        <v>7.7016799999999996</v>
      </c>
      <c r="AI3392" s="86">
        <v>8.75</v>
      </c>
      <c r="AK3392" s="81">
        <v>25.371600000000001</v>
      </c>
      <c r="AM3392" s="81">
        <v>36.788200000000003</v>
      </c>
      <c r="AO3392" s="85">
        <v>6.7859499999999997</v>
      </c>
    </row>
    <row r="3393" spans="2:41" x14ac:dyDescent="0.25">
      <c r="B3393" s="21">
        <v>45648</v>
      </c>
      <c r="C3393" s="91">
        <v>20.440200000000001</v>
      </c>
      <c r="E3393" s="83">
        <v>0.95883099999999999</v>
      </c>
      <c r="G3393" s="84">
        <v>1021.9</v>
      </c>
      <c r="I3393" s="85">
        <v>6.9087800000000001</v>
      </c>
      <c r="K3393" s="85">
        <v>6.0865</v>
      </c>
      <c r="M3393" s="84">
        <v>989.15</v>
      </c>
      <c r="O3393" s="86">
        <v>4384.53</v>
      </c>
      <c r="Q3393" s="86">
        <v>7803.98</v>
      </c>
      <c r="S3393" s="86">
        <v>1282.18</v>
      </c>
      <c r="U3393" s="85">
        <v>3.7245599999999999</v>
      </c>
      <c r="W3393" s="81">
        <v>44.664999999999999</v>
      </c>
      <c r="Y3393" s="81">
        <v>7.3384</v>
      </c>
      <c r="AA3393" s="84">
        <v>503.988</v>
      </c>
      <c r="AC3393" s="81">
        <v>60.805999999999997</v>
      </c>
      <c r="AE3393" s="87">
        <v>1</v>
      </c>
      <c r="AG3393" s="85">
        <v>7.7016</v>
      </c>
      <c r="AI3393" s="86">
        <v>8.75</v>
      </c>
      <c r="AK3393" s="81">
        <v>25.371400000000001</v>
      </c>
      <c r="AM3393" s="81">
        <v>36.788200000000003</v>
      </c>
      <c r="AO3393" s="85">
        <v>6.7859499999999997</v>
      </c>
    </row>
    <row r="3394" spans="2:41" x14ac:dyDescent="0.25">
      <c r="B3394" s="21">
        <v>45649</v>
      </c>
      <c r="C3394" s="91">
        <v>20.1035</v>
      </c>
      <c r="E3394" s="83">
        <v>0.960206</v>
      </c>
      <c r="G3394" s="84">
        <v>1022.48</v>
      </c>
      <c r="I3394" s="85">
        <v>6.9034199999999997</v>
      </c>
      <c r="K3394" s="85">
        <v>6.1304999999999996</v>
      </c>
      <c r="M3394" s="84">
        <v>990.44200000000001</v>
      </c>
      <c r="O3394" s="86">
        <v>4396.0200000000004</v>
      </c>
      <c r="Q3394" s="86">
        <v>7802.48</v>
      </c>
      <c r="S3394" s="86">
        <v>1272.74</v>
      </c>
      <c r="U3394" s="85">
        <v>3.7229299999999999</v>
      </c>
      <c r="W3394" s="81">
        <v>44.548999999999999</v>
      </c>
      <c r="Y3394" s="81">
        <v>7.2668200000000001</v>
      </c>
      <c r="AA3394" s="84">
        <v>504.28</v>
      </c>
      <c r="AC3394" s="81">
        <v>60.721200000000003</v>
      </c>
      <c r="AE3394" s="87">
        <v>1</v>
      </c>
      <c r="AG3394" s="85">
        <v>7.6930300000000003</v>
      </c>
      <c r="AI3394" s="86">
        <v>8.75</v>
      </c>
      <c r="AK3394" s="81">
        <v>25.350100000000001</v>
      </c>
      <c r="AM3394" s="81">
        <v>36.746400000000001</v>
      </c>
      <c r="AO3394" s="85">
        <v>6.7838700000000003</v>
      </c>
    </row>
    <row r="3395" spans="2:41" x14ac:dyDescent="0.25">
      <c r="B3395" s="21">
        <v>45650</v>
      </c>
      <c r="C3395" s="91">
        <v>20.194800000000001</v>
      </c>
      <c r="E3395" s="83">
        <v>0.96187699999999998</v>
      </c>
      <c r="G3395" s="84">
        <v>1025.58</v>
      </c>
      <c r="I3395" s="85">
        <v>6.9077200000000003</v>
      </c>
      <c r="K3395" s="85">
        <v>6.1937899999999999</v>
      </c>
      <c r="M3395" s="84">
        <v>990.27700000000004</v>
      </c>
      <c r="O3395" s="86">
        <v>4396.92</v>
      </c>
      <c r="Q3395" s="86">
        <v>7795.88</v>
      </c>
      <c r="S3395" s="86">
        <v>1258.6600000000001</v>
      </c>
      <c r="U3395" s="85">
        <v>3.7259199999999999</v>
      </c>
      <c r="W3395" s="81">
        <v>44.532200000000003</v>
      </c>
      <c r="Y3395" s="81">
        <v>7.1898400000000002</v>
      </c>
      <c r="AA3395" s="84">
        <v>505.33699999999999</v>
      </c>
      <c r="AC3395" s="81">
        <v>60.757199999999997</v>
      </c>
      <c r="AE3395" s="87">
        <v>1</v>
      </c>
      <c r="AG3395" s="85">
        <v>7.6967800000000004</v>
      </c>
      <c r="AI3395" s="86">
        <v>8.75</v>
      </c>
      <c r="AK3395" s="81">
        <v>25.372</v>
      </c>
      <c r="AM3395" s="81">
        <v>36.763199999999998</v>
      </c>
      <c r="AO3395" s="85">
        <v>6.7857000000000003</v>
      </c>
    </row>
    <row r="3396" spans="2:41" x14ac:dyDescent="0.25">
      <c r="B3396" s="21">
        <v>45651</v>
      </c>
      <c r="C3396" s="91">
        <v>20.194800000000001</v>
      </c>
      <c r="E3396" s="83">
        <v>0.96182199999999995</v>
      </c>
      <c r="G3396" s="84">
        <v>1025.3399999999999</v>
      </c>
      <c r="I3396" s="85">
        <v>6.8996599999999999</v>
      </c>
      <c r="K3396" s="85">
        <v>6.3594799999999996</v>
      </c>
      <c r="M3396" s="84">
        <v>990.01700000000005</v>
      </c>
      <c r="O3396" s="86">
        <v>4387.2</v>
      </c>
      <c r="Q3396" s="86">
        <v>7785.9</v>
      </c>
      <c r="S3396" s="86">
        <v>1224.3</v>
      </c>
      <c r="U3396" s="85">
        <v>3.7180200000000001</v>
      </c>
      <c r="W3396" s="81">
        <v>44.482700000000001</v>
      </c>
      <c r="Y3396" s="81">
        <v>6.9947400000000002</v>
      </c>
      <c r="AA3396" s="84">
        <v>505.065</v>
      </c>
      <c r="AC3396" s="81">
        <v>60.778300000000002</v>
      </c>
      <c r="AE3396" s="87">
        <v>1</v>
      </c>
      <c r="AG3396" s="85">
        <v>7.6915399999999998</v>
      </c>
      <c r="AI3396" s="86">
        <v>8.75</v>
      </c>
      <c r="AK3396" s="81">
        <v>25.3566</v>
      </c>
      <c r="AM3396" s="81">
        <v>36.733600000000003</v>
      </c>
      <c r="AO3396" s="85">
        <v>6.7812099999999997</v>
      </c>
    </row>
    <row r="3397" spans="2:41" x14ac:dyDescent="0.25">
      <c r="B3397" s="21">
        <v>45652</v>
      </c>
      <c r="C3397" s="91">
        <v>20.155799999999999</v>
      </c>
      <c r="E3397" s="83">
        <v>0.960982</v>
      </c>
      <c r="G3397" s="84">
        <v>1024.92</v>
      </c>
      <c r="I3397" s="85">
        <v>6.8982799999999997</v>
      </c>
      <c r="K3397" s="85">
        <v>6.4320399999999998</v>
      </c>
      <c r="M3397" s="84">
        <v>989.22199999999998</v>
      </c>
      <c r="O3397" s="86">
        <v>4397.84</v>
      </c>
      <c r="Q3397" s="86">
        <v>7784.19</v>
      </c>
      <c r="S3397" s="86">
        <v>1210.24</v>
      </c>
      <c r="U3397" s="85">
        <v>3.7231800000000002</v>
      </c>
      <c r="W3397" s="81">
        <v>44.4801</v>
      </c>
      <c r="Y3397" s="81">
        <v>6.9154600000000004</v>
      </c>
      <c r="AA3397" s="84">
        <v>504.80500000000001</v>
      </c>
      <c r="AC3397" s="81">
        <v>60.760800000000003</v>
      </c>
      <c r="AE3397" s="87">
        <v>1</v>
      </c>
      <c r="AG3397" s="85">
        <v>7.6890400000000003</v>
      </c>
      <c r="AI3397" s="86">
        <v>8.75</v>
      </c>
      <c r="AK3397" s="81">
        <v>25.3508</v>
      </c>
      <c r="AM3397" s="81">
        <v>36.725099999999998</v>
      </c>
      <c r="AO3397" s="85">
        <v>6.7796399999999997</v>
      </c>
    </row>
    <row r="3398" spans="2:41" x14ac:dyDescent="0.25">
      <c r="B3398" s="21">
        <v>45653</v>
      </c>
      <c r="C3398" s="91">
        <v>20.165700000000001</v>
      </c>
      <c r="E3398" s="83">
        <v>0.95960999999999996</v>
      </c>
      <c r="G3398" s="84">
        <v>1027.42</v>
      </c>
      <c r="I3398" s="85">
        <v>6.9016599999999997</v>
      </c>
      <c r="K3398" s="85">
        <v>6.1861800000000002</v>
      </c>
      <c r="M3398" s="84">
        <v>991.17899999999997</v>
      </c>
      <c r="O3398" s="86">
        <v>4398.6400000000003</v>
      </c>
      <c r="Q3398" s="86">
        <v>7781.73</v>
      </c>
      <c r="S3398" s="86">
        <v>1257.94</v>
      </c>
      <c r="U3398" s="85">
        <v>3.73658</v>
      </c>
      <c r="W3398" s="81">
        <v>44.266599999999997</v>
      </c>
      <c r="Y3398" s="81">
        <v>7.15578</v>
      </c>
      <c r="AA3398" s="84">
        <v>504.97199999999998</v>
      </c>
      <c r="AC3398" s="81">
        <v>60.767800000000001</v>
      </c>
      <c r="AE3398" s="87">
        <v>1</v>
      </c>
      <c r="AG3398" s="85">
        <v>7.6938399999999998</v>
      </c>
      <c r="AI3398" s="86">
        <v>8.75</v>
      </c>
      <c r="AK3398" s="81">
        <v>25.364799999999999</v>
      </c>
      <c r="AM3398" s="81">
        <v>36.746200000000002</v>
      </c>
      <c r="AO3398" s="85">
        <v>6.7834300000000001</v>
      </c>
    </row>
    <row r="3399" spans="2:41" x14ac:dyDescent="0.25">
      <c r="B3399" s="21">
        <v>45654</v>
      </c>
      <c r="C3399" s="91">
        <v>20.165700000000001</v>
      </c>
      <c r="E3399" s="83">
        <v>0.95905300000000004</v>
      </c>
      <c r="G3399" s="84">
        <v>1028.8</v>
      </c>
      <c r="I3399" s="85">
        <v>6.9052600000000002</v>
      </c>
      <c r="K3399" s="85">
        <v>6.1993</v>
      </c>
      <c r="M3399" s="84">
        <v>993.11</v>
      </c>
      <c r="O3399" s="86">
        <v>4406.84</v>
      </c>
      <c r="Q3399" s="86">
        <v>7779.22</v>
      </c>
      <c r="S3399" s="86">
        <v>1254.8800000000001</v>
      </c>
      <c r="U3399" s="85">
        <v>3.7437100000000001</v>
      </c>
      <c r="W3399" s="81">
        <v>44.2806</v>
      </c>
      <c r="Y3399" s="81">
        <v>7.1429499999999999</v>
      </c>
      <c r="AA3399" s="84">
        <v>505.22199999999998</v>
      </c>
      <c r="AC3399" s="81">
        <v>60.777200000000001</v>
      </c>
      <c r="AE3399" s="87">
        <v>1</v>
      </c>
      <c r="AG3399" s="85">
        <v>7.6989700000000001</v>
      </c>
      <c r="AI3399" s="86">
        <v>8.75</v>
      </c>
      <c r="AK3399" s="81">
        <v>25.38</v>
      </c>
      <c r="AM3399" s="81">
        <v>36.768799999999999</v>
      </c>
      <c r="AO3399" s="85">
        <v>6.7876200000000004</v>
      </c>
    </row>
    <row r="3400" spans="2:41" x14ac:dyDescent="0.25">
      <c r="B3400" s="21">
        <v>45655</v>
      </c>
      <c r="C3400" s="91">
        <v>20.165700000000001</v>
      </c>
      <c r="E3400" s="83">
        <v>0.95902600000000005</v>
      </c>
      <c r="G3400" s="84">
        <v>1028.8800000000001</v>
      </c>
      <c r="I3400" s="85">
        <v>6.9052600000000002</v>
      </c>
      <c r="K3400" s="85">
        <v>6.1993</v>
      </c>
      <c r="M3400" s="84">
        <v>993.11</v>
      </c>
      <c r="O3400" s="86">
        <v>4406.84</v>
      </c>
      <c r="Q3400" s="86">
        <v>7779.22</v>
      </c>
      <c r="S3400" s="86">
        <v>1254.8800000000001</v>
      </c>
      <c r="U3400" s="85">
        <v>3.7437100000000001</v>
      </c>
      <c r="W3400" s="81">
        <v>44.2806</v>
      </c>
      <c r="Y3400" s="81">
        <v>7.1429499999999999</v>
      </c>
      <c r="AA3400" s="84">
        <v>505.22199999999998</v>
      </c>
      <c r="AC3400" s="81">
        <v>60.777200000000001</v>
      </c>
      <c r="AE3400" s="87">
        <v>1</v>
      </c>
      <c r="AG3400" s="85">
        <v>7.6989700000000001</v>
      </c>
      <c r="AI3400" s="86">
        <v>8.75</v>
      </c>
      <c r="AK3400" s="81">
        <v>25.38</v>
      </c>
      <c r="AM3400" s="81">
        <v>36.768799999999999</v>
      </c>
      <c r="AO3400" s="85">
        <v>6.7876200000000004</v>
      </c>
    </row>
    <row r="3401" spans="2:41" x14ac:dyDescent="0.25">
      <c r="B3401" s="21">
        <v>45656</v>
      </c>
      <c r="C3401" s="91">
        <v>20.2683</v>
      </c>
      <c r="E3401" s="83">
        <v>0.96002399999999999</v>
      </c>
      <c r="G3401" s="84">
        <v>1030.04</v>
      </c>
      <c r="I3401" s="85">
        <v>6.9184599999999996</v>
      </c>
      <c r="K3401" s="85">
        <v>6.1966599999999996</v>
      </c>
      <c r="M3401" s="84">
        <v>994</v>
      </c>
      <c r="O3401" s="86">
        <v>4409.3599999999997</v>
      </c>
      <c r="Q3401" s="86">
        <v>7793.74</v>
      </c>
      <c r="S3401" s="86">
        <v>1257.74</v>
      </c>
      <c r="U3401" s="85">
        <v>3.7469800000000002</v>
      </c>
      <c r="W3401" s="81">
        <v>44.166800000000002</v>
      </c>
      <c r="Y3401" s="81">
        <v>7.1275599999999999</v>
      </c>
      <c r="AA3401" s="84">
        <v>505.74400000000003</v>
      </c>
      <c r="AC3401" s="81">
        <v>60.846200000000003</v>
      </c>
      <c r="AE3401" s="87">
        <v>1</v>
      </c>
      <c r="AG3401" s="85">
        <v>7.7069599999999996</v>
      </c>
      <c r="AI3401" s="86">
        <v>8.75</v>
      </c>
      <c r="AK3401" s="81">
        <v>25.407599999999999</v>
      </c>
      <c r="AM3401" s="81">
        <v>36.803199999999997</v>
      </c>
      <c r="AO3401" s="85">
        <v>6.7955699999999997</v>
      </c>
    </row>
    <row r="3402" spans="2:41" x14ac:dyDescent="0.25">
      <c r="B3402" s="21">
        <v>45657</v>
      </c>
      <c r="C3402" s="82">
        <v>20.786200000000001</v>
      </c>
      <c r="D3402" s="92"/>
      <c r="E3402" s="93">
        <v>0.96272199999999997</v>
      </c>
      <c r="F3402" s="92"/>
      <c r="G3402" s="94">
        <v>1031</v>
      </c>
      <c r="H3402" s="92"/>
      <c r="I3402" s="95">
        <v>6.9356299999999997</v>
      </c>
      <c r="J3402" s="92"/>
      <c r="K3402" s="95">
        <v>6.1845600000000003</v>
      </c>
      <c r="L3402" s="92"/>
      <c r="M3402" s="94">
        <v>994.12800000000004</v>
      </c>
      <c r="N3402" s="92"/>
      <c r="O3402" s="96">
        <v>4408.24</v>
      </c>
      <c r="P3402" s="92"/>
      <c r="Q3402" s="96">
        <v>7821.84</v>
      </c>
      <c r="R3402" s="92"/>
      <c r="S3402" s="96">
        <v>1264.74</v>
      </c>
      <c r="T3402" s="92"/>
      <c r="U3402" s="95">
        <v>3.7572399999999999</v>
      </c>
      <c r="V3402" s="92"/>
      <c r="W3402" s="91">
        <v>43.869799999999998</v>
      </c>
      <c r="X3402" s="92"/>
      <c r="Y3402" s="91">
        <v>7.0934600000000003</v>
      </c>
      <c r="Z3402" s="92"/>
      <c r="AA3402" s="94">
        <v>508.12400000000002</v>
      </c>
      <c r="AB3402" s="92"/>
      <c r="AC3402" s="91">
        <v>61.084200000000003</v>
      </c>
      <c r="AD3402" s="92"/>
      <c r="AE3402" s="97">
        <v>1</v>
      </c>
      <c r="AF3402" s="92"/>
      <c r="AG3402" s="95">
        <v>7.7232099999999999</v>
      </c>
      <c r="AH3402" s="92"/>
      <c r="AI3402" s="96">
        <v>8.75</v>
      </c>
      <c r="AJ3402" s="92"/>
      <c r="AK3402" s="91">
        <v>25.450800000000001</v>
      </c>
      <c r="AL3402" s="92"/>
      <c r="AM3402" s="91">
        <v>36.8628</v>
      </c>
      <c r="AN3402" s="92"/>
      <c r="AO3402" s="95">
        <v>6.8078900000000004</v>
      </c>
    </row>
    <row r="3403" spans="2:41" ht="13" x14ac:dyDescent="0.3">
      <c r="B3403" s="25" t="s">
        <v>450</v>
      </c>
      <c r="C3403" s="19">
        <v>20.255690322580641</v>
      </c>
      <c r="E3403" s="24">
        <v>0.95460558064516154</v>
      </c>
      <c r="G3403" s="42">
        <v>1019.6448387096776</v>
      </c>
      <c r="I3403" s="23">
        <v>6.9115016129032272</v>
      </c>
      <c r="K3403" s="23">
        <v>6.1156464516129025</v>
      </c>
      <c r="M3403" s="42">
        <v>983.1037741935487</v>
      </c>
      <c r="O3403" s="80">
        <v>4389.8567741935476</v>
      </c>
      <c r="Q3403" s="80">
        <v>7809.1725806451614</v>
      </c>
      <c r="S3403" s="80">
        <v>1277.2935483870965</v>
      </c>
      <c r="U3403" s="23">
        <v>3.7336158064516112</v>
      </c>
      <c r="W3403" s="19">
        <v>43.921122580645154</v>
      </c>
      <c r="Y3403" s="19">
        <v>7.182796774193549</v>
      </c>
      <c r="AA3403" s="42">
        <v>505.71958064516139</v>
      </c>
      <c r="AC3403" s="19">
        <v>60.666048387096772</v>
      </c>
      <c r="AE3403" s="88">
        <v>1</v>
      </c>
      <c r="AG3403" s="23">
        <v>7.7081138709677415</v>
      </c>
      <c r="AI3403" s="80">
        <v>8.75</v>
      </c>
      <c r="AK3403" s="19">
        <v>25.348687096774182</v>
      </c>
      <c r="AM3403" s="19">
        <v>36.793619354838718</v>
      </c>
      <c r="AO3403" s="23">
        <v>6.7862209677419365</v>
      </c>
    </row>
    <row r="3404" spans="2:41" x14ac:dyDescent="0.25">
      <c r="B3404" s="21">
        <v>45658</v>
      </c>
      <c r="C3404" s="91">
        <v>20.786200000000001</v>
      </c>
      <c r="E3404" s="83">
        <v>0.96587199999999995</v>
      </c>
      <c r="G3404" s="84">
        <v>1030.94</v>
      </c>
      <c r="I3404" s="85">
        <v>6.9173299999999998</v>
      </c>
      <c r="K3404" s="85">
        <v>6.1885599999999998</v>
      </c>
      <c r="M3404" s="84">
        <v>994.42</v>
      </c>
      <c r="O3404" s="86">
        <v>4406.6899999999996</v>
      </c>
      <c r="Q3404" s="86">
        <v>7807.13</v>
      </c>
      <c r="S3404" s="86">
        <v>1261.55</v>
      </c>
      <c r="U3404" s="85">
        <v>3.7584399999999998</v>
      </c>
      <c r="W3404" s="81">
        <v>43.684399999999997</v>
      </c>
      <c r="Y3404" s="81">
        <v>7.0589199999999996</v>
      </c>
      <c r="AA3404" s="84">
        <v>508.55399999999997</v>
      </c>
      <c r="AC3404" s="81">
        <v>61.109000000000002</v>
      </c>
      <c r="AE3404" s="87">
        <v>1</v>
      </c>
      <c r="AG3404" s="85">
        <v>7.7139800000000003</v>
      </c>
      <c r="AI3404" s="86">
        <v>8.75</v>
      </c>
      <c r="AK3404" s="81">
        <v>25.421099999999999</v>
      </c>
      <c r="AM3404" s="81">
        <v>36.819600000000001</v>
      </c>
      <c r="AO3404" s="85">
        <v>6.7998000000000003</v>
      </c>
    </row>
    <row r="3405" spans="2:41" x14ac:dyDescent="0.25">
      <c r="B3405" s="21">
        <f t="shared" ref="B3405:B3433" si="4">B3404+1</f>
        <v>45659</v>
      </c>
      <c r="C3405" s="91">
        <v>20.786200000000001</v>
      </c>
      <c r="E3405" s="83">
        <v>0.96917900000000001</v>
      </c>
      <c r="G3405" s="84">
        <v>1030.9000000000001</v>
      </c>
      <c r="I3405" s="85">
        <v>6.9163899999999998</v>
      </c>
      <c r="K3405" s="85">
        <v>6.2472799999999999</v>
      </c>
      <c r="M3405" s="84">
        <v>999.05899999999997</v>
      </c>
      <c r="O3405" s="86">
        <v>4401.58</v>
      </c>
      <c r="Q3405" s="86">
        <v>7806.22</v>
      </c>
      <c r="S3405" s="86">
        <v>1249.54</v>
      </c>
      <c r="U3405" s="85">
        <v>3.75719</v>
      </c>
      <c r="W3405" s="81">
        <v>43.826099999999997</v>
      </c>
      <c r="Y3405" s="81">
        <v>7.0152400000000004</v>
      </c>
      <c r="AA3405" s="84">
        <v>509.279</v>
      </c>
      <c r="AC3405" s="81">
        <v>61.076000000000001</v>
      </c>
      <c r="AE3405" s="87">
        <v>1</v>
      </c>
      <c r="AG3405" s="85">
        <v>7.7151800000000001</v>
      </c>
      <c r="AI3405" s="86">
        <v>8.75</v>
      </c>
      <c r="AK3405" s="81">
        <v>25.419499999999999</v>
      </c>
      <c r="AM3405" s="81">
        <v>36.816600000000001</v>
      </c>
      <c r="AO3405" s="85">
        <v>6.7993600000000001</v>
      </c>
    </row>
    <row r="3406" spans="2:41" x14ac:dyDescent="0.25">
      <c r="B3406" s="21">
        <f t="shared" si="4"/>
        <v>45660</v>
      </c>
      <c r="C3406" s="91">
        <v>20.691700000000001</v>
      </c>
      <c r="E3406" s="83">
        <v>0.971974</v>
      </c>
      <c r="G3406" s="84">
        <v>1032.05</v>
      </c>
      <c r="I3406" s="85">
        <v>6.92448</v>
      </c>
      <c r="K3406" s="85">
        <v>6.1675199999999997</v>
      </c>
      <c r="M3406" s="84">
        <v>1007.11</v>
      </c>
      <c r="O3406" s="86">
        <v>4373.09</v>
      </c>
      <c r="Q3406" s="86">
        <v>7823.46</v>
      </c>
      <c r="S3406" s="86">
        <v>1268.5</v>
      </c>
      <c r="U3406" s="85">
        <v>3.7643300000000002</v>
      </c>
      <c r="W3406" s="81">
        <v>44.164999999999999</v>
      </c>
      <c r="Y3406" s="81">
        <v>7.1609400000000001</v>
      </c>
      <c r="AA3406" s="84">
        <v>510.65600000000001</v>
      </c>
      <c r="AC3406" s="81">
        <v>61.268599999999999</v>
      </c>
      <c r="AE3406" s="87">
        <v>1</v>
      </c>
      <c r="AG3406" s="85">
        <v>7.7284199999999998</v>
      </c>
      <c r="AI3406" s="86">
        <v>8.75</v>
      </c>
      <c r="AK3406" s="81">
        <v>25.456600000000002</v>
      </c>
      <c r="AM3406" s="81">
        <v>36.865699999999997</v>
      </c>
      <c r="AO3406" s="85">
        <v>6.8048999999999999</v>
      </c>
    </row>
    <row r="3407" spans="2:41" x14ac:dyDescent="0.25">
      <c r="B3407" s="21">
        <f t="shared" si="4"/>
        <v>45661</v>
      </c>
      <c r="C3407" s="91">
        <v>20.691700000000001</v>
      </c>
      <c r="E3407" s="83">
        <v>0.97001199999999999</v>
      </c>
      <c r="G3407" s="84">
        <v>1032.44</v>
      </c>
      <c r="I3407" s="85">
        <v>6.91608</v>
      </c>
      <c r="K3407" s="85">
        <v>6.1798999999999999</v>
      </c>
      <c r="M3407" s="84">
        <v>1010.88</v>
      </c>
      <c r="O3407" s="86">
        <v>4351.0600000000004</v>
      </c>
      <c r="Q3407" s="86">
        <v>7821.6</v>
      </c>
      <c r="S3407" s="86">
        <v>1265.6600000000001</v>
      </c>
      <c r="U3407" s="85">
        <v>3.7577600000000002</v>
      </c>
      <c r="W3407" s="81">
        <v>44.006300000000003</v>
      </c>
      <c r="Y3407" s="81">
        <v>7.1208900000000002</v>
      </c>
      <c r="AA3407" s="84">
        <v>510.18400000000003</v>
      </c>
      <c r="AC3407" s="81">
        <v>61.178199999999997</v>
      </c>
      <c r="AE3407" s="87">
        <v>1</v>
      </c>
      <c r="AG3407" s="85">
        <v>7.7208199999999998</v>
      </c>
      <c r="AI3407" s="86">
        <v>8.75</v>
      </c>
      <c r="AK3407" s="81">
        <v>25.428599999999999</v>
      </c>
      <c r="AM3407" s="81">
        <v>36.82</v>
      </c>
      <c r="AO3407" s="85">
        <v>6.7933399999999997</v>
      </c>
    </row>
    <row r="3408" spans="2:41" x14ac:dyDescent="0.25">
      <c r="B3408" s="21">
        <f t="shared" si="4"/>
        <v>45662</v>
      </c>
      <c r="C3408" s="91">
        <v>20.691700000000001</v>
      </c>
      <c r="E3408" s="83">
        <v>0.97004100000000004</v>
      </c>
      <c r="G3408" s="84">
        <v>1032.42</v>
      </c>
      <c r="I3408" s="85">
        <v>6.91608</v>
      </c>
      <c r="K3408" s="85">
        <v>6.1798999999999999</v>
      </c>
      <c r="M3408" s="84">
        <v>1010.88</v>
      </c>
      <c r="O3408" s="86">
        <v>4351.0600000000004</v>
      </c>
      <c r="Q3408" s="86">
        <v>7821.6</v>
      </c>
      <c r="S3408" s="86">
        <v>1265.6600000000001</v>
      </c>
      <c r="U3408" s="85">
        <v>3.7577600000000002</v>
      </c>
      <c r="W3408" s="81">
        <v>44.006300000000003</v>
      </c>
      <c r="Y3408" s="81">
        <v>7.1208900000000002</v>
      </c>
      <c r="AA3408" s="84">
        <v>510.18400000000003</v>
      </c>
      <c r="AC3408" s="81">
        <v>61.178199999999997</v>
      </c>
      <c r="AE3408" s="87">
        <v>1</v>
      </c>
      <c r="AG3408" s="85">
        <v>7.7208199999999998</v>
      </c>
      <c r="AI3408" s="86">
        <v>8.75</v>
      </c>
      <c r="AK3408" s="81">
        <v>25.428599999999999</v>
      </c>
      <c r="AM3408" s="81">
        <v>36.82</v>
      </c>
      <c r="AO3408" s="85">
        <v>6.7933399999999997</v>
      </c>
    </row>
    <row r="3409" spans="2:41" x14ac:dyDescent="0.25">
      <c r="B3409" s="21">
        <f t="shared" si="4"/>
        <v>45663</v>
      </c>
      <c r="C3409" s="91">
        <v>20.6708</v>
      </c>
      <c r="E3409" s="83">
        <v>0.96526599999999996</v>
      </c>
      <c r="G3409" s="84">
        <v>1033.04</v>
      </c>
      <c r="I3409" s="85">
        <v>6.9108900000000002</v>
      </c>
      <c r="K3409" s="85">
        <v>6.1541499999999996</v>
      </c>
      <c r="M3409" s="84">
        <v>1009.99</v>
      </c>
      <c r="O3409" s="86">
        <v>4352.5200000000004</v>
      </c>
      <c r="Q3409" s="86">
        <v>7830.88</v>
      </c>
      <c r="S3409" s="86">
        <v>1272.46</v>
      </c>
      <c r="U3409" s="85">
        <v>3.7567200000000001</v>
      </c>
      <c r="W3409" s="81">
        <v>44.001800000000003</v>
      </c>
      <c r="Y3409" s="81">
        <v>7.1499600000000001</v>
      </c>
      <c r="AA3409" s="84">
        <v>509.88900000000001</v>
      </c>
      <c r="AC3409" s="81">
        <v>61.145000000000003</v>
      </c>
      <c r="AE3409" s="87">
        <v>1</v>
      </c>
      <c r="AG3409" s="85">
        <v>7.7152000000000003</v>
      </c>
      <c r="AI3409" s="86">
        <v>8.75</v>
      </c>
      <c r="AK3409" s="81">
        <v>25.4133</v>
      </c>
      <c r="AM3409" s="81">
        <v>36.790799999999997</v>
      </c>
      <c r="AO3409" s="85">
        <v>6.7846700000000002</v>
      </c>
    </row>
    <row r="3410" spans="2:41" x14ac:dyDescent="0.25">
      <c r="B3410" s="21">
        <f t="shared" si="4"/>
        <v>45664</v>
      </c>
      <c r="C3410" s="91">
        <v>20.319500000000001</v>
      </c>
      <c r="E3410" s="83">
        <v>0.96306400000000003</v>
      </c>
      <c r="G3410" s="84">
        <v>1034.98</v>
      </c>
      <c r="I3410" s="85">
        <v>6.9184000000000001</v>
      </c>
      <c r="K3410" s="85">
        <v>6.10473</v>
      </c>
      <c r="M3410" s="84">
        <v>1008.83</v>
      </c>
      <c r="O3410" s="86">
        <v>4340.38</v>
      </c>
      <c r="Q3410" s="86">
        <v>7859.35</v>
      </c>
      <c r="S3410" s="86">
        <v>1287.42</v>
      </c>
      <c r="U3410" s="85">
        <v>3.7702200000000001</v>
      </c>
      <c r="W3410" s="81">
        <v>44.0379</v>
      </c>
      <c r="Y3410" s="81">
        <v>7.2137599999999997</v>
      </c>
      <c r="AA3410" s="84">
        <v>510.04199999999997</v>
      </c>
      <c r="AC3410" s="81">
        <v>61.316600000000001</v>
      </c>
      <c r="AE3410" s="87">
        <v>1</v>
      </c>
      <c r="AG3410" s="85">
        <v>7.7251599999999998</v>
      </c>
      <c r="AI3410" s="86">
        <v>8.75</v>
      </c>
      <c r="AK3410" s="81">
        <v>25.467700000000001</v>
      </c>
      <c r="AM3410" s="81">
        <v>36.8508</v>
      </c>
      <c r="AO3410" s="85">
        <v>6.7929000000000004</v>
      </c>
    </row>
    <row r="3411" spans="2:41" x14ac:dyDescent="0.25">
      <c r="B3411" s="21">
        <f t="shared" si="4"/>
        <v>45665</v>
      </c>
      <c r="C3411" s="91">
        <v>20.344000000000001</v>
      </c>
      <c r="E3411" s="83">
        <v>0.968746</v>
      </c>
      <c r="G3411" s="84">
        <v>1035.48</v>
      </c>
      <c r="I3411" s="85">
        <v>6.9235199999999999</v>
      </c>
      <c r="K3411" s="85">
        <v>6.1146000000000003</v>
      </c>
      <c r="M3411" s="84">
        <v>1004.62</v>
      </c>
      <c r="O3411" s="86">
        <v>4336.0600000000004</v>
      </c>
      <c r="Q3411" s="86">
        <v>7875.82</v>
      </c>
      <c r="S3411" s="86">
        <v>1288.04</v>
      </c>
      <c r="U3411" s="85">
        <v>3.78084</v>
      </c>
      <c r="W3411" s="81">
        <v>44.043799999999997</v>
      </c>
      <c r="Y3411" s="81">
        <v>7.2030799999999999</v>
      </c>
      <c r="AA3411" s="84">
        <v>509.637</v>
      </c>
      <c r="AC3411" s="81">
        <v>61.515000000000001</v>
      </c>
      <c r="AE3411" s="87">
        <v>1</v>
      </c>
      <c r="AG3411" s="85">
        <v>7.7324400000000004</v>
      </c>
      <c r="AI3411" s="86">
        <v>8.75</v>
      </c>
      <c r="AK3411" s="81">
        <v>25.490400000000001</v>
      </c>
      <c r="AM3411" s="81">
        <v>36.845500000000001</v>
      </c>
      <c r="AO3411" s="85">
        <v>6.7969999999999997</v>
      </c>
    </row>
    <row r="3412" spans="2:41" x14ac:dyDescent="0.25">
      <c r="B3412" s="21">
        <f t="shared" si="4"/>
        <v>45666</v>
      </c>
      <c r="C3412" s="91">
        <v>20.382300000000001</v>
      </c>
      <c r="E3412" s="83">
        <v>0.97043599999999997</v>
      </c>
      <c r="G3412" s="84">
        <v>1036.2</v>
      </c>
      <c r="I3412" s="85">
        <v>6.9101800000000004</v>
      </c>
      <c r="K3412" s="85">
        <v>6.09084</v>
      </c>
      <c r="M3412" s="84">
        <v>1002.61</v>
      </c>
      <c r="O3412" s="86">
        <v>4326.6000000000004</v>
      </c>
      <c r="Q3412" s="86">
        <v>7870.88</v>
      </c>
      <c r="S3412" s="86">
        <v>1292.26</v>
      </c>
      <c r="U3412" s="85">
        <v>3.7729400000000002</v>
      </c>
      <c r="W3412" s="81">
        <v>43.8782</v>
      </c>
      <c r="Y3412" s="81">
        <v>7.2039999999999997</v>
      </c>
      <c r="AA3412" s="84">
        <v>508.11799999999999</v>
      </c>
      <c r="AC3412" s="81">
        <v>61.392400000000002</v>
      </c>
      <c r="AE3412" s="87">
        <v>1</v>
      </c>
      <c r="AG3412" s="85">
        <v>7.7169999999999996</v>
      </c>
      <c r="AI3412" s="86">
        <v>8.75</v>
      </c>
      <c r="AK3412" s="81">
        <v>25.4346</v>
      </c>
      <c r="AM3412" s="81">
        <v>36.761299999999999</v>
      </c>
      <c r="AO3412" s="85">
        <v>6.7844600000000002</v>
      </c>
    </row>
    <row r="3413" spans="2:41" x14ac:dyDescent="0.25">
      <c r="B3413" s="21">
        <f t="shared" si="4"/>
        <v>45667</v>
      </c>
      <c r="C3413" s="91">
        <v>20.4742</v>
      </c>
      <c r="E3413" s="83">
        <v>0.97322600000000004</v>
      </c>
      <c r="G3413" s="84">
        <v>1036.76</v>
      </c>
      <c r="I3413" s="85">
        <v>6.9125800000000002</v>
      </c>
      <c r="K3413" s="85">
        <v>6.0711199999999996</v>
      </c>
      <c r="M3413" s="84">
        <v>1007.76</v>
      </c>
      <c r="O3413" s="86">
        <v>4335.3599999999997</v>
      </c>
      <c r="Q3413" s="86">
        <v>7881.44</v>
      </c>
      <c r="S3413" s="86">
        <v>1298.2</v>
      </c>
      <c r="U3413" s="85">
        <v>3.7686199999999999</v>
      </c>
      <c r="W3413" s="81">
        <v>43.710999999999999</v>
      </c>
      <c r="Y3413" s="81">
        <v>7.19984</v>
      </c>
      <c r="AA3413" s="84">
        <v>507.70400000000001</v>
      </c>
      <c r="AC3413" s="81">
        <v>61.369799999999998</v>
      </c>
      <c r="AE3413" s="87">
        <v>1</v>
      </c>
      <c r="AG3413" s="85">
        <v>7.7199200000000001</v>
      </c>
      <c r="AI3413" s="86">
        <v>8.75</v>
      </c>
      <c r="AK3413" s="81">
        <v>25.452000000000002</v>
      </c>
      <c r="AM3413" s="81">
        <v>36.768000000000001</v>
      </c>
      <c r="AO3413" s="85">
        <v>6.7896799999999997</v>
      </c>
    </row>
    <row r="3414" spans="2:41" x14ac:dyDescent="0.25">
      <c r="B3414" s="21">
        <f t="shared" si="4"/>
        <v>45668</v>
      </c>
      <c r="C3414" s="91">
        <v>20.4742</v>
      </c>
      <c r="E3414" s="83">
        <v>0.97615799999999997</v>
      </c>
      <c r="G3414" s="84">
        <v>1036.78</v>
      </c>
      <c r="I3414" s="85">
        <v>6.9128999999999996</v>
      </c>
      <c r="K3414" s="85">
        <v>6.1108000000000002</v>
      </c>
      <c r="M3414" s="84">
        <v>1009.44</v>
      </c>
      <c r="O3414" s="86">
        <v>4343.78</v>
      </c>
      <c r="Q3414" s="86">
        <v>7872.52</v>
      </c>
      <c r="S3414" s="86">
        <v>1288.3</v>
      </c>
      <c r="U3414" s="85">
        <v>3.7649599999999999</v>
      </c>
      <c r="W3414" s="81">
        <v>43.679600000000001</v>
      </c>
      <c r="Y3414" s="81">
        <v>7.1479400000000002</v>
      </c>
      <c r="AA3414" s="84">
        <v>507.45600000000002</v>
      </c>
      <c r="AC3414" s="81">
        <v>61.378399999999999</v>
      </c>
      <c r="AE3414" s="87">
        <v>1</v>
      </c>
      <c r="AG3414" s="85">
        <v>7.7201700000000004</v>
      </c>
      <c r="AI3414" s="86">
        <v>8.75</v>
      </c>
      <c r="AK3414" s="81">
        <v>25.445599999999999</v>
      </c>
      <c r="AM3414" s="81">
        <v>36.784799999999997</v>
      </c>
      <c r="AO3414" s="85">
        <v>6.7900999999999998</v>
      </c>
    </row>
    <row r="3415" spans="2:41" x14ac:dyDescent="0.25">
      <c r="B3415" s="21">
        <f t="shared" si="4"/>
        <v>45669</v>
      </c>
      <c r="C3415" s="91">
        <v>20.4742</v>
      </c>
      <c r="E3415" s="83">
        <v>0.97616199999999997</v>
      </c>
      <c r="G3415" s="84">
        <v>1036.8</v>
      </c>
      <c r="I3415" s="85">
        <v>6.9128999999999996</v>
      </c>
      <c r="K3415" s="85">
        <v>6.11097</v>
      </c>
      <c r="M3415" s="84">
        <v>1009.44</v>
      </c>
      <c r="O3415" s="86">
        <v>4343.78</v>
      </c>
      <c r="Q3415" s="86">
        <v>7872.52</v>
      </c>
      <c r="S3415" s="86">
        <v>1288.26</v>
      </c>
      <c r="U3415" s="85">
        <v>3.7649599999999999</v>
      </c>
      <c r="W3415" s="81">
        <v>43.679600000000001</v>
      </c>
      <c r="Y3415" s="81">
        <v>7.1477500000000003</v>
      </c>
      <c r="AA3415" s="84">
        <v>507.45600000000002</v>
      </c>
      <c r="AC3415" s="81">
        <v>61.378399999999999</v>
      </c>
      <c r="AE3415" s="87">
        <v>1</v>
      </c>
      <c r="AG3415" s="85">
        <v>7.7201700000000004</v>
      </c>
      <c r="AI3415" s="86">
        <v>8.75</v>
      </c>
      <c r="AK3415" s="81">
        <v>25.445599999999999</v>
      </c>
      <c r="AM3415" s="81">
        <v>36.784799999999997</v>
      </c>
      <c r="AO3415" s="85">
        <v>6.7900999999999998</v>
      </c>
    </row>
    <row r="3416" spans="2:41" x14ac:dyDescent="0.25">
      <c r="B3416" s="21">
        <f t="shared" si="4"/>
        <v>45670</v>
      </c>
      <c r="C3416" s="91">
        <v>20.704499999999999</v>
      </c>
      <c r="E3416" s="83">
        <v>0.97854799999999997</v>
      </c>
      <c r="G3416" s="84">
        <v>1039.45</v>
      </c>
      <c r="I3416" s="85">
        <v>6.9276799999999996</v>
      </c>
      <c r="K3416" s="85">
        <v>6.1273600000000004</v>
      </c>
      <c r="M3416" s="84">
        <v>1009.79</v>
      </c>
      <c r="O3416" s="86">
        <v>4335.6000000000004</v>
      </c>
      <c r="Q3416" s="86">
        <v>7890.58</v>
      </c>
      <c r="S3416" s="86">
        <v>1287.77</v>
      </c>
      <c r="U3416" s="85">
        <v>3.78078</v>
      </c>
      <c r="W3416" s="81">
        <v>43.856999999999999</v>
      </c>
      <c r="Y3416" s="81">
        <v>7.1575899999999999</v>
      </c>
      <c r="AA3416" s="84">
        <v>506.65</v>
      </c>
      <c r="AC3416" s="81">
        <v>61.472999999999999</v>
      </c>
      <c r="AE3416" s="87">
        <v>1</v>
      </c>
      <c r="AG3416" s="85">
        <v>7.7327000000000004</v>
      </c>
      <c r="AI3416" s="86">
        <v>8.75</v>
      </c>
      <c r="AK3416" s="81">
        <v>25.497399999999999</v>
      </c>
      <c r="AM3416" s="81">
        <v>36.847099999999998</v>
      </c>
      <c r="AO3416" s="85">
        <v>6.8007499999999999</v>
      </c>
    </row>
    <row r="3417" spans="2:41" x14ac:dyDescent="0.25">
      <c r="B3417" s="21">
        <f t="shared" si="4"/>
        <v>45671</v>
      </c>
      <c r="C3417" s="91">
        <v>20.801200000000001</v>
      </c>
      <c r="E3417" s="83">
        <v>0.97375599999999995</v>
      </c>
      <c r="G3417" s="84">
        <v>1039.8399999999999</v>
      </c>
      <c r="I3417" s="85">
        <v>6.9132600000000002</v>
      </c>
      <c r="K3417" s="85">
        <v>6.0810199999999996</v>
      </c>
      <c r="M3417" s="84">
        <v>1007.79</v>
      </c>
      <c r="O3417" s="86">
        <v>4301.6099999999997</v>
      </c>
      <c r="Q3417" s="86">
        <v>7875.56</v>
      </c>
      <c r="S3417" s="86">
        <v>1295.1199999999999</v>
      </c>
      <c r="U3417" s="85">
        <v>3.7717800000000001</v>
      </c>
      <c r="W3417" s="81">
        <v>43.753700000000002</v>
      </c>
      <c r="Y3417" s="81">
        <v>7.1951499999999999</v>
      </c>
      <c r="AA3417" s="84">
        <v>504.98599999999999</v>
      </c>
      <c r="AC3417" s="81">
        <v>61.171399999999998</v>
      </c>
      <c r="AE3417" s="87">
        <v>1</v>
      </c>
      <c r="AG3417" s="85">
        <v>7.7143600000000001</v>
      </c>
      <c r="AI3417" s="86">
        <v>8.75</v>
      </c>
      <c r="AK3417" s="81">
        <v>25.402200000000001</v>
      </c>
      <c r="AM3417" s="81">
        <v>36.715800000000002</v>
      </c>
      <c r="AO3417" s="85">
        <v>6.7862</v>
      </c>
    </row>
    <row r="3418" spans="2:41" x14ac:dyDescent="0.25">
      <c r="B3418" s="21">
        <f t="shared" si="4"/>
        <v>45672</v>
      </c>
      <c r="C3418" s="91">
        <v>20.481999999999999</v>
      </c>
      <c r="E3418" s="83">
        <v>0.97079300000000002</v>
      </c>
      <c r="G3418" s="84">
        <v>1040.48</v>
      </c>
      <c r="I3418" s="85">
        <v>6.9063499999999998</v>
      </c>
      <c r="K3418" s="85">
        <v>6.0498200000000004</v>
      </c>
      <c r="M3418" s="84">
        <v>1006.31</v>
      </c>
      <c r="O3418" s="86">
        <v>4290.38</v>
      </c>
      <c r="Q3418" s="86">
        <v>7873.51</v>
      </c>
      <c r="S3418" s="86">
        <v>1301.46</v>
      </c>
      <c r="U3418" s="85">
        <v>3.7706599999999999</v>
      </c>
      <c r="W3418" s="81">
        <v>43.915399999999998</v>
      </c>
      <c r="Y3418" s="81">
        <v>7.2589800000000002</v>
      </c>
      <c r="AA3418" s="84">
        <v>503.92599999999999</v>
      </c>
      <c r="AC3418" s="81">
        <v>61.255200000000002</v>
      </c>
      <c r="AE3418" s="87">
        <v>1</v>
      </c>
      <c r="AG3418" s="85">
        <v>7.7107000000000001</v>
      </c>
      <c r="AI3418" s="86">
        <v>8.75</v>
      </c>
      <c r="AK3418" s="81">
        <v>25.4498</v>
      </c>
      <c r="AM3418" s="81">
        <v>36.730400000000003</v>
      </c>
      <c r="AO3418" s="85">
        <v>6.7846799999999998</v>
      </c>
    </row>
    <row r="3419" spans="2:41" x14ac:dyDescent="0.25">
      <c r="B3419" s="21">
        <f t="shared" si="4"/>
        <v>45673</v>
      </c>
      <c r="C3419" s="91">
        <v>20.487500000000001</v>
      </c>
      <c r="E3419" s="83">
        <v>0.971584</v>
      </c>
      <c r="G3419" s="84">
        <v>1040.98</v>
      </c>
      <c r="I3419" s="85">
        <v>6.9154</v>
      </c>
      <c r="K3419" s="85">
        <v>6.0293400000000004</v>
      </c>
      <c r="M3419" s="84">
        <v>1008.24</v>
      </c>
      <c r="O3419" s="86">
        <v>4314.72</v>
      </c>
      <c r="Q3419" s="86">
        <v>7883.37</v>
      </c>
      <c r="S3419" s="86">
        <v>1307.5</v>
      </c>
      <c r="U3419" s="85">
        <v>3.7680199999999999</v>
      </c>
      <c r="W3419" s="81">
        <v>44.065600000000003</v>
      </c>
      <c r="Y3419" s="81">
        <v>7.3085399999999998</v>
      </c>
      <c r="AA3419" s="84">
        <v>504.08300000000003</v>
      </c>
      <c r="AC3419" s="81">
        <v>61.419499999999999</v>
      </c>
      <c r="AE3419" s="87">
        <v>1</v>
      </c>
      <c r="AG3419" s="85">
        <v>7.7226400000000002</v>
      </c>
      <c r="AI3419" s="86">
        <v>8.75</v>
      </c>
      <c r="AK3419" s="81">
        <v>25.456600000000002</v>
      </c>
      <c r="AM3419" s="81">
        <v>36.785499999999999</v>
      </c>
      <c r="AO3419" s="85">
        <v>6.7949799999999998</v>
      </c>
    </row>
    <row r="3420" spans="2:41" x14ac:dyDescent="0.25">
      <c r="B3420" s="21">
        <f t="shared" si="4"/>
        <v>45674</v>
      </c>
      <c r="C3420" s="91">
        <v>20.773199999999999</v>
      </c>
      <c r="E3420" s="83">
        <v>0.97170100000000004</v>
      </c>
      <c r="G3420" s="84">
        <v>1041.46</v>
      </c>
      <c r="I3420" s="85">
        <v>6.9103199999999996</v>
      </c>
      <c r="K3420" s="85">
        <v>6.0577800000000002</v>
      </c>
      <c r="M3420" s="84">
        <v>1012.22</v>
      </c>
      <c r="O3420" s="86">
        <v>4342.84</v>
      </c>
      <c r="Q3420" s="86">
        <v>7876.1</v>
      </c>
      <c r="S3420" s="86">
        <v>1300.17</v>
      </c>
      <c r="U3420" s="85">
        <v>3.7547600000000001</v>
      </c>
      <c r="W3420" s="81">
        <v>43.964799999999997</v>
      </c>
      <c r="Y3420" s="81">
        <v>7.2576099999999997</v>
      </c>
      <c r="AA3420" s="84">
        <v>503.46600000000001</v>
      </c>
      <c r="AC3420" s="81">
        <v>61.311</v>
      </c>
      <c r="AE3420" s="87">
        <v>1</v>
      </c>
      <c r="AG3420" s="85">
        <v>7.7173100000000003</v>
      </c>
      <c r="AI3420" s="86">
        <v>8.75</v>
      </c>
      <c r="AK3420" s="81">
        <v>25.443000000000001</v>
      </c>
      <c r="AM3420" s="81">
        <v>36.760599999999997</v>
      </c>
      <c r="AO3420" s="85">
        <v>6.7892000000000001</v>
      </c>
    </row>
    <row r="3421" spans="2:41" x14ac:dyDescent="0.25">
      <c r="B3421" s="21">
        <f t="shared" si="4"/>
        <v>45675</v>
      </c>
      <c r="C3421" s="91">
        <v>20.773199999999999</v>
      </c>
      <c r="E3421" s="83">
        <v>0.97354399999999996</v>
      </c>
      <c r="G3421" s="84">
        <v>1041.56</v>
      </c>
      <c r="I3421" s="85">
        <v>6.9119999999999999</v>
      </c>
      <c r="K3421" s="85">
        <v>6.0710199999999999</v>
      </c>
      <c r="M3421" s="84">
        <v>1008.95</v>
      </c>
      <c r="O3421" s="86">
        <v>4343.2299999999996</v>
      </c>
      <c r="Q3421" s="86">
        <v>7878.12</v>
      </c>
      <c r="S3421" s="86">
        <v>1297.6600000000001</v>
      </c>
      <c r="U3421" s="85">
        <v>3.74105</v>
      </c>
      <c r="W3421" s="81">
        <v>44.036900000000003</v>
      </c>
      <c r="Y3421" s="81">
        <v>7.2536399999999999</v>
      </c>
      <c r="AA3421" s="84">
        <v>503.5</v>
      </c>
      <c r="AC3421" s="81">
        <v>61.472499999999997</v>
      </c>
      <c r="AE3421" s="87">
        <v>1</v>
      </c>
      <c r="AG3421" s="85">
        <v>7.7194599999999998</v>
      </c>
      <c r="AI3421" s="86">
        <v>8.75</v>
      </c>
      <c r="AK3421" s="81">
        <v>25.4528</v>
      </c>
      <c r="AM3421" s="81">
        <v>36.782400000000003</v>
      </c>
      <c r="AO3421" s="85">
        <v>6.7904600000000004</v>
      </c>
    </row>
    <row r="3422" spans="2:41" x14ac:dyDescent="0.25">
      <c r="B3422" s="21">
        <f t="shared" si="4"/>
        <v>45676</v>
      </c>
      <c r="C3422" s="91">
        <v>20.773199999999999</v>
      </c>
      <c r="E3422" s="83">
        <v>0.97351799999999999</v>
      </c>
      <c r="G3422" s="84">
        <v>1041.76</v>
      </c>
      <c r="I3422" s="85">
        <v>6.9119999999999999</v>
      </c>
      <c r="K3422" s="85">
        <v>6.0710199999999999</v>
      </c>
      <c r="M3422" s="84">
        <v>1008.95</v>
      </c>
      <c r="O3422" s="86">
        <v>4343.2299999999996</v>
      </c>
      <c r="Q3422" s="86">
        <v>7878.12</v>
      </c>
      <c r="S3422" s="86">
        <v>1297.6600000000001</v>
      </c>
      <c r="U3422" s="85">
        <v>3.74105</v>
      </c>
      <c r="W3422" s="81">
        <v>44.036900000000003</v>
      </c>
      <c r="Y3422" s="81">
        <v>7.2536399999999999</v>
      </c>
      <c r="AA3422" s="84">
        <v>503.5</v>
      </c>
      <c r="AC3422" s="81">
        <v>61.472499999999997</v>
      </c>
      <c r="AE3422" s="87">
        <v>1</v>
      </c>
      <c r="AG3422" s="85">
        <v>7.7194599999999998</v>
      </c>
      <c r="AI3422" s="86">
        <v>8.75</v>
      </c>
      <c r="AK3422" s="81">
        <v>25.4528</v>
      </c>
      <c r="AM3422" s="81">
        <v>36.782400000000003</v>
      </c>
      <c r="AO3422" s="85">
        <v>6.7904600000000004</v>
      </c>
    </row>
    <row r="3423" spans="2:41" x14ac:dyDescent="0.25">
      <c r="B3423" s="21">
        <f t="shared" si="4"/>
        <v>45677</v>
      </c>
      <c r="C3423" s="91">
        <v>20.718</v>
      </c>
      <c r="E3423" s="83">
        <v>0.96635000000000004</v>
      </c>
      <c r="G3423" s="84">
        <v>1043.5999999999999</v>
      </c>
      <c r="I3423" s="85">
        <v>6.9195399999999996</v>
      </c>
      <c r="K3423" s="85">
        <v>6.0621200000000002</v>
      </c>
      <c r="M3423" s="84">
        <v>1008.76</v>
      </c>
      <c r="O3423" s="86">
        <v>4335.2</v>
      </c>
      <c r="Q3423" s="86">
        <v>7884.63</v>
      </c>
      <c r="S3423" s="86">
        <v>1300.6400000000001</v>
      </c>
      <c r="U3423" s="85">
        <v>3.7499799999999999</v>
      </c>
      <c r="W3423" s="81">
        <v>44.053199999999997</v>
      </c>
      <c r="Y3423" s="81">
        <v>7.2670000000000003</v>
      </c>
      <c r="AA3423" s="84">
        <v>502.34</v>
      </c>
      <c r="AC3423" s="81">
        <v>61.355499999999999</v>
      </c>
      <c r="AE3423" s="87">
        <v>1</v>
      </c>
      <c r="AG3423" s="85">
        <v>7.7241600000000004</v>
      </c>
      <c r="AI3423" s="86">
        <v>8.75</v>
      </c>
      <c r="AK3423" s="81">
        <v>25.450299999999999</v>
      </c>
      <c r="AM3423" s="81">
        <v>36.812399999999997</v>
      </c>
      <c r="AO3423" s="85">
        <v>6.7944399999999998</v>
      </c>
    </row>
    <row r="3424" spans="2:41" x14ac:dyDescent="0.25">
      <c r="B3424" s="21">
        <f t="shared" si="4"/>
        <v>45678</v>
      </c>
      <c r="C3424" s="91">
        <v>20.542999999999999</v>
      </c>
      <c r="E3424" s="83">
        <v>0.96239600000000003</v>
      </c>
      <c r="G3424" s="84">
        <v>1045.71</v>
      </c>
      <c r="I3424" s="85">
        <v>6.9114199999999997</v>
      </c>
      <c r="K3424" s="85">
        <v>6.0330199999999996</v>
      </c>
      <c r="M3424" s="84">
        <v>1006.83</v>
      </c>
      <c r="O3424" s="86">
        <v>4316.8599999999997</v>
      </c>
      <c r="Q3424" s="86">
        <v>7886.34</v>
      </c>
      <c r="S3424" s="86">
        <v>1307.2</v>
      </c>
      <c r="U3424" s="85">
        <v>3.73298</v>
      </c>
      <c r="W3424" s="81">
        <v>43.873199999999997</v>
      </c>
      <c r="Y3424" s="81">
        <v>7.2721900000000002</v>
      </c>
      <c r="AA3424" s="84">
        <v>501.351</v>
      </c>
      <c r="AC3424" s="81">
        <v>61.3202</v>
      </c>
      <c r="AE3424" s="87">
        <v>1</v>
      </c>
      <c r="AG3424" s="85">
        <v>7.7123400000000002</v>
      </c>
      <c r="AI3424" s="86">
        <v>8.75</v>
      </c>
      <c r="AK3424" s="81">
        <v>25.422799999999999</v>
      </c>
      <c r="AM3424" s="81">
        <v>36.752400000000002</v>
      </c>
      <c r="AO3424" s="85">
        <v>6.7849399999999997</v>
      </c>
    </row>
    <row r="3425" spans="2:41" x14ac:dyDescent="0.25">
      <c r="B3425" s="21">
        <f t="shared" si="4"/>
        <v>45679</v>
      </c>
      <c r="C3425" s="91">
        <v>20.6358</v>
      </c>
      <c r="E3425" s="83">
        <v>0.95965299999999998</v>
      </c>
      <c r="G3425" s="84">
        <v>1046.58</v>
      </c>
      <c r="I3425" s="85">
        <v>6.9028600000000004</v>
      </c>
      <c r="K3425" s="85">
        <v>5.9886799999999996</v>
      </c>
      <c r="M3425" s="84">
        <v>999.39400000000001</v>
      </c>
      <c r="O3425" s="86">
        <v>4293.42</v>
      </c>
      <c r="Q3425" s="86">
        <v>7889.04</v>
      </c>
      <c r="S3425" s="86">
        <v>1317.34</v>
      </c>
      <c r="U3425" s="85">
        <v>3.7223799999999998</v>
      </c>
      <c r="W3425" s="81">
        <v>43.775199999999998</v>
      </c>
      <c r="Y3425" s="81">
        <v>7.3096699999999997</v>
      </c>
      <c r="AA3425" s="84">
        <v>501.43599999999998</v>
      </c>
      <c r="AC3425" s="81">
        <v>61.260399999999997</v>
      </c>
      <c r="AE3425" s="87">
        <v>1</v>
      </c>
      <c r="AG3425" s="85">
        <v>7.7110200000000004</v>
      </c>
      <c r="AI3425" s="86">
        <v>8.75</v>
      </c>
      <c r="AK3425" s="81">
        <v>25.415800000000001</v>
      </c>
      <c r="AM3425" s="81">
        <v>36.714399999999998</v>
      </c>
      <c r="AO3425" s="85">
        <v>6.782</v>
      </c>
    </row>
    <row r="3426" spans="2:41" x14ac:dyDescent="0.25">
      <c r="B3426" s="21">
        <f t="shared" si="4"/>
        <v>45680</v>
      </c>
      <c r="C3426" s="91">
        <v>20.5397</v>
      </c>
      <c r="E3426" s="83">
        <v>0.96057000000000003</v>
      </c>
      <c r="G3426" s="84">
        <v>1047.1199999999999</v>
      </c>
      <c r="I3426" s="85">
        <v>6.9171899999999997</v>
      </c>
      <c r="K3426" s="85">
        <v>5.93614</v>
      </c>
      <c r="M3426" s="84">
        <v>990.25</v>
      </c>
      <c r="O3426" s="86">
        <v>4249.08</v>
      </c>
      <c r="Q3426" s="86">
        <v>7903.4</v>
      </c>
      <c r="S3426" s="86">
        <v>1331.41</v>
      </c>
      <c r="U3426" s="85">
        <v>3.7253799999999999</v>
      </c>
      <c r="W3426" s="81">
        <v>43.804699999999997</v>
      </c>
      <c r="Y3426" s="81">
        <v>7.3793499999999996</v>
      </c>
      <c r="AA3426" s="84">
        <v>503.04</v>
      </c>
      <c r="AC3426" s="81">
        <v>61.491700000000002</v>
      </c>
      <c r="AE3426" s="87">
        <v>1</v>
      </c>
      <c r="AG3426" s="85">
        <v>7.7300800000000001</v>
      </c>
      <c r="AI3426" s="86">
        <v>8.75</v>
      </c>
      <c r="AK3426" s="81">
        <v>25.5106</v>
      </c>
      <c r="AM3426" s="81">
        <v>36.843600000000002</v>
      </c>
      <c r="AO3426" s="85">
        <v>6.7979900000000004</v>
      </c>
    </row>
    <row r="3427" spans="2:41" x14ac:dyDescent="0.25">
      <c r="B3427" s="21">
        <f t="shared" si="4"/>
        <v>45681</v>
      </c>
      <c r="C3427" s="91">
        <v>20.394300000000001</v>
      </c>
      <c r="E3427" s="83">
        <v>0.95456300000000005</v>
      </c>
      <c r="G3427" s="84">
        <v>1046.82</v>
      </c>
      <c r="I3427" s="85">
        <v>6.90991</v>
      </c>
      <c r="K3427" s="85">
        <v>5.9170999999999996</v>
      </c>
      <c r="M3427" s="84">
        <v>985.20100000000002</v>
      </c>
      <c r="O3427" s="86">
        <v>4207.74</v>
      </c>
      <c r="Q3427" s="86">
        <v>7900.44</v>
      </c>
      <c r="S3427" s="86">
        <v>1335.2</v>
      </c>
      <c r="U3427" s="85">
        <v>3.7143600000000001</v>
      </c>
      <c r="W3427" s="81">
        <v>43.620199999999997</v>
      </c>
      <c r="Y3427" s="81">
        <v>7.3719200000000003</v>
      </c>
      <c r="AA3427" s="84">
        <v>504.572</v>
      </c>
      <c r="AC3427" s="81">
        <v>61.454599999999999</v>
      </c>
      <c r="AE3427" s="87">
        <v>1</v>
      </c>
      <c r="AG3427" s="85">
        <v>7.7228700000000003</v>
      </c>
      <c r="AI3427" s="86">
        <v>8.75</v>
      </c>
      <c r="AK3427" s="81">
        <v>25.4895</v>
      </c>
      <c r="AM3427" s="81">
        <v>36.781399999999998</v>
      </c>
      <c r="AO3427" s="85">
        <v>6.79352</v>
      </c>
    </row>
    <row r="3428" spans="2:41" x14ac:dyDescent="0.25">
      <c r="B3428" s="21">
        <f t="shared" si="4"/>
        <v>45682</v>
      </c>
      <c r="C3428" s="91">
        <v>20.394300000000001</v>
      </c>
      <c r="E3428" s="83">
        <v>0.95280799999999999</v>
      </c>
      <c r="G3428" s="84">
        <v>1046.18</v>
      </c>
      <c r="I3428" s="85">
        <v>6.9121199999999998</v>
      </c>
      <c r="K3428" s="85">
        <v>5.9139400000000002</v>
      </c>
      <c r="M3428" s="84">
        <v>981.8</v>
      </c>
      <c r="O3428" s="86">
        <v>4177.78</v>
      </c>
      <c r="Q3428" s="86">
        <v>7905.43</v>
      </c>
      <c r="S3428" s="86">
        <v>1336.76</v>
      </c>
      <c r="U3428" s="85">
        <v>3.7204999999999999</v>
      </c>
      <c r="W3428" s="81">
        <v>43.552799999999998</v>
      </c>
      <c r="Y3428" s="81">
        <v>7.3644600000000002</v>
      </c>
      <c r="AA3428" s="84">
        <v>504.61399999999998</v>
      </c>
      <c r="AC3428" s="81">
        <v>61.572499999999998</v>
      </c>
      <c r="AE3428" s="87">
        <v>1</v>
      </c>
      <c r="AG3428" s="85">
        <v>7.726</v>
      </c>
      <c r="AI3428" s="86">
        <v>8.75</v>
      </c>
      <c r="AK3428" s="81">
        <v>25.55</v>
      </c>
      <c r="AM3428" s="81">
        <v>36.774799999999999</v>
      </c>
      <c r="AO3428" s="85">
        <v>6.79678</v>
      </c>
    </row>
    <row r="3429" spans="2:41" x14ac:dyDescent="0.25">
      <c r="B3429" s="21">
        <f t="shared" si="4"/>
        <v>45683</v>
      </c>
      <c r="C3429" s="91">
        <v>20.394300000000001</v>
      </c>
      <c r="E3429" s="83">
        <v>0.95293600000000001</v>
      </c>
      <c r="G3429" s="84">
        <v>1046.31</v>
      </c>
      <c r="I3429" s="85">
        <v>6.9121199999999998</v>
      </c>
      <c r="K3429" s="85">
        <v>5.9139400000000002</v>
      </c>
      <c r="M3429" s="84">
        <v>981.8</v>
      </c>
      <c r="O3429" s="86">
        <v>4177.78</v>
      </c>
      <c r="Q3429" s="86">
        <v>7905.43</v>
      </c>
      <c r="S3429" s="86">
        <v>1336.76</v>
      </c>
      <c r="U3429" s="85">
        <v>3.7204999999999999</v>
      </c>
      <c r="W3429" s="81">
        <v>43.552799999999998</v>
      </c>
      <c r="Y3429" s="81">
        <v>7.3644600000000002</v>
      </c>
      <c r="AA3429" s="84">
        <v>504.61399999999998</v>
      </c>
      <c r="AC3429" s="81">
        <v>61.572499999999998</v>
      </c>
      <c r="AE3429" s="87">
        <v>1</v>
      </c>
      <c r="AG3429" s="85">
        <v>7.726</v>
      </c>
      <c r="AI3429" s="86">
        <v>8.75</v>
      </c>
      <c r="AK3429" s="81">
        <v>25.55</v>
      </c>
      <c r="AM3429" s="81">
        <v>36.774799999999999</v>
      </c>
      <c r="AO3429" s="85">
        <v>6.79678</v>
      </c>
    </row>
    <row r="3430" spans="2:41" x14ac:dyDescent="0.25">
      <c r="B3430" s="21">
        <f t="shared" si="4"/>
        <v>45684</v>
      </c>
      <c r="C3430" s="91">
        <v>20.2255</v>
      </c>
      <c r="E3430" s="83">
        <v>0.953762</v>
      </c>
      <c r="G3430" s="84">
        <v>1048.6199999999999</v>
      </c>
      <c r="I3430" s="85">
        <v>6.9131400000000003</v>
      </c>
      <c r="K3430" s="85">
        <v>5.9266399999999999</v>
      </c>
      <c r="M3430" s="84">
        <v>983.65599999999995</v>
      </c>
      <c r="O3430" s="86">
        <v>4203.08</v>
      </c>
      <c r="Q3430" s="86">
        <v>7912.72</v>
      </c>
      <c r="S3430" s="86">
        <v>1335.12</v>
      </c>
      <c r="U3430" s="85">
        <v>3.72654</v>
      </c>
      <c r="W3430" s="81">
        <v>43.542999999999999</v>
      </c>
      <c r="Y3430" s="81">
        <v>7.3470399999999998</v>
      </c>
      <c r="AA3430" s="84">
        <v>504.803</v>
      </c>
      <c r="AC3430" s="81">
        <v>61.588099999999997</v>
      </c>
      <c r="AE3430" s="87">
        <v>1</v>
      </c>
      <c r="AG3430" s="85">
        <v>7.7306800000000004</v>
      </c>
      <c r="AI3430" s="86">
        <v>8.75</v>
      </c>
      <c r="AK3430" s="81">
        <v>25.532699999999998</v>
      </c>
      <c r="AM3430" s="81">
        <v>36.7774</v>
      </c>
      <c r="AO3430" s="85">
        <v>6.7997199999999998</v>
      </c>
    </row>
    <row r="3431" spans="2:41" x14ac:dyDescent="0.25">
      <c r="B3431" s="21">
        <f t="shared" si="4"/>
        <v>45685</v>
      </c>
      <c r="C3431" s="91">
        <v>20.700199999999999</v>
      </c>
      <c r="E3431" s="83">
        <v>0.958538</v>
      </c>
      <c r="G3431" s="84">
        <v>1050</v>
      </c>
      <c r="I3431" s="85">
        <v>6.9289500000000004</v>
      </c>
      <c r="K3431" s="85">
        <v>5.8847300000000002</v>
      </c>
      <c r="M3431" s="84">
        <v>989.85500000000002</v>
      </c>
      <c r="O3431" s="86">
        <v>4203.51</v>
      </c>
      <c r="Q3431" s="86">
        <v>7927.22</v>
      </c>
      <c r="S3431" s="86">
        <v>1347.09</v>
      </c>
      <c r="U3431" s="85">
        <v>3.7421099999999998</v>
      </c>
      <c r="W3431" s="81">
        <v>43.5227</v>
      </c>
      <c r="Y3431" s="81">
        <v>7.3959000000000001</v>
      </c>
      <c r="AA3431" s="84">
        <v>506.274</v>
      </c>
      <c r="AC3431" s="81">
        <v>61.753399999999999</v>
      </c>
      <c r="AE3431" s="87">
        <v>1</v>
      </c>
      <c r="AG3431" s="85">
        <v>7.7469599999999996</v>
      </c>
      <c r="AI3431" s="86">
        <v>8.75</v>
      </c>
      <c r="AK3431" s="81">
        <v>25.590900000000001</v>
      </c>
      <c r="AM3431" s="81">
        <v>36.887599999999999</v>
      </c>
      <c r="AO3431" s="85">
        <v>6.8097399999999997</v>
      </c>
    </row>
    <row r="3432" spans="2:41" x14ac:dyDescent="0.25">
      <c r="B3432" s="21">
        <f t="shared" si="4"/>
        <v>45686</v>
      </c>
      <c r="C3432" s="91">
        <v>20.566800000000001</v>
      </c>
      <c r="E3432" s="83">
        <v>0.95976600000000001</v>
      </c>
      <c r="G3432" s="84">
        <v>1050.6199999999999</v>
      </c>
      <c r="I3432" s="85">
        <v>6.9154600000000004</v>
      </c>
      <c r="K3432" s="85">
        <v>5.8620900000000002</v>
      </c>
      <c r="M3432" s="84">
        <v>991.87400000000002</v>
      </c>
      <c r="O3432" s="86">
        <v>4198.4799999999996</v>
      </c>
      <c r="Q3432" s="86">
        <v>7910.7</v>
      </c>
      <c r="S3432" s="86">
        <v>1349.48</v>
      </c>
      <c r="U3432" s="85">
        <v>3.7313200000000002</v>
      </c>
      <c r="W3432" s="81">
        <v>43.389099999999999</v>
      </c>
      <c r="Y3432" s="81">
        <v>7.4016799999999998</v>
      </c>
      <c r="AA3432" s="84">
        <v>506.49</v>
      </c>
      <c r="AC3432" s="81">
        <v>61.610999999999997</v>
      </c>
      <c r="AE3432" s="87">
        <v>1</v>
      </c>
      <c r="AG3432" s="85">
        <v>7.7349800000000002</v>
      </c>
      <c r="AI3432" s="86">
        <v>8.75</v>
      </c>
      <c r="AK3432" s="81">
        <v>25.534199999999998</v>
      </c>
      <c r="AM3432" s="81">
        <v>36.783700000000003</v>
      </c>
      <c r="AO3432" s="85">
        <v>6.7890800000000002</v>
      </c>
    </row>
    <row r="3433" spans="2:41" x14ac:dyDescent="0.25">
      <c r="B3433" s="21">
        <f t="shared" si="4"/>
        <v>45687</v>
      </c>
      <c r="C3433" s="91">
        <v>20.567699999999999</v>
      </c>
      <c r="E3433" s="83">
        <v>0.96012600000000003</v>
      </c>
      <c r="G3433" s="84">
        <v>1051.3599999999999</v>
      </c>
      <c r="I3433" s="85">
        <v>6.9113499999999997</v>
      </c>
      <c r="K3433" s="85">
        <v>5.8717800000000002</v>
      </c>
      <c r="M3433" s="84">
        <v>989.15200000000004</v>
      </c>
      <c r="O3433" s="86">
        <v>4167.72</v>
      </c>
      <c r="Q3433" s="86">
        <v>7903.47</v>
      </c>
      <c r="S3433" s="86">
        <v>1346.02</v>
      </c>
      <c r="U3433" s="85">
        <v>3.7202199999999999</v>
      </c>
      <c r="W3433" s="81">
        <v>43.398600000000002</v>
      </c>
      <c r="Y3433" s="81">
        <v>7.39107</v>
      </c>
      <c r="AA3433" s="84">
        <v>506.64699999999999</v>
      </c>
      <c r="AC3433" s="81">
        <v>61.635800000000003</v>
      </c>
      <c r="AE3433" s="87">
        <v>1</v>
      </c>
      <c r="AG3433" s="85">
        <v>7.7334199999999997</v>
      </c>
      <c r="AI3433" s="86">
        <v>8.75</v>
      </c>
      <c r="AK3433" s="81">
        <v>25.523399999999999</v>
      </c>
      <c r="AM3433" s="81">
        <v>36.763399999999997</v>
      </c>
      <c r="AO3433" s="85">
        <v>6.7819799999999999</v>
      </c>
    </row>
    <row r="3434" spans="2:41" x14ac:dyDescent="0.25">
      <c r="B3434" s="21">
        <f>B3433+1</f>
        <v>45688</v>
      </c>
      <c r="C3434" s="82">
        <v>20.4497</v>
      </c>
      <c r="D3434" s="92"/>
      <c r="E3434" s="93">
        <v>0.96306000000000003</v>
      </c>
      <c r="F3434" s="92"/>
      <c r="G3434" s="94">
        <v>1051.1600000000001</v>
      </c>
      <c r="H3434" s="92"/>
      <c r="I3434" s="95">
        <v>6.9103700000000003</v>
      </c>
      <c r="J3434" s="92"/>
      <c r="K3434" s="95">
        <v>5.8594999999999997</v>
      </c>
      <c r="L3434" s="92"/>
      <c r="M3434" s="94">
        <v>983.95299999999997</v>
      </c>
      <c r="N3434" s="92"/>
      <c r="O3434" s="96">
        <v>4176.38</v>
      </c>
      <c r="P3434" s="92"/>
      <c r="Q3434" s="96">
        <v>7892.21</v>
      </c>
      <c r="R3434" s="92"/>
      <c r="S3434" s="96">
        <v>1346.92</v>
      </c>
      <c r="T3434" s="92"/>
      <c r="U3434" s="95">
        <v>3.72044</v>
      </c>
      <c r="V3434" s="92"/>
      <c r="W3434" s="91">
        <v>43.343800000000002</v>
      </c>
      <c r="X3434" s="92"/>
      <c r="Y3434" s="91">
        <v>7.3971999999999998</v>
      </c>
      <c r="Z3434" s="92"/>
      <c r="AA3434" s="94">
        <v>506.08</v>
      </c>
      <c r="AB3434" s="92"/>
      <c r="AC3434" s="91">
        <v>61.773699999999998</v>
      </c>
      <c r="AD3434" s="92"/>
      <c r="AE3434" s="97">
        <v>1</v>
      </c>
      <c r="AF3434" s="92"/>
      <c r="AG3434" s="95">
        <v>7.7374900000000002</v>
      </c>
      <c r="AH3434" s="92"/>
      <c r="AI3434" s="96">
        <v>8.75</v>
      </c>
      <c r="AJ3434" s="92"/>
      <c r="AK3434" s="91">
        <v>25.534600000000001</v>
      </c>
      <c r="AL3434" s="92"/>
      <c r="AM3434" s="91">
        <v>36.771599999999999</v>
      </c>
      <c r="AN3434" s="92"/>
      <c r="AO3434" s="95">
        <v>6.7832600000000003</v>
      </c>
    </row>
    <row r="3435" spans="2:41" ht="13" x14ac:dyDescent="0.3">
      <c r="B3435" s="25" t="str">
        <f>"PROM-"&amp;MONTH(B3434)&amp;YEAR(B3434)</f>
        <v>PROM-12025</v>
      </c>
      <c r="C3435" s="19">
        <f>AVERAGE(C3404:C3434)</f>
        <v>20.571316129032262</v>
      </c>
      <c r="E3435" s="24">
        <f>AVERAGE(E3404:E3434)</f>
        <v>0.96639058064516126</v>
      </c>
      <c r="G3435" s="42">
        <f>AVERAGE(G3404:G3434)</f>
        <v>1040.9161290322579</v>
      </c>
      <c r="I3435" s="23">
        <f>AVERAGE(I3404:I3434)</f>
        <v>6.9146183870967723</v>
      </c>
      <c r="K3435" s="23">
        <f>AVERAGE(K3404:K3434)</f>
        <v>6.0444325806451591</v>
      </c>
      <c r="M3435" s="42">
        <f>AVERAGE(M3404:M3434)</f>
        <v>1000.961741935484</v>
      </c>
      <c r="O3435" s="80">
        <f>AVERAGE(O3404:O3434)</f>
        <v>4298.0838709677409</v>
      </c>
      <c r="Q3435" s="80">
        <f>AVERAGE(Q3404:Q3434)</f>
        <v>7874.8325806451612</v>
      </c>
      <c r="S3435" s="80">
        <f>AVERAGE(S3404:S3434)</f>
        <v>1303.3267741935483</v>
      </c>
      <c r="U3435" s="23">
        <f>AVERAGE(U3404:U3434)</f>
        <v>3.749340322580645</v>
      </c>
      <c r="W3435" s="19">
        <f>AVERAGE(W3404:W3434)</f>
        <v>43.799341935483874</v>
      </c>
      <c r="Y3435" s="19">
        <f>AVERAGE(Y3404:Y3434)</f>
        <v>7.2480741935483861</v>
      </c>
      <c r="AA3435" s="42">
        <f>AVERAGE(AA3404:AA3434)</f>
        <v>506.17841935483875</v>
      </c>
      <c r="AC3435" s="19">
        <f>AVERAGE(AC3404:AC3434)</f>
        <v>61.395809677419351</v>
      </c>
      <c r="AE3435" s="88">
        <f>AVERAGE(AE3404:AE3434)</f>
        <v>1</v>
      </c>
      <c r="AG3435" s="23">
        <f>AVERAGE(AG3404:AG3434)</f>
        <v>7.7232874193548398</v>
      </c>
      <c r="AI3435" s="80">
        <f>AVERAGE(AI3404:AI3434)</f>
        <v>8.75</v>
      </c>
      <c r="AK3435" s="19">
        <f>AVERAGE(AK3404:AK3434)</f>
        <v>25.469774193548382</v>
      </c>
      <c r="AM3435" s="19">
        <f>AVERAGE(AM3404:AM3434)</f>
        <v>36.792567741935493</v>
      </c>
      <c r="AO3435" s="23">
        <f>AVERAGE(AO3404:AO3434)</f>
        <v>6.7924712903225828</v>
      </c>
    </row>
    <row r="3436" spans="2:41" x14ac:dyDescent="0.25">
      <c r="B3436" s="21">
        <v>45689</v>
      </c>
      <c r="C3436" s="91">
        <v>20.4497</v>
      </c>
      <c r="E3436" s="83">
        <v>0.96515799999999996</v>
      </c>
      <c r="G3436" s="84">
        <v>1051.2</v>
      </c>
      <c r="I3436" s="85">
        <v>6.9082600000000003</v>
      </c>
      <c r="K3436" s="85">
        <v>5.8418799999999997</v>
      </c>
      <c r="M3436" s="84">
        <v>983.32</v>
      </c>
      <c r="O3436" s="86">
        <v>4204.45</v>
      </c>
      <c r="Q3436" s="86">
        <v>7886.22</v>
      </c>
      <c r="S3436" s="86">
        <v>1349.96</v>
      </c>
      <c r="U3436" s="85">
        <v>3.72092</v>
      </c>
      <c r="W3436" s="81">
        <v>43.275700000000001</v>
      </c>
      <c r="Y3436" s="81">
        <v>7.4078799999999996</v>
      </c>
      <c r="AA3436" s="84">
        <v>504.66300000000001</v>
      </c>
      <c r="AC3436" s="81">
        <v>61.757800000000003</v>
      </c>
      <c r="AE3436" s="87">
        <v>1</v>
      </c>
      <c r="AG3436" s="85">
        <v>7.73367</v>
      </c>
      <c r="AI3436" s="86">
        <v>8.75</v>
      </c>
      <c r="AK3436" s="81">
        <v>25.465299999999999</v>
      </c>
      <c r="AM3436" s="81">
        <v>36.784100000000002</v>
      </c>
      <c r="AO3436" s="85">
        <v>6.7811000000000003</v>
      </c>
    </row>
    <row r="3437" spans="2:41" x14ac:dyDescent="0.25">
      <c r="B3437" s="21">
        <v>45690</v>
      </c>
      <c r="C3437" s="91">
        <v>20.4497</v>
      </c>
      <c r="E3437" s="83">
        <v>0.96598600000000001</v>
      </c>
      <c r="G3437" s="84">
        <v>1052.28</v>
      </c>
      <c r="I3437" s="85">
        <v>6.9082600000000003</v>
      </c>
      <c r="K3437" s="85">
        <v>5.8418799999999997</v>
      </c>
      <c r="M3437" s="84">
        <v>983.32</v>
      </c>
      <c r="O3437" s="86">
        <v>4204.45</v>
      </c>
      <c r="Q3437" s="86">
        <v>7886.22</v>
      </c>
      <c r="S3437" s="86">
        <v>1349.96</v>
      </c>
      <c r="U3437" s="85">
        <v>3.72092</v>
      </c>
      <c r="W3437" s="81">
        <v>43.275700000000001</v>
      </c>
      <c r="Y3437" s="81">
        <v>7.4078799999999996</v>
      </c>
      <c r="AA3437" s="84">
        <v>504.66300000000001</v>
      </c>
      <c r="AC3437" s="81">
        <v>61.757800000000003</v>
      </c>
      <c r="AE3437" s="87">
        <v>1</v>
      </c>
      <c r="AG3437" s="85">
        <v>7.73367</v>
      </c>
      <c r="AI3437" s="86">
        <v>8.75</v>
      </c>
      <c r="AK3437" s="81">
        <v>25.465299999999999</v>
      </c>
      <c r="AM3437" s="81">
        <v>36.784100000000002</v>
      </c>
      <c r="AO3437" s="85">
        <v>6.7811000000000003</v>
      </c>
    </row>
    <row r="3438" spans="2:41" x14ac:dyDescent="0.25">
      <c r="B3438" s="21">
        <v>45691</v>
      </c>
      <c r="C3438" s="91">
        <v>20.4497</v>
      </c>
      <c r="E3438" s="83">
        <v>0.97418400000000005</v>
      </c>
      <c r="G3438" s="84">
        <v>1056.28</v>
      </c>
      <c r="I3438" s="85">
        <v>6.9376100000000003</v>
      </c>
      <c r="K3438" s="85">
        <v>5.8389199999999999</v>
      </c>
      <c r="M3438" s="84">
        <v>988.67200000000003</v>
      </c>
      <c r="O3438" s="86">
        <v>4196.72</v>
      </c>
      <c r="Q3438" s="86">
        <v>7911.78</v>
      </c>
      <c r="S3438" s="86">
        <v>1355.02</v>
      </c>
      <c r="U3438" s="85">
        <v>3.7422200000000001</v>
      </c>
      <c r="W3438" s="81">
        <v>43.476199999999999</v>
      </c>
      <c r="Y3438" s="81">
        <v>7.44597</v>
      </c>
      <c r="AA3438" s="84">
        <v>508.161</v>
      </c>
      <c r="AC3438" s="81">
        <v>62.138500000000001</v>
      </c>
      <c r="AE3438" s="87">
        <v>1</v>
      </c>
      <c r="AG3438" s="85">
        <v>7.76234</v>
      </c>
      <c r="AI3438" s="86">
        <v>8.75</v>
      </c>
      <c r="AK3438" s="81">
        <v>25.5656</v>
      </c>
      <c r="AM3438" s="81">
        <v>36.921700000000001</v>
      </c>
      <c r="AO3438" s="85">
        <v>6.8036399999999997</v>
      </c>
    </row>
    <row r="3439" spans="2:41" x14ac:dyDescent="0.25">
      <c r="B3439" s="21">
        <v>45692</v>
      </c>
      <c r="C3439" s="91">
        <v>20.6068</v>
      </c>
      <c r="E3439" s="83">
        <v>0.96684800000000004</v>
      </c>
      <c r="G3439" s="84">
        <v>1053.46</v>
      </c>
      <c r="I3439" s="85">
        <v>6.9083199999999998</v>
      </c>
      <c r="K3439" s="85">
        <v>5.79894</v>
      </c>
      <c r="M3439" s="84">
        <v>982.17200000000003</v>
      </c>
      <c r="O3439" s="86">
        <v>4162.0600000000004</v>
      </c>
      <c r="Q3439" s="86">
        <v>7874.18</v>
      </c>
      <c r="S3439" s="86">
        <v>1357.87</v>
      </c>
      <c r="U3439" s="85">
        <v>3.7107000000000001</v>
      </c>
      <c r="W3439" s="81">
        <v>43.194200000000002</v>
      </c>
      <c r="Y3439" s="81">
        <v>7.4486600000000003</v>
      </c>
      <c r="AA3439" s="84">
        <v>507.38099999999997</v>
      </c>
      <c r="AC3439" s="81">
        <v>61.931899999999999</v>
      </c>
      <c r="AE3439" s="87">
        <v>1</v>
      </c>
      <c r="AG3439" s="85">
        <v>7.7281199999999997</v>
      </c>
      <c r="AI3439" s="86">
        <v>8.75</v>
      </c>
      <c r="AK3439" s="81">
        <v>25.456</v>
      </c>
      <c r="AM3439" s="81">
        <v>36.7408</v>
      </c>
      <c r="AO3439" s="85">
        <v>6.7739599999999998</v>
      </c>
    </row>
    <row r="3440" spans="2:41" x14ac:dyDescent="0.25">
      <c r="B3440" s="21">
        <v>45693</v>
      </c>
      <c r="C3440" s="91">
        <v>20.4268</v>
      </c>
      <c r="E3440" s="83">
        <v>0.961364</v>
      </c>
      <c r="G3440" s="84">
        <v>1053.76</v>
      </c>
      <c r="I3440" s="85">
        <v>6.9080199999999996</v>
      </c>
      <c r="K3440" s="85">
        <v>5.7803000000000004</v>
      </c>
      <c r="M3440" s="84">
        <v>971.38300000000004</v>
      </c>
      <c r="O3440" s="86">
        <v>4170.26</v>
      </c>
      <c r="Q3440" s="86">
        <v>7880.58</v>
      </c>
      <c r="S3440" s="86">
        <v>1363.36</v>
      </c>
      <c r="U3440" s="85">
        <v>3.7094200000000002</v>
      </c>
      <c r="W3440" s="81">
        <v>43.332000000000001</v>
      </c>
      <c r="Y3440" s="81">
        <v>7.4965200000000003</v>
      </c>
      <c r="AA3440" s="84">
        <v>507.04599999999999</v>
      </c>
      <c r="AC3440" s="81">
        <v>61.795299999999997</v>
      </c>
      <c r="AE3440" s="87">
        <v>1</v>
      </c>
      <c r="AG3440" s="85">
        <v>7.7304000000000004</v>
      </c>
      <c r="AI3440" s="86">
        <v>8.75</v>
      </c>
      <c r="AK3440" s="81">
        <v>25.441199999999998</v>
      </c>
      <c r="AM3440" s="81">
        <v>36.731400000000001</v>
      </c>
      <c r="AO3440" s="85">
        <v>6.7782400000000003</v>
      </c>
    </row>
    <row r="3441" spans="2:41" x14ac:dyDescent="0.25">
      <c r="B3441" s="21">
        <v>45694</v>
      </c>
      <c r="C3441" s="91">
        <v>20.636299999999999</v>
      </c>
      <c r="E3441" s="83">
        <v>0.963422</v>
      </c>
      <c r="G3441" s="84">
        <v>1053.92</v>
      </c>
      <c r="I3441" s="85">
        <v>6.9226200000000002</v>
      </c>
      <c r="K3441" s="85">
        <v>5.7906500000000003</v>
      </c>
      <c r="M3441" s="84">
        <v>967.67100000000005</v>
      </c>
      <c r="O3441" s="86">
        <v>4164.42</v>
      </c>
      <c r="Q3441" s="86">
        <v>7884.84</v>
      </c>
      <c r="S3441" s="86">
        <v>1361.66</v>
      </c>
      <c r="U3441" s="85">
        <v>3.71454</v>
      </c>
      <c r="W3441" s="81">
        <v>43.538600000000002</v>
      </c>
      <c r="Y3441" s="81">
        <v>7.5188100000000002</v>
      </c>
      <c r="AA3441" s="84">
        <v>508.15600000000001</v>
      </c>
      <c r="AC3441" s="81">
        <v>61.988300000000002</v>
      </c>
      <c r="AE3441" s="87">
        <v>1</v>
      </c>
      <c r="AG3441" s="85">
        <v>7.7446000000000002</v>
      </c>
      <c r="AI3441" s="86">
        <v>8.75</v>
      </c>
      <c r="AK3441" s="81">
        <v>25.559799999999999</v>
      </c>
      <c r="AM3441" s="81">
        <v>36.769599999999997</v>
      </c>
      <c r="AO3441" s="85">
        <v>6.7863499999999997</v>
      </c>
    </row>
    <row r="3442" spans="2:41" x14ac:dyDescent="0.25">
      <c r="B3442" s="21">
        <v>45695</v>
      </c>
      <c r="C3442" s="91">
        <v>20.512499999999999</v>
      </c>
      <c r="E3442" s="83">
        <v>0.96491499999999997</v>
      </c>
      <c r="G3442" s="84">
        <v>1053.72</v>
      </c>
      <c r="I3442" s="85">
        <v>6.9111399999999996</v>
      </c>
      <c r="K3442" s="85">
        <v>5.7740799999999997</v>
      </c>
      <c r="M3442" s="84">
        <v>962.58199999999999</v>
      </c>
      <c r="O3442" s="86">
        <v>4133.22</v>
      </c>
      <c r="Q3442" s="86">
        <v>7868.9</v>
      </c>
      <c r="S3442" s="86">
        <v>1362.8</v>
      </c>
      <c r="U3442" s="85">
        <v>3.7133099999999999</v>
      </c>
      <c r="W3442" s="81">
        <v>43.465299999999999</v>
      </c>
      <c r="Y3442" s="81">
        <v>7.5276800000000001</v>
      </c>
      <c r="AA3442" s="84">
        <v>508.08100000000002</v>
      </c>
      <c r="AC3442" s="81">
        <v>62.008800000000001</v>
      </c>
      <c r="AE3442" s="87">
        <v>1</v>
      </c>
      <c r="AG3442" s="85">
        <v>7.72858</v>
      </c>
      <c r="AI3442" s="86">
        <v>8.75</v>
      </c>
      <c r="AK3442" s="81">
        <v>25.548500000000001</v>
      </c>
      <c r="AM3442" s="81">
        <v>36.759</v>
      </c>
      <c r="AO3442" s="85">
        <v>6.7760199999999999</v>
      </c>
    </row>
    <row r="3443" spans="2:41" x14ac:dyDescent="0.25">
      <c r="B3443" s="21">
        <v>45696</v>
      </c>
      <c r="C3443" s="91">
        <v>20.512499999999999</v>
      </c>
      <c r="E3443" s="83">
        <v>0.96830799999999995</v>
      </c>
      <c r="G3443" s="84">
        <v>1053.52</v>
      </c>
      <c r="I3443" s="85">
        <v>6.91</v>
      </c>
      <c r="K3443" s="85">
        <v>5.8056999999999999</v>
      </c>
      <c r="M3443" s="84">
        <v>963.38</v>
      </c>
      <c r="O3443" s="86">
        <v>4120.28</v>
      </c>
      <c r="Q3443" s="86">
        <v>7876.92</v>
      </c>
      <c r="S3443" s="86">
        <v>1356.76</v>
      </c>
      <c r="U3443" s="85">
        <v>3.7176</v>
      </c>
      <c r="W3443" s="81">
        <v>43.483199999999997</v>
      </c>
      <c r="Y3443" s="81">
        <v>7.4897499999999999</v>
      </c>
      <c r="AA3443" s="84">
        <v>508.59</v>
      </c>
      <c r="AC3443" s="81">
        <v>62.122500000000002</v>
      </c>
      <c r="AE3443" s="87">
        <v>1</v>
      </c>
      <c r="AG3443" s="85">
        <v>7.7304599999999999</v>
      </c>
      <c r="AI3443" s="86">
        <v>8.75</v>
      </c>
      <c r="AK3443" s="81">
        <v>25.64</v>
      </c>
      <c r="AM3443" s="81">
        <v>36.759799999999998</v>
      </c>
      <c r="AO3443" s="85">
        <v>6.7784000000000004</v>
      </c>
    </row>
    <row r="3444" spans="2:41" x14ac:dyDescent="0.25">
      <c r="B3444" s="21">
        <v>45697</v>
      </c>
      <c r="C3444" s="91">
        <v>20.512499999999999</v>
      </c>
      <c r="E3444" s="83">
        <v>0.96849200000000002</v>
      </c>
      <c r="G3444" s="84">
        <v>1054.24</v>
      </c>
      <c r="I3444" s="85">
        <v>6.91</v>
      </c>
      <c r="K3444" s="85">
        <v>5.8056999999999999</v>
      </c>
      <c r="M3444" s="84">
        <v>963.38</v>
      </c>
      <c r="O3444" s="86">
        <v>4120.28</v>
      </c>
      <c r="Q3444" s="86">
        <v>7876.92</v>
      </c>
      <c r="S3444" s="86">
        <v>1356.76</v>
      </c>
      <c r="U3444" s="85">
        <v>3.7176</v>
      </c>
      <c r="W3444" s="81">
        <v>43.483199999999997</v>
      </c>
      <c r="Y3444" s="81">
        <v>7.4897499999999999</v>
      </c>
      <c r="AA3444" s="84">
        <v>508.59</v>
      </c>
      <c r="AC3444" s="81">
        <v>62.122500000000002</v>
      </c>
      <c r="AE3444" s="87">
        <v>1</v>
      </c>
      <c r="AG3444" s="85">
        <v>7.7304599999999999</v>
      </c>
      <c r="AI3444" s="86">
        <v>8.75</v>
      </c>
      <c r="AK3444" s="81">
        <v>25.64</v>
      </c>
      <c r="AM3444" s="81">
        <v>36.759799999999998</v>
      </c>
      <c r="AO3444" s="85">
        <v>6.7784000000000004</v>
      </c>
    </row>
    <row r="3445" spans="2:41" x14ac:dyDescent="0.25">
      <c r="B3445" s="21">
        <v>45698</v>
      </c>
      <c r="C3445" s="91">
        <v>20.551200000000001</v>
      </c>
      <c r="E3445" s="83">
        <v>0.96958599999999995</v>
      </c>
      <c r="G3445" s="84">
        <v>1056.5899999999999</v>
      </c>
      <c r="I3445" s="85">
        <v>6.9441199999999998</v>
      </c>
      <c r="K3445" s="85">
        <v>5.8036599999999998</v>
      </c>
      <c r="M3445" s="84">
        <v>962.72199999999998</v>
      </c>
      <c r="O3445" s="86">
        <v>4138.9799999999996</v>
      </c>
      <c r="Q3445" s="86">
        <v>7917.31</v>
      </c>
      <c r="S3445" s="86">
        <v>1364.2</v>
      </c>
      <c r="U3445" s="85">
        <v>3.72648</v>
      </c>
      <c r="W3445" s="81">
        <v>43.673999999999999</v>
      </c>
      <c r="Y3445" s="81">
        <v>7.5252699999999999</v>
      </c>
      <c r="AA3445" s="84">
        <v>511.666</v>
      </c>
      <c r="AC3445" s="81">
        <v>62.311599999999999</v>
      </c>
      <c r="AE3445" s="87">
        <v>1</v>
      </c>
      <c r="AG3445" s="85">
        <v>7.7617200000000004</v>
      </c>
      <c r="AI3445" s="86">
        <v>8.75</v>
      </c>
      <c r="AK3445" s="81">
        <v>25.631900000000002</v>
      </c>
      <c r="AM3445" s="81">
        <v>36.924599999999998</v>
      </c>
      <c r="AO3445" s="85">
        <v>6.8133400000000002</v>
      </c>
    </row>
    <row r="3446" spans="2:41" x14ac:dyDescent="0.25">
      <c r="B3446" s="21">
        <v>45699</v>
      </c>
      <c r="C3446" s="91">
        <v>20.6693</v>
      </c>
      <c r="E3446" s="83">
        <v>0.96837600000000001</v>
      </c>
      <c r="G3446" s="84">
        <v>1055.8399999999999</v>
      </c>
      <c r="I3446" s="85">
        <v>6.9359799999999998</v>
      </c>
      <c r="K3446" s="85">
        <v>5.7821400000000001</v>
      </c>
      <c r="M3446" s="84">
        <v>961.73599999999999</v>
      </c>
      <c r="O3446" s="86">
        <v>4137.62</v>
      </c>
      <c r="Q3446" s="86">
        <v>7907.68</v>
      </c>
      <c r="S3446" s="86">
        <v>1367.61</v>
      </c>
      <c r="U3446" s="85">
        <v>3.7133600000000002</v>
      </c>
      <c r="W3446" s="81">
        <v>43.554000000000002</v>
      </c>
      <c r="Y3446" s="81">
        <v>7.5325300000000004</v>
      </c>
      <c r="AA3446" s="84">
        <v>510.892</v>
      </c>
      <c r="AC3446" s="81">
        <v>62.260800000000003</v>
      </c>
      <c r="AE3446" s="87">
        <v>1</v>
      </c>
      <c r="AG3446" s="85">
        <v>7.7499599999999997</v>
      </c>
      <c r="AI3446" s="86">
        <v>8.75</v>
      </c>
      <c r="AK3446" s="81">
        <v>25.564</v>
      </c>
      <c r="AM3446" s="81">
        <v>36.8474</v>
      </c>
      <c r="AO3446" s="85">
        <v>6.80593</v>
      </c>
    </row>
    <row r="3447" spans="2:41" x14ac:dyDescent="0.25">
      <c r="B3447" s="21">
        <v>45700</v>
      </c>
      <c r="C3447" s="91">
        <v>20.568000000000001</v>
      </c>
      <c r="E3447" s="83">
        <v>0.96411100000000005</v>
      </c>
      <c r="G3447" s="84">
        <v>1055.22</v>
      </c>
      <c r="I3447" s="85">
        <v>6.9231999999999996</v>
      </c>
      <c r="K3447" s="85">
        <v>5.7647199999999996</v>
      </c>
      <c r="M3447" s="84">
        <v>959.57899999999995</v>
      </c>
      <c r="O3447" s="86">
        <v>4149.96</v>
      </c>
      <c r="Q3447" s="86">
        <v>7895.46</v>
      </c>
      <c r="S3447" s="86">
        <v>1369.62</v>
      </c>
      <c r="U3447" s="85">
        <v>3.7118600000000002</v>
      </c>
      <c r="W3447" s="81">
        <v>43.487400000000001</v>
      </c>
      <c r="Y3447" s="81">
        <v>7.5437500000000002</v>
      </c>
      <c r="AA3447" s="84">
        <v>509.49200000000002</v>
      </c>
      <c r="AC3447" s="81">
        <v>62.215000000000003</v>
      </c>
      <c r="AE3447" s="87">
        <v>1</v>
      </c>
      <c r="AG3447" s="85">
        <v>7.7409400000000002</v>
      </c>
      <c r="AI3447" s="86">
        <v>8.75</v>
      </c>
      <c r="AK3447" s="81">
        <v>25.622299999999999</v>
      </c>
      <c r="AM3447" s="81">
        <v>36.779299999999999</v>
      </c>
      <c r="AO3447" s="85">
        <v>6.7967599999999999</v>
      </c>
    </row>
    <row r="3448" spans="2:41" x14ac:dyDescent="0.25">
      <c r="B3448" s="21">
        <v>45701</v>
      </c>
      <c r="C3448" s="91">
        <v>20.491700000000002</v>
      </c>
      <c r="E3448" s="83">
        <v>0.95932399999999995</v>
      </c>
      <c r="G3448" s="84">
        <v>1056.54</v>
      </c>
      <c r="I3448" s="85">
        <v>6.9231199999999999</v>
      </c>
      <c r="K3448" s="85">
        <v>5.7698400000000003</v>
      </c>
      <c r="M3448" s="84">
        <v>955.28899999999999</v>
      </c>
      <c r="O3448" s="86">
        <v>4159.3</v>
      </c>
      <c r="Q3448" s="86">
        <v>7888.6</v>
      </c>
      <c r="S3448" s="86">
        <v>1367.22</v>
      </c>
      <c r="U3448" s="85">
        <v>3.71258</v>
      </c>
      <c r="W3448" s="81">
        <v>43.444200000000002</v>
      </c>
      <c r="Y3448" s="81">
        <v>7.52956</v>
      </c>
      <c r="AA3448" s="84">
        <v>509.37400000000002</v>
      </c>
      <c r="AC3448" s="81">
        <v>62.076900000000002</v>
      </c>
      <c r="AE3448" s="87">
        <v>1</v>
      </c>
      <c r="AG3448" s="85">
        <v>7.7389000000000001</v>
      </c>
      <c r="AI3448" s="86">
        <v>8.75</v>
      </c>
      <c r="AK3448" s="81">
        <v>25.513200000000001</v>
      </c>
      <c r="AM3448" s="81">
        <v>36.778399999999998</v>
      </c>
      <c r="AO3448" s="85">
        <v>6.7965600000000004</v>
      </c>
    </row>
    <row r="3449" spans="2:41" x14ac:dyDescent="0.25">
      <c r="B3449" s="21">
        <v>45702</v>
      </c>
      <c r="C3449" s="91">
        <v>20.497800000000002</v>
      </c>
      <c r="E3449" s="83">
        <v>0.95424399999999998</v>
      </c>
      <c r="G3449" s="84">
        <v>1056.6199999999999</v>
      </c>
      <c r="I3449" s="85">
        <v>6.9035599999999997</v>
      </c>
      <c r="K3449" s="85">
        <v>5.7443200000000001</v>
      </c>
      <c r="M3449" s="84">
        <v>951.98400000000004</v>
      </c>
      <c r="O3449" s="86">
        <v>4130.71</v>
      </c>
      <c r="Q3449" s="86">
        <v>7864.98</v>
      </c>
      <c r="S3449" s="86">
        <v>1369.18</v>
      </c>
      <c r="U3449" s="85">
        <v>3.7083599999999999</v>
      </c>
      <c r="W3449" s="81">
        <v>43.303199999999997</v>
      </c>
      <c r="Y3449" s="81">
        <v>7.5384700000000002</v>
      </c>
      <c r="AA3449" s="84">
        <v>508.024</v>
      </c>
      <c r="AC3449" s="81">
        <v>62.074599999999997</v>
      </c>
      <c r="AE3449" s="87">
        <v>1</v>
      </c>
      <c r="AG3449" s="85">
        <v>7.7179399999999996</v>
      </c>
      <c r="AI3449" s="86">
        <v>8.75</v>
      </c>
      <c r="AK3449" s="81">
        <v>25.589200000000002</v>
      </c>
      <c r="AM3449" s="81">
        <v>36.759</v>
      </c>
      <c r="AO3449" s="85">
        <v>6.7777099999999999</v>
      </c>
    </row>
    <row r="3450" spans="2:41" x14ac:dyDescent="0.25">
      <c r="B3450" s="21">
        <v>45703</v>
      </c>
      <c r="C3450" s="91">
        <v>20.497800000000002</v>
      </c>
      <c r="E3450" s="83">
        <v>0.95313000000000003</v>
      </c>
      <c r="G3450" s="84">
        <v>1056.2</v>
      </c>
      <c r="I3450" s="85">
        <v>6.9002800000000004</v>
      </c>
      <c r="K3450" s="85">
        <v>5.7047400000000001</v>
      </c>
      <c r="M3450" s="84">
        <v>951.19</v>
      </c>
      <c r="O3450" s="86">
        <v>4118.68</v>
      </c>
      <c r="Q3450" s="86">
        <v>7863.3</v>
      </c>
      <c r="S3450" s="86">
        <v>1378.39</v>
      </c>
      <c r="U3450" s="85">
        <v>3.7122000000000002</v>
      </c>
      <c r="W3450" s="81">
        <v>43.333399999999997</v>
      </c>
      <c r="Y3450" s="81">
        <v>7.5960599999999996</v>
      </c>
      <c r="AA3450" s="84">
        <v>506.84</v>
      </c>
      <c r="AC3450" s="81">
        <v>62.372500000000002</v>
      </c>
      <c r="AE3450" s="87">
        <v>1</v>
      </c>
      <c r="AG3450" s="85">
        <v>7.7166899999999998</v>
      </c>
      <c r="AI3450" s="86">
        <v>8.75</v>
      </c>
      <c r="AK3450" s="81">
        <v>25.625</v>
      </c>
      <c r="AM3450" s="81">
        <v>36.754800000000003</v>
      </c>
      <c r="AO3450" s="85">
        <v>6.7743399999999996</v>
      </c>
    </row>
    <row r="3451" spans="2:41" x14ac:dyDescent="0.25">
      <c r="B3451" s="21">
        <v>45704</v>
      </c>
      <c r="C3451" s="91">
        <v>20.497800000000002</v>
      </c>
      <c r="E3451" s="83">
        <v>0.953152</v>
      </c>
      <c r="G3451" s="84">
        <v>1056.0899999999999</v>
      </c>
      <c r="I3451" s="85">
        <v>6.9002800000000004</v>
      </c>
      <c r="K3451" s="85">
        <v>5.7047400000000001</v>
      </c>
      <c r="M3451" s="84">
        <v>951.19</v>
      </c>
      <c r="O3451" s="86">
        <v>4118.68</v>
      </c>
      <c r="Q3451" s="86">
        <v>7863.3</v>
      </c>
      <c r="S3451" s="86">
        <v>1378.39</v>
      </c>
      <c r="U3451" s="85">
        <v>3.7122000000000002</v>
      </c>
      <c r="W3451" s="81">
        <v>43.333399999999997</v>
      </c>
      <c r="Y3451" s="81">
        <v>7.5960599999999996</v>
      </c>
      <c r="AA3451" s="84">
        <v>506.84</v>
      </c>
      <c r="AC3451" s="81">
        <v>62.372500000000002</v>
      </c>
      <c r="AE3451" s="87">
        <v>1</v>
      </c>
      <c r="AG3451" s="85">
        <v>7.7166899999999998</v>
      </c>
      <c r="AI3451" s="86">
        <v>8.75</v>
      </c>
      <c r="AK3451" s="81">
        <v>25.625</v>
      </c>
      <c r="AM3451" s="81">
        <v>36.754800000000003</v>
      </c>
      <c r="AO3451" s="85">
        <v>6.7743399999999996</v>
      </c>
    </row>
    <row r="3452" spans="2:41" x14ac:dyDescent="0.25">
      <c r="B3452" s="21">
        <v>45705</v>
      </c>
      <c r="C3452" s="91">
        <v>20.308199999999999</v>
      </c>
      <c r="E3452" s="83">
        <v>0.95379100000000006</v>
      </c>
      <c r="G3452" s="84">
        <v>1057.04</v>
      </c>
      <c r="I3452" s="85">
        <v>6.9027000000000003</v>
      </c>
      <c r="K3452" s="85">
        <v>5.7099599999999997</v>
      </c>
      <c r="M3452" s="84">
        <v>946.89099999999996</v>
      </c>
      <c r="O3452" s="86">
        <v>4126.92</v>
      </c>
      <c r="Q3452" s="86">
        <v>7867.82</v>
      </c>
      <c r="S3452" s="86">
        <v>1377.92</v>
      </c>
      <c r="U3452" s="85">
        <v>3.70248</v>
      </c>
      <c r="W3452" s="81">
        <v>43.302700000000002</v>
      </c>
      <c r="Y3452" s="81">
        <v>7.5837399999999997</v>
      </c>
      <c r="AA3452" s="84">
        <v>505.95</v>
      </c>
      <c r="AC3452" s="81">
        <v>62.031399999999998</v>
      </c>
      <c r="AE3452" s="87">
        <v>1</v>
      </c>
      <c r="AG3452" s="85">
        <v>7.7047699999999999</v>
      </c>
      <c r="AI3452" s="86">
        <v>8.75</v>
      </c>
      <c r="AK3452" s="81">
        <v>25.473600000000001</v>
      </c>
      <c r="AM3452" s="81">
        <v>36.727499999999999</v>
      </c>
      <c r="AO3452" s="85">
        <v>6.7732599999999996</v>
      </c>
    </row>
    <row r="3453" spans="2:41" x14ac:dyDescent="0.25">
      <c r="B3453" s="21">
        <v>45706</v>
      </c>
      <c r="C3453" s="91">
        <v>20.283000000000001</v>
      </c>
      <c r="E3453" s="83">
        <v>0.95631600000000005</v>
      </c>
      <c r="G3453" s="84">
        <v>1058.8599999999999</v>
      </c>
      <c r="I3453" s="85">
        <v>6.9149799999999999</v>
      </c>
      <c r="K3453" s="85">
        <v>5.7044800000000002</v>
      </c>
      <c r="M3453" s="84">
        <v>948.89599999999996</v>
      </c>
      <c r="O3453" s="86">
        <v>4120.34</v>
      </c>
      <c r="Q3453" s="86">
        <v>7884.36</v>
      </c>
      <c r="S3453" s="86">
        <v>1382.14</v>
      </c>
      <c r="U3453" s="85">
        <v>3.6961300000000001</v>
      </c>
      <c r="W3453" s="81">
        <v>43.328400000000002</v>
      </c>
      <c r="Y3453" s="81">
        <v>7.5955199999999996</v>
      </c>
      <c r="AA3453" s="84">
        <v>506.286</v>
      </c>
      <c r="AC3453" s="81">
        <v>62.152099999999997</v>
      </c>
      <c r="AE3453" s="87">
        <v>1</v>
      </c>
      <c r="AG3453" s="85">
        <v>7.7155800000000001</v>
      </c>
      <c r="AI3453" s="86">
        <v>8.75</v>
      </c>
      <c r="AK3453" s="81">
        <v>25.538499999999999</v>
      </c>
      <c r="AM3453" s="81">
        <v>36.796399999999998</v>
      </c>
      <c r="AO3453" s="85">
        <v>6.7787100000000002</v>
      </c>
    </row>
    <row r="3454" spans="2:41" x14ac:dyDescent="0.25">
      <c r="B3454" s="21">
        <v>45707</v>
      </c>
      <c r="C3454" s="91">
        <v>20.261700000000001</v>
      </c>
      <c r="E3454" s="83">
        <v>0.95837899999999998</v>
      </c>
      <c r="G3454" s="84">
        <v>1058.3399999999999</v>
      </c>
      <c r="I3454" s="85">
        <v>6.9106399999999999</v>
      </c>
      <c r="K3454" s="85">
        <v>5.7022500000000003</v>
      </c>
      <c r="M3454" s="84">
        <v>950.38900000000001</v>
      </c>
      <c r="O3454" s="86">
        <v>4095.31</v>
      </c>
      <c r="Q3454" s="86">
        <v>7889.61</v>
      </c>
      <c r="S3454" s="86">
        <v>1383.6</v>
      </c>
      <c r="U3454" s="85">
        <v>3.69014</v>
      </c>
      <c r="W3454" s="81">
        <v>43.2654</v>
      </c>
      <c r="Y3454" s="81">
        <v>7.58744</v>
      </c>
      <c r="AA3454" s="84">
        <v>505.95600000000002</v>
      </c>
      <c r="AC3454" s="81">
        <v>62.253599999999999</v>
      </c>
      <c r="AE3454" s="87">
        <v>1</v>
      </c>
      <c r="AG3454" s="85">
        <v>7.7156000000000002</v>
      </c>
      <c r="AI3454" s="86">
        <v>8.75</v>
      </c>
      <c r="AK3454" s="81">
        <v>25.591000000000001</v>
      </c>
      <c r="AM3454" s="81">
        <v>36.809600000000003</v>
      </c>
      <c r="AO3454" s="85">
        <v>6.7748999999999997</v>
      </c>
    </row>
    <row r="3455" spans="2:41" x14ac:dyDescent="0.25">
      <c r="B3455" s="21">
        <v>45708</v>
      </c>
      <c r="C3455" s="91">
        <v>20.4208</v>
      </c>
      <c r="E3455" s="83">
        <v>0.95646500000000001</v>
      </c>
      <c r="G3455" s="84">
        <v>1058.76</v>
      </c>
      <c r="I3455" s="85">
        <v>6.9100599999999996</v>
      </c>
      <c r="K3455" s="85">
        <v>5.7139300000000004</v>
      </c>
      <c r="M3455" s="84">
        <v>947.66399999999999</v>
      </c>
      <c r="O3455" s="86">
        <v>4088.13</v>
      </c>
      <c r="Q3455" s="86">
        <v>7897.02</v>
      </c>
      <c r="S3455" s="86">
        <v>1382.08</v>
      </c>
      <c r="U3455" s="85">
        <v>3.6847599999999998</v>
      </c>
      <c r="W3455" s="81">
        <v>43.227800000000002</v>
      </c>
      <c r="Y3455" s="81">
        <v>7.5653800000000002</v>
      </c>
      <c r="AA3455" s="84">
        <v>505.916</v>
      </c>
      <c r="AC3455" s="81">
        <v>62.270400000000002</v>
      </c>
      <c r="AE3455" s="87">
        <v>1</v>
      </c>
      <c r="AG3455" s="85">
        <v>7.7152799999999999</v>
      </c>
      <c r="AI3455" s="86">
        <v>8.75</v>
      </c>
      <c r="AK3455" s="81">
        <v>25.605699999999999</v>
      </c>
      <c r="AM3455" s="81">
        <v>36.793199999999999</v>
      </c>
      <c r="AO3455" s="85">
        <v>6.7809200000000001</v>
      </c>
    </row>
    <row r="3456" spans="2:41" x14ac:dyDescent="0.25">
      <c r="B3456" s="21">
        <v>45709</v>
      </c>
      <c r="C3456" s="91">
        <v>20.3733</v>
      </c>
      <c r="E3456" s="83">
        <v>0.95460800000000001</v>
      </c>
      <c r="G3456" s="84">
        <v>1058.68</v>
      </c>
      <c r="I3456" s="85">
        <v>6.9055200000000001</v>
      </c>
      <c r="K3456" s="85">
        <v>5.7129500000000002</v>
      </c>
      <c r="M3456" s="84">
        <v>942.91200000000003</v>
      </c>
      <c r="O3456" s="86">
        <v>4077.12</v>
      </c>
      <c r="Q3456" s="86">
        <v>7889.96</v>
      </c>
      <c r="S3456" s="86">
        <v>1381.08</v>
      </c>
      <c r="U3456" s="85">
        <v>3.6801499999999998</v>
      </c>
      <c r="W3456" s="81">
        <v>43.131</v>
      </c>
      <c r="Y3456" s="81">
        <v>7.5496999999999996</v>
      </c>
      <c r="AA3456" s="84">
        <v>505.29899999999998</v>
      </c>
      <c r="AC3456" s="81">
        <v>62.198399999999999</v>
      </c>
      <c r="AE3456" s="87">
        <v>1</v>
      </c>
      <c r="AG3456" s="85">
        <v>7.7096799999999996</v>
      </c>
      <c r="AI3456" s="86">
        <v>8.75</v>
      </c>
      <c r="AK3456" s="81">
        <v>25.5824</v>
      </c>
      <c r="AM3456" s="81">
        <v>36.750799999999998</v>
      </c>
      <c r="AO3456" s="85">
        <v>6.7833600000000001</v>
      </c>
    </row>
    <row r="3457" spans="2:41" x14ac:dyDescent="0.25">
      <c r="B3457" s="21">
        <v>45710</v>
      </c>
      <c r="C3457" s="91">
        <v>20.3733</v>
      </c>
      <c r="E3457" s="83">
        <v>0.95594999999999997</v>
      </c>
      <c r="G3457" s="84">
        <v>1058.44</v>
      </c>
      <c r="I3457" s="85">
        <v>6.9136800000000003</v>
      </c>
      <c r="K3457" s="85">
        <v>5.7332999999999998</v>
      </c>
      <c r="M3457" s="84">
        <v>943.28499999999997</v>
      </c>
      <c r="O3457" s="86">
        <v>4087.66</v>
      </c>
      <c r="Q3457" s="86">
        <v>7897.28</v>
      </c>
      <c r="S3457" s="86">
        <v>1377.45</v>
      </c>
      <c r="U3457" s="85">
        <v>3.6865000000000001</v>
      </c>
      <c r="W3457" s="81">
        <v>43.1708</v>
      </c>
      <c r="Y3457" s="81">
        <v>7.5298600000000002</v>
      </c>
      <c r="AA3457" s="84">
        <v>505.62400000000002</v>
      </c>
      <c r="AC3457" s="81">
        <v>62.37</v>
      </c>
      <c r="AE3457" s="87">
        <v>1</v>
      </c>
      <c r="AG3457" s="85">
        <v>7.7196800000000003</v>
      </c>
      <c r="AI3457" s="86">
        <v>8.75</v>
      </c>
      <c r="AK3457" s="81">
        <v>25.702500000000001</v>
      </c>
      <c r="AM3457" s="81">
        <v>36.777200000000001</v>
      </c>
      <c r="AO3457" s="85">
        <v>6.79331</v>
      </c>
    </row>
    <row r="3458" spans="2:41" x14ac:dyDescent="0.25">
      <c r="B3458" s="21">
        <v>45711</v>
      </c>
      <c r="C3458" s="91">
        <v>20.3733</v>
      </c>
      <c r="E3458" s="83">
        <v>0.95585399999999998</v>
      </c>
      <c r="G3458" s="84">
        <v>1058.43</v>
      </c>
      <c r="I3458" s="85">
        <v>6.9136800000000003</v>
      </c>
      <c r="K3458" s="85">
        <v>5.7332999999999998</v>
      </c>
      <c r="M3458" s="84">
        <v>943.28499999999997</v>
      </c>
      <c r="O3458" s="86">
        <v>4087.66</v>
      </c>
      <c r="Q3458" s="86">
        <v>7897.28</v>
      </c>
      <c r="S3458" s="86">
        <v>1377.45</v>
      </c>
      <c r="U3458" s="85">
        <v>3.6865000000000001</v>
      </c>
      <c r="W3458" s="81">
        <v>43.1708</v>
      </c>
      <c r="Y3458" s="81">
        <v>7.5298600000000002</v>
      </c>
      <c r="AA3458" s="84">
        <v>505.62400000000002</v>
      </c>
      <c r="AC3458" s="81">
        <v>62.368600000000001</v>
      </c>
      <c r="AE3458" s="87">
        <v>1</v>
      </c>
      <c r="AG3458" s="85">
        <v>7.7196800000000003</v>
      </c>
      <c r="AI3458" s="86">
        <v>8.75</v>
      </c>
      <c r="AK3458" s="81">
        <v>25.702500000000001</v>
      </c>
      <c r="AM3458" s="81">
        <v>36.777200000000001</v>
      </c>
      <c r="AO3458" s="85">
        <v>6.79331</v>
      </c>
    </row>
    <row r="3459" spans="2:41" x14ac:dyDescent="0.25">
      <c r="B3459" s="21">
        <v>45712</v>
      </c>
      <c r="C3459" s="91">
        <v>20.344799999999999</v>
      </c>
      <c r="E3459" s="83">
        <v>0.95379000000000003</v>
      </c>
      <c r="G3459" s="84">
        <v>1058.18</v>
      </c>
      <c r="I3459" s="85">
        <v>6.9049500000000004</v>
      </c>
      <c r="K3459" s="85">
        <v>5.7405799999999996</v>
      </c>
      <c r="M3459" s="84">
        <v>944.49800000000005</v>
      </c>
      <c r="O3459" s="86">
        <v>4094.7</v>
      </c>
      <c r="Q3459" s="86">
        <v>7885.79</v>
      </c>
      <c r="S3459" s="86">
        <v>1373.7</v>
      </c>
      <c r="U3459" s="85">
        <v>3.6762199999999998</v>
      </c>
      <c r="W3459" s="81">
        <v>43.055100000000003</v>
      </c>
      <c r="Y3459" s="81">
        <v>7.5001499999999997</v>
      </c>
      <c r="AA3459" s="84">
        <v>505.31099999999998</v>
      </c>
      <c r="AC3459" s="81">
        <v>62.261899999999997</v>
      </c>
      <c r="AE3459" s="87">
        <v>1</v>
      </c>
      <c r="AG3459" s="85">
        <v>7.7097499999999997</v>
      </c>
      <c r="AI3459" s="86">
        <v>8.75</v>
      </c>
      <c r="AK3459" s="81">
        <v>25.578700000000001</v>
      </c>
      <c r="AM3459" s="81">
        <v>36.755000000000003</v>
      </c>
      <c r="AO3459" s="85">
        <v>6.7830700000000004</v>
      </c>
    </row>
    <row r="3460" spans="2:41" x14ac:dyDescent="0.25">
      <c r="B3460" s="21">
        <v>45713</v>
      </c>
      <c r="C3460" s="91">
        <v>20.463999999999999</v>
      </c>
      <c r="E3460" s="83">
        <v>0.95338900000000004</v>
      </c>
      <c r="G3460" s="84">
        <v>1060.3800000000001</v>
      </c>
      <c r="I3460" s="85">
        <v>6.9130599999999998</v>
      </c>
      <c r="K3460" s="85">
        <v>5.7765000000000004</v>
      </c>
      <c r="M3460" s="84">
        <v>942.94500000000005</v>
      </c>
      <c r="O3460" s="86">
        <v>4121.32</v>
      </c>
      <c r="Q3460" s="86">
        <v>7896.64</v>
      </c>
      <c r="S3460" s="86">
        <v>1367.04</v>
      </c>
      <c r="U3460" s="85">
        <v>3.6821000000000002</v>
      </c>
      <c r="W3460" s="81">
        <v>42.972999999999999</v>
      </c>
      <c r="Y3460" s="81">
        <v>7.4393000000000002</v>
      </c>
      <c r="AA3460" s="84">
        <v>505.78399999999999</v>
      </c>
      <c r="AC3460" s="81">
        <v>62.325099999999999</v>
      </c>
      <c r="AE3460" s="87">
        <v>1</v>
      </c>
      <c r="AG3460" s="85">
        <v>7.7126400000000004</v>
      </c>
      <c r="AI3460" s="86">
        <v>8.75</v>
      </c>
      <c r="AK3460" s="81">
        <v>25.592400000000001</v>
      </c>
      <c r="AM3460" s="81">
        <v>36.792000000000002</v>
      </c>
      <c r="AO3460" s="85">
        <v>6.78843</v>
      </c>
    </row>
    <row r="3461" spans="2:41" x14ac:dyDescent="0.25">
      <c r="B3461" s="21">
        <v>45714</v>
      </c>
      <c r="C3461" s="91">
        <v>20.468299999999999</v>
      </c>
      <c r="E3461" s="83">
        <v>0.95262800000000003</v>
      </c>
      <c r="G3461" s="84">
        <v>1060.8399999999999</v>
      </c>
      <c r="I3461" s="85">
        <v>6.9060600000000001</v>
      </c>
      <c r="K3461" s="85">
        <v>5.7675299999999998</v>
      </c>
      <c r="M3461" s="84">
        <v>942.26099999999997</v>
      </c>
      <c r="O3461" s="86">
        <v>4122.63</v>
      </c>
      <c r="Q3461" s="86">
        <v>7900.13</v>
      </c>
      <c r="S3461" s="86">
        <v>1369.76</v>
      </c>
      <c r="U3461" s="85">
        <v>3.6775600000000002</v>
      </c>
      <c r="W3461" s="81">
        <v>42.747599999999998</v>
      </c>
      <c r="Y3461" s="81">
        <v>7.4118000000000004</v>
      </c>
      <c r="AA3461" s="84">
        <v>505.38099999999997</v>
      </c>
      <c r="AC3461" s="81">
        <v>62.318199999999997</v>
      </c>
      <c r="AE3461" s="87">
        <v>1</v>
      </c>
      <c r="AG3461" s="85">
        <v>7.7079899999999997</v>
      </c>
      <c r="AI3461" s="86">
        <v>8.75</v>
      </c>
      <c r="AK3461" s="81">
        <v>25.572199999999999</v>
      </c>
      <c r="AM3461" s="81">
        <v>36.770800000000001</v>
      </c>
      <c r="AO3461" s="85">
        <v>6.7861700000000003</v>
      </c>
    </row>
    <row r="3462" spans="2:41" x14ac:dyDescent="0.25">
      <c r="B3462" s="21">
        <v>45715</v>
      </c>
      <c r="C3462" s="91">
        <v>20.427700000000002</v>
      </c>
      <c r="E3462" s="83">
        <v>0.957237</v>
      </c>
      <c r="G3462" s="84">
        <v>1061.44</v>
      </c>
      <c r="I3462" s="85">
        <v>6.9110199999999997</v>
      </c>
      <c r="K3462" s="85">
        <v>5.8166799999999999</v>
      </c>
      <c r="M3462" s="84">
        <v>946.44799999999998</v>
      </c>
      <c r="O3462" s="86">
        <v>4112.96</v>
      </c>
      <c r="Q3462" s="86">
        <v>7910.27</v>
      </c>
      <c r="S3462" s="86">
        <v>1359.94</v>
      </c>
      <c r="U3462" s="85">
        <v>3.6753800000000001</v>
      </c>
      <c r="W3462" s="81">
        <v>42.669600000000003</v>
      </c>
      <c r="Y3462" s="81">
        <v>7.3357599999999996</v>
      </c>
      <c r="AA3462" s="84">
        <v>506.24400000000003</v>
      </c>
      <c r="AC3462" s="81">
        <v>62.417000000000002</v>
      </c>
      <c r="AE3462" s="87">
        <v>1</v>
      </c>
      <c r="AG3462" s="85">
        <v>7.7148199999999996</v>
      </c>
      <c r="AI3462" s="86">
        <v>8.75</v>
      </c>
      <c r="AK3462" s="81">
        <v>25.597799999999999</v>
      </c>
      <c r="AM3462" s="81">
        <v>36.805</v>
      </c>
      <c r="AO3462" s="85">
        <v>6.78789</v>
      </c>
    </row>
    <row r="3463" spans="2:41" x14ac:dyDescent="0.25">
      <c r="B3463" s="21">
        <v>45716</v>
      </c>
      <c r="C3463" s="82">
        <v>20.472200000000001</v>
      </c>
      <c r="D3463" s="92"/>
      <c r="E3463" s="93">
        <v>0.96230800000000005</v>
      </c>
      <c r="F3463" s="92"/>
      <c r="G3463" s="94">
        <v>1062.42</v>
      </c>
      <c r="H3463" s="92"/>
      <c r="I3463" s="95">
        <v>6.9211</v>
      </c>
      <c r="J3463" s="92"/>
      <c r="K3463" s="95">
        <v>5.8633100000000002</v>
      </c>
      <c r="L3463" s="92"/>
      <c r="M3463" s="94">
        <v>955.42200000000003</v>
      </c>
      <c r="N3463" s="92"/>
      <c r="O3463" s="96">
        <v>4138.17</v>
      </c>
      <c r="P3463" s="92"/>
      <c r="Q3463" s="96">
        <v>7923.17</v>
      </c>
      <c r="R3463" s="92"/>
      <c r="S3463" s="96">
        <v>1351.32</v>
      </c>
      <c r="T3463" s="92"/>
      <c r="U3463" s="95">
        <v>3.6872099999999999</v>
      </c>
      <c r="V3463" s="92"/>
      <c r="W3463" s="91">
        <v>42.795400000000001</v>
      </c>
      <c r="X3463" s="92"/>
      <c r="Y3463" s="91">
        <v>7.2988799999999996</v>
      </c>
      <c r="Z3463" s="92"/>
      <c r="AA3463" s="94">
        <v>507.29899999999998</v>
      </c>
      <c r="AB3463" s="92"/>
      <c r="AC3463" s="91">
        <v>62.566200000000002</v>
      </c>
      <c r="AD3463" s="92"/>
      <c r="AE3463" s="97">
        <v>1</v>
      </c>
      <c r="AF3463" s="92"/>
      <c r="AG3463" s="95">
        <v>7.7282400000000004</v>
      </c>
      <c r="AH3463" s="92"/>
      <c r="AI3463" s="96">
        <v>8.75</v>
      </c>
      <c r="AJ3463" s="92"/>
      <c r="AK3463" s="91">
        <v>25.671199999999999</v>
      </c>
      <c r="AL3463" s="92"/>
      <c r="AM3463" s="91">
        <v>36.866</v>
      </c>
      <c r="AN3463" s="92"/>
      <c r="AO3463" s="95">
        <v>6.7960000000000003</v>
      </c>
    </row>
    <row r="3464" spans="2:41" ht="13" x14ac:dyDescent="0.3">
      <c r="B3464" s="25" t="str">
        <f>"PROM-"&amp;MONTH(B3463)&amp;YEAR(B3463)</f>
        <v>PROM-22025</v>
      </c>
      <c r="C3464" s="19">
        <f>AVERAGE(C3436:C3463)</f>
        <v>20.460739285714283</v>
      </c>
      <c r="E3464" s="24">
        <f>AVERAGE(E3436:E3463)</f>
        <v>0.9604041071428574</v>
      </c>
      <c r="G3464" s="42">
        <f>AVERAGE(G3436:G3463)</f>
        <v>1056.6889285714285</v>
      </c>
      <c r="I3464" s="23">
        <f>AVERAGE(I3436:I3463)</f>
        <v>6.9136507142857129</v>
      </c>
      <c r="K3464" s="23">
        <f>AVERAGE(K3436:K3463)</f>
        <v>5.7688207142857149</v>
      </c>
      <c r="M3464" s="42">
        <f>AVERAGE(M3436:M3463)</f>
        <v>957.65949999999998</v>
      </c>
      <c r="O3464" s="80">
        <f>AVERAGE(O3436:O3463)</f>
        <v>4132.249642857144</v>
      </c>
      <c r="Q3464" s="80">
        <f>AVERAGE(Q3436:Q3463)</f>
        <v>7888.8042857142864</v>
      </c>
      <c r="S3464" s="80">
        <f>AVERAGE(S3436:S3463)</f>
        <v>1367.5800000000002</v>
      </c>
      <c r="U3464" s="23">
        <f>AVERAGE(U3436:U3463)</f>
        <v>3.7031928571428572</v>
      </c>
      <c r="W3464" s="19">
        <f>AVERAGE(W3436:W3463)</f>
        <v>43.267546428571414</v>
      </c>
      <c r="Y3464" s="19">
        <f>AVERAGE(Y3436:Y3463)</f>
        <v>7.500785357142858</v>
      </c>
      <c r="AA3464" s="42">
        <f>AVERAGE(AA3436:AA3463)</f>
        <v>507.11189285714289</v>
      </c>
      <c r="AC3464" s="19">
        <f>AVERAGE(AC3436:AC3463)</f>
        <v>62.172864285714283</v>
      </c>
      <c r="AE3464" s="88">
        <f>AVERAGE(AE3436:AE3463)</f>
        <v>1</v>
      </c>
      <c r="AG3464" s="23">
        <f>AVERAGE(AG3436:AG3463)</f>
        <v>7.7263875000000004</v>
      </c>
      <c r="AI3464" s="80">
        <f>AVERAGE(AI3436:AI3463)</f>
        <v>8.75</v>
      </c>
      <c r="AK3464" s="19">
        <f>AVERAGE(AK3436:AK3463)</f>
        <v>25.577171428571425</v>
      </c>
      <c r="AM3464" s="19">
        <f>AVERAGE(AM3436:AM3463)</f>
        <v>36.786760714285712</v>
      </c>
      <c r="AO3464" s="23">
        <f>AVERAGE(AO3436:AO3463)</f>
        <v>6.7855542857142845</v>
      </c>
    </row>
    <row r="3465" spans="2:41" x14ac:dyDescent="0.25">
      <c r="B3465" s="21">
        <v>45717</v>
      </c>
      <c r="C3465" s="91">
        <v>20.472200000000001</v>
      </c>
      <c r="E3465" s="83">
        <v>0.96382199999999996</v>
      </c>
      <c r="G3465" s="84">
        <v>1063.8399999999999</v>
      </c>
      <c r="I3465" s="85">
        <v>6.9069599999999998</v>
      </c>
      <c r="K3465" s="85">
        <v>5.8863200000000004</v>
      </c>
      <c r="M3465" s="84">
        <v>961.4</v>
      </c>
      <c r="O3465" s="86">
        <v>4158.1099999999997</v>
      </c>
      <c r="Q3465" s="86">
        <v>7906.53</v>
      </c>
      <c r="S3465" s="86">
        <v>1343.21</v>
      </c>
      <c r="U3465" s="85">
        <v>3.71665</v>
      </c>
      <c r="W3465" s="81">
        <v>42.701799999999999</v>
      </c>
      <c r="Y3465" s="81">
        <v>7.2544599999999999</v>
      </c>
      <c r="AA3465" s="84">
        <v>506.39499999999998</v>
      </c>
      <c r="AC3465" s="81">
        <v>62.364199999999997</v>
      </c>
      <c r="AE3465" s="87">
        <v>1</v>
      </c>
      <c r="AG3465" s="85">
        <v>7.7134299999999998</v>
      </c>
      <c r="AI3465" s="86">
        <v>8.75</v>
      </c>
      <c r="AK3465" s="81">
        <v>25.6599</v>
      </c>
      <c r="AM3465" s="81">
        <v>36.775799999999997</v>
      </c>
      <c r="AO3465" s="85">
        <v>6.7804000000000002</v>
      </c>
    </row>
    <row r="3466" spans="2:41" x14ac:dyDescent="0.25">
      <c r="B3466" s="21">
        <f t="shared" ref="B3466:B3494" si="5">B3465+1</f>
        <v>45718</v>
      </c>
      <c r="C3466" s="91">
        <v>20.472200000000001</v>
      </c>
      <c r="E3466" s="83">
        <v>0.96357899999999996</v>
      </c>
      <c r="G3466" s="84">
        <v>1063.6199999999999</v>
      </c>
      <c r="I3466" s="85">
        <v>6.9069599999999998</v>
      </c>
      <c r="K3466" s="85">
        <v>5.8863200000000004</v>
      </c>
      <c r="M3466" s="84">
        <v>961.4</v>
      </c>
      <c r="O3466" s="86">
        <v>4158.1099999999997</v>
      </c>
      <c r="Q3466" s="86">
        <v>7906.53</v>
      </c>
      <c r="S3466" s="86">
        <v>1343.21</v>
      </c>
      <c r="U3466" s="85">
        <v>3.7162899999999999</v>
      </c>
      <c r="W3466" s="81">
        <v>42.701799999999999</v>
      </c>
      <c r="Y3466" s="81">
        <v>7.2544599999999999</v>
      </c>
      <c r="AA3466" s="84">
        <v>506.39499999999998</v>
      </c>
      <c r="AC3466" s="81">
        <v>62.3645</v>
      </c>
      <c r="AE3466" s="87">
        <v>1</v>
      </c>
      <c r="AG3466" s="85">
        <v>7.7134999999999998</v>
      </c>
      <c r="AI3466" s="86">
        <v>8.75</v>
      </c>
      <c r="AK3466" s="81">
        <v>25.658799999999999</v>
      </c>
      <c r="AM3466" s="81">
        <v>36.777000000000001</v>
      </c>
      <c r="AO3466" s="85">
        <v>6.7804000000000002</v>
      </c>
    </row>
    <row r="3467" spans="2:41" x14ac:dyDescent="0.25">
      <c r="B3467" s="21">
        <f t="shared" si="5"/>
        <v>45719</v>
      </c>
      <c r="C3467" s="91">
        <v>20.507999999999999</v>
      </c>
      <c r="E3467" s="83">
        <v>0.95682299999999998</v>
      </c>
      <c r="G3467" s="84">
        <v>1062.83</v>
      </c>
      <c r="I3467" s="85">
        <v>6.9111599999999997</v>
      </c>
      <c r="K3467" s="85">
        <v>5.9330100000000003</v>
      </c>
      <c r="M3467" s="84">
        <v>954.27</v>
      </c>
      <c r="O3467" s="86">
        <v>4139.4799999999996</v>
      </c>
      <c r="Q3467" s="86">
        <v>7910.73</v>
      </c>
      <c r="S3467" s="86">
        <v>1333.35</v>
      </c>
      <c r="U3467" s="85">
        <v>3.6858399999999998</v>
      </c>
      <c r="W3467" s="81">
        <v>42.579799999999999</v>
      </c>
      <c r="Y3467" s="81">
        <v>7.1767899999999996</v>
      </c>
      <c r="AA3467" s="84">
        <v>505.11599999999999</v>
      </c>
      <c r="AC3467" s="81">
        <v>62.2956</v>
      </c>
      <c r="AE3467" s="87">
        <v>1</v>
      </c>
      <c r="AG3467" s="85">
        <v>7.7103400000000004</v>
      </c>
      <c r="AI3467" s="86">
        <v>8.75</v>
      </c>
      <c r="AK3467" s="81">
        <v>25.5976</v>
      </c>
      <c r="AM3467" s="81">
        <v>36.777200000000001</v>
      </c>
      <c r="AO3467" s="85">
        <v>6.7795399999999999</v>
      </c>
    </row>
    <row r="3468" spans="2:41" x14ac:dyDescent="0.25">
      <c r="B3468" s="21">
        <f t="shared" si="5"/>
        <v>45720</v>
      </c>
      <c r="C3468" s="91">
        <v>20.433299999999999</v>
      </c>
      <c r="E3468" s="83">
        <v>0.949465</v>
      </c>
      <c r="G3468" s="84">
        <v>1063.72</v>
      </c>
      <c r="I3468" s="85">
        <v>6.9150799999999997</v>
      </c>
      <c r="K3468" s="85">
        <v>6.1259399999999999</v>
      </c>
      <c r="M3468" s="84">
        <v>949.35199999999998</v>
      </c>
      <c r="O3468" s="86">
        <v>4136.59</v>
      </c>
      <c r="Q3468" s="86">
        <v>7912.88</v>
      </c>
      <c r="S3468" s="86">
        <v>1291.71</v>
      </c>
      <c r="U3468" s="85">
        <v>3.6819999999999999</v>
      </c>
      <c r="W3468" s="81">
        <v>42.571199999999997</v>
      </c>
      <c r="Y3468" s="81">
        <v>6.9493600000000004</v>
      </c>
      <c r="AA3468" s="84">
        <v>503.791</v>
      </c>
      <c r="AC3468" s="81">
        <v>62.2577</v>
      </c>
      <c r="AE3468" s="87">
        <v>1</v>
      </c>
      <c r="AG3468" s="85">
        <v>7.7086699999999997</v>
      </c>
      <c r="AI3468" s="86">
        <v>8.75</v>
      </c>
      <c r="AK3468" s="81">
        <v>25.573</v>
      </c>
      <c r="AM3468" s="81">
        <v>36.761600000000001</v>
      </c>
      <c r="AO3468" s="85">
        <v>6.7797400000000003</v>
      </c>
    </row>
    <row r="3469" spans="2:41" x14ac:dyDescent="0.25">
      <c r="B3469" s="21">
        <f t="shared" si="5"/>
        <v>45721</v>
      </c>
      <c r="C3469" s="91">
        <v>20.851800000000001</v>
      </c>
      <c r="E3469" s="83">
        <v>0.934114</v>
      </c>
      <c r="G3469" s="84">
        <v>1063.6600000000001</v>
      </c>
      <c r="I3469" s="85">
        <v>6.8996599999999999</v>
      </c>
      <c r="K3469" s="85">
        <v>5.899</v>
      </c>
      <c r="M3469" s="84">
        <v>943.04200000000003</v>
      </c>
      <c r="O3469" s="86">
        <v>4139.8</v>
      </c>
      <c r="Q3469" s="86">
        <v>7902.27</v>
      </c>
      <c r="S3469" s="86">
        <v>1339.6</v>
      </c>
      <c r="U3469" s="85">
        <v>3.6632799999999999</v>
      </c>
      <c r="W3469" s="81">
        <v>42.4998</v>
      </c>
      <c r="Y3469" s="81">
        <v>7.2046200000000002</v>
      </c>
      <c r="AA3469" s="84">
        <v>503.19400000000002</v>
      </c>
      <c r="AC3469" s="81">
        <v>62.257399999999997</v>
      </c>
      <c r="AE3469" s="87">
        <v>1</v>
      </c>
      <c r="AG3469" s="85">
        <v>7.6992900000000004</v>
      </c>
      <c r="AI3469" s="86">
        <v>8.75</v>
      </c>
      <c r="AK3469" s="81">
        <v>25.557200000000002</v>
      </c>
      <c r="AM3469" s="81">
        <v>36.706000000000003</v>
      </c>
      <c r="AO3469" s="85">
        <v>6.7728599999999997</v>
      </c>
    </row>
    <row r="3470" spans="2:41" x14ac:dyDescent="0.25">
      <c r="B3470" s="21">
        <f t="shared" si="5"/>
        <v>45722</v>
      </c>
      <c r="C3470" s="91">
        <v>20.389299999999999</v>
      </c>
      <c r="E3470" s="83">
        <v>0.92577200000000004</v>
      </c>
      <c r="G3470" s="84">
        <v>1063.6500000000001</v>
      </c>
      <c r="I3470" s="85">
        <v>6.8856000000000002</v>
      </c>
      <c r="K3470" s="85">
        <v>5.7530700000000001</v>
      </c>
      <c r="M3470" s="84">
        <v>935.15800000000002</v>
      </c>
      <c r="O3470" s="86">
        <v>4109.96</v>
      </c>
      <c r="Q3470" s="86">
        <v>7887.68</v>
      </c>
      <c r="S3470" s="86">
        <v>1371.04</v>
      </c>
      <c r="U3470" s="85">
        <v>3.6407600000000002</v>
      </c>
      <c r="W3470" s="81">
        <v>42.370800000000003</v>
      </c>
      <c r="Y3470" s="81">
        <v>7.3649199999999997</v>
      </c>
      <c r="AA3470" s="84">
        <v>502.608</v>
      </c>
      <c r="AC3470" s="81">
        <v>62.292400000000001</v>
      </c>
      <c r="AE3470" s="87">
        <v>1</v>
      </c>
      <c r="AG3470" s="85">
        <v>7.69184</v>
      </c>
      <c r="AI3470" s="86">
        <v>8.75</v>
      </c>
      <c r="AK3470" s="81">
        <v>25.5154</v>
      </c>
      <c r="AM3470" s="81">
        <v>36.708199999999998</v>
      </c>
      <c r="AO3470" s="85">
        <v>6.7632399999999997</v>
      </c>
    </row>
    <row r="3471" spans="2:41" x14ac:dyDescent="0.25">
      <c r="B3471" s="21">
        <f t="shared" si="5"/>
        <v>45723</v>
      </c>
      <c r="C3471" s="91">
        <v>20.277699999999999</v>
      </c>
      <c r="E3471" s="83">
        <v>0.92301999999999995</v>
      </c>
      <c r="G3471" s="84">
        <v>1064.07</v>
      </c>
      <c r="I3471" s="85">
        <v>6.9069000000000003</v>
      </c>
      <c r="K3471" s="85">
        <v>5.7730899999999998</v>
      </c>
      <c r="M3471" s="84">
        <v>928.97500000000002</v>
      </c>
      <c r="O3471" s="86">
        <v>4116.74</v>
      </c>
      <c r="Q3471" s="86">
        <v>7911.82</v>
      </c>
      <c r="S3471" s="86">
        <v>1370.47</v>
      </c>
      <c r="U3471" s="85">
        <v>3.6533899999999999</v>
      </c>
      <c r="W3471" s="81">
        <v>42.591900000000003</v>
      </c>
      <c r="Y3471" s="81">
        <v>7.3776799999999998</v>
      </c>
      <c r="AA3471" s="84">
        <v>504.166</v>
      </c>
      <c r="AC3471" s="81">
        <v>62.089399999999998</v>
      </c>
      <c r="AE3471" s="87">
        <v>1</v>
      </c>
      <c r="AG3471" s="85">
        <v>7.71312</v>
      </c>
      <c r="AI3471" s="86">
        <v>8.75</v>
      </c>
      <c r="AK3471" s="81">
        <v>25.590599999999998</v>
      </c>
      <c r="AM3471" s="81">
        <v>36.788200000000003</v>
      </c>
      <c r="AO3471" s="85">
        <v>6.7852399999999999</v>
      </c>
    </row>
    <row r="3472" spans="2:41" x14ac:dyDescent="0.25">
      <c r="B3472" s="21">
        <f t="shared" si="5"/>
        <v>45724</v>
      </c>
      <c r="C3472" s="91">
        <v>20.277699999999999</v>
      </c>
      <c r="E3472" s="83">
        <v>0.92300700000000002</v>
      </c>
      <c r="G3472" s="84">
        <v>1064.92</v>
      </c>
      <c r="I3472" s="85">
        <v>6.9065599999999998</v>
      </c>
      <c r="K3472" s="85">
        <v>5.7880700000000003</v>
      </c>
      <c r="M3472" s="84">
        <v>929.57</v>
      </c>
      <c r="O3472" s="86">
        <v>4132.6000000000004</v>
      </c>
      <c r="Q3472" s="86">
        <v>7914.46</v>
      </c>
      <c r="S3472" s="86">
        <v>1367.38</v>
      </c>
      <c r="U3472" s="85">
        <v>3.6516500000000001</v>
      </c>
      <c r="W3472" s="81">
        <v>42.588099999999997</v>
      </c>
      <c r="Y3472" s="81">
        <v>7.35792</v>
      </c>
      <c r="AA3472" s="84">
        <v>503.72199999999998</v>
      </c>
      <c r="AC3472" s="81">
        <v>62.125</v>
      </c>
      <c r="AE3472" s="87">
        <v>1</v>
      </c>
      <c r="AG3472" s="85">
        <v>7.7092900000000002</v>
      </c>
      <c r="AI3472" s="86">
        <v>8.75</v>
      </c>
      <c r="AK3472" s="81">
        <v>25.667200000000001</v>
      </c>
      <c r="AM3472" s="81">
        <v>36.789400000000001</v>
      </c>
      <c r="AO3472" s="85">
        <v>6.7849199999999996</v>
      </c>
    </row>
    <row r="3473" spans="2:41" x14ac:dyDescent="0.25">
      <c r="B3473" s="21">
        <f t="shared" si="5"/>
        <v>45725</v>
      </c>
      <c r="C3473" s="91">
        <v>20.277699999999999</v>
      </c>
      <c r="E3473" s="83">
        <v>0.92285700000000004</v>
      </c>
      <c r="G3473" s="84">
        <v>1064.78</v>
      </c>
      <c r="I3473" s="85">
        <v>6.9065599999999998</v>
      </c>
      <c r="K3473" s="85">
        <v>5.7880700000000003</v>
      </c>
      <c r="M3473" s="84">
        <v>929.57</v>
      </c>
      <c r="O3473" s="86">
        <v>4132.6000000000004</v>
      </c>
      <c r="Q3473" s="86">
        <v>7914.46</v>
      </c>
      <c r="S3473" s="86">
        <v>1367.38</v>
      </c>
      <c r="U3473" s="85">
        <v>3.6516500000000001</v>
      </c>
      <c r="W3473" s="81">
        <v>42.588099999999997</v>
      </c>
      <c r="Y3473" s="81">
        <v>7.35792</v>
      </c>
      <c r="AA3473" s="84">
        <v>503.72199999999998</v>
      </c>
      <c r="AC3473" s="81">
        <v>62.158499999999997</v>
      </c>
      <c r="AE3473" s="87">
        <v>1</v>
      </c>
      <c r="AG3473" s="85">
        <v>7.7092900000000002</v>
      </c>
      <c r="AI3473" s="86">
        <v>8.75</v>
      </c>
      <c r="AK3473" s="81">
        <v>25.667200000000001</v>
      </c>
      <c r="AM3473" s="81">
        <v>36.789400000000001</v>
      </c>
      <c r="AO3473" s="85">
        <v>6.7849199999999996</v>
      </c>
    </row>
    <row r="3474" spans="2:41" x14ac:dyDescent="0.25">
      <c r="B3474" s="21">
        <f t="shared" si="5"/>
        <v>45726</v>
      </c>
      <c r="C3474" s="91">
        <v>20.283000000000001</v>
      </c>
      <c r="E3474" s="83">
        <v>0.92261000000000004</v>
      </c>
      <c r="G3474" s="84">
        <v>1064.95</v>
      </c>
      <c r="I3474" s="85">
        <v>6.9179199999999996</v>
      </c>
      <c r="K3474" s="85">
        <v>5.8125200000000001</v>
      </c>
      <c r="M3474" s="84">
        <v>933.04399999999998</v>
      </c>
      <c r="O3474" s="86">
        <v>4143.76</v>
      </c>
      <c r="Q3474" s="86">
        <v>7924.09</v>
      </c>
      <c r="S3474" s="86">
        <v>1363.28</v>
      </c>
      <c r="U3474" s="85">
        <v>3.6585800000000002</v>
      </c>
      <c r="W3474" s="81">
        <v>42.565300000000001</v>
      </c>
      <c r="Y3474" s="81">
        <v>7.3230599999999999</v>
      </c>
      <c r="AA3474" s="84">
        <v>504.25</v>
      </c>
      <c r="AC3474" s="81">
        <v>62.638199999999998</v>
      </c>
      <c r="AE3474" s="87">
        <v>1</v>
      </c>
      <c r="AG3474" s="85">
        <v>7.7130799999999997</v>
      </c>
      <c r="AI3474" s="86">
        <v>8.75</v>
      </c>
      <c r="AK3474" s="81">
        <v>25.6234</v>
      </c>
      <c r="AM3474" s="81">
        <v>36.801600000000001</v>
      </c>
      <c r="AO3474" s="85">
        <v>6.78878</v>
      </c>
    </row>
    <row r="3475" spans="2:41" x14ac:dyDescent="0.25">
      <c r="B3475" s="21">
        <f t="shared" si="5"/>
        <v>45727</v>
      </c>
      <c r="C3475" s="91">
        <v>20.292200000000001</v>
      </c>
      <c r="E3475" s="83">
        <v>0.91785799999999995</v>
      </c>
      <c r="G3475" s="84">
        <v>1065.52</v>
      </c>
      <c r="I3475" s="85">
        <v>6.9166800000000004</v>
      </c>
      <c r="K3475" s="85">
        <v>5.8411</v>
      </c>
      <c r="M3475" s="84">
        <v>939.68399999999997</v>
      </c>
      <c r="O3475" s="86">
        <v>4163.84</v>
      </c>
      <c r="Q3475" s="86">
        <v>7924.89</v>
      </c>
      <c r="S3475" s="86">
        <v>1356.75</v>
      </c>
      <c r="U3475" s="85">
        <v>3.6627200000000002</v>
      </c>
      <c r="W3475" s="81">
        <v>42.388800000000003</v>
      </c>
      <c r="Y3475" s="81">
        <v>7.2570100000000002</v>
      </c>
      <c r="AA3475" s="84">
        <v>503.09800000000001</v>
      </c>
      <c r="AC3475" s="81">
        <v>62.6158</v>
      </c>
      <c r="AE3475" s="87">
        <v>1</v>
      </c>
      <c r="AG3475" s="85">
        <v>7.7092599999999996</v>
      </c>
      <c r="AI3475" s="86">
        <v>8.75</v>
      </c>
      <c r="AK3475" s="81">
        <v>25.589500000000001</v>
      </c>
      <c r="AM3475" s="81">
        <v>36.795400000000001</v>
      </c>
      <c r="AO3475" s="85">
        <v>6.7914199999999996</v>
      </c>
    </row>
    <row r="3476" spans="2:41" x14ac:dyDescent="0.25">
      <c r="B3476" s="21">
        <f t="shared" si="5"/>
        <v>45728</v>
      </c>
      <c r="C3476" s="91">
        <v>20.338799999999999</v>
      </c>
      <c r="E3476" s="83">
        <v>0.91732800000000003</v>
      </c>
      <c r="G3476" s="84">
        <v>1065.78</v>
      </c>
      <c r="I3476" s="85">
        <v>6.9142599999999996</v>
      </c>
      <c r="K3476" s="85">
        <v>5.8110200000000001</v>
      </c>
      <c r="M3476" s="84">
        <v>937.255</v>
      </c>
      <c r="O3476" s="86">
        <v>4118.32</v>
      </c>
      <c r="Q3476" s="86">
        <v>7929.43</v>
      </c>
      <c r="S3476" s="86">
        <v>1364.56</v>
      </c>
      <c r="U3476" s="85">
        <v>3.6654599999999999</v>
      </c>
      <c r="W3476" s="81">
        <v>42.4358</v>
      </c>
      <c r="Y3476" s="81">
        <v>7.3026400000000002</v>
      </c>
      <c r="AA3476" s="84">
        <v>502.09300000000002</v>
      </c>
      <c r="AC3476" s="81">
        <v>62.681399999999996</v>
      </c>
      <c r="AE3476" s="87">
        <v>1</v>
      </c>
      <c r="AG3476" s="85">
        <v>7.7112400000000001</v>
      </c>
      <c r="AI3476" s="86">
        <v>8.75</v>
      </c>
      <c r="AK3476" s="81">
        <v>25.6218</v>
      </c>
      <c r="AM3476" s="81">
        <v>36.798999999999999</v>
      </c>
      <c r="AO3476" s="85">
        <v>6.7924899999999999</v>
      </c>
    </row>
    <row r="3477" spans="2:41" x14ac:dyDescent="0.25">
      <c r="B3477" s="21">
        <f t="shared" si="5"/>
        <v>45729</v>
      </c>
      <c r="C3477" s="91">
        <v>20.1828</v>
      </c>
      <c r="E3477" s="83">
        <v>0.92015499999999995</v>
      </c>
      <c r="G3477" s="84">
        <v>1066.08</v>
      </c>
      <c r="I3477" s="85">
        <v>6.9147100000000004</v>
      </c>
      <c r="K3477" s="85">
        <v>5.80328</v>
      </c>
      <c r="M3477" s="84">
        <v>938.77099999999996</v>
      </c>
      <c r="O3477" s="86">
        <v>4113.4799999999996</v>
      </c>
      <c r="Q3477" s="86">
        <v>7929.34</v>
      </c>
      <c r="S3477" s="86">
        <v>1366.36</v>
      </c>
      <c r="U3477" s="85">
        <v>3.6651099999999999</v>
      </c>
      <c r="W3477" s="81">
        <v>42.3874</v>
      </c>
      <c r="Y3477" s="81">
        <v>7.3040399999999996</v>
      </c>
      <c r="AA3477" s="84">
        <v>501.7</v>
      </c>
      <c r="AC3477" s="81">
        <v>62.7044</v>
      </c>
      <c r="AE3477" s="87">
        <v>1</v>
      </c>
      <c r="AG3477" s="85">
        <v>7.7137599999999997</v>
      </c>
      <c r="AI3477" s="86">
        <v>8.75</v>
      </c>
      <c r="AK3477" s="81">
        <v>25.6084</v>
      </c>
      <c r="AM3477" s="81">
        <v>36.8127</v>
      </c>
      <c r="AO3477" s="85">
        <v>6.7912600000000003</v>
      </c>
    </row>
    <row r="3478" spans="2:41" x14ac:dyDescent="0.25">
      <c r="B3478" s="21">
        <f t="shared" si="5"/>
        <v>45730</v>
      </c>
      <c r="C3478" s="91">
        <v>20.084800000000001</v>
      </c>
      <c r="E3478" s="83">
        <v>0.92019200000000001</v>
      </c>
      <c r="G3478" s="84">
        <v>1066.3499999999999</v>
      </c>
      <c r="I3478" s="85">
        <v>6.9112600000000004</v>
      </c>
      <c r="K3478" s="85">
        <v>5.7716500000000002</v>
      </c>
      <c r="M3478" s="84">
        <v>935.02300000000002</v>
      </c>
      <c r="O3478" s="86">
        <v>4114.2700000000004</v>
      </c>
      <c r="Q3478" s="86">
        <v>7931.26</v>
      </c>
      <c r="S3478" s="86">
        <v>1374.18</v>
      </c>
      <c r="U3478" s="85">
        <v>3.6650399999999999</v>
      </c>
      <c r="W3478" s="81">
        <v>42.486600000000003</v>
      </c>
      <c r="Y3478" s="81">
        <v>7.3612799999999998</v>
      </c>
      <c r="AA3478" s="84">
        <v>502.42</v>
      </c>
      <c r="AC3478" s="81">
        <v>62.766199999999998</v>
      </c>
      <c r="AE3478" s="87">
        <v>1</v>
      </c>
      <c r="AG3478" s="85">
        <v>7.7080900000000003</v>
      </c>
      <c r="AI3478" s="86">
        <v>8.75</v>
      </c>
      <c r="AK3478" s="81">
        <v>25.590199999999999</v>
      </c>
      <c r="AM3478" s="81">
        <v>36.810400000000001</v>
      </c>
      <c r="AO3478" s="85">
        <v>6.7928100000000002</v>
      </c>
    </row>
    <row r="3479" spans="2:41" x14ac:dyDescent="0.25">
      <c r="B3479" s="21">
        <f t="shared" si="5"/>
        <v>45731</v>
      </c>
      <c r="C3479" s="91">
        <v>20.084800000000001</v>
      </c>
      <c r="E3479" s="83">
        <v>0.919215</v>
      </c>
      <c r="G3479" s="84">
        <v>1066.1199999999999</v>
      </c>
      <c r="I3479" s="85">
        <v>6.9098800000000002</v>
      </c>
      <c r="K3479" s="85">
        <v>5.7400799999999998</v>
      </c>
      <c r="M3479" s="84">
        <v>929.52200000000005</v>
      </c>
      <c r="O3479" s="86">
        <v>4098.3999999999996</v>
      </c>
      <c r="Q3479" s="86">
        <v>7931.77</v>
      </c>
      <c r="S3479" s="86">
        <v>1381.83</v>
      </c>
      <c r="U3479" s="85">
        <v>3.6613600000000002</v>
      </c>
      <c r="W3479" s="81">
        <v>42.521799999999999</v>
      </c>
      <c r="Y3479" s="81">
        <v>7.4078900000000001</v>
      </c>
      <c r="AA3479" s="84">
        <v>502.69900000000001</v>
      </c>
      <c r="AC3479" s="81">
        <v>62.782200000000003</v>
      </c>
      <c r="AE3479" s="87">
        <v>1</v>
      </c>
      <c r="AG3479" s="85">
        <v>7.70587</v>
      </c>
      <c r="AI3479" s="86">
        <v>8.75</v>
      </c>
      <c r="AK3479" s="81">
        <v>25.573</v>
      </c>
      <c r="AM3479" s="81">
        <v>36.790999999999997</v>
      </c>
      <c r="AO3479" s="85">
        <v>6.7873799999999997</v>
      </c>
    </row>
    <row r="3480" spans="2:41" x14ac:dyDescent="0.25">
      <c r="B3480" s="21">
        <f t="shared" si="5"/>
        <v>45732</v>
      </c>
      <c r="C3480" s="91">
        <v>20.084800000000001</v>
      </c>
      <c r="E3480" s="83">
        <v>0.91918999999999995</v>
      </c>
      <c r="G3480" s="84">
        <v>1066.3399999999999</v>
      </c>
      <c r="I3480" s="85">
        <v>6.9098800000000002</v>
      </c>
      <c r="K3480" s="85">
        <v>5.7404400000000004</v>
      </c>
      <c r="M3480" s="84">
        <v>929.52200000000005</v>
      </c>
      <c r="O3480" s="86">
        <v>4098.3999999999996</v>
      </c>
      <c r="Q3480" s="86">
        <v>7931.77</v>
      </c>
      <c r="S3480" s="86">
        <v>1381.74</v>
      </c>
      <c r="U3480" s="85">
        <v>3.6613600000000002</v>
      </c>
      <c r="W3480" s="81">
        <v>42.521799999999999</v>
      </c>
      <c r="Y3480" s="81">
        <v>7.4074299999999997</v>
      </c>
      <c r="AA3480" s="84">
        <v>502.69900000000001</v>
      </c>
      <c r="AC3480" s="81">
        <v>62.785600000000002</v>
      </c>
      <c r="AE3480" s="87">
        <v>1</v>
      </c>
      <c r="AG3480" s="85">
        <v>7.7058799999999996</v>
      </c>
      <c r="AI3480" s="86">
        <v>8.75</v>
      </c>
      <c r="AK3480" s="81">
        <v>25.5732</v>
      </c>
      <c r="AM3480" s="81">
        <v>36.790999999999997</v>
      </c>
      <c r="AO3480" s="85">
        <v>6.78742</v>
      </c>
    </row>
    <row r="3481" spans="2:41" x14ac:dyDescent="0.25">
      <c r="B3481" s="21">
        <f t="shared" si="5"/>
        <v>45733</v>
      </c>
      <c r="C3481" s="91">
        <v>20.084800000000001</v>
      </c>
      <c r="E3481" s="83">
        <v>0.91737599999999997</v>
      </c>
      <c r="G3481" s="84">
        <v>1067.4000000000001</v>
      </c>
      <c r="I3481" s="85">
        <v>6.9122399999999997</v>
      </c>
      <c r="K3481" s="85">
        <v>5.7232200000000004</v>
      </c>
      <c r="M3481" s="84">
        <v>927.548</v>
      </c>
      <c r="O3481" s="86">
        <v>4101.8999999999996</v>
      </c>
      <c r="Q3481" s="86">
        <v>7944.12</v>
      </c>
      <c r="S3481" s="86">
        <v>1388.06</v>
      </c>
      <c r="U3481" s="85">
        <v>3.6631200000000002</v>
      </c>
      <c r="W3481" s="81">
        <v>42.6235</v>
      </c>
      <c r="Y3481" s="81">
        <v>7.4474900000000002</v>
      </c>
      <c r="AA3481" s="84">
        <v>499.85</v>
      </c>
      <c r="AC3481" s="81">
        <v>62.8872</v>
      </c>
      <c r="AE3481" s="87">
        <v>1</v>
      </c>
      <c r="AG3481" s="85">
        <v>7.7098100000000001</v>
      </c>
      <c r="AI3481" s="86">
        <v>8.75</v>
      </c>
      <c r="AK3481" s="81">
        <v>25.611599999999999</v>
      </c>
      <c r="AM3481" s="81">
        <v>36.789299999999997</v>
      </c>
      <c r="AO3481" s="85">
        <v>6.7921199999999997</v>
      </c>
    </row>
    <row r="3482" spans="2:41" x14ac:dyDescent="0.25">
      <c r="B3482" s="21">
        <f t="shared" si="5"/>
        <v>45734</v>
      </c>
      <c r="C3482" s="91">
        <v>19.869299999999999</v>
      </c>
      <c r="E3482" s="83">
        <v>0.91508800000000001</v>
      </c>
      <c r="G3482" s="84">
        <v>1067.8800000000001</v>
      </c>
      <c r="I3482" s="85">
        <v>6.9096399999999996</v>
      </c>
      <c r="K3482" s="85">
        <v>5.6810999999999998</v>
      </c>
      <c r="M3482" s="84">
        <v>920.50400000000002</v>
      </c>
      <c r="O3482" s="86">
        <v>4091.72</v>
      </c>
      <c r="Q3482" s="86">
        <v>7951.99</v>
      </c>
      <c r="S3482" s="86">
        <v>1399.73</v>
      </c>
      <c r="U3482" s="85">
        <v>3.64635</v>
      </c>
      <c r="W3482" s="81">
        <v>42.461799999999997</v>
      </c>
      <c r="Y3482" s="81">
        <v>7.4742199999999999</v>
      </c>
      <c r="AA3482" s="84">
        <v>498.63600000000002</v>
      </c>
      <c r="AC3482" s="81">
        <v>62.896799999999999</v>
      </c>
      <c r="AE3482" s="87">
        <v>1</v>
      </c>
      <c r="AG3482" s="85">
        <v>7.7056399999999998</v>
      </c>
      <c r="AI3482" s="86">
        <v>8.75</v>
      </c>
      <c r="AK3482" s="81">
        <v>25.617000000000001</v>
      </c>
      <c r="AM3482" s="81">
        <v>36.782200000000003</v>
      </c>
      <c r="AO3482" s="85">
        <v>6.7882899999999999</v>
      </c>
    </row>
    <row r="3483" spans="2:41" x14ac:dyDescent="0.25">
      <c r="B3483" s="21">
        <f t="shared" si="5"/>
        <v>45735</v>
      </c>
      <c r="C3483" s="91">
        <v>19.984500000000001</v>
      </c>
      <c r="E3483" s="83">
        <v>0.91670200000000002</v>
      </c>
      <c r="G3483" s="84">
        <v>1068.46</v>
      </c>
      <c r="I3483" s="85">
        <v>6.9061000000000003</v>
      </c>
      <c r="K3483" s="85">
        <v>5.66805</v>
      </c>
      <c r="M3483" s="84">
        <v>917.34400000000005</v>
      </c>
      <c r="O3483" s="86">
        <v>4131.3</v>
      </c>
      <c r="Q3483" s="86">
        <v>7958.46</v>
      </c>
      <c r="S3483" s="86">
        <v>1404.1</v>
      </c>
      <c r="U3483" s="85">
        <v>3.6286700000000001</v>
      </c>
      <c r="W3483" s="81">
        <v>42.368000000000002</v>
      </c>
      <c r="Y3483" s="81">
        <v>7.4748999999999999</v>
      </c>
      <c r="AA3483" s="84">
        <v>498.32</v>
      </c>
      <c r="AC3483" s="81">
        <v>62.9343</v>
      </c>
      <c r="AE3483" s="87">
        <v>1</v>
      </c>
      <c r="AG3483" s="85">
        <v>7.7015399999999996</v>
      </c>
      <c r="AI3483" s="86">
        <v>8.75</v>
      </c>
      <c r="AK3483" s="81">
        <v>25.668900000000001</v>
      </c>
      <c r="AM3483" s="81">
        <v>36.770499999999998</v>
      </c>
      <c r="AO3483" s="85">
        <v>6.78376</v>
      </c>
    </row>
    <row r="3484" spans="2:41" x14ac:dyDescent="0.25">
      <c r="B3484" s="21">
        <f t="shared" si="5"/>
        <v>45736</v>
      </c>
      <c r="C3484" s="91">
        <v>20.055299999999999</v>
      </c>
      <c r="E3484" s="83">
        <v>0.920292</v>
      </c>
      <c r="G3484" s="84">
        <v>1068.8800000000001</v>
      </c>
      <c r="I3484" s="85">
        <v>6.9095800000000001</v>
      </c>
      <c r="K3484" s="85">
        <v>5.6609600000000002</v>
      </c>
      <c r="M3484" s="84">
        <v>921.31399999999996</v>
      </c>
      <c r="O3484" s="86">
        <v>4167.22</v>
      </c>
      <c r="Q3484" s="86">
        <v>7972.16</v>
      </c>
      <c r="S3484" s="86">
        <v>1408.27</v>
      </c>
      <c r="U3484" s="85">
        <v>3.6228600000000002</v>
      </c>
      <c r="W3484" s="81">
        <v>42.196300000000001</v>
      </c>
      <c r="Y3484" s="81">
        <v>7.4539200000000001</v>
      </c>
      <c r="AA3484" s="84">
        <v>498.892</v>
      </c>
      <c r="AC3484" s="81">
        <v>62.9848</v>
      </c>
      <c r="AE3484" s="87">
        <v>1</v>
      </c>
      <c r="AG3484" s="85">
        <v>7.7055999999999996</v>
      </c>
      <c r="AI3484" s="86">
        <v>8.75</v>
      </c>
      <c r="AK3484" s="81">
        <v>25.640999999999998</v>
      </c>
      <c r="AM3484" s="81">
        <v>36.784100000000002</v>
      </c>
      <c r="AO3484" s="85">
        <v>6.7899399999999996</v>
      </c>
    </row>
    <row r="3485" spans="2:41" x14ac:dyDescent="0.25">
      <c r="B3485" s="21">
        <f t="shared" si="5"/>
        <v>45737</v>
      </c>
      <c r="C3485" s="91">
        <v>20.134499999999999</v>
      </c>
      <c r="E3485" s="83">
        <v>0.92337599999999997</v>
      </c>
      <c r="G3485" s="84">
        <v>1068.5999999999999</v>
      </c>
      <c r="I3485" s="85">
        <v>6.9080700000000004</v>
      </c>
      <c r="K3485" s="85">
        <v>5.7003700000000004</v>
      </c>
      <c r="M3485" s="84">
        <v>928.20799999999997</v>
      </c>
      <c r="O3485" s="86">
        <v>4169.99</v>
      </c>
      <c r="Q3485" s="86">
        <v>7981.33</v>
      </c>
      <c r="S3485" s="86">
        <v>1400.14</v>
      </c>
      <c r="U3485" s="85">
        <v>3.6234799999999998</v>
      </c>
      <c r="W3485" s="81">
        <v>42.324800000000003</v>
      </c>
      <c r="Y3485" s="81">
        <v>7.4249400000000003</v>
      </c>
      <c r="AA3485" s="84">
        <v>499.584</v>
      </c>
      <c r="AC3485" s="81">
        <v>63.0854</v>
      </c>
      <c r="AE3485" s="87">
        <v>1</v>
      </c>
      <c r="AG3485" s="85">
        <v>7.70458</v>
      </c>
      <c r="AI3485" s="86">
        <v>8.75</v>
      </c>
      <c r="AK3485" s="81">
        <v>25.615600000000001</v>
      </c>
      <c r="AM3485" s="81">
        <v>36.789400000000001</v>
      </c>
      <c r="AO3485" s="85">
        <v>6.7939600000000002</v>
      </c>
    </row>
    <row r="3486" spans="2:41" x14ac:dyDescent="0.25">
      <c r="B3486" s="21">
        <f t="shared" si="5"/>
        <v>45738</v>
      </c>
      <c r="C3486" s="91">
        <v>20.134499999999999</v>
      </c>
      <c r="E3486" s="83">
        <v>0.92465799999999998</v>
      </c>
      <c r="G3486" s="84">
        <v>1068.6400000000001</v>
      </c>
      <c r="I3486" s="85">
        <v>6.9081799999999998</v>
      </c>
      <c r="K3486" s="85">
        <v>5.7296199999999997</v>
      </c>
      <c r="M3486" s="84">
        <v>928.86</v>
      </c>
      <c r="O3486" s="86">
        <v>4147.6899999999996</v>
      </c>
      <c r="Q3486" s="86">
        <v>7978.72</v>
      </c>
      <c r="S3486" s="86">
        <v>1392.54</v>
      </c>
      <c r="U3486" s="85">
        <v>3.6268199999999999</v>
      </c>
      <c r="W3486" s="81">
        <v>42.413699999999999</v>
      </c>
      <c r="Y3486" s="81">
        <v>7.4025400000000001</v>
      </c>
      <c r="AA3486" s="84">
        <v>499.84</v>
      </c>
      <c r="AC3486" s="81">
        <v>63.192</v>
      </c>
      <c r="AE3486" s="87">
        <v>1</v>
      </c>
      <c r="AG3486" s="85">
        <v>7.7061000000000002</v>
      </c>
      <c r="AI3486" s="86">
        <v>8.75</v>
      </c>
      <c r="AK3486" s="81">
        <v>25.678100000000001</v>
      </c>
      <c r="AM3486" s="81">
        <v>36.774999999999999</v>
      </c>
      <c r="AO3486" s="85">
        <v>6.7945000000000002</v>
      </c>
    </row>
    <row r="3487" spans="2:41" x14ac:dyDescent="0.25">
      <c r="B3487" s="21">
        <f t="shared" si="5"/>
        <v>45739</v>
      </c>
      <c r="C3487" s="91">
        <v>20.134499999999999</v>
      </c>
      <c r="E3487" s="83">
        <v>0.92459199999999997</v>
      </c>
      <c r="G3487" s="84">
        <v>1068.54</v>
      </c>
      <c r="I3487" s="85">
        <v>6.9081799999999998</v>
      </c>
      <c r="K3487" s="85">
        <v>5.7296199999999997</v>
      </c>
      <c r="M3487" s="84">
        <v>928.86</v>
      </c>
      <c r="O3487" s="86">
        <v>4147.6899999999996</v>
      </c>
      <c r="Q3487" s="86">
        <v>7978.72</v>
      </c>
      <c r="S3487" s="86">
        <v>1392.54</v>
      </c>
      <c r="U3487" s="85">
        <v>3.6268199999999999</v>
      </c>
      <c r="W3487" s="81">
        <v>42.413699999999999</v>
      </c>
      <c r="Y3487" s="81">
        <v>7.4025499999999997</v>
      </c>
      <c r="AA3487" s="84">
        <v>499.84</v>
      </c>
      <c r="AC3487" s="81">
        <v>63.189599999999999</v>
      </c>
      <c r="AE3487" s="87">
        <v>1</v>
      </c>
      <c r="AG3487" s="85">
        <v>7.7060599999999999</v>
      </c>
      <c r="AI3487" s="86">
        <v>8.75</v>
      </c>
      <c r="AK3487" s="81">
        <v>25.675599999999999</v>
      </c>
      <c r="AM3487" s="81">
        <v>36.776499999999999</v>
      </c>
      <c r="AO3487" s="85">
        <v>6.7942</v>
      </c>
    </row>
    <row r="3488" spans="2:41" x14ac:dyDescent="0.25">
      <c r="B3488" s="21">
        <f t="shared" si="5"/>
        <v>45740</v>
      </c>
      <c r="C3488" s="91">
        <v>20.2163</v>
      </c>
      <c r="E3488" s="83">
        <v>0.92430199999999996</v>
      </c>
      <c r="G3488" s="84">
        <v>1068.9000000000001</v>
      </c>
      <c r="I3488" s="85">
        <v>6.9215600000000004</v>
      </c>
      <c r="K3488" s="85">
        <v>5.7392700000000003</v>
      </c>
      <c r="M3488" s="84">
        <v>927.54</v>
      </c>
      <c r="O3488" s="86">
        <v>4147.17</v>
      </c>
      <c r="Q3488" s="86">
        <v>7990.52</v>
      </c>
      <c r="S3488" s="86">
        <v>1392.26</v>
      </c>
      <c r="U3488" s="85">
        <v>3.63733</v>
      </c>
      <c r="W3488" s="81">
        <v>42.301000000000002</v>
      </c>
      <c r="Y3488" s="81">
        <v>7.3704700000000001</v>
      </c>
      <c r="AA3488" s="84">
        <v>500.47199999999998</v>
      </c>
      <c r="AC3488" s="81">
        <v>63.162199999999999</v>
      </c>
      <c r="AE3488" s="87">
        <v>1</v>
      </c>
      <c r="AG3488" s="85">
        <v>7.7115499999999999</v>
      </c>
      <c r="AI3488" s="86">
        <v>8.75</v>
      </c>
      <c r="AK3488" s="81">
        <v>25.635999999999999</v>
      </c>
      <c r="AM3488" s="81">
        <v>36.811799999999998</v>
      </c>
      <c r="AO3488" s="85">
        <v>6.7995999999999999</v>
      </c>
    </row>
    <row r="3489" spans="2:41" x14ac:dyDescent="0.25">
      <c r="B3489" s="21">
        <f t="shared" si="5"/>
        <v>45741</v>
      </c>
      <c r="C3489" s="91">
        <v>20.112300000000001</v>
      </c>
      <c r="E3489" s="83">
        <v>0.92567699999999997</v>
      </c>
      <c r="G3489" s="84">
        <v>1069.48</v>
      </c>
      <c r="I3489" s="85">
        <v>6.9291999999999998</v>
      </c>
      <c r="K3489" s="85">
        <v>5.7330399999999999</v>
      </c>
      <c r="M3489" s="84">
        <v>924.59400000000005</v>
      </c>
      <c r="O3489" s="86">
        <v>4129.12</v>
      </c>
      <c r="Q3489" s="86">
        <v>7991.72</v>
      </c>
      <c r="S3489" s="86">
        <v>1393.98</v>
      </c>
      <c r="U3489" s="85">
        <v>3.64439</v>
      </c>
      <c r="W3489" s="81">
        <v>42.244599999999998</v>
      </c>
      <c r="Y3489" s="81">
        <v>7.3686199999999999</v>
      </c>
      <c r="AA3489" s="84">
        <v>499.78</v>
      </c>
      <c r="AC3489" s="81">
        <v>63.235900000000001</v>
      </c>
      <c r="AE3489" s="87">
        <v>1</v>
      </c>
      <c r="AG3489" s="85">
        <v>7.71366</v>
      </c>
      <c r="AI3489" s="86">
        <v>8.75</v>
      </c>
      <c r="AK3489" s="81">
        <v>25.639099999999999</v>
      </c>
      <c r="AM3489" s="81">
        <v>36.8078</v>
      </c>
      <c r="AO3489" s="85">
        <v>6.79711</v>
      </c>
    </row>
    <row r="3490" spans="2:41" x14ac:dyDescent="0.25">
      <c r="B3490" s="21">
        <f t="shared" si="5"/>
        <v>45742</v>
      </c>
      <c r="C3490" s="91">
        <v>20.0762</v>
      </c>
      <c r="E3490" s="83">
        <v>0.92788700000000002</v>
      </c>
      <c r="G3490" s="84">
        <v>1070.8800000000001</v>
      </c>
      <c r="I3490" s="85">
        <v>6.9221399999999997</v>
      </c>
      <c r="K3490" s="85">
        <v>5.7169600000000003</v>
      </c>
      <c r="M3490" s="84">
        <v>921.48800000000006</v>
      </c>
      <c r="O3490" s="86">
        <v>4116.3599999999997</v>
      </c>
      <c r="Q3490" s="86">
        <v>8004.02</v>
      </c>
      <c r="S3490" s="86">
        <v>1400.06</v>
      </c>
      <c r="U3490" s="85">
        <v>3.65943</v>
      </c>
      <c r="W3490" s="81">
        <v>42.2059</v>
      </c>
      <c r="Y3490" s="81">
        <v>7.3826000000000001</v>
      </c>
      <c r="AA3490" s="84">
        <v>499.2</v>
      </c>
      <c r="AC3490" s="81">
        <v>63.270600000000002</v>
      </c>
      <c r="AE3490" s="87">
        <v>1</v>
      </c>
      <c r="AG3490" s="85">
        <v>7.7140300000000002</v>
      </c>
      <c r="AI3490" s="86">
        <v>8.75</v>
      </c>
      <c r="AK3490" s="81">
        <v>25.635100000000001</v>
      </c>
      <c r="AM3490" s="81">
        <v>36.809600000000003</v>
      </c>
      <c r="AO3490" s="85">
        <v>6.7952399999999997</v>
      </c>
    </row>
    <row r="3491" spans="2:41" x14ac:dyDescent="0.25">
      <c r="B3491" s="21">
        <f t="shared" si="5"/>
        <v>45743</v>
      </c>
      <c r="C3491" s="91">
        <v>20.096299999999999</v>
      </c>
      <c r="E3491" s="83">
        <v>0.92736799999999997</v>
      </c>
      <c r="G3491" s="84">
        <v>1071.3800000000001</v>
      </c>
      <c r="I3491" s="85">
        <v>6.9196799999999996</v>
      </c>
      <c r="K3491" s="85">
        <v>5.7397600000000004</v>
      </c>
      <c r="M3491" s="84">
        <v>927.62</v>
      </c>
      <c r="O3491" s="86">
        <v>4145.95</v>
      </c>
      <c r="Q3491" s="86">
        <v>8004.65</v>
      </c>
      <c r="S3491" s="86">
        <v>1394.6</v>
      </c>
      <c r="U3491" s="85">
        <v>3.6452</v>
      </c>
      <c r="W3491" s="81">
        <v>42.129600000000003</v>
      </c>
      <c r="Y3491" s="81">
        <v>7.3399599999999996</v>
      </c>
      <c r="AA3491" s="84">
        <v>499.51900000000001</v>
      </c>
      <c r="AC3491" s="81">
        <v>63.257199999999997</v>
      </c>
      <c r="AE3491" s="87">
        <v>1</v>
      </c>
      <c r="AG3491" s="85">
        <v>7.71</v>
      </c>
      <c r="AI3491" s="86">
        <v>8.75</v>
      </c>
      <c r="AK3491" s="81">
        <v>25.63</v>
      </c>
      <c r="AM3491" s="81">
        <v>36.810400000000001</v>
      </c>
      <c r="AO3491" s="85">
        <v>6.7926599999999997</v>
      </c>
    </row>
    <row r="3492" spans="2:41" x14ac:dyDescent="0.25">
      <c r="B3492" s="21">
        <f t="shared" si="5"/>
        <v>45744</v>
      </c>
      <c r="C3492" s="91">
        <v>20.318200000000001</v>
      </c>
      <c r="E3492" s="83">
        <v>0.92561300000000002</v>
      </c>
      <c r="G3492" s="84">
        <v>1071.0999999999999</v>
      </c>
      <c r="I3492" s="85">
        <v>6.9139799999999996</v>
      </c>
      <c r="K3492" s="85">
        <v>5.75298</v>
      </c>
      <c r="M3492" s="84">
        <v>940.50599999999997</v>
      </c>
      <c r="O3492" s="86">
        <v>4180.72</v>
      </c>
      <c r="Q3492" s="86">
        <v>8003.22</v>
      </c>
      <c r="S3492" s="86">
        <v>1391.15</v>
      </c>
      <c r="U3492" s="85">
        <v>3.6443699999999999</v>
      </c>
      <c r="W3492" s="81">
        <v>42.136400000000002</v>
      </c>
      <c r="Y3492" s="81">
        <v>7.3242799999999999</v>
      </c>
      <c r="AA3492" s="84">
        <v>499.601</v>
      </c>
      <c r="AC3492" s="81">
        <v>63.189300000000003</v>
      </c>
      <c r="AE3492" s="87">
        <v>1</v>
      </c>
      <c r="AG3492" s="85">
        <v>7.7115400000000003</v>
      </c>
      <c r="AI3492" s="86">
        <v>8.75</v>
      </c>
      <c r="AK3492" s="81">
        <v>25.606000000000002</v>
      </c>
      <c r="AM3492" s="81">
        <v>36.785600000000002</v>
      </c>
      <c r="AO3492" s="85">
        <v>6.7844800000000003</v>
      </c>
    </row>
    <row r="3493" spans="2:41" x14ac:dyDescent="0.25">
      <c r="B3493" s="21">
        <f t="shared" si="5"/>
        <v>45745</v>
      </c>
      <c r="C3493" s="91">
        <v>20.318200000000001</v>
      </c>
      <c r="E3493" s="83">
        <v>0.92330599999999996</v>
      </c>
      <c r="G3493" s="84">
        <v>1070.96</v>
      </c>
      <c r="I3493" s="85">
        <v>6.9144399999999999</v>
      </c>
      <c r="K3493" s="85">
        <v>5.7606799999999998</v>
      </c>
      <c r="M3493" s="84">
        <v>950.63800000000003</v>
      </c>
      <c r="O3493" s="86">
        <v>4202.5200000000004</v>
      </c>
      <c r="Q3493" s="86">
        <v>8004.34</v>
      </c>
      <c r="S3493" s="86">
        <v>1389.48</v>
      </c>
      <c r="U3493" s="85">
        <v>3.6554199999999999</v>
      </c>
      <c r="W3493" s="81">
        <v>42.165399999999998</v>
      </c>
      <c r="Y3493" s="81">
        <v>7.3195399999999999</v>
      </c>
      <c r="AA3493" s="84">
        <v>499.9</v>
      </c>
      <c r="AC3493" s="81">
        <v>63.2575</v>
      </c>
      <c r="AE3493" s="87">
        <v>1</v>
      </c>
      <c r="AG3493" s="85">
        <v>7.7141999999999999</v>
      </c>
      <c r="AI3493" s="86">
        <v>8.75</v>
      </c>
      <c r="AK3493" s="81">
        <v>25.655999999999999</v>
      </c>
      <c r="AM3493" s="81">
        <v>36.774999999999999</v>
      </c>
      <c r="AO3493" s="85">
        <v>6.78132</v>
      </c>
    </row>
    <row r="3494" spans="2:41" x14ac:dyDescent="0.25">
      <c r="B3494" s="21">
        <f t="shared" si="5"/>
        <v>45746</v>
      </c>
      <c r="C3494" s="91">
        <v>20.318200000000001</v>
      </c>
      <c r="E3494" s="83">
        <v>0.92342000000000002</v>
      </c>
      <c r="G3494" s="84">
        <v>1070.44</v>
      </c>
      <c r="I3494" s="85">
        <v>6.9144399999999999</v>
      </c>
      <c r="K3494" s="85">
        <v>5.7605199999999996</v>
      </c>
      <c r="M3494" s="84">
        <v>950.63800000000003</v>
      </c>
      <c r="O3494" s="86">
        <v>4201.6899999999996</v>
      </c>
      <c r="Q3494" s="86">
        <v>8004.31</v>
      </c>
      <c r="S3494" s="86">
        <v>1389.52</v>
      </c>
      <c r="U3494" s="85">
        <v>3.6544099999999999</v>
      </c>
      <c r="W3494" s="81">
        <v>42.165399999999998</v>
      </c>
      <c r="Y3494" s="81">
        <v>7.3197400000000004</v>
      </c>
      <c r="AA3494" s="84">
        <v>499.9</v>
      </c>
      <c r="AC3494" s="81">
        <v>63.243600000000001</v>
      </c>
      <c r="AE3494" s="87">
        <v>1</v>
      </c>
      <c r="AG3494" s="85">
        <v>7.7141799999999998</v>
      </c>
      <c r="AI3494" s="86">
        <v>8.75</v>
      </c>
      <c r="AK3494" s="81">
        <v>25.6478</v>
      </c>
      <c r="AM3494" s="81">
        <v>36.7684</v>
      </c>
      <c r="AO3494" s="85">
        <v>6.7823200000000003</v>
      </c>
    </row>
    <row r="3495" spans="2:41" x14ac:dyDescent="0.25">
      <c r="B3495" s="21">
        <f>B3494+1</f>
        <v>45747</v>
      </c>
      <c r="C3495" s="82">
        <v>20.400300000000001</v>
      </c>
      <c r="D3495" s="92"/>
      <c r="E3495" s="93">
        <v>0.92411399999999999</v>
      </c>
      <c r="F3495" s="92"/>
      <c r="G3495" s="94">
        <v>1070.5</v>
      </c>
      <c r="H3495" s="92"/>
      <c r="I3495" s="95">
        <v>6.9168399999999997</v>
      </c>
      <c r="J3495" s="92"/>
      <c r="K3495" s="95">
        <v>5.7454000000000001</v>
      </c>
      <c r="L3495" s="92"/>
      <c r="M3495" s="94">
        <v>945.08600000000001</v>
      </c>
      <c r="N3495" s="92"/>
      <c r="O3495" s="96">
        <v>4173.6099999999997</v>
      </c>
      <c r="P3495" s="92"/>
      <c r="Q3495" s="96">
        <v>7970.52</v>
      </c>
      <c r="R3495" s="92"/>
      <c r="S3495" s="96">
        <v>1387.29</v>
      </c>
      <c r="T3495" s="92"/>
      <c r="U3495" s="95">
        <v>3.6498400000000002</v>
      </c>
      <c r="V3495" s="92"/>
      <c r="W3495" s="91">
        <v>42.11</v>
      </c>
      <c r="X3495" s="92"/>
      <c r="Y3495" s="91">
        <v>7.3293699999999999</v>
      </c>
      <c r="Z3495" s="92"/>
      <c r="AA3495" s="94">
        <v>498.99400000000003</v>
      </c>
      <c r="AB3495" s="92"/>
      <c r="AC3495" s="91">
        <v>63.008800000000001</v>
      </c>
      <c r="AD3495" s="92"/>
      <c r="AE3495" s="97">
        <v>1</v>
      </c>
      <c r="AF3495" s="92"/>
      <c r="AG3495" s="95">
        <v>7.7076000000000002</v>
      </c>
      <c r="AH3495" s="92"/>
      <c r="AI3495" s="96">
        <v>8.75</v>
      </c>
      <c r="AJ3495" s="92"/>
      <c r="AK3495" s="91">
        <v>25.5428</v>
      </c>
      <c r="AL3495" s="92"/>
      <c r="AM3495" s="91">
        <v>36.695999999999998</v>
      </c>
      <c r="AN3495" s="92"/>
      <c r="AO3495" s="95">
        <v>6.7807399999999998</v>
      </c>
    </row>
    <row r="3496" spans="2:41" ht="13" x14ac:dyDescent="0.3">
      <c r="B3496" s="25" t="str">
        <f>"PROM-"&amp;MONTH(B3495)&amp;YEAR(B3495)</f>
        <v>PROM-32025</v>
      </c>
      <c r="C3496" s="19">
        <f>AVERAGE(C3465:C3495)</f>
        <v>20.244016129032264</v>
      </c>
      <c r="E3496" s="24">
        <f>AVERAGE(E3465:E3495)</f>
        <v>0.92718638709677437</v>
      </c>
      <c r="G3496" s="42">
        <f>AVERAGE(G3465:G3495)</f>
        <v>1067.0409677419357</v>
      </c>
      <c r="I3496" s="23">
        <f>AVERAGE(I3465:I3495)</f>
        <v>6.9114290322580665</v>
      </c>
      <c r="K3496" s="23">
        <f>AVERAGE(K3465:K3495)</f>
        <v>5.7804687096774199</v>
      </c>
      <c r="M3496" s="42">
        <f>AVERAGE(M3465:M3495)</f>
        <v>935.36470967741934</v>
      </c>
      <c r="O3496" s="80">
        <f>AVERAGE(O3465:O3495)</f>
        <v>4139.6487096774199</v>
      </c>
      <c r="Q3496" s="80">
        <f>AVERAGE(Q3465:Q3495)</f>
        <v>7948.6680645161268</v>
      </c>
      <c r="S3496" s="80">
        <f>AVERAGE(S3465:S3495)</f>
        <v>1375.4764516129037</v>
      </c>
      <c r="U3496" s="23">
        <f>AVERAGE(U3465:U3495)</f>
        <v>3.6557951612903228</v>
      </c>
      <c r="W3496" s="19">
        <f>AVERAGE(W3465:W3495)</f>
        <v>42.411641935483871</v>
      </c>
      <c r="Y3496" s="19">
        <f>AVERAGE(Y3465:Y3495)</f>
        <v>7.3386006451612875</v>
      </c>
      <c r="AA3496" s="42">
        <f>AVERAGE(AA3465:AA3495)</f>
        <v>501.62567741935493</v>
      </c>
      <c r="AC3496" s="19">
        <f>AVERAGE(AC3465:AC3495)</f>
        <v>62.773345161290315</v>
      </c>
      <c r="AE3496" s="88">
        <f>AVERAGE(AE3465:AE3495)</f>
        <v>1</v>
      </c>
      <c r="AG3496" s="23">
        <f>AVERAGE(AG3465:AG3495)</f>
        <v>7.7087754838709683</v>
      </c>
      <c r="AI3496" s="80">
        <f>AVERAGE(AI3465:AI3495)</f>
        <v>8.75</v>
      </c>
      <c r="AK3496" s="19">
        <f>AVERAGE(AK3465:AK3495)</f>
        <v>25.618290322580634</v>
      </c>
      <c r="AM3496" s="19">
        <f>AVERAGE(AM3465:AM3495)</f>
        <v>36.780822580645157</v>
      </c>
      <c r="AO3496" s="23">
        <f>AVERAGE(AO3465:AO3495)</f>
        <v>6.7868729032258068</v>
      </c>
    </row>
    <row r="3497" spans="2:41" x14ac:dyDescent="0.25">
      <c r="B3497" s="21">
        <v>45748</v>
      </c>
      <c r="C3497" s="91">
        <v>20.437999999999999</v>
      </c>
      <c r="E3497" s="83">
        <v>0.92553099999999999</v>
      </c>
      <c r="G3497" s="84">
        <v>1072.98</v>
      </c>
      <c r="I3497" s="85">
        <v>6.9211200000000002</v>
      </c>
      <c r="K3497" s="85">
        <v>5.6988399999999997</v>
      </c>
      <c r="M3497" s="84">
        <v>945.10500000000002</v>
      </c>
      <c r="O3497" s="86">
        <v>4171.38</v>
      </c>
      <c r="Q3497" s="86">
        <v>7980.12</v>
      </c>
      <c r="S3497" s="86">
        <v>1400.31</v>
      </c>
      <c r="U3497" s="85">
        <v>3.6685599999999998</v>
      </c>
      <c r="W3497" s="81">
        <v>42.157400000000003</v>
      </c>
      <c r="Y3497" s="81">
        <v>7.3975600000000004</v>
      </c>
      <c r="AA3497" s="84">
        <v>500.18200000000002</v>
      </c>
      <c r="AC3497" s="81">
        <v>63.1629</v>
      </c>
      <c r="AE3497" s="87">
        <v>1</v>
      </c>
      <c r="AG3497" s="85">
        <v>7.7159300000000002</v>
      </c>
      <c r="AI3497" s="86">
        <v>8.75</v>
      </c>
      <c r="AK3497" s="81">
        <v>25.6127</v>
      </c>
      <c r="AM3497" s="81">
        <v>36.791899999999998</v>
      </c>
      <c r="AO3497" s="85">
        <v>6.7844899999999999</v>
      </c>
    </row>
    <row r="3498" spans="2:41" x14ac:dyDescent="0.25">
      <c r="B3498" s="21">
        <f t="shared" ref="B3498:B3525" si="6">B3497+1</f>
        <v>45749</v>
      </c>
      <c r="C3498" s="91">
        <v>20.358699999999999</v>
      </c>
      <c r="E3498" s="83">
        <v>0.92430500000000004</v>
      </c>
      <c r="G3498" s="84">
        <v>1072.8399999999999</v>
      </c>
      <c r="I3498" s="85">
        <v>6.8895</v>
      </c>
      <c r="K3498" s="85">
        <v>5.6832799999999999</v>
      </c>
      <c r="M3498" s="84">
        <v>950.39800000000002</v>
      </c>
      <c r="O3498" s="86">
        <v>4156.0600000000004</v>
      </c>
      <c r="Q3498" s="86">
        <v>7985.65</v>
      </c>
      <c r="S3498" s="86">
        <v>1405.12</v>
      </c>
      <c r="U3498" s="85">
        <v>3.67462</v>
      </c>
      <c r="W3498" s="81">
        <v>42.0854</v>
      </c>
      <c r="Y3498" s="81">
        <v>7.4051499999999999</v>
      </c>
      <c r="AA3498" s="84">
        <v>501.38</v>
      </c>
      <c r="AC3498" s="81">
        <v>63.244700000000002</v>
      </c>
      <c r="AE3498" s="87">
        <v>1</v>
      </c>
      <c r="AG3498" s="85">
        <v>7.7154400000000001</v>
      </c>
      <c r="AI3498" s="86">
        <v>8.75</v>
      </c>
      <c r="AK3498" s="81">
        <v>25.629100000000001</v>
      </c>
      <c r="AM3498" s="81">
        <v>36.790500000000002</v>
      </c>
      <c r="AO3498" s="85">
        <v>6.7832800000000004</v>
      </c>
    </row>
    <row r="3499" spans="2:41" x14ac:dyDescent="0.25">
      <c r="B3499" s="21">
        <f t="shared" si="6"/>
        <v>45750</v>
      </c>
      <c r="C3499" s="91">
        <v>20.456800000000001</v>
      </c>
      <c r="E3499" s="83">
        <v>0.90820800000000002</v>
      </c>
      <c r="G3499" s="84">
        <v>1073.47</v>
      </c>
      <c r="I3499" s="85">
        <v>6.8663299999999996</v>
      </c>
      <c r="K3499" s="85">
        <v>5.6457199999999998</v>
      </c>
      <c r="M3499" s="84">
        <v>952.14800000000002</v>
      </c>
      <c r="O3499" s="86">
        <v>4149.9399999999996</v>
      </c>
      <c r="Q3499" s="86">
        <v>7974.64</v>
      </c>
      <c r="S3499" s="86">
        <v>1412.52</v>
      </c>
      <c r="U3499" s="85">
        <v>3.6596099999999998</v>
      </c>
      <c r="W3499" s="81">
        <v>41.984000000000002</v>
      </c>
      <c r="Y3499" s="81">
        <v>7.4364600000000003</v>
      </c>
      <c r="AA3499" s="84">
        <v>501.84</v>
      </c>
      <c r="AC3499" s="81">
        <v>62.9788</v>
      </c>
      <c r="AE3499" s="87">
        <v>1</v>
      </c>
      <c r="AG3499" s="85">
        <v>7.6954099999999999</v>
      </c>
      <c r="AI3499" s="86">
        <v>8.75</v>
      </c>
      <c r="AK3499" s="81">
        <v>25.547599999999999</v>
      </c>
      <c r="AM3499" s="81">
        <v>36.7194</v>
      </c>
      <c r="AO3499" s="85">
        <v>6.7620100000000001</v>
      </c>
    </row>
    <row r="3500" spans="2:41" x14ac:dyDescent="0.25">
      <c r="B3500" s="21">
        <f t="shared" si="6"/>
        <v>45751</v>
      </c>
      <c r="C3500" s="91">
        <v>19.970800000000001</v>
      </c>
      <c r="E3500" s="83">
        <v>0.90793800000000002</v>
      </c>
      <c r="G3500" s="84">
        <v>1073.9100000000001</v>
      </c>
      <c r="I3500" s="85">
        <v>6.8930199999999999</v>
      </c>
      <c r="K3500" s="85">
        <v>5.7258800000000001</v>
      </c>
      <c r="M3500" s="84">
        <v>960.48599999999999</v>
      </c>
      <c r="O3500" s="86">
        <v>4189.47</v>
      </c>
      <c r="Q3500" s="86">
        <v>7997.88</v>
      </c>
      <c r="S3500" s="86">
        <v>1396.8</v>
      </c>
      <c r="U3500" s="85">
        <v>3.6694800000000001</v>
      </c>
      <c r="W3500" s="81">
        <v>42.127099999999999</v>
      </c>
      <c r="Y3500" s="81">
        <v>7.3573399999999998</v>
      </c>
      <c r="AA3500" s="84">
        <v>504.30399999999997</v>
      </c>
      <c r="AC3500" s="81">
        <v>63.010199999999998</v>
      </c>
      <c r="AE3500" s="87">
        <v>1</v>
      </c>
      <c r="AG3500" s="85">
        <v>7.70601</v>
      </c>
      <c r="AI3500" s="86">
        <v>8.75</v>
      </c>
      <c r="AK3500" s="81">
        <v>25.547999999999998</v>
      </c>
      <c r="AM3500" s="81">
        <v>36.753500000000003</v>
      </c>
      <c r="AO3500" s="85">
        <v>6.7662599999999999</v>
      </c>
    </row>
    <row r="3501" spans="2:41" x14ac:dyDescent="0.25">
      <c r="B3501" s="21">
        <f t="shared" si="6"/>
        <v>45752</v>
      </c>
      <c r="C3501" s="91">
        <v>19.970800000000001</v>
      </c>
      <c r="E3501" s="83">
        <v>0.91203400000000001</v>
      </c>
      <c r="G3501" s="84">
        <v>1073.31</v>
      </c>
      <c r="I3501" s="85">
        <v>6.8906499999999999</v>
      </c>
      <c r="K3501" s="85">
        <v>5.8414799999999998</v>
      </c>
      <c r="M3501" s="84">
        <v>971.5</v>
      </c>
      <c r="O3501" s="86">
        <v>4248.84</v>
      </c>
      <c r="Q3501" s="86">
        <v>7995.86</v>
      </c>
      <c r="S3501" s="86">
        <v>1368.81</v>
      </c>
      <c r="U3501" s="85">
        <v>3.6660400000000002</v>
      </c>
      <c r="W3501" s="81">
        <v>42.1372</v>
      </c>
      <c r="Y3501" s="81">
        <v>7.2134600000000004</v>
      </c>
      <c r="AA3501" s="84">
        <v>504.55399999999997</v>
      </c>
      <c r="AC3501" s="81">
        <v>62.902900000000002</v>
      </c>
      <c r="AE3501" s="87">
        <v>1</v>
      </c>
      <c r="AG3501" s="85">
        <v>7.6972800000000001</v>
      </c>
      <c r="AI3501" s="86">
        <v>8.75</v>
      </c>
      <c r="AK3501" s="81">
        <v>25.5123</v>
      </c>
      <c r="AM3501" s="81">
        <v>36.732500000000002</v>
      </c>
      <c r="AO3501" s="85">
        <v>6.7633400000000004</v>
      </c>
    </row>
    <row r="3502" spans="2:41" x14ac:dyDescent="0.25">
      <c r="B3502" s="21">
        <f t="shared" si="6"/>
        <v>45753</v>
      </c>
      <c r="C3502" s="91">
        <v>19.970800000000001</v>
      </c>
      <c r="E3502" s="83">
        <v>0.912134</v>
      </c>
      <c r="G3502" s="84">
        <v>1074.45</v>
      </c>
      <c r="I3502" s="85">
        <v>6.8906499999999999</v>
      </c>
      <c r="K3502" s="85">
        <v>5.8416300000000003</v>
      </c>
      <c r="M3502" s="84">
        <v>971.39200000000005</v>
      </c>
      <c r="O3502" s="86">
        <v>4248.3999999999996</v>
      </c>
      <c r="Q3502" s="86">
        <v>7995.86</v>
      </c>
      <c r="S3502" s="86">
        <v>1368.77</v>
      </c>
      <c r="U3502" s="85">
        <v>3.6660400000000002</v>
      </c>
      <c r="W3502" s="81">
        <v>42.1372</v>
      </c>
      <c r="Y3502" s="81">
        <v>7.2132699999999996</v>
      </c>
      <c r="AA3502" s="84">
        <v>504.55399999999997</v>
      </c>
      <c r="AC3502" s="81">
        <v>62.902900000000002</v>
      </c>
      <c r="AE3502" s="87">
        <v>1</v>
      </c>
      <c r="AG3502" s="85">
        <v>7.6972800000000001</v>
      </c>
      <c r="AI3502" s="86">
        <v>8.75</v>
      </c>
      <c r="AK3502" s="81">
        <v>25.5123</v>
      </c>
      <c r="AM3502" s="81">
        <v>36.732500000000002</v>
      </c>
      <c r="AO3502" s="85">
        <v>6.7633400000000004</v>
      </c>
    </row>
    <row r="3503" spans="2:41" x14ac:dyDescent="0.25">
      <c r="B3503" s="21">
        <f t="shared" si="6"/>
        <v>45754</v>
      </c>
      <c r="C3503" s="91">
        <v>20.501000000000001</v>
      </c>
      <c r="E3503" s="83">
        <v>0.91305800000000004</v>
      </c>
      <c r="G3503" s="84">
        <v>1076.1400000000001</v>
      </c>
      <c r="I3503" s="85">
        <v>6.9152199999999997</v>
      </c>
      <c r="K3503" s="85">
        <v>5.8738400000000004</v>
      </c>
      <c r="M3503" s="84">
        <v>978.51599999999996</v>
      </c>
      <c r="O3503" s="86">
        <v>4277.42</v>
      </c>
      <c r="Q3503" s="86">
        <v>8002.7</v>
      </c>
      <c r="S3503" s="86">
        <v>1362.44</v>
      </c>
      <c r="U3503" s="85">
        <v>3.6797399999999998</v>
      </c>
      <c r="W3503" s="81">
        <v>42.181899999999999</v>
      </c>
      <c r="Y3503" s="81">
        <v>7.1813399999999996</v>
      </c>
      <c r="AA3503" s="84">
        <v>507.06799999999998</v>
      </c>
      <c r="AC3503" s="81">
        <v>62.945</v>
      </c>
      <c r="AE3503" s="87">
        <v>1</v>
      </c>
      <c r="AG3503" s="85">
        <v>7.7128199999999998</v>
      </c>
      <c r="AI3503" s="86">
        <v>8.75</v>
      </c>
      <c r="AK3503" s="81">
        <v>25.607199999999999</v>
      </c>
      <c r="AM3503" s="81">
        <v>36.754199999999997</v>
      </c>
      <c r="AO3503" s="85">
        <v>6.7729999999999997</v>
      </c>
    </row>
    <row r="3504" spans="2:41" x14ac:dyDescent="0.25">
      <c r="B3504" s="21">
        <f t="shared" si="6"/>
        <v>45755</v>
      </c>
      <c r="C3504" s="91">
        <v>20.694700000000001</v>
      </c>
      <c r="E3504" s="83">
        <v>0.91339999999999999</v>
      </c>
      <c r="G3504" s="84">
        <v>1075.44</v>
      </c>
      <c r="I3504" s="85">
        <v>6.9313599999999997</v>
      </c>
      <c r="K3504" s="85">
        <v>5.9428700000000001</v>
      </c>
      <c r="M3504" s="84">
        <v>992.96199999999999</v>
      </c>
      <c r="O3504" s="86">
        <v>4400.41</v>
      </c>
      <c r="Q3504" s="86">
        <v>8011.85</v>
      </c>
      <c r="S3504" s="86">
        <v>1348.14</v>
      </c>
      <c r="U3504" s="85">
        <v>3.7047300000000001</v>
      </c>
      <c r="W3504" s="81">
        <v>42.316400000000002</v>
      </c>
      <c r="Y3504" s="81">
        <v>7.1205600000000002</v>
      </c>
      <c r="AA3504" s="84">
        <v>511.26600000000002</v>
      </c>
      <c r="AC3504" s="81">
        <v>62.818100000000001</v>
      </c>
      <c r="AE3504" s="87">
        <v>1</v>
      </c>
      <c r="AG3504" s="85">
        <v>7.7159399999999998</v>
      </c>
      <c r="AI3504" s="86">
        <v>8.75</v>
      </c>
      <c r="AK3504" s="81">
        <v>25.682500000000001</v>
      </c>
      <c r="AM3504" s="81">
        <v>36.812600000000003</v>
      </c>
      <c r="AO3504" s="85">
        <v>6.7812599999999996</v>
      </c>
    </row>
    <row r="3505" spans="2:41" x14ac:dyDescent="0.25">
      <c r="B3505" s="21">
        <f t="shared" si="6"/>
        <v>45756</v>
      </c>
      <c r="C3505" s="91">
        <v>20.686699999999998</v>
      </c>
      <c r="E3505" s="83">
        <v>0.90784399999999998</v>
      </c>
      <c r="G3505" s="84">
        <v>1076.02</v>
      </c>
      <c r="I3505" s="85">
        <v>6.9081200000000003</v>
      </c>
      <c r="K3505" s="85">
        <v>5.9789599999999998</v>
      </c>
      <c r="M3505" s="84">
        <v>996.47</v>
      </c>
      <c r="O3505" s="86">
        <v>4392.9399999999996</v>
      </c>
      <c r="Q3505" s="86">
        <v>7981.38</v>
      </c>
      <c r="S3505" s="86">
        <v>1334.92</v>
      </c>
      <c r="U3505" s="85">
        <v>3.7249300000000001</v>
      </c>
      <c r="W3505" s="81">
        <v>42.499400000000001</v>
      </c>
      <c r="Y3505" s="81">
        <v>7.1081700000000003</v>
      </c>
      <c r="AA3505" s="84">
        <v>511.34199999999998</v>
      </c>
      <c r="AC3505" s="81">
        <v>62.296999999999997</v>
      </c>
      <c r="AE3505" s="87">
        <v>1</v>
      </c>
      <c r="AG3505" s="85">
        <v>7.6961199999999996</v>
      </c>
      <c r="AI3505" s="86">
        <v>8.75</v>
      </c>
      <c r="AK3505" s="81">
        <v>25.7182</v>
      </c>
      <c r="AM3505" s="81">
        <v>36.710799999999999</v>
      </c>
      <c r="AO3505" s="85">
        <v>6.7668999999999997</v>
      </c>
    </row>
    <row r="3506" spans="2:41" x14ac:dyDescent="0.25">
      <c r="B3506" s="21">
        <f t="shared" si="6"/>
        <v>45757</v>
      </c>
      <c r="C3506" s="91">
        <v>20.7653</v>
      </c>
      <c r="E3506" s="83">
        <v>0.90149400000000002</v>
      </c>
      <c r="G3506" s="84">
        <v>1077.24</v>
      </c>
      <c r="I3506" s="85">
        <v>6.9238200000000001</v>
      </c>
      <c r="K3506" s="85">
        <v>5.8657000000000004</v>
      </c>
      <c r="M3506" s="84">
        <v>984.73199999999997</v>
      </c>
      <c r="O3506" s="86">
        <v>4326.3999999999996</v>
      </c>
      <c r="Q3506" s="86">
        <v>8016.78</v>
      </c>
      <c r="S3506" s="86">
        <v>1366.72</v>
      </c>
      <c r="U3506" s="85">
        <v>3.7374399999999999</v>
      </c>
      <c r="W3506" s="81">
        <v>42.879399999999997</v>
      </c>
      <c r="Y3506" s="81">
        <v>7.3102099999999997</v>
      </c>
      <c r="AA3506" s="84">
        <v>512.83299999999997</v>
      </c>
      <c r="AC3506" s="81">
        <v>62.198999999999998</v>
      </c>
      <c r="AE3506" s="87">
        <v>1</v>
      </c>
      <c r="AG3506" s="85">
        <v>7.7221200000000003</v>
      </c>
      <c r="AI3506" s="86">
        <v>8.75</v>
      </c>
      <c r="AK3506" s="81">
        <v>25.884499999999999</v>
      </c>
      <c r="AM3506" s="81">
        <v>36.8399</v>
      </c>
      <c r="AO3506" s="85">
        <v>6.7938599999999996</v>
      </c>
    </row>
    <row r="3507" spans="2:41" x14ac:dyDescent="0.25">
      <c r="B3507" s="21">
        <f t="shared" si="6"/>
        <v>45758</v>
      </c>
      <c r="C3507" s="91">
        <v>20.492000000000001</v>
      </c>
      <c r="E3507" s="83">
        <v>0.88211600000000001</v>
      </c>
      <c r="G3507" s="84">
        <v>1075.78</v>
      </c>
      <c r="I3507" s="85">
        <v>6.8814900000000003</v>
      </c>
      <c r="K3507" s="85">
        <v>5.8787399999999996</v>
      </c>
      <c r="M3507" s="84">
        <v>982.24800000000005</v>
      </c>
      <c r="O3507" s="86">
        <v>4342.5600000000004</v>
      </c>
      <c r="Q3507" s="86">
        <v>7958.68</v>
      </c>
      <c r="S3507" s="86">
        <v>1353.81</v>
      </c>
      <c r="U3507" s="85">
        <v>3.70234</v>
      </c>
      <c r="W3507" s="81">
        <v>42.572600000000001</v>
      </c>
      <c r="Y3507" s="81">
        <v>7.2418300000000002</v>
      </c>
      <c r="AA3507" s="84">
        <v>510.18</v>
      </c>
      <c r="AC3507" s="81">
        <v>61.3874</v>
      </c>
      <c r="AE3507" s="87">
        <v>1</v>
      </c>
      <c r="AG3507" s="85">
        <v>7.68093</v>
      </c>
      <c r="AI3507" s="86">
        <v>8.75</v>
      </c>
      <c r="AK3507" s="81">
        <v>25.725999999999999</v>
      </c>
      <c r="AM3507" s="81">
        <v>36.613599999999998</v>
      </c>
      <c r="AO3507" s="85">
        <v>6.7672400000000001</v>
      </c>
    </row>
    <row r="3508" spans="2:41" x14ac:dyDescent="0.25">
      <c r="B3508" s="21">
        <f t="shared" si="6"/>
        <v>45759</v>
      </c>
      <c r="C3508" s="91">
        <v>20.492000000000001</v>
      </c>
      <c r="E3508" s="83">
        <v>0.88028899999999999</v>
      </c>
      <c r="G3508" s="84">
        <v>1074.6199999999999</v>
      </c>
      <c r="I3508" s="85">
        <v>6.9067800000000004</v>
      </c>
      <c r="K3508" s="85">
        <v>5.867</v>
      </c>
      <c r="M3508" s="84">
        <v>971.82</v>
      </c>
      <c r="O3508" s="86">
        <v>4279.5200000000004</v>
      </c>
      <c r="Q3508" s="86">
        <v>8001.74</v>
      </c>
      <c r="S3508" s="86">
        <v>1363.86</v>
      </c>
      <c r="U3508" s="85">
        <v>3.7281</v>
      </c>
      <c r="W3508" s="81">
        <v>42.765000000000001</v>
      </c>
      <c r="Y3508" s="81">
        <v>7.2890800000000002</v>
      </c>
      <c r="AA3508" s="84">
        <v>513.19399999999996</v>
      </c>
      <c r="AC3508" s="81">
        <v>61.6175</v>
      </c>
      <c r="AE3508" s="87">
        <v>1</v>
      </c>
      <c r="AG3508" s="85">
        <v>7.7144599999999999</v>
      </c>
      <c r="AI3508" s="86">
        <v>8.75</v>
      </c>
      <c r="AK3508" s="81">
        <v>25.826499999999999</v>
      </c>
      <c r="AM3508" s="81">
        <v>36.770000000000003</v>
      </c>
      <c r="AO3508" s="85">
        <v>6.7947100000000002</v>
      </c>
    </row>
    <row r="3509" spans="2:41" x14ac:dyDescent="0.25">
      <c r="B3509" s="21">
        <f t="shared" si="6"/>
        <v>45760</v>
      </c>
      <c r="C3509" s="91">
        <v>20.492000000000001</v>
      </c>
      <c r="E3509" s="83">
        <v>0.880552</v>
      </c>
      <c r="G3509" s="84">
        <v>1074.9000000000001</v>
      </c>
      <c r="I3509" s="85">
        <v>6.9064899999999998</v>
      </c>
      <c r="K3509" s="85">
        <v>5.86707</v>
      </c>
      <c r="M3509" s="84">
        <v>971.82399999999996</v>
      </c>
      <c r="O3509" s="86">
        <v>4279.84</v>
      </c>
      <c r="Q3509" s="86">
        <v>8001.58</v>
      </c>
      <c r="S3509" s="86">
        <v>1363.82</v>
      </c>
      <c r="U3509" s="85">
        <v>3.72776</v>
      </c>
      <c r="W3509" s="81">
        <v>42.762</v>
      </c>
      <c r="Y3509" s="81">
        <v>7.2885</v>
      </c>
      <c r="AA3509" s="84">
        <v>513.19399999999996</v>
      </c>
      <c r="AC3509" s="81">
        <v>61.620399999999997</v>
      </c>
      <c r="AE3509" s="87">
        <v>1</v>
      </c>
      <c r="AG3509" s="85">
        <v>7.7144399999999997</v>
      </c>
      <c r="AI3509" s="86">
        <v>8.75</v>
      </c>
      <c r="AK3509" s="81">
        <v>25.826799999999999</v>
      </c>
      <c r="AM3509" s="81">
        <v>36.769199999999998</v>
      </c>
      <c r="AO3509" s="85">
        <v>6.79406</v>
      </c>
    </row>
    <row r="3510" spans="2:41" x14ac:dyDescent="0.25">
      <c r="B3510" s="21">
        <f t="shared" si="6"/>
        <v>45761</v>
      </c>
      <c r="C3510" s="91">
        <v>20.336300000000001</v>
      </c>
      <c r="E3510" s="83">
        <v>0.879718</v>
      </c>
      <c r="G3510" s="84">
        <v>1083.46</v>
      </c>
      <c r="I3510" s="85">
        <v>6.9074799999999996</v>
      </c>
      <c r="K3510" s="85">
        <v>5.8618100000000002</v>
      </c>
      <c r="M3510" s="84">
        <v>969.452</v>
      </c>
      <c r="O3510" s="86">
        <v>4290.54</v>
      </c>
      <c r="Q3510" s="86">
        <v>7997.02</v>
      </c>
      <c r="S3510" s="86">
        <v>1364.26</v>
      </c>
      <c r="U3510" s="85">
        <v>3.7315</v>
      </c>
      <c r="W3510" s="81">
        <v>42.992199999999997</v>
      </c>
      <c r="Y3510" s="81">
        <v>7.3342999999999998</v>
      </c>
      <c r="AA3510" s="84">
        <v>512.21799999999996</v>
      </c>
      <c r="AC3510" s="81">
        <v>61.504600000000003</v>
      </c>
      <c r="AE3510" s="87">
        <v>1</v>
      </c>
      <c r="AG3510" s="85">
        <v>7.7111200000000002</v>
      </c>
      <c r="AI3510" s="86">
        <v>8.75</v>
      </c>
      <c r="AK3510" s="81">
        <v>25.886500000000002</v>
      </c>
      <c r="AM3510" s="81">
        <v>36.786200000000001</v>
      </c>
      <c r="AO3510" s="85">
        <v>6.7885499999999999</v>
      </c>
    </row>
    <row r="3511" spans="2:41" x14ac:dyDescent="0.25">
      <c r="B3511" s="21">
        <f t="shared" si="6"/>
        <v>45762</v>
      </c>
      <c r="C3511" s="91">
        <v>20.102499999999999</v>
      </c>
      <c r="E3511" s="83">
        <v>0.88355099999999998</v>
      </c>
      <c r="G3511" s="84">
        <v>1096.98</v>
      </c>
      <c r="I3511" s="85">
        <v>6.9084700000000003</v>
      </c>
      <c r="K3511" s="85">
        <v>5.86965</v>
      </c>
      <c r="M3511" s="84">
        <v>967.80600000000004</v>
      </c>
      <c r="O3511" s="86">
        <v>4326.4399999999996</v>
      </c>
      <c r="Q3511" s="86">
        <v>7997.42</v>
      </c>
      <c r="S3511" s="86">
        <v>1362.51</v>
      </c>
      <c r="U3511" s="85">
        <v>3.73922</v>
      </c>
      <c r="W3511" s="81">
        <v>42.68</v>
      </c>
      <c r="Y3511" s="81">
        <v>7.2713200000000002</v>
      </c>
      <c r="AA3511" s="84">
        <v>508.18200000000002</v>
      </c>
      <c r="AC3511" s="81">
        <v>61.0867</v>
      </c>
      <c r="AE3511" s="87">
        <v>1</v>
      </c>
      <c r="AG3511" s="85">
        <v>7.7127400000000002</v>
      </c>
      <c r="AI3511" s="86">
        <v>8.75</v>
      </c>
      <c r="AK3511" s="81">
        <v>25.870200000000001</v>
      </c>
      <c r="AM3511" s="81">
        <v>36.787799999999997</v>
      </c>
      <c r="AO3511" s="85">
        <v>6.7922099999999999</v>
      </c>
    </row>
    <row r="3512" spans="2:41" x14ac:dyDescent="0.25">
      <c r="B3512" s="21">
        <f t="shared" si="6"/>
        <v>45763</v>
      </c>
      <c r="C3512" s="91">
        <v>20.0213</v>
      </c>
      <c r="E3512" s="83">
        <v>0.879861</v>
      </c>
      <c r="G3512" s="84">
        <v>1108.73</v>
      </c>
      <c r="I3512" s="85">
        <v>6.9049199999999997</v>
      </c>
      <c r="K3512" s="85">
        <v>5.8824199999999998</v>
      </c>
      <c r="M3512" s="84">
        <v>970.07</v>
      </c>
      <c r="O3512" s="86">
        <v>4331.22</v>
      </c>
      <c r="Q3512" s="86">
        <v>7999.52</v>
      </c>
      <c r="S3512" s="86">
        <v>1359.9</v>
      </c>
      <c r="U3512" s="85">
        <v>3.73828</v>
      </c>
      <c r="W3512" s="81">
        <v>42.364400000000003</v>
      </c>
      <c r="Y3512" s="81">
        <v>7.2018800000000001</v>
      </c>
      <c r="AA3512" s="84">
        <v>503.86700000000002</v>
      </c>
      <c r="AC3512" s="81">
        <v>60.612200000000001</v>
      </c>
      <c r="AE3512" s="87">
        <v>1</v>
      </c>
      <c r="AG3512" s="85">
        <v>7.7071300000000003</v>
      </c>
      <c r="AI3512" s="86">
        <v>8.75</v>
      </c>
      <c r="AK3512" s="81">
        <v>25.9209</v>
      </c>
      <c r="AM3512" s="81">
        <v>36.802199999999999</v>
      </c>
      <c r="AO3512" s="85">
        <v>6.7893600000000003</v>
      </c>
    </row>
    <row r="3513" spans="2:41" x14ac:dyDescent="0.25">
      <c r="B3513" s="21">
        <f t="shared" si="6"/>
        <v>45764</v>
      </c>
      <c r="C3513" s="91">
        <v>20.0213</v>
      </c>
      <c r="E3513" s="83">
        <v>0.87981699999999996</v>
      </c>
      <c r="G3513" s="84">
        <v>1138</v>
      </c>
      <c r="I3513" s="85">
        <v>6.9054599999999997</v>
      </c>
      <c r="K3513" s="85">
        <v>5.8487200000000001</v>
      </c>
      <c r="M3513" s="84">
        <v>968.19399999999996</v>
      </c>
      <c r="O3513" s="86">
        <v>4311.16</v>
      </c>
      <c r="Q3513" s="86">
        <v>7997.24</v>
      </c>
      <c r="S3513" s="86">
        <v>1367.36</v>
      </c>
      <c r="U3513" s="85">
        <v>3.7365599999999999</v>
      </c>
      <c r="W3513" s="81">
        <v>42.186700000000002</v>
      </c>
      <c r="Y3513" s="81">
        <v>7.2130000000000001</v>
      </c>
      <c r="AA3513" s="84">
        <v>502.49599999999998</v>
      </c>
      <c r="AC3513" s="81">
        <v>60.157800000000002</v>
      </c>
      <c r="AE3513" s="87">
        <v>1</v>
      </c>
      <c r="AG3513" s="85">
        <v>7.7005600000000003</v>
      </c>
      <c r="AI3513" s="86">
        <v>8.75</v>
      </c>
      <c r="AK3513" s="81">
        <v>25.887</v>
      </c>
      <c r="AM3513" s="81">
        <v>36.789000000000001</v>
      </c>
      <c r="AO3513" s="85">
        <v>6.78308</v>
      </c>
    </row>
    <row r="3514" spans="2:41" x14ac:dyDescent="0.25">
      <c r="B3514" s="21">
        <f t="shared" si="6"/>
        <v>45765</v>
      </c>
      <c r="C3514" s="91">
        <v>20.0213</v>
      </c>
      <c r="E3514" s="83">
        <v>0.87858899999999995</v>
      </c>
      <c r="G3514" s="84">
        <v>1137.98</v>
      </c>
      <c r="I3514" s="85">
        <v>6.9059999999999997</v>
      </c>
      <c r="K3514" s="85">
        <v>5.8085100000000001</v>
      </c>
      <c r="M3514" s="84">
        <v>966.45600000000002</v>
      </c>
      <c r="O3514" s="86">
        <v>4309.55</v>
      </c>
      <c r="Q3514" s="86">
        <v>8000.28</v>
      </c>
      <c r="S3514" s="86">
        <v>1377.34</v>
      </c>
      <c r="U3514" s="85">
        <v>3.75258</v>
      </c>
      <c r="W3514" s="81">
        <v>42.146599999999999</v>
      </c>
      <c r="Y3514" s="81">
        <v>7.2560099999999998</v>
      </c>
      <c r="AA3514" s="84">
        <v>502.35199999999998</v>
      </c>
      <c r="AC3514" s="81">
        <v>60.299799999999998</v>
      </c>
      <c r="AE3514" s="87">
        <v>1</v>
      </c>
      <c r="AG3514" s="85">
        <v>7.7006399999999999</v>
      </c>
      <c r="AI3514" s="86">
        <v>8.75</v>
      </c>
      <c r="AK3514" s="81">
        <v>25.886399999999998</v>
      </c>
      <c r="AM3514" s="81">
        <v>36.791600000000003</v>
      </c>
      <c r="AO3514" s="85">
        <v>6.7852300000000003</v>
      </c>
    </row>
    <row r="3515" spans="2:41" x14ac:dyDescent="0.25">
      <c r="B3515" s="21">
        <f t="shared" si="6"/>
        <v>45766</v>
      </c>
      <c r="C3515" s="91">
        <v>20.0213</v>
      </c>
      <c r="E3515" s="83">
        <v>0.87758199999999997</v>
      </c>
      <c r="G3515" s="84">
        <v>1137.98</v>
      </c>
      <c r="I3515" s="85">
        <v>6.9059799999999996</v>
      </c>
      <c r="K3515" s="85">
        <v>5.8073199999999998</v>
      </c>
      <c r="M3515" s="84">
        <v>966.60299999999995</v>
      </c>
      <c r="O3515" s="86">
        <v>4309.28</v>
      </c>
      <c r="Q3515" s="86">
        <v>8003.38</v>
      </c>
      <c r="S3515" s="86">
        <v>1378.16</v>
      </c>
      <c r="U3515" s="85">
        <v>3.7450899999999998</v>
      </c>
      <c r="W3515" s="81">
        <v>42.1556</v>
      </c>
      <c r="Y3515" s="81">
        <v>7.2590599999999998</v>
      </c>
      <c r="AA3515" s="84">
        <v>502.09</v>
      </c>
      <c r="AC3515" s="81">
        <v>60.045699999999997</v>
      </c>
      <c r="AE3515" s="87">
        <v>1</v>
      </c>
      <c r="AG3515" s="85">
        <v>7.7000999999999999</v>
      </c>
      <c r="AI3515" s="86">
        <v>8.75</v>
      </c>
      <c r="AK3515" s="81">
        <v>25.882200000000001</v>
      </c>
      <c r="AM3515" s="81">
        <v>36.789299999999997</v>
      </c>
      <c r="AO3515" s="85">
        <v>6.7839999999999998</v>
      </c>
    </row>
    <row r="3516" spans="2:41" x14ac:dyDescent="0.25">
      <c r="B3516" s="21">
        <f t="shared" si="6"/>
        <v>45767</v>
      </c>
      <c r="C3516" s="91">
        <v>20.0213</v>
      </c>
      <c r="E3516" s="83">
        <v>0.87728399999999995</v>
      </c>
      <c r="G3516" s="84">
        <v>1137.32</v>
      </c>
      <c r="I3516" s="85">
        <v>6.9059799999999996</v>
      </c>
      <c r="K3516" s="85">
        <v>5.8074399999999997</v>
      </c>
      <c r="M3516" s="84">
        <v>966.61199999999997</v>
      </c>
      <c r="O3516" s="86">
        <v>4309.34</v>
      </c>
      <c r="Q3516" s="86">
        <v>8003.15</v>
      </c>
      <c r="S3516" s="86">
        <v>1378.09</v>
      </c>
      <c r="U3516" s="85">
        <v>3.7454299999999998</v>
      </c>
      <c r="W3516" s="81">
        <v>42.152900000000002</v>
      </c>
      <c r="Y3516" s="81">
        <v>7.2584400000000002</v>
      </c>
      <c r="AA3516" s="84">
        <v>502.09199999999998</v>
      </c>
      <c r="AC3516" s="81">
        <v>60.064999999999998</v>
      </c>
      <c r="AE3516" s="87">
        <v>1</v>
      </c>
      <c r="AG3516" s="85">
        <v>7.7000700000000002</v>
      </c>
      <c r="AI3516" s="86">
        <v>8.75</v>
      </c>
      <c r="AK3516" s="81">
        <v>25.8826</v>
      </c>
      <c r="AM3516" s="81">
        <v>36.788600000000002</v>
      </c>
      <c r="AO3516" s="85">
        <v>6.7839600000000004</v>
      </c>
    </row>
    <row r="3517" spans="2:41" x14ac:dyDescent="0.25">
      <c r="B3517" s="21">
        <f t="shared" si="6"/>
        <v>45768</v>
      </c>
      <c r="C3517" s="91">
        <v>19.973700000000001</v>
      </c>
      <c r="E3517" s="83">
        <v>0.868394</v>
      </c>
      <c r="G3517" s="84">
        <v>1123.4000000000001</v>
      </c>
      <c r="I3517" s="85">
        <v>6.9059799999999996</v>
      </c>
      <c r="K3517" s="85">
        <v>5.8277900000000002</v>
      </c>
      <c r="M3517" s="84">
        <v>963.66200000000003</v>
      </c>
      <c r="O3517" s="86">
        <v>4295.3</v>
      </c>
      <c r="Q3517" s="86">
        <v>8000.5</v>
      </c>
      <c r="S3517" s="86">
        <v>1372.82</v>
      </c>
      <c r="U3517" s="85">
        <v>3.7298800000000001</v>
      </c>
      <c r="W3517" s="81">
        <v>42.1556</v>
      </c>
      <c r="Y3517" s="81">
        <v>7.2335599999999998</v>
      </c>
      <c r="AA3517" s="84">
        <v>502.11</v>
      </c>
      <c r="AC3517" s="81">
        <v>60.204999999999998</v>
      </c>
      <c r="AE3517" s="87">
        <v>1</v>
      </c>
      <c r="AG3517" s="85">
        <v>7.7000999999999999</v>
      </c>
      <c r="AI3517" s="86">
        <v>8.75</v>
      </c>
      <c r="AK3517" s="81">
        <v>25.876999999999999</v>
      </c>
      <c r="AM3517" s="81">
        <v>36.788600000000002</v>
      </c>
      <c r="AO3517" s="85">
        <v>6.7863800000000003</v>
      </c>
    </row>
    <row r="3518" spans="2:41" x14ac:dyDescent="0.25">
      <c r="B3518" s="21">
        <f t="shared" si="6"/>
        <v>45769</v>
      </c>
      <c r="C3518" s="91">
        <v>19.671800000000001</v>
      </c>
      <c r="E3518" s="83">
        <v>0.87186699999999995</v>
      </c>
      <c r="G3518" s="84">
        <v>1101.8</v>
      </c>
      <c r="I3518" s="85">
        <v>6.9070999999999998</v>
      </c>
      <c r="K3518" s="85">
        <v>5.7729999999999997</v>
      </c>
      <c r="M3518" s="84">
        <v>956.03899999999999</v>
      </c>
      <c r="O3518" s="86">
        <v>4283.78</v>
      </c>
      <c r="Q3518" s="86">
        <v>8000.66</v>
      </c>
      <c r="S3518" s="86">
        <v>1385.88</v>
      </c>
      <c r="U3518" s="85">
        <v>3.70424</v>
      </c>
      <c r="W3518" s="81">
        <v>42.205399999999997</v>
      </c>
      <c r="Y3518" s="81">
        <v>7.3108599999999999</v>
      </c>
      <c r="AA3518" s="84">
        <v>502.58600000000001</v>
      </c>
      <c r="AC3518" s="81">
        <v>59.69</v>
      </c>
      <c r="AE3518" s="87">
        <v>1</v>
      </c>
      <c r="AG3518" s="85">
        <v>7.7014899999999997</v>
      </c>
      <c r="AI3518" s="86">
        <v>8.75</v>
      </c>
      <c r="AK3518" s="81">
        <v>25.872399999999999</v>
      </c>
      <c r="AM3518" s="81">
        <v>36.794899999999998</v>
      </c>
      <c r="AO3518" s="85">
        <v>6.7882600000000002</v>
      </c>
    </row>
    <row r="3519" spans="2:41" x14ac:dyDescent="0.25">
      <c r="B3519" s="21">
        <f t="shared" si="6"/>
        <v>45770</v>
      </c>
      <c r="C3519" s="91">
        <v>19.5688</v>
      </c>
      <c r="E3519" s="83">
        <v>0.879436</v>
      </c>
      <c r="G3519" s="84">
        <v>1121.3499999999999</v>
      </c>
      <c r="I3519" s="85">
        <v>6.9200200000000001</v>
      </c>
      <c r="K3519" s="85">
        <v>5.7121000000000004</v>
      </c>
      <c r="M3519" s="84">
        <v>943.98400000000004</v>
      </c>
      <c r="O3519" s="86">
        <v>4297.76</v>
      </c>
      <c r="Q3519" s="86">
        <v>8025.55</v>
      </c>
      <c r="S3519" s="86">
        <v>1405.02</v>
      </c>
      <c r="U3519" s="85">
        <v>3.7080199999999999</v>
      </c>
      <c r="W3519" s="81">
        <v>42.2883</v>
      </c>
      <c r="Y3519" s="81">
        <v>7.4032999999999998</v>
      </c>
      <c r="AA3519" s="84">
        <v>504.166</v>
      </c>
      <c r="AC3519" s="81">
        <v>59.636800000000001</v>
      </c>
      <c r="AE3519" s="87">
        <v>1</v>
      </c>
      <c r="AG3519" s="85">
        <v>7.71624</v>
      </c>
      <c r="AI3519" s="86">
        <v>8.75</v>
      </c>
      <c r="AK3519" s="81">
        <v>25.948799999999999</v>
      </c>
      <c r="AM3519" s="81">
        <v>36.867899999999999</v>
      </c>
      <c r="AO3519" s="85">
        <v>6.8009000000000004</v>
      </c>
    </row>
    <row r="3520" spans="2:41" x14ac:dyDescent="0.25">
      <c r="B3520" s="21">
        <f t="shared" si="6"/>
        <v>45771</v>
      </c>
      <c r="C3520" s="91">
        <v>19.627800000000001</v>
      </c>
      <c r="E3520" s="83">
        <v>0.87964600000000004</v>
      </c>
      <c r="G3520" s="84">
        <v>1168.07</v>
      </c>
      <c r="I3520" s="85">
        <v>6.9162699999999999</v>
      </c>
      <c r="K3520" s="85">
        <v>5.6943599999999996</v>
      </c>
      <c r="M3520" s="84">
        <v>940.15599999999995</v>
      </c>
      <c r="O3520" s="86">
        <v>4287.6099999999997</v>
      </c>
      <c r="Q3520" s="86">
        <v>8016.76</v>
      </c>
      <c r="S3520" s="86">
        <v>1407.85</v>
      </c>
      <c r="U3520" s="85">
        <v>3.6980599999999999</v>
      </c>
      <c r="W3520" s="81">
        <v>42.1494</v>
      </c>
      <c r="Y3520" s="81">
        <v>7.40198</v>
      </c>
      <c r="AA3520" s="84">
        <v>504.28399999999999</v>
      </c>
      <c r="AC3520" s="81">
        <v>59.423999999999999</v>
      </c>
      <c r="AE3520" s="87">
        <v>1</v>
      </c>
      <c r="AG3520" s="85">
        <v>7.7124100000000002</v>
      </c>
      <c r="AI3520" s="86">
        <v>8.75</v>
      </c>
      <c r="AK3520" s="81">
        <v>25.957000000000001</v>
      </c>
      <c r="AM3520" s="81">
        <v>36.8384</v>
      </c>
      <c r="AO3520" s="85">
        <v>6.7968999999999999</v>
      </c>
    </row>
    <row r="3521" spans="2:41" x14ac:dyDescent="0.25">
      <c r="B3521" s="21">
        <f t="shared" si="6"/>
        <v>45772</v>
      </c>
      <c r="C3521" s="91">
        <v>19.5825</v>
      </c>
      <c r="E3521" s="83">
        <v>0.88052200000000003</v>
      </c>
      <c r="G3521" s="84">
        <v>1172.9100000000001</v>
      </c>
      <c r="I3521" s="85">
        <v>6.9161599999999996</v>
      </c>
      <c r="K3521" s="85">
        <v>5.6835000000000004</v>
      </c>
      <c r="M3521" s="84">
        <v>935.43499999999995</v>
      </c>
      <c r="O3521" s="86">
        <v>4244.8</v>
      </c>
      <c r="Q3521" s="86">
        <v>8009.71</v>
      </c>
      <c r="S3521" s="86">
        <v>1409.3</v>
      </c>
      <c r="U3521" s="85">
        <v>3.6827999999999999</v>
      </c>
      <c r="W3521" s="81">
        <v>42.022799999999997</v>
      </c>
      <c r="Y3521" s="81">
        <v>7.3938300000000003</v>
      </c>
      <c r="AA3521" s="84">
        <v>505.83600000000001</v>
      </c>
      <c r="AC3521" s="81">
        <v>59.240200000000002</v>
      </c>
      <c r="AE3521" s="87">
        <v>1</v>
      </c>
      <c r="AG3521" s="85">
        <v>7.70838</v>
      </c>
      <c r="AI3521" s="86">
        <v>8.75</v>
      </c>
      <c r="AK3521" s="81">
        <v>25.933199999999999</v>
      </c>
      <c r="AM3521" s="81">
        <v>36.8294</v>
      </c>
      <c r="AO3521" s="85">
        <v>6.7949599999999997</v>
      </c>
    </row>
    <row r="3522" spans="2:41" x14ac:dyDescent="0.25">
      <c r="B3522" s="21">
        <f t="shared" si="6"/>
        <v>45773</v>
      </c>
      <c r="C3522" s="91">
        <v>19.5825</v>
      </c>
      <c r="E3522" s="83">
        <v>0.88000299999999998</v>
      </c>
      <c r="G3522" s="84">
        <v>1168.74</v>
      </c>
      <c r="I3522" s="85">
        <v>6.91188</v>
      </c>
      <c r="K3522" s="85">
        <v>5.6846500000000004</v>
      </c>
      <c r="M3522" s="84">
        <v>934.76800000000003</v>
      </c>
      <c r="O3522" s="86">
        <v>4222.68</v>
      </c>
      <c r="Q3522" s="86">
        <v>8002.49</v>
      </c>
      <c r="S3522" s="86">
        <v>1407.74</v>
      </c>
      <c r="U3522" s="85">
        <v>3.6695500000000001</v>
      </c>
      <c r="W3522" s="81">
        <v>42.049399999999999</v>
      </c>
      <c r="Y3522" s="81">
        <v>7.3970200000000004</v>
      </c>
      <c r="AA3522" s="84">
        <v>506.35399999999998</v>
      </c>
      <c r="AC3522" s="81">
        <v>59.04</v>
      </c>
      <c r="AE3522" s="87">
        <v>1</v>
      </c>
      <c r="AG3522" s="85">
        <v>7.70146</v>
      </c>
      <c r="AI3522" s="86">
        <v>8.75</v>
      </c>
      <c r="AK3522" s="81">
        <v>25.831</v>
      </c>
      <c r="AM3522" s="81">
        <v>36.799399999999999</v>
      </c>
      <c r="AO3522" s="85">
        <v>6.7901899999999999</v>
      </c>
    </row>
    <row r="3523" spans="2:41" x14ac:dyDescent="0.25">
      <c r="B3523" s="21">
        <f t="shared" si="6"/>
        <v>45774</v>
      </c>
      <c r="C3523" s="91">
        <v>19.5825</v>
      </c>
      <c r="E3523" s="83">
        <v>0.880081</v>
      </c>
      <c r="G3523" s="84">
        <v>1168.78</v>
      </c>
      <c r="I3523" s="85">
        <v>6.9119000000000002</v>
      </c>
      <c r="K3523" s="85">
        <v>5.6848200000000002</v>
      </c>
      <c r="M3523" s="84">
        <v>934.77599999999995</v>
      </c>
      <c r="O3523" s="86">
        <v>4222.6400000000003</v>
      </c>
      <c r="Q3523" s="86">
        <v>8002.51</v>
      </c>
      <c r="S3523" s="86">
        <v>1407.7</v>
      </c>
      <c r="U3523" s="85">
        <v>3.6698900000000001</v>
      </c>
      <c r="W3523" s="81">
        <v>42.051000000000002</v>
      </c>
      <c r="Y3523" s="81">
        <v>7.3970799999999999</v>
      </c>
      <c r="AA3523" s="84">
        <v>506.35399999999998</v>
      </c>
      <c r="AC3523" s="81">
        <v>59.043300000000002</v>
      </c>
      <c r="AE3523" s="87">
        <v>1</v>
      </c>
      <c r="AG3523" s="85">
        <v>7.70146</v>
      </c>
      <c r="AI3523" s="86">
        <v>8.75</v>
      </c>
      <c r="AK3523" s="81">
        <v>25.831</v>
      </c>
      <c r="AM3523" s="81">
        <v>36.799799999999998</v>
      </c>
      <c r="AO3523" s="85">
        <v>6.7904999999999998</v>
      </c>
    </row>
    <row r="3524" spans="2:41" x14ac:dyDescent="0.25">
      <c r="B3524" s="21">
        <f t="shared" si="6"/>
        <v>45775</v>
      </c>
      <c r="C3524" s="91">
        <v>19.547799999999999</v>
      </c>
      <c r="E3524" s="83">
        <v>0.87897199999999998</v>
      </c>
      <c r="G3524" s="84">
        <v>1171.18</v>
      </c>
      <c r="I3524" s="85">
        <v>6.9151199999999999</v>
      </c>
      <c r="K3524" s="85">
        <v>5.6771399999999996</v>
      </c>
      <c r="M3524" s="84">
        <v>937.61199999999997</v>
      </c>
      <c r="O3524" s="86">
        <v>4220.1400000000003</v>
      </c>
      <c r="Q3524" s="86">
        <v>8001.23</v>
      </c>
      <c r="S3524" s="86">
        <v>1409.38</v>
      </c>
      <c r="U3524" s="85">
        <v>3.6691400000000001</v>
      </c>
      <c r="W3524" s="81">
        <v>41.937399999999997</v>
      </c>
      <c r="Y3524" s="81">
        <v>7.3871000000000002</v>
      </c>
      <c r="AA3524" s="84">
        <v>505.767</v>
      </c>
      <c r="AC3524" s="81">
        <v>58.991999999999997</v>
      </c>
      <c r="AE3524" s="87">
        <v>1</v>
      </c>
      <c r="AG3524" s="85">
        <v>7.7008400000000004</v>
      </c>
      <c r="AI3524" s="86">
        <v>8.75</v>
      </c>
      <c r="AK3524" s="81">
        <v>25.894200000000001</v>
      </c>
      <c r="AM3524" s="81">
        <v>36.797600000000003</v>
      </c>
      <c r="AO3524" s="85">
        <v>6.7869599999999997</v>
      </c>
    </row>
    <row r="3525" spans="2:41" x14ac:dyDescent="0.25">
      <c r="B3525" s="21">
        <f t="shared" si="6"/>
        <v>45776</v>
      </c>
      <c r="C3525" s="91">
        <v>19.572299999999998</v>
      </c>
      <c r="E3525" s="83">
        <v>0.877772</v>
      </c>
      <c r="G3525" s="84">
        <v>1173.45</v>
      </c>
      <c r="I3525" s="85">
        <v>6.9065200000000004</v>
      </c>
      <c r="K3525" s="85">
        <v>5.6444999999999999</v>
      </c>
      <c r="M3525" s="84">
        <v>944.52300000000002</v>
      </c>
      <c r="O3525" s="86">
        <v>4207.88</v>
      </c>
      <c r="Q3525" s="86">
        <v>7991.61</v>
      </c>
      <c r="S3525" s="86">
        <v>1415.82</v>
      </c>
      <c r="U3525" s="85">
        <v>3.6625299999999998</v>
      </c>
      <c r="W3525" s="81">
        <v>42.006999999999998</v>
      </c>
      <c r="Y3525" s="81">
        <v>7.4421299999999997</v>
      </c>
      <c r="AA3525" s="84">
        <v>505.04599999999999</v>
      </c>
      <c r="AC3525" s="81">
        <v>58.825000000000003</v>
      </c>
      <c r="AE3525" s="87">
        <v>1</v>
      </c>
      <c r="AG3525" s="85">
        <v>7.6928999999999998</v>
      </c>
      <c r="AI3525" s="86">
        <v>8.75</v>
      </c>
      <c r="AK3525" s="81">
        <v>25.8825</v>
      </c>
      <c r="AM3525" s="81">
        <v>36.762099999999997</v>
      </c>
      <c r="AO3525" s="85">
        <v>6.7726199999999999</v>
      </c>
    </row>
    <row r="3526" spans="2:41" x14ac:dyDescent="0.25">
      <c r="B3526" s="21">
        <f>+B3525+1</f>
        <v>45777</v>
      </c>
      <c r="C3526" s="82">
        <v>19.5868</v>
      </c>
      <c r="D3526" s="92"/>
      <c r="E3526" s="93">
        <v>0.88020600000000004</v>
      </c>
      <c r="F3526" s="92"/>
      <c r="G3526" s="94">
        <v>1167.5899999999999</v>
      </c>
      <c r="H3526" s="92"/>
      <c r="I3526" s="95">
        <v>6.9081599999999996</v>
      </c>
      <c r="J3526" s="92"/>
      <c r="K3526" s="95">
        <v>5.6444200000000002</v>
      </c>
      <c r="L3526" s="92"/>
      <c r="M3526" s="94">
        <v>948.90599999999995</v>
      </c>
      <c r="N3526" s="92"/>
      <c r="O3526" s="96">
        <v>4211.54</v>
      </c>
      <c r="P3526" s="92"/>
      <c r="Q3526" s="96">
        <v>8003.22</v>
      </c>
      <c r="R3526" s="92"/>
      <c r="S3526" s="96">
        <v>1417.9</v>
      </c>
      <c r="T3526" s="92"/>
      <c r="U3526" s="95">
        <v>3.6657999999999999</v>
      </c>
      <c r="V3526" s="92"/>
      <c r="W3526" s="91">
        <v>42.058599999999998</v>
      </c>
      <c r="X3526" s="92"/>
      <c r="Y3526" s="91">
        <v>7.4513999999999996</v>
      </c>
      <c r="Z3526" s="92"/>
      <c r="AA3526" s="94">
        <v>505.27600000000001</v>
      </c>
      <c r="AB3526" s="92"/>
      <c r="AC3526" s="91">
        <v>58.8596</v>
      </c>
      <c r="AD3526" s="92"/>
      <c r="AE3526" s="97">
        <v>1</v>
      </c>
      <c r="AF3526" s="92"/>
      <c r="AG3526" s="95">
        <v>7.69984</v>
      </c>
      <c r="AH3526" s="92"/>
      <c r="AI3526" s="96">
        <v>8.75</v>
      </c>
      <c r="AJ3526" s="92"/>
      <c r="AK3526" s="91">
        <v>25.889600000000002</v>
      </c>
      <c r="AL3526" s="92"/>
      <c r="AM3526" s="91">
        <v>36.765599999999999</v>
      </c>
      <c r="AN3526" s="92"/>
      <c r="AO3526" s="95">
        <v>6.7729699999999999</v>
      </c>
    </row>
    <row r="3527" spans="2:41" ht="13" x14ac:dyDescent="0.3">
      <c r="B3527" s="25" t="str">
        <f>"PROM-"&amp;MONTH(B3526)&amp;YEAR(B3526)</f>
        <v>PROM-42025</v>
      </c>
      <c r="C3527" s="19">
        <f>AVERAGE(C3497:C3526)</f>
        <v>20.071046666666671</v>
      </c>
      <c r="E3527" s="24">
        <f>AVERAGE(E3497:E3526)</f>
        <v>0.89007346666666665</v>
      </c>
      <c r="G3527" s="42">
        <f>AVERAGE(G3497:G3526)</f>
        <v>1111.6273333333334</v>
      </c>
      <c r="I3527" s="23">
        <f>AVERAGE(I3497:I3526)</f>
        <v>6.9062650000000012</v>
      </c>
      <c r="K3527" s="23">
        <f>AVERAGE(K3497:K3526)</f>
        <v>5.7874386666666675</v>
      </c>
      <c r="M3527" s="42">
        <f>AVERAGE(M3497:M3526)</f>
        <v>961.48850000000004</v>
      </c>
      <c r="O3527" s="80">
        <f>AVERAGE(O3497:O3526)</f>
        <v>4271.4946666666665</v>
      </c>
      <c r="Q3527" s="80">
        <f>AVERAGE(Q3497:Q3526)</f>
        <v>7998.5656666666664</v>
      </c>
      <c r="S3527" s="80">
        <f>AVERAGE(S3497:S3526)</f>
        <v>1382.4356666666665</v>
      </c>
      <c r="U3527" s="23">
        <f>AVERAGE(U3497:U3526)</f>
        <v>3.7019319999999998</v>
      </c>
      <c r="W3527" s="19">
        <f>AVERAGE(W3497:W3526)</f>
        <v>42.273610000000012</v>
      </c>
      <c r="Y3527" s="19">
        <f>AVERAGE(Y3497:Y3526)</f>
        <v>7.3058399999999999</v>
      </c>
      <c r="AA3527" s="42">
        <f>AVERAGE(AA3497:AA3526)</f>
        <v>505.89889999999991</v>
      </c>
      <c r="AC3527" s="19">
        <f>AVERAGE(AC3497:AC3526)</f>
        <v>60.99381666666666</v>
      </c>
      <c r="AE3527" s="88">
        <f>AVERAGE(AE3497:AE3526)</f>
        <v>1</v>
      </c>
      <c r="AG3527" s="23">
        <f>AVERAGE(AG3497:AG3526)</f>
        <v>7.7050553333333331</v>
      </c>
      <c r="AI3527" s="80">
        <f>AVERAGE(AI3497:AI3526)</f>
        <v>8.75</v>
      </c>
      <c r="AK3527" s="19">
        <f>AVERAGE(AK3497:AK3526)</f>
        <v>25.792206666666665</v>
      </c>
      <c r="AM3527" s="19">
        <f>AVERAGE(AM3497:AM3526)</f>
        <v>36.778966666666655</v>
      </c>
      <c r="AO3527" s="23">
        <f>AVERAGE(AO3497:AO3526)</f>
        <v>6.7826926666666667</v>
      </c>
    </row>
    <row r="3528" spans="2:41" x14ac:dyDescent="0.25">
      <c r="B3528" s="21">
        <v>45778</v>
      </c>
      <c r="C3528" s="91">
        <v>19.5868</v>
      </c>
      <c r="E3528" s="83">
        <v>0.88469399999999998</v>
      </c>
      <c r="G3528" s="84">
        <v>1171.73</v>
      </c>
      <c r="I3528" s="85">
        <v>6.9218099999999998</v>
      </c>
      <c r="K3528" s="85">
        <v>5.6752000000000002</v>
      </c>
      <c r="M3528" s="84">
        <v>948.00699999999995</v>
      </c>
      <c r="O3528" s="86">
        <v>4239.3100000000004</v>
      </c>
      <c r="Q3528" s="86">
        <v>8024.5</v>
      </c>
      <c r="S3528" s="86">
        <v>1413.96</v>
      </c>
      <c r="U3528" s="85">
        <v>3.6739000000000002</v>
      </c>
      <c r="W3528" s="81">
        <v>42.12</v>
      </c>
      <c r="Y3528" s="81">
        <v>7.42178</v>
      </c>
      <c r="AA3528" s="84">
        <v>506.363</v>
      </c>
      <c r="AC3528" s="81">
        <v>58.972999999999999</v>
      </c>
      <c r="AE3528" s="87">
        <v>1</v>
      </c>
      <c r="AG3528" s="85">
        <v>7.7180200000000001</v>
      </c>
      <c r="AI3528" s="86">
        <v>8.75</v>
      </c>
      <c r="AK3528" s="81">
        <v>26.000900000000001</v>
      </c>
      <c r="AM3528" s="81">
        <v>36.869199999999999</v>
      </c>
      <c r="AO3528" s="85">
        <v>6.7879100000000001</v>
      </c>
    </row>
    <row r="3529" spans="2:41" x14ac:dyDescent="0.25">
      <c r="B3529" s="21">
        <f t="shared" ref="B3529:B3556" si="7">B3528+1</f>
        <v>45779</v>
      </c>
      <c r="C3529" s="91">
        <v>19.609500000000001</v>
      </c>
      <c r="E3529" s="83">
        <v>0.88361199999999995</v>
      </c>
      <c r="G3529" s="84">
        <v>1173.49</v>
      </c>
      <c r="I3529" s="85">
        <v>6.9175000000000004</v>
      </c>
      <c r="K3529" s="85">
        <v>5.6692799999999997</v>
      </c>
      <c r="M3529" s="84">
        <v>946.19600000000003</v>
      </c>
      <c r="O3529" s="86">
        <v>4229.93</v>
      </c>
      <c r="Q3529" s="86">
        <v>8006.81</v>
      </c>
      <c r="S3529" s="86">
        <v>1412.32</v>
      </c>
      <c r="U3529" s="85">
        <v>3.6673399999999998</v>
      </c>
      <c r="W3529" s="81">
        <v>42.050400000000003</v>
      </c>
      <c r="Y3529" s="81">
        <v>7.4172799999999999</v>
      </c>
      <c r="AA3529" s="84">
        <v>506.024</v>
      </c>
      <c r="AC3529" s="81">
        <v>58.857100000000003</v>
      </c>
      <c r="AE3529" s="87">
        <v>1</v>
      </c>
      <c r="AG3529" s="85">
        <v>7.70932</v>
      </c>
      <c r="AI3529" s="86">
        <v>8.75</v>
      </c>
      <c r="AK3529" s="81">
        <v>25.955100000000002</v>
      </c>
      <c r="AM3529" s="81">
        <v>36.817799999999998</v>
      </c>
      <c r="AO3529" s="85">
        <v>6.7860100000000001</v>
      </c>
    </row>
    <row r="3530" spans="2:41" x14ac:dyDescent="0.25">
      <c r="B3530" s="21">
        <f t="shared" si="7"/>
        <v>45780</v>
      </c>
      <c r="C3530" s="91">
        <v>19.609500000000001</v>
      </c>
      <c r="E3530" s="83">
        <v>0.88491699999999995</v>
      </c>
      <c r="G3530" s="84">
        <v>1172.68</v>
      </c>
      <c r="I3530" s="85">
        <v>6.9132199999999999</v>
      </c>
      <c r="K3530" s="85">
        <v>5.6569500000000001</v>
      </c>
      <c r="M3530" s="84">
        <v>946.72199999999998</v>
      </c>
      <c r="O3530" s="86">
        <v>4251.5</v>
      </c>
      <c r="Q3530" s="86">
        <v>7997.86</v>
      </c>
      <c r="S3530" s="86">
        <v>1413.82</v>
      </c>
      <c r="U3530" s="85">
        <v>3.6628500000000002</v>
      </c>
      <c r="W3530" s="81">
        <v>42.019599999999997</v>
      </c>
      <c r="Y3530" s="81">
        <v>7.4279799999999998</v>
      </c>
      <c r="AA3530" s="84">
        <v>505.791</v>
      </c>
      <c r="AC3530" s="81">
        <v>58.764400000000002</v>
      </c>
      <c r="AE3530" s="87">
        <v>1</v>
      </c>
      <c r="AG3530" s="85">
        <v>7.7029199999999998</v>
      </c>
      <c r="AI3530" s="86">
        <v>8.75</v>
      </c>
      <c r="AK3530" s="81">
        <v>25.842500000000001</v>
      </c>
      <c r="AM3530" s="81">
        <v>36.774999999999999</v>
      </c>
      <c r="AO3530" s="85">
        <v>6.7878400000000001</v>
      </c>
    </row>
    <row r="3531" spans="2:41" x14ac:dyDescent="0.25">
      <c r="B3531" s="21">
        <f t="shared" si="7"/>
        <v>45781</v>
      </c>
      <c r="C3531" s="91">
        <v>19.609500000000001</v>
      </c>
      <c r="E3531" s="83">
        <v>0.88484300000000005</v>
      </c>
      <c r="G3531" s="84">
        <v>1172.96</v>
      </c>
      <c r="I3531" s="85">
        <v>6.9134200000000003</v>
      </c>
      <c r="K3531" s="85">
        <v>5.6569799999999999</v>
      </c>
      <c r="M3531" s="84">
        <v>946.74599999999998</v>
      </c>
      <c r="O3531" s="86">
        <v>4251.8599999999997</v>
      </c>
      <c r="Q3531" s="86">
        <v>7998.4</v>
      </c>
      <c r="S3531" s="86">
        <v>1413.9</v>
      </c>
      <c r="U3531" s="85">
        <v>3.66316</v>
      </c>
      <c r="W3531" s="81">
        <v>42.020200000000003</v>
      </c>
      <c r="Y3531" s="81">
        <v>7.4280600000000003</v>
      </c>
      <c r="AA3531" s="84">
        <v>505.791</v>
      </c>
      <c r="AC3531" s="81">
        <v>58.766599999999997</v>
      </c>
      <c r="AE3531" s="87">
        <v>1</v>
      </c>
      <c r="AG3531" s="85">
        <v>7.7029199999999998</v>
      </c>
      <c r="AI3531" s="86">
        <v>8.75</v>
      </c>
      <c r="AK3531" s="81">
        <v>25.842500000000001</v>
      </c>
      <c r="AM3531" s="81">
        <v>36.776800000000001</v>
      </c>
      <c r="AO3531" s="85">
        <v>6.7878400000000001</v>
      </c>
    </row>
    <row r="3532" spans="2:41" x14ac:dyDescent="0.25">
      <c r="B3532" s="21">
        <f t="shared" si="7"/>
        <v>45782</v>
      </c>
      <c r="C3532" s="91">
        <v>19.657</v>
      </c>
      <c r="E3532" s="83">
        <v>0.88277600000000001</v>
      </c>
      <c r="G3532" s="84">
        <v>1181.58</v>
      </c>
      <c r="I3532" s="85">
        <v>6.9204800000000004</v>
      </c>
      <c r="K3532" s="85">
        <v>5.6753299999999998</v>
      </c>
      <c r="M3532" s="84">
        <v>944.24300000000005</v>
      </c>
      <c r="O3532" s="86">
        <v>4273.3900000000003</v>
      </c>
      <c r="Q3532" s="86">
        <v>8003.08</v>
      </c>
      <c r="S3532" s="86">
        <v>1410.16</v>
      </c>
      <c r="U3532" s="85">
        <v>3.6618599999999999</v>
      </c>
      <c r="W3532" s="81">
        <v>41.987200000000001</v>
      </c>
      <c r="Y3532" s="81">
        <v>7.3982000000000001</v>
      </c>
      <c r="AA3532" s="84">
        <v>505.50799999999998</v>
      </c>
      <c r="AC3532" s="81">
        <v>58.797699999999999</v>
      </c>
      <c r="AE3532" s="87">
        <v>1</v>
      </c>
      <c r="AG3532" s="85">
        <v>7.6984899999999996</v>
      </c>
      <c r="AI3532" s="86">
        <v>8.75</v>
      </c>
      <c r="AK3532" s="81">
        <v>25.913499999999999</v>
      </c>
      <c r="AM3532" s="81">
        <v>36.783700000000003</v>
      </c>
      <c r="AO3532" s="85">
        <v>6.7847</v>
      </c>
    </row>
    <row r="3533" spans="2:41" x14ac:dyDescent="0.25">
      <c r="B3533" s="21">
        <f t="shared" si="7"/>
        <v>45783</v>
      </c>
      <c r="C3533" s="91">
        <v>19.636500000000002</v>
      </c>
      <c r="E3533" s="83">
        <v>0.88220399999999999</v>
      </c>
      <c r="G3533" s="84">
        <v>1200.2</v>
      </c>
      <c r="I3533" s="85">
        <v>6.9260999999999999</v>
      </c>
      <c r="K3533" s="85">
        <v>5.7011399999999997</v>
      </c>
      <c r="M3533" s="84">
        <v>940.17399999999998</v>
      </c>
      <c r="O3533" s="86">
        <v>4299.83</v>
      </c>
      <c r="Q3533" s="86">
        <v>8001.64</v>
      </c>
      <c r="S3533" s="86">
        <v>1403.52</v>
      </c>
      <c r="U3533" s="85">
        <v>3.6627999999999998</v>
      </c>
      <c r="W3533" s="81">
        <v>41.986400000000003</v>
      </c>
      <c r="Y3533" s="81">
        <v>7.3646000000000003</v>
      </c>
      <c r="AA3533" s="84">
        <v>505.61200000000002</v>
      </c>
      <c r="AC3533" s="81">
        <v>58.811999999999998</v>
      </c>
      <c r="AE3533" s="87">
        <v>1</v>
      </c>
      <c r="AG3533" s="85">
        <v>7.6957599999999999</v>
      </c>
      <c r="AI3533" s="86">
        <v>8.75</v>
      </c>
      <c r="AK3533" s="81">
        <v>25.917000000000002</v>
      </c>
      <c r="AM3533" s="81">
        <v>36.784300000000002</v>
      </c>
      <c r="AO3533" s="85">
        <v>6.7800799999999999</v>
      </c>
    </row>
    <row r="3534" spans="2:41" x14ac:dyDescent="0.25">
      <c r="B3534" s="21">
        <f t="shared" si="7"/>
        <v>45784</v>
      </c>
      <c r="C3534" s="91">
        <v>19.6785</v>
      </c>
      <c r="E3534" s="83">
        <v>0.88152799999999998</v>
      </c>
      <c r="G3534" s="84">
        <v>1176.94</v>
      </c>
      <c r="I3534" s="85">
        <v>6.9228199999999998</v>
      </c>
      <c r="K3534" s="85">
        <v>5.7279600000000004</v>
      </c>
      <c r="M3534" s="84">
        <v>942.39300000000003</v>
      </c>
      <c r="O3534" s="86">
        <v>4302.0200000000004</v>
      </c>
      <c r="Q3534" s="86">
        <v>7999.92</v>
      </c>
      <c r="S3534" s="86">
        <v>1396.64</v>
      </c>
      <c r="U3534" s="85">
        <v>3.6564999999999999</v>
      </c>
      <c r="W3534" s="81">
        <v>41.910899999999998</v>
      </c>
      <c r="Y3534" s="81">
        <v>7.3169199999999996</v>
      </c>
      <c r="AA3534" s="84">
        <v>506.22199999999998</v>
      </c>
      <c r="AC3534" s="81">
        <v>58.860100000000003</v>
      </c>
      <c r="AE3534" s="87">
        <v>1</v>
      </c>
      <c r="AG3534" s="85">
        <v>7.6947200000000002</v>
      </c>
      <c r="AI3534" s="86">
        <v>8.75</v>
      </c>
      <c r="AK3534" s="81">
        <v>25.929300000000001</v>
      </c>
      <c r="AM3534" s="81">
        <v>36.789200000000001</v>
      </c>
      <c r="AO3534" s="85">
        <v>6.7840299999999996</v>
      </c>
    </row>
    <row r="3535" spans="2:41" x14ac:dyDescent="0.25">
      <c r="B3535" s="21">
        <f t="shared" si="7"/>
        <v>45785</v>
      </c>
      <c r="C3535" s="91">
        <v>19.588000000000001</v>
      </c>
      <c r="E3535" s="83">
        <v>0.88677600000000001</v>
      </c>
      <c r="G3535" s="84">
        <v>1131.8599999999999</v>
      </c>
      <c r="I3535" s="85">
        <v>6.9150700000000001</v>
      </c>
      <c r="K3535" s="85">
        <v>5.7110000000000003</v>
      </c>
      <c r="M3535" s="84">
        <v>943.56399999999996</v>
      </c>
      <c r="O3535" s="86">
        <v>4280.1899999999996</v>
      </c>
      <c r="Q3535" s="86">
        <v>7994.28</v>
      </c>
      <c r="S3535" s="86">
        <v>1399.8</v>
      </c>
      <c r="U3535" s="85">
        <v>3.6505399999999999</v>
      </c>
      <c r="W3535" s="81">
        <v>41.861899999999999</v>
      </c>
      <c r="Y3535" s="81">
        <v>7.3300599999999996</v>
      </c>
      <c r="AA3535" s="84">
        <v>507.291</v>
      </c>
      <c r="AC3535" s="81">
        <v>58.809600000000003</v>
      </c>
      <c r="AE3535" s="87">
        <v>1</v>
      </c>
      <c r="AG3535" s="85">
        <v>7.6902799999999996</v>
      </c>
      <c r="AI3535" s="86">
        <v>8.75</v>
      </c>
      <c r="AK3535" s="81">
        <v>25.938600000000001</v>
      </c>
      <c r="AM3535" s="81">
        <v>36.789400000000001</v>
      </c>
      <c r="AO3535" s="85">
        <v>6.7882499999999997</v>
      </c>
    </row>
    <row r="3536" spans="2:41" x14ac:dyDescent="0.25">
      <c r="B3536" s="21">
        <f t="shared" si="7"/>
        <v>45786</v>
      </c>
      <c r="C3536" s="91">
        <v>19.5642</v>
      </c>
      <c r="E3536" s="83">
        <v>0.88919400000000004</v>
      </c>
      <c r="G3536" s="84">
        <v>1115.92</v>
      </c>
      <c r="I3536" s="85">
        <v>6.9138200000000003</v>
      </c>
      <c r="K3536" s="85">
        <v>5.6588599999999998</v>
      </c>
      <c r="M3536" s="84">
        <v>936.29</v>
      </c>
      <c r="O3536" s="86">
        <v>4245.84</v>
      </c>
      <c r="Q3536" s="86">
        <v>7993.74</v>
      </c>
      <c r="S3536" s="86">
        <v>1412.61</v>
      </c>
      <c r="U3536" s="85">
        <v>3.6413700000000002</v>
      </c>
      <c r="W3536" s="81">
        <v>41.800800000000002</v>
      </c>
      <c r="Y3536" s="81">
        <v>7.3868</v>
      </c>
      <c r="AA3536" s="84">
        <v>507.77199999999999</v>
      </c>
      <c r="AC3536" s="81">
        <v>58.7926</v>
      </c>
      <c r="AE3536" s="87">
        <v>1</v>
      </c>
      <c r="AG3536" s="85">
        <v>7.6885000000000003</v>
      </c>
      <c r="AI3536" s="86">
        <v>8.75</v>
      </c>
      <c r="AK3536" s="81">
        <v>25.94</v>
      </c>
      <c r="AM3536" s="81">
        <v>36.745399999999997</v>
      </c>
      <c r="AO3536" s="85">
        <v>6.7890800000000002</v>
      </c>
    </row>
    <row r="3537" spans="2:41" x14ac:dyDescent="0.25">
      <c r="B3537" s="21">
        <f t="shared" si="7"/>
        <v>45787</v>
      </c>
      <c r="C3537" s="91">
        <v>19.5642</v>
      </c>
      <c r="E3537" s="83">
        <v>0.88900000000000001</v>
      </c>
      <c r="G3537" s="84">
        <v>1127.3800000000001</v>
      </c>
      <c r="I3537" s="85">
        <v>6.9138999999999999</v>
      </c>
      <c r="K3537" s="85">
        <v>5.6542500000000002</v>
      </c>
      <c r="M3537" s="84">
        <v>935.35</v>
      </c>
      <c r="O3537" s="86">
        <v>4230.76</v>
      </c>
      <c r="Q3537" s="86">
        <v>7991.38</v>
      </c>
      <c r="S3537" s="86">
        <v>1413.34</v>
      </c>
      <c r="U3537" s="85">
        <v>3.6446800000000001</v>
      </c>
      <c r="W3537" s="81">
        <v>41.788800000000002</v>
      </c>
      <c r="Y3537" s="81">
        <v>7.3906999999999998</v>
      </c>
      <c r="AA3537" s="84">
        <v>507.77199999999999</v>
      </c>
      <c r="AC3537" s="81">
        <v>58.814999999999998</v>
      </c>
      <c r="AE3537" s="87">
        <v>1</v>
      </c>
      <c r="AG3537" s="85">
        <v>7.6897200000000003</v>
      </c>
      <c r="AI3537" s="86">
        <v>8.75</v>
      </c>
      <c r="AK3537" s="81">
        <v>25.874500000000001</v>
      </c>
      <c r="AM3537" s="81">
        <v>36.637500000000003</v>
      </c>
      <c r="AO3537" s="85">
        <v>6.7880000000000003</v>
      </c>
    </row>
    <row r="3538" spans="2:41" x14ac:dyDescent="0.25">
      <c r="B3538" s="21">
        <f t="shared" si="7"/>
        <v>45788</v>
      </c>
      <c r="C3538" s="91">
        <v>19.5642</v>
      </c>
      <c r="E3538" s="83">
        <v>0.88924000000000003</v>
      </c>
      <c r="G3538" s="84">
        <v>1127.74</v>
      </c>
      <c r="I3538" s="85">
        <v>6.9138900000000003</v>
      </c>
      <c r="K3538" s="85">
        <v>5.6542399999999997</v>
      </c>
      <c r="M3538" s="84">
        <v>935.25400000000002</v>
      </c>
      <c r="O3538" s="86">
        <v>4231.16</v>
      </c>
      <c r="Q3538" s="86">
        <v>7991.54</v>
      </c>
      <c r="S3538" s="86">
        <v>1413.37</v>
      </c>
      <c r="U3538" s="85">
        <v>3.6445400000000001</v>
      </c>
      <c r="W3538" s="81">
        <v>41.793999999999997</v>
      </c>
      <c r="Y3538" s="81">
        <v>7.3916199999999996</v>
      </c>
      <c r="AA3538" s="84">
        <v>507.77199999999999</v>
      </c>
      <c r="AC3538" s="81">
        <v>58.815600000000003</v>
      </c>
      <c r="AE3538" s="87">
        <v>1</v>
      </c>
      <c r="AG3538" s="85">
        <v>7.6897200000000003</v>
      </c>
      <c r="AI3538" s="86">
        <v>8.75</v>
      </c>
      <c r="AK3538" s="81">
        <v>25.874500000000001</v>
      </c>
      <c r="AM3538" s="81">
        <v>36.637700000000002</v>
      </c>
      <c r="AO3538" s="85">
        <v>6.7881799999999997</v>
      </c>
    </row>
    <row r="3539" spans="2:41" x14ac:dyDescent="0.25">
      <c r="B3539" s="21">
        <f t="shared" si="7"/>
        <v>45789</v>
      </c>
      <c r="C3539" s="91">
        <v>19.491199999999999</v>
      </c>
      <c r="E3539" s="83">
        <v>0.89766500000000005</v>
      </c>
      <c r="G3539" s="84">
        <v>1128.29</v>
      </c>
      <c r="I3539" s="85">
        <v>6.9169400000000003</v>
      </c>
      <c r="K3539" s="85">
        <v>5.6734299999999998</v>
      </c>
      <c r="M3539" s="84">
        <v>939.02599999999995</v>
      </c>
      <c r="O3539" s="86">
        <v>4233.74</v>
      </c>
      <c r="Q3539" s="86">
        <v>7987.96</v>
      </c>
      <c r="S3539" s="86">
        <v>1407.96</v>
      </c>
      <c r="U3539" s="85">
        <v>3.6456599999999999</v>
      </c>
      <c r="W3539" s="81">
        <v>41.834899999999998</v>
      </c>
      <c r="Y3539" s="81">
        <v>7.3738400000000004</v>
      </c>
      <c r="AA3539" s="84">
        <v>507.47699999999998</v>
      </c>
      <c r="AC3539" s="81">
        <v>58.7958</v>
      </c>
      <c r="AE3539" s="87">
        <v>1</v>
      </c>
      <c r="AG3539" s="85">
        <v>7.6846500000000004</v>
      </c>
      <c r="AI3539" s="86">
        <v>8.75</v>
      </c>
      <c r="AK3539" s="81">
        <v>25.9053</v>
      </c>
      <c r="AM3539" s="81">
        <v>36.706800000000001</v>
      </c>
      <c r="AO3539" s="85">
        <v>6.7839999999999998</v>
      </c>
    </row>
    <row r="3540" spans="2:41" x14ac:dyDescent="0.25">
      <c r="B3540" s="21">
        <f t="shared" si="7"/>
        <v>45790</v>
      </c>
      <c r="C3540" s="91">
        <v>19.616199999999999</v>
      </c>
      <c r="E3540" s="83">
        <v>0.89773000000000003</v>
      </c>
      <c r="G3540" s="84">
        <v>1128.24</v>
      </c>
      <c r="I3540" s="85">
        <v>6.9145599999999998</v>
      </c>
      <c r="K3540" s="85">
        <v>5.6444000000000001</v>
      </c>
      <c r="M3540" s="84">
        <v>943.73500000000001</v>
      </c>
      <c r="O3540" s="86">
        <v>4219.58</v>
      </c>
      <c r="Q3540" s="86">
        <v>7980.34</v>
      </c>
      <c r="S3540" s="86">
        <v>1413.85</v>
      </c>
      <c r="U3540" s="85">
        <v>3.6528399999999999</v>
      </c>
      <c r="W3540" s="81">
        <v>41.784199999999998</v>
      </c>
      <c r="Y3540" s="81">
        <v>7.4027799999999999</v>
      </c>
      <c r="AA3540" s="84">
        <v>507.54199999999997</v>
      </c>
      <c r="AC3540" s="81">
        <v>58.760599999999997</v>
      </c>
      <c r="AE3540" s="87">
        <v>1</v>
      </c>
      <c r="AG3540" s="85">
        <v>7.6819499999999996</v>
      </c>
      <c r="AI3540" s="86">
        <v>8.75</v>
      </c>
      <c r="AK3540" s="81">
        <v>25.9329</v>
      </c>
      <c r="AM3540" s="81">
        <v>36.753999999999998</v>
      </c>
      <c r="AO3540" s="85">
        <v>6.7766000000000002</v>
      </c>
    </row>
    <row r="3541" spans="2:41" x14ac:dyDescent="0.25">
      <c r="B3541" s="21">
        <f t="shared" si="7"/>
        <v>45791</v>
      </c>
      <c r="C3541" s="91">
        <v>19.4373</v>
      </c>
      <c r="E3541" s="83">
        <v>0.89288100000000004</v>
      </c>
      <c r="G3541" s="84">
        <v>1127.3</v>
      </c>
      <c r="I3541" s="85">
        <v>6.9141700000000004</v>
      </c>
      <c r="K3541" s="85">
        <v>5.6160500000000004</v>
      </c>
      <c r="M3541" s="84">
        <v>940.548</v>
      </c>
      <c r="O3541" s="86">
        <v>4208.53</v>
      </c>
      <c r="Q3541" s="86">
        <v>7987</v>
      </c>
      <c r="S3541" s="86">
        <v>1422.18</v>
      </c>
      <c r="U3541" s="85">
        <v>3.66628</v>
      </c>
      <c r="W3541" s="81">
        <v>41.7744</v>
      </c>
      <c r="Y3541" s="81">
        <v>7.4383999999999997</v>
      </c>
      <c r="AA3541" s="84">
        <v>507.786</v>
      </c>
      <c r="AC3541" s="81">
        <v>58.849600000000002</v>
      </c>
      <c r="AE3541" s="87">
        <v>1</v>
      </c>
      <c r="AG3541" s="85">
        <v>7.6852999999999998</v>
      </c>
      <c r="AI3541" s="86">
        <v>8.75</v>
      </c>
      <c r="AK3541" s="81">
        <v>25.8992</v>
      </c>
      <c r="AM3541" s="81">
        <v>36.787399999999998</v>
      </c>
      <c r="AO3541" s="85">
        <v>6.77874</v>
      </c>
    </row>
    <row r="3542" spans="2:41" x14ac:dyDescent="0.25">
      <c r="B3542" s="21">
        <f t="shared" si="7"/>
        <v>45792</v>
      </c>
      <c r="C3542" s="91">
        <v>19.363</v>
      </c>
      <c r="E3542" s="83">
        <v>0.89343799999999995</v>
      </c>
      <c r="G3542" s="84">
        <v>1133.8599999999999</v>
      </c>
      <c r="I3542" s="85">
        <v>6.91547</v>
      </c>
      <c r="K3542" s="85">
        <v>5.64886</v>
      </c>
      <c r="M3542" s="84">
        <v>940.86699999999996</v>
      </c>
      <c r="O3542" s="86">
        <v>4201.32</v>
      </c>
      <c r="Q3542" s="86">
        <v>7988.66</v>
      </c>
      <c r="S3542" s="86">
        <v>1414.21</v>
      </c>
      <c r="U3542" s="85">
        <v>3.6762000000000001</v>
      </c>
      <c r="W3542" s="81">
        <v>41.763199999999998</v>
      </c>
      <c r="Y3542" s="81">
        <v>7.3932200000000003</v>
      </c>
      <c r="AA3542" s="84">
        <v>507.399</v>
      </c>
      <c r="AC3542" s="81">
        <v>58.8613</v>
      </c>
      <c r="AE3542" s="87">
        <v>1</v>
      </c>
      <c r="AG3542" s="85">
        <v>7.6852400000000003</v>
      </c>
      <c r="AI3542" s="86">
        <v>8.75</v>
      </c>
      <c r="AK3542" s="81">
        <v>25.910399999999999</v>
      </c>
      <c r="AM3542" s="81">
        <v>36.778700000000001</v>
      </c>
      <c r="AO3542" s="85">
        <v>6.7863800000000003</v>
      </c>
    </row>
    <row r="3543" spans="2:41" x14ac:dyDescent="0.25">
      <c r="B3543" s="21">
        <f t="shared" si="7"/>
        <v>45793</v>
      </c>
      <c r="C3543" s="91">
        <v>19.478000000000002</v>
      </c>
      <c r="E3543" s="83">
        <v>0.89420999999999995</v>
      </c>
      <c r="G3543" s="84">
        <v>1140.28</v>
      </c>
      <c r="I3543" s="85">
        <v>6.9116200000000001</v>
      </c>
      <c r="K3543" s="85">
        <v>5.6795799999999996</v>
      </c>
      <c r="M3543" s="84">
        <v>941.64</v>
      </c>
      <c r="O3543" s="86">
        <v>4194.97</v>
      </c>
      <c r="Q3543" s="86">
        <v>7985.1</v>
      </c>
      <c r="S3543" s="86">
        <v>1405.94</v>
      </c>
      <c r="U3543" s="85">
        <v>3.6855600000000002</v>
      </c>
      <c r="W3543" s="81">
        <v>41.694299999999998</v>
      </c>
      <c r="Y3543" s="81">
        <v>7.3411099999999996</v>
      </c>
      <c r="AA3543" s="84">
        <v>506.678</v>
      </c>
      <c r="AC3543" s="81">
        <v>58.889400000000002</v>
      </c>
      <c r="AE3543" s="87">
        <v>1</v>
      </c>
      <c r="AG3543" s="85">
        <v>7.6790799999999999</v>
      </c>
      <c r="AI3543" s="86">
        <v>8.75</v>
      </c>
      <c r="AK3543" s="81">
        <v>25.981200000000001</v>
      </c>
      <c r="AM3543" s="81">
        <v>36.772799999999997</v>
      </c>
      <c r="AO3543" s="85">
        <v>6.7836400000000001</v>
      </c>
    </row>
    <row r="3544" spans="2:41" x14ac:dyDescent="0.25">
      <c r="B3544" s="21">
        <f t="shared" si="7"/>
        <v>45794</v>
      </c>
      <c r="C3544" s="91">
        <v>19.478000000000002</v>
      </c>
      <c r="E3544" s="83">
        <v>0.89561999999999997</v>
      </c>
      <c r="G3544" s="84">
        <v>1142.1400000000001</v>
      </c>
      <c r="I3544" s="85">
        <v>6.9091399999999998</v>
      </c>
      <c r="K3544" s="85">
        <v>5.6642999999999999</v>
      </c>
      <c r="M3544" s="84">
        <v>944.69799999999998</v>
      </c>
      <c r="O3544" s="86">
        <v>4185.17</v>
      </c>
      <c r="Q3544" s="86">
        <v>7983.76</v>
      </c>
      <c r="S3544" s="86">
        <v>1409.49</v>
      </c>
      <c r="U3544" s="85">
        <v>3.6856</v>
      </c>
      <c r="W3544" s="81">
        <v>41.683</v>
      </c>
      <c r="Y3544" s="81">
        <v>7.35893</v>
      </c>
      <c r="AA3544" s="84">
        <v>506.68799999999999</v>
      </c>
      <c r="AC3544" s="81">
        <v>58.88</v>
      </c>
      <c r="AE3544" s="87">
        <v>1</v>
      </c>
      <c r="AG3544" s="85">
        <v>7.6761999999999997</v>
      </c>
      <c r="AI3544" s="86">
        <v>8.75</v>
      </c>
      <c r="AK3544" s="81">
        <v>25.997599999999998</v>
      </c>
      <c r="AM3544" s="81">
        <v>36.774999999999999</v>
      </c>
      <c r="AO3544" s="85">
        <v>6.7803199999999997</v>
      </c>
    </row>
    <row r="3545" spans="2:41" x14ac:dyDescent="0.25">
      <c r="B3545" s="21">
        <f t="shared" si="7"/>
        <v>45795</v>
      </c>
      <c r="C3545" s="91">
        <v>19.478000000000002</v>
      </c>
      <c r="E3545" s="83">
        <v>0.89542900000000003</v>
      </c>
      <c r="G3545" s="84">
        <v>1141.82</v>
      </c>
      <c r="I3545" s="85">
        <v>6.9097799999999996</v>
      </c>
      <c r="K3545" s="85">
        <v>5.6642200000000003</v>
      </c>
      <c r="M3545" s="84">
        <v>944.55200000000002</v>
      </c>
      <c r="O3545" s="86">
        <v>4186.37</v>
      </c>
      <c r="Q3545" s="86">
        <v>7984.46</v>
      </c>
      <c r="S3545" s="86">
        <v>1409.64</v>
      </c>
      <c r="U3545" s="85">
        <v>3.6858399999999998</v>
      </c>
      <c r="W3545" s="81">
        <v>41.681600000000003</v>
      </c>
      <c r="Y3545" s="81">
        <v>7.3587699999999998</v>
      </c>
      <c r="AA3545" s="84">
        <v>506.71699999999998</v>
      </c>
      <c r="AC3545" s="81">
        <v>58.882800000000003</v>
      </c>
      <c r="AE3545" s="87">
        <v>1</v>
      </c>
      <c r="AG3545" s="85">
        <v>7.6766800000000002</v>
      </c>
      <c r="AI3545" s="86">
        <v>8.75</v>
      </c>
      <c r="AK3545" s="81">
        <v>25.999600000000001</v>
      </c>
      <c r="AM3545" s="81">
        <v>36.779400000000003</v>
      </c>
      <c r="AO3545" s="85">
        <v>6.7807599999999999</v>
      </c>
    </row>
    <row r="3546" spans="2:41" x14ac:dyDescent="0.25">
      <c r="B3546" s="21">
        <f t="shared" si="7"/>
        <v>45796</v>
      </c>
      <c r="C3546" s="91">
        <v>19.514700000000001</v>
      </c>
      <c r="E3546" s="83">
        <v>0.89051899999999995</v>
      </c>
      <c r="G3546" s="84">
        <v>1139.1400000000001</v>
      </c>
      <c r="I3546" s="85">
        <v>6.9219600000000003</v>
      </c>
      <c r="K3546" s="85">
        <v>5.6582600000000003</v>
      </c>
      <c r="M3546" s="84">
        <v>940.92200000000003</v>
      </c>
      <c r="O3546" s="86">
        <v>4191.79</v>
      </c>
      <c r="Q3546" s="86">
        <v>7991.07</v>
      </c>
      <c r="S3546" s="86">
        <v>1412.29</v>
      </c>
      <c r="U3546" s="85">
        <v>3.6883599999999999</v>
      </c>
      <c r="W3546" s="81">
        <v>41.725499999999997</v>
      </c>
      <c r="Y3546" s="81">
        <v>7.3742999999999999</v>
      </c>
      <c r="AA3546" s="84">
        <v>506.27</v>
      </c>
      <c r="AC3546" s="81">
        <v>58.903799999999997</v>
      </c>
      <c r="AE3546" s="87">
        <v>1</v>
      </c>
      <c r="AG3546" s="85">
        <v>7.6800100000000002</v>
      </c>
      <c r="AI3546" s="86">
        <v>8.75</v>
      </c>
      <c r="AK3546" s="81">
        <v>26.011800000000001</v>
      </c>
      <c r="AM3546" s="81">
        <v>36.816200000000002</v>
      </c>
      <c r="AO3546" s="85">
        <v>6.7867199999999999</v>
      </c>
    </row>
    <row r="3547" spans="2:41" x14ac:dyDescent="0.25">
      <c r="B3547" s="21">
        <f t="shared" si="7"/>
        <v>45797</v>
      </c>
      <c r="C3547" s="91">
        <v>19.372299999999999</v>
      </c>
      <c r="E3547" s="83">
        <v>0.88830600000000004</v>
      </c>
      <c r="G3547" s="84">
        <v>1140.23</v>
      </c>
      <c r="I3547" s="85">
        <v>6.9270800000000001</v>
      </c>
      <c r="K3547" s="85">
        <v>5.6571300000000004</v>
      </c>
      <c r="M3547" s="84">
        <v>940.82899999999995</v>
      </c>
      <c r="O3547" s="86">
        <v>4171.6400000000003</v>
      </c>
      <c r="Q3547" s="86">
        <v>8001.36</v>
      </c>
      <c r="S3547" s="86">
        <v>1414.39</v>
      </c>
      <c r="U3547" s="85">
        <v>3.6948799999999999</v>
      </c>
      <c r="W3547" s="81">
        <v>41.828099999999999</v>
      </c>
      <c r="Y3547" s="81">
        <v>7.3938899999999999</v>
      </c>
      <c r="AA3547" s="84">
        <v>506.60199999999998</v>
      </c>
      <c r="AC3547" s="81">
        <v>58.995100000000001</v>
      </c>
      <c r="AE3547" s="87">
        <v>1</v>
      </c>
      <c r="AG3547" s="85">
        <v>7.6856400000000002</v>
      </c>
      <c r="AI3547" s="86">
        <v>8.75</v>
      </c>
      <c r="AK3547" s="81">
        <v>26.047000000000001</v>
      </c>
      <c r="AM3547" s="81">
        <v>36.830599999999997</v>
      </c>
      <c r="AO3547" s="85">
        <v>6.7966199999999999</v>
      </c>
    </row>
    <row r="3548" spans="2:41" x14ac:dyDescent="0.25">
      <c r="B3548" s="21">
        <f t="shared" si="7"/>
        <v>45798</v>
      </c>
      <c r="C3548" s="91">
        <v>19.264800000000001</v>
      </c>
      <c r="E3548" s="83">
        <v>0.88272600000000001</v>
      </c>
      <c r="G3548" s="84">
        <v>1144.53</v>
      </c>
      <c r="I3548" s="85">
        <v>6.90456</v>
      </c>
      <c r="K3548" s="85">
        <v>5.6615900000000003</v>
      </c>
      <c r="M3548" s="84">
        <v>943.52599999999995</v>
      </c>
      <c r="O3548" s="86">
        <v>4172.78</v>
      </c>
      <c r="Q3548" s="86">
        <v>7970.8</v>
      </c>
      <c r="S3548" s="86">
        <v>1407.88</v>
      </c>
      <c r="U3548" s="85">
        <v>3.6797599999999999</v>
      </c>
      <c r="W3548" s="81">
        <v>41.670499999999997</v>
      </c>
      <c r="Y3548" s="81">
        <v>7.36022</v>
      </c>
      <c r="AA3548" s="84">
        <v>505.85599999999999</v>
      </c>
      <c r="AC3548" s="81">
        <v>58.900399999999998</v>
      </c>
      <c r="AE3548" s="87">
        <v>1</v>
      </c>
      <c r="AG3548" s="85">
        <v>7.6643600000000003</v>
      </c>
      <c r="AI3548" s="86">
        <v>8.75</v>
      </c>
      <c r="AK3548" s="81">
        <v>25.985399999999998</v>
      </c>
      <c r="AM3548" s="81">
        <v>36.754800000000003</v>
      </c>
      <c r="AO3548" s="85">
        <v>6.7824400000000002</v>
      </c>
    </row>
    <row r="3549" spans="2:41" x14ac:dyDescent="0.25">
      <c r="B3549" s="21">
        <f t="shared" si="7"/>
        <v>45799</v>
      </c>
      <c r="C3549" s="91">
        <v>19.319800000000001</v>
      </c>
      <c r="E3549" s="83">
        <v>0.88474900000000001</v>
      </c>
      <c r="G3549" s="84">
        <v>1142.6600000000001</v>
      </c>
      <c r="I3549" s="85">
        <v>6.9103300000000001</v>
      </c>
      <c r="K3549" s="85">
        <v>5.6527500000000002</v>
      </c>
      <c r="M3549" s="84">
        <v>943.69600000000003</v>
      </c>
      <c r="O3549" s="86">
        <v>4175.1000000000004</v>
      </c>
      <c r="Q3549" s="86">
        <v>7982.78</v>
      </c>
      <c r="S3549" s="86">
        <v>1412.2</v>
      </c>
      <c r="U3549" s="85">
        <v>3.6779600000000001</v>
      </c>
      <c r="W3549" s="81">
        <v>41.6233</v>
      </c>
      <c r="Y3549" s="81">
        <v>7.3634000000000004</v>
      </c>
      <c r="AA3549" s="84">
        <v>507.62299999999999</v>
      </c>
      <c r="AC3549" s="81">
        <v>58.997199999999999</v>
      </c>
      <c r="AE3549" s="87">
        <v>1</v>
      </c>
      <c r="AG3549" s="85">
        <v>7.6753999999999998</v>
      </c>
      <c r="AI3549" s="86">
        <v>8.75</v>
      </c>
      <c r="AK3549" s="81">
        <v>26.023499999999999</v>
      </c>
      <c r="AM3549" s="81">
        <v>36.795099999999998</v>
      </c>
      <c r="AO3549" s="85">
        <v>6.7943199999999999</v>
      </c>
    </row>
    <row r="3550" spans="2:41" x14ac:dyDescent="0.25">
      <c r="B3550" s="21">
        <f t="shared" si="7"/>
        <v>45800</v>
      </c>
      <c r="C3550" s="91">
        <v>19.322700000000001</v>
      </c>
      <c r="E3550" s="83">
        <v>0.88200199999999995</v>
      </c>
      <c r="G3550" s="84">
        <v>1135.06</v>
      </c>
      <c r="I3550" s="85">
        <v>6.9104400000000004</v>
      </c>
      <c r="K3550" s="85">
        <v>5.6953800000000001</v>
      </c>
      <c r="M3550" s="84">
        <v>941.81100000000004</v>
      </c>
      <c r="O3550" s="86">
        <v>4169.3900000000003</v>
      </c>
      <c r="Q3550" s="86">
        <v>7976.73</v>
      </c>
      <c r="S3550" s="86">
        <v>1400.56</v>
      </c>
      <c r="U3550" s="85">
        <v>3.66669</v>
      </c>
      <c r="W3550" s="81">
        <v>41.581800000000001</v>
      </c>
      <c r="Y3550" s="81">
        <v>7.30098</v>
      </c>
      <c r="AA3550" s="84">
        <v>508.16199999999998</v>
      </c>
      <c r="AC3550" s="81">
        <v>59.040399999999998</v>
      </c>
      <c r="AE3550" s="87">
        <v>1</v>
      </c>
      <c r="AG3550" s="85">
        <v>7.6751800000000001</v>
      </c>
      <c r="AI3550" s="86">
        <v>8.75</v>
      </c>
      <c r="AK3550" s="81">
        <v>26.015899999999998</v>
      </c>
      <c r="AM3550" s="81">
        <v>36.798099999999998</v>
      </c>
      <c r="AO3550" s="85">
        <v>6.7959500000000004</v>
      </c>
    </row>
    <row r="3551" spans="2:41" x14ac:dyDescent="0.25">
      <c r="B3551" s="21">
        <f t="shared" si="7"/>
        <v>45801</v>
      </c>
      <c r="C3551" s="91">
        <v>19.322700000000001</v>
      </c>
      <c r="E3551" s="83">
        <v>0.87992199999999998</v>
      </c>
      <c r="G3551" s="84">
        <v>1131.8599999999999</v>
      </c>
      <c r="I3551" s="85">
        <v>6.9128699999999998</v>
      </c>
      <c r="K3551" s="85">
        <v>5.6469199999999997</v>
      </c>
      <c r="M3551" s="84">
        <v>940.19299999999998</v>
      </c>
      <c r="O3551" s="86">
        <v>4147.59</v>
      </c>
      <c r="Q3551" s="86">
        <v>7981.45</v>
      </c>
      <c r="S3551" s="86">
        <v>1413.42</v>
      </c>
      <c r="U3551" s="85">
        <v>3.6597300000000001</v>
      </c>
      <c r="W3551" s="81">
        <v>41.589399999999998</v>
      </c>
      <c r="Y3551" s="81">
        <v>7.3649800000000001</v>
      </c>
      <c r="AA3551" s="84">
        <v>508.52</v>
      </c>
      <c r="AC3551" s="81">
        <v>59.075000000000003</v>
      </c>
      <c r="AE3551" s="87">
        <v>1</v>
      </c>
      <c r="AG3551" s="85">
        <v>7.6771599999999998</v>
      </c>
      <c r="AI3551" s="86">
        <v>8.75</v>
      </c>
      <c r="AK3551" s="81">
        <v>26.036200000000001</v>
      </c>
      <c r="AM3551" s="81">
        <v>36.8078</v>
      </c>
      <c r="AO3551" s="85">
        <v>6.8004800000000003</v>
      </c>
    </row>
    <row r="3552" spans="2:41" x14ac:dyDescent="0.25">
      <c r="B3552" s="21">
        <f t="shared" si="7"/>
        <v>45802</v>
      </c>
      <c r="C3552" s="91">
        <v>19.322700000000001</v>
      </c>
      <c r="E3552" s="83">
        <v>0.87985599999999997</v>
      </c>
      <c r="G3552" s="84">
        <v>1132.1400000000001</v>
      </c>
      <c r="I3552" s="85">
        <v>6.9126200000000004</v>
      </c>
      <c r="K3552" s="85">
        <v>5.6468999999999996</v>
      </c>
      <c r="M3552" s="84">
        <v>940.18799999999999</v>
      </c>
      <c r="O3552" s="86">
        <v>4147.71</v>
      </c>
      <c r="Q3552" s="86">
        <v>7981.18</v>
      </c>
      <c r="S3552" s="86">
        <v>1413.38</v>
      </c>
      <c r="U3552" s="85">
        <v>3.65978</v>
      </c>
      <c r="W3552" s="81">
        <v>41.587800000000001</v>
      </c>
      <c r="Y3552" s="81">
        <v>7.3647200000000002</v>
      </c>
      <c r="AA3552" s="84">
        <v>508.52</v>
      </c>
      <c r="AC3552" s="81">
        <v>59.073399999999999</v>
      </c>
      <c r="AE3552" s="87">
        <v>1</v>
      </c>
      <c r="AG3552" s="85">
        <v>7.6771599999999998</v>
      </c>
      <c r="AI3552" s="86">
        <v>8.75</v>
      </c>
      <c r="AK3552" s="81">
        <v>26.036200000000001</v>
      </c>
      <c r="AM3552" s="81">
        <v>36.806899999999999</v>
      </c>
      <c r="AO3552" s="85">
        <v>6.8004800000000003</v>
      </c>
    </row>
    <row r="3553" spans="2:41" x14ac:dyDescent="0.25">
      <c r="B3553" s="21">
        <f t="shared" si="7"/>
        <v>45803</v>
      </c>
      <c r="C3553" s="91">
        <v>19.274799999999999</v>
      </c>
      <c r="E3553" s="83">
        <v>0.87796200000000002</v>
      </c>
      <c r="G3553" s="84">
        <v>1136.21</v>
      </c>
      <c r="I3553" s="85">
        <v>6.8985000000000003</v>
      </c>
      <c r="K3553" s="85">
        <v>5.6596799999999998</v>
      </c>
      <c r="M3553" s="84">
        <v>939.75900000000001</v>
      </c>
      <c r="O3553" s="86">
        <v>4156.3999999999996</v>
      </c>
      <c r="Q3553" s="86">
        <v>7966.98</v>
      </c>
      <c r="S3553" s="86">
        <v>1407.68</v>
      </c>
      <c r="U3553" s="85">
        <v>3.6532100000000001</v>
      </c>
      <c r="W3553" s="81">
        <v>41.506</v>
      </c>
      <c r="Y3553" s="81">
        <v>7.3336399999999999</v>
      </c>
      <c r="AA3553" s="84">
        <v>507.43400000000003</v>
      </c>
      <c r="AC3553" s="81">
        <v>58.862200000000001</v>
      </c>
      <c r="AE3553" s="87">
        <v>1</v>
      </c>
      <c r="AG3553" s="85">
        <v>7.6631799999999997</v>
      </c>
      <c r="AI3553" s="86">
        <v>8.75</v>
      </c>
      <c r="AK3553" s="81">
        <v>25.9954</v>
      </c>
      <c r="AM3553" s="81">
        <v>36.733199999999997</v>
      </c>
      <c r="AO3553" s="85">
        <v>6.7870600000000003</v>
      </c>
    </row>
    <row r="3554" spans="2:41" x14ac:dyDescent="0.25">
      <c r="B3554" s="21">
        <f t="shared" si="7"/>
        <v>45804</v>
      </c>
      <c r="C3554" s="91">
        <v>19.218800000000002</v>
      </c>
      <c r="E3554" s="83">
        <v>0.88052699999999995</v>
      </c>
      <c r="G3554" s="84">
        <v>1147.22</v>
      </c>
      <c r="I3554" s="85">
        <v>6.9035399999999996</v>
      </c>
      <c r="K3554" s="85">
        <v>5.6596399999999996</v>
      </c>
      <c r="M3554" s="84">
        <v>939.59299999999996</v>
      </c>
      <c r="O3554" s="86">
        <v>4137.2</v>
      </c>
      <c r="Q3554" s="86">
        <v>7980.58</v>
      </c>
      <c r="S3554" s="86">
        <v>1410.09</v>
      </c>
      <c r="U3554" s="85">
        <v>3.6547200000000002</v>
      </c>
      <c r="W3554" s="81">
        <v>41.590200000000003</v>
      </c>
      <c r="Y3554" s="81">
        <v>7.3485800000000001</v>
      </c>
      <c r="AA3554" s="84">
        <v>508.06200000000001</v>
      </c>
      <c r="AC3554" s="81">
        <v>58.892600000000002</v>
      </c>
      <c r="AE3554" s="87">
        <v>1</v>
      </c>
      <c r="AG3554" s="85">
        <v>7.6699400000000004</v>
      </c>
      <c r="AI3554" s="86">
        <v>8.75</v>
      </c>
      <c r="AK3554" s="81">
        <v>26.027200000000001</v>
      </c>
      <c r="AM3554" s="81">
        <v>36.781100000000002</v>
      </c>
      <c r="AO3554" s="85">
        <v>6.7953000000000001</v>
      </c>
    </row>
    <row r="3555" spans="2:41" x14ac:dyDescent="0.25">
      <c r="B3555" s="21">
        <f t="shared" si="7"/>
        <v>45805</v>
      </c>
      <c r="C3555" s="91">
        <v>19.233799999999999</v>
      </c>
      <c r="E3555" s="83">
        <v>0.88434599999999997</v>
      </c>
      <c r="G3555" s="84">
        <v>1158.31</v>
      </c>
      <c r="I3555" s="85">
        <v>6.9106899999999998</v>
      </c>
      <c r="K3555" s="85">
        <v>5.6646799999999997</v>
      </c>
      <c r="M3555" s="84">
        <v>938.92100000000005</v>
      </c>
      <c r="O3555" s="86">
        <v>4118.8599999999997</v>
      </c>
      <c r="Q3555" s="86">
        <v>7991.28</v>
      </c>
      <c r="S3555" s="86">
        <v>1410.72</v>
      </c>
      <c r="U3555" s="85">
        <v>3.6490200000000002</v>
      </c>
      <c r="W3555" s="81">
        <v>41.5914</v>
      </c>
      <c r="Y3555" s="81">
        <v>7.3422700000000001</v>
      </c>
      <c r="AA3555" s="84">
        <v>508.7</v>
      </c>
      <c r="AC3555" s="81">
        <v>59.020600000000002</v>
      </c>
      <c r="AE3555" s="87">
        <v>1</v>
      </c>
      <c r="AG3555" s="85">
        <v>7.6798999999999999</v>
      </c>
      <c r="AI3555" s="86">
        <v>8.75</v>
      </c>
      <c r="AK3555" s="81">
        <v>26.0535</v>
      </c>
      <c r="AM3555" s="81">
        <v>36.811999999999998</v>
      </c>
      <c r="AO3555" s="85">
        <v>6.7953599999999996</v>
      </c>
    </row>
    <row r="3556" spans="2:41" x14ac:dyDescent="0.25">
      <c r="B3556" s="21">
        <f t="shared" si="7"/>
        <v>45806</v>
      </c>
      <c r="C3556" s="91">
        <v>19.399999999999999</v>
      </c>
      <c r="E3556" s="83">
        <v>0.88406200000000001</v>
      </c>
      <c r="G3556" s="84">
        <v>1168.8800000000001</v>
      </c>
      <c r="I3556" s="85">
        <v>6.9099199999999996</v>
      </c>
      <c r="K3556" s="85">
        <v>5.6762600000000001</v>
      </c>
      <c r="M3556" s="84">
        <v>939.13900000000001</v>
      </c>
      <c r="O3556" s="86">
        <v>4121.8</v>
      </c>
      <c r="Q3556" s="86">
        <v>7988.34</v>
      </c>
      <c r="S3556" s="86">
        <v>1407.32</v>
      </c>
      <c r="U3556" s="85">
        <v>3.6394000000000002</v>
      </c>
      <c r="W3556" s="81">
        <v>41.573900000000002</v>
      </c>
      <c r="Y3556" s="81">
        <v>7.3241899999999998</v>
      </c>
      <c r="AA3556" s="84">
        <v>508.80399999999997</v>
      </c>
      <c r="AC3556" s="81">
        <v>59.055100000000003</v>
      </c>
      <c r="AE3556" s="87">
        <v>1</v>
      </c>
      <c r="AG3556" s="85">
        <v>7.6817200000000003</v>
      </c>
      <c r="AI3556" s="86">
        <v>8.75</v>
      </c>
      <c r="AK3556" s="81">
        <v>26.057700000000001</v>
      </c>
      <c r="AM3556" s="81">
        <v>36.805799999999998</v>
      </c>
      <c r="AO3556" s="85">
        <v>6.7919200000000002</v>
      </c>
    </row>
    <row r="3557" spans="2:41" x14ac:dyDescent="0.25">
      <c r="B3557" s="21">
        <f>+B3556+1</f>
        <v>45807</v>
      </c>
      <c r="C3557" s="91">
        <v>19.327999999999999</v>
      </c>
      <c r="E3557" s="83">
        <v>0.88126599999999999</v>
      </c>
      <c r="G3557" s="84">
        <v>1187.25</v>
      </c>
      <c r="I3557" s="85">
        <v>6.9076599999999999</v>
      </c>
      <c r="K3557" s="85">
        <v>5.6904199999999996</v>
      </c>
      <c r="M3557" s="84">
        <v>940.29200000000003</v>
      </c>
      <c r="O3557" s="86">
        <v>4138.9799999999996</v>
      </c>
      <c r="Q3557" s="86">
        <v>7986.18</v>
      </c>
      <c r="S3557" s="86">
        <v>1403.45</v>
      </c>
      <c r="U3557" s="85">
        <v>3.6270199999999999</v>
      </c>
      <c r="W3557" s="81">
        <v>41.585000000000001</v>
      </c>
      <c r="Y3557" s="81">
        <v>7.3079200000000002</v>
      </c>
      <c r="AA3557" s="84">
        <v>508.08600000000001</v>
      </c>
      <c r="AC3557" s="81">
        <v>59.008299999999998</v>
      </c>
      <c r="AE3557" s="87">
        <v>1</v>
      </c>
      <c r="AG3557" s="85">
        <v>7.6789500000000004</v>
      </c>
      <c r="AI3557" s="86">
        <v>8.75</v>
      </c>
      <c r="AK3557" s="81">
        <v>26.038599999999999</v>
      </c>
      <c r="AM3557" s="81">
        <v>36.798999999999999</v>
      </c>
      <c r="AO3557" s="85">
        <v>6.7879300000000002</v>
      </c>
    </row>
    <row r="3558" spans="2:41" x14ac:dyDescent="0.25">
      <c r="B3558" s="21">
        <v>45808</v>
      </c>
      <c r="C3558" s="82">
        <v>19.327999999999999</v>
      </c>
      <c r="D3558" s="92"/>
      <c r="E3558" s="93">
        <v>0.88122400000000001</v>
      </c>
      <c r="F3558" s="92"/>
      <c r="G3558" s="94">
        <v>1189.26</v>
      </c>
      <c r="H3558" s="92"/>
      <c r="I3558" s="95">
        <v>6.90524</v>
      </c>
      <c r="J3558" s="92"/>
      <c r="K3558" s="95">
        <v>5.7236200000000004</v>
      </c>
      <c r="L3558" s="92"/>
      <c r="M3558" s="94">
        <v>944.36199999999997</v>
      </c>
      <c r="N3558" s="92"/>
      <c r="O3558" s="96">
        <v>4154.9799999999996</v>
      </c>
      <c r="P3558" s="92"/>
      <c r="Q3558" s="96">
        <v>7983.66</v>
      </c>
      <c r="R3558" s="92"/>
      <c r="S3558" s="96">
        <v>1394.86</v>
      </c>
      <c r="T3558" s="92"/>
      <c r="U3558" s="95">
        <v>3.6196799999999998</v>
      </c>
      <c r="V3558" s="92"/>
      <c r="W3558" s="91">
        <v>41.6023</v>
      </c>
      <c r="X3558" s="92"/>
      <c r="Y3558" s="91">
        <v>7.2685399999999998</v>
      </c>
      <c r="Z3558" s="92"/>
      <c r="AA3558" s="94">
        <v>507.71899999999999</v>
      </c>
      <c r="AB3558" s="92"/>
      <c r="AC3558" s="91">
        <v>58.9848</v>
      </c>
      <c r="AD3558" s="92"/>
      <c r="AE3558" s="97">
        <v>1</v>
      </c>
      <c r="AF3558" s="92"/>
      <c r="AG3558" s="95">
        <v>7.6772799999999997</v>
      </c>
      <c r="AH3558" s="92"/>
      <c r="AI3558" s="96">
        <v>8.75</v>
      </c>
      <c r="AJ3558" s="92"/>
      <c r="AK3558" s="91">
        <v>26.023900000000001</v>
      </c>
      <c r="AL3558" s="92"/>
      <c r="AM3558" s="91">
        <v>36.793999999999997</v>
      </c>
      <c r="AN3558" s="92"/>
      <c r="AO3558" s="95">
        <v>6.7886800000000003</v>
      </c>
    </row>
    <row r="3559" spans="2:41" ht="13" x14ac:dyDescent="0.3">
      <c r="B3559" s="25" t="str">
        <f>"PROM-"&amp;MONTH(B3558)&amp;YEAR(B3558)</f>
        <v>PROM-52025</v>
      </c>
      <c r="C3559" s="19">
        <f>AVERAGE(C3528:C3558)</f>
        <v>19.459119354838702</v>
      </c>
      <c r="E3559" s="24">
        <f>AVERAGE(E3528:E3558)</f>
        <v>0.88655561290322582</v>
      </c>
      <c r="G3559" s="42">
        <f>AVERAGE(G3528:G3558)</f>
        <v>1149.908387096774</v>
      </c>
      <c r="I3559" s="23">
        <f>AVERAGE(I3528:I3558)</f>
        <v>6.9135199999999983</v>
      </c>
      <c r="K3559" s="23">
        <f>AVERAGE(K3528:K3558)</f>
        <v>5.668556774193549</v>
      </c>
      <c r="M3559" s="42">
        <f>AVERAGE(M3528:M3558)</f>
        <v>941.71729032258077</v>
      </c>
      <c r="O3559" s="80">
        <f>AVERAGE(O3528:O3558)</f>
        <v>4202.2480645161286</v>
      </c>
      <c r="Q3559" s="80">
        <f>AVERAGE(Q3528:Q3558)</f>
        <v>7989.768387096773</v>
      </c>
      <c r="S3559" s="80">
        <f>AVERAGE(S3528:S3558)</f>
        <v>1409.514516129032</v>
      </c>
      <c r="U3559" s="23">
        <f>AVERAGE(U3528:U3558)</f>
        <v>3.6612170967741933</v>
      </c>
      <c r="W3559" s="19">
        <f>AVERAGE(W3528:W3558)</f>
        <v>41.761645161290325</v>
      </c>
      <c r="Y3559" s="19">
        <f>AVERAGE(Y3528:Y3558)</f>
        <v>7.3673767741935503</v>
      </c>
      <c r="AA3559" s="42">
        <f>AVERAGE(AA3528:AA3558)</f>
        <v>507.17945161290322</v>
      </c>
      <c r="AC3559" s="19">
        <f>AVERAGE(AC3528:AC3558)</f>
        <v>58.896519354838723</v>
      </c>
      <c r="AE3559" s="88">
        <f>AVERAGE(AE3528:AE3558)</f>
        <v>1</v>
      </c>
      <c r="AG3559" s="23">
        <f>AVERAGE(AG3528:AG3558)</f>
        <v>7.6850112903225805</v>
      </c>
      <c r="AI3559" s="80">
        <f>AVERAGE(AI3528:AI3558)</f>
        <v>8.75</v>
      </c>
      <c r="AK3559" s="19">
        <f>AVERAGE(AK3528:AK3558)</f>
        <v>25.967964516129033</v>
      </c>
      <c r="AM3559" s="19">
        <f>AVERAGE(AM3528:AM3558)</f>
        <v>36.777248387096783</v>
      </c>
      <c r="AO3559" s="23">
        <f>AVERAGE(AO3528:AO3558)</f>
        <v>6.7879232258064501</v>
      </c>
    </row>
    <row r="3560" spans="2:41" x14ac:dyDescent="0.25">
      <c r="B3560" s="21">
        <v>45809</v>
      </c>
      <c r="C3560" s="91">
        <v>19.327999999999999</v>
      </c>
      <c r="E3560" s="83">
        <v>0.88117199999999996</v>
      </c>
      <c r="G3560" s="84">
        <v>1188.28</v>
      </c>
      <c r="I3560" s="85">
        <v>6.90482</v>
      </c>
      <c r="K3560" s="85">
        <v>5.7236799999999999</v>
      </c>
      <c r="M3560" s="84">
        <v>944.09199999999998</v>
      </c>
      <c r="O3560" s="86">
        <v>4153.8</v>
      </c>
      <c r="Q3560" s="86">
        <v>7983.2</v>
      </c>
      <c r="S3560" s="86">
        <v>1394.77</v>
      </c>
      <c r="U3560" s="85">
        <v>3.6200199999999998</v>
      </c>
      <c r="W3560" s="81">
        <v>41.599800000000002</v>
      </c>
      <c r="Y3560" s="81">
        <v>7.2680300000000004</v>
      </c>
      <c r="AA3560" s="84">
        <v>507.69600000000003</v>
      </c>
      <c r="AC3560" s="81">
        <v>58.981000000000002</v>
      </c>
      <c r="AE3560" s="87">
        <v>1</v>
      </c>
      <c r="AG3560" s="85">
        <v>7.67692</v>
      </c>
      <c r="AI3560" s="86">
        <v>8.75</v>
      </c>
      <c r="AK3560" s="81">
        <v>26.0228</v>
      </c>
      <c r="AM3560" s="81">
        <v>36.790999999999997</v>
      </c>
      <c r="AO3560" s="85">
        <v>6.7881999999999998</v>
      </c>
    </row>
    <row r="3561" spans="2:41" x14ac:dyDescent="0.25">
      <c r="B3561" s="21">
        <f t="shared" ref="B3561:B3588" si="8">B3560+1</f>
        <v>45810</v>
      </c>
      <c r="C3561" s="91">
        <v>19.3858</v>
      </c>
      <c r="E3561" s="83">
        <v>0.87623099999999998</v>
      </c>
      <c r="G3561" s="84">
        <v>1183.3599999999999</v>
      </c>
      <c r="I3561" s="85">
        <v>6.90761</v>
      </c>
      <c r="K3561" s="85">
        <v>5.7094800000000001</v>
      </c>
      <c r="M3561" s="84">
        <v>939.971</v>
      </c>
      <c r="O3561" s="86">
        <v>4132.0200000000004</v>
      </c>
      <c r="Q3561" s="86">
        <v>7975.6</v>
      </c>
      <c r="S3561" s="86">
        <v>1396.91</v>
      </c>
      <c r="U3561" s="85">
        <v>3.6200100000000002</v>
      </c>
      <c r="W3561" s="81">
        <v>41.5486</v>
      </c>
      <c r="Y3561" s="81">
        <v>7.2771400000000002</v>
      </c>
      <c r="AA3561" s="84">
        <v>507.077</v>
      </c>
      <c r="AC3561" s="81">
        <v>58.904600000000002</v>
      </c>
      <c r="AE3561" s="87">
        <v>1</v>
      </c>
      <c r="AG3561" s="85">
        <v>7.6707400000000003</v>
      </c>
      <c r="AI3561" s="86">
        <v>8.75</v>
      </c>
      <c r="AK3561" s="81">
        <v>26.013400000000001</v>
      </c>
      <c r="AM3561" s="81">
        <v>36.751199999999997</v>
      </c>
      <c r="AO3561" s="85">
        <v>6.7800399999999996</v>
      </c>
    </row>
    <row r="3562" spans="2:41" x14ac:dyDescent="0.25">
      <c r="B3562" s="21">
        <f t="shared" si="8"/>
        <v>45811</v>
      </c>
      <c r="C3562" s="91">
        <v>19.233799999999999</v>
      </c>
      <c r="E3562" s="83">
        <v>0.87730200000000003</v>
      </c>
      <c r="G3562" s="84">
        <v>1182.43</v>
      </c>
      <c r="I3562" s="85">
        <v>6.9137500000000003</v>
      </c>
      <c r="K3562" s="85">
        <v>5.6623799999999997</v>
      </c>
      <c r="M3562" s="84">
        <v>939.99800000000005</v>
      </c>
      <c r="O3562" s="86">
        <v>4135.58</v>
      </c>
      <c r="Q3562" s="86">
        <v>7984.57</v>
      </c>
      <c r="S3562" s="86">
        <v>1410.11</v>
      </c>
      <c r="U3562" s="85">
        <v>3.62276</v>
      </c>
      <c r="W3562" s="81">
        <v>41.5884</v>
      </c>
      <c r="Y3562" s="81">
        <v>7.3446999999999996</v>
      </c>
      <c r="AA3562" s="84">
        <v>508.13200000000001</v>
      </c>
      <c r="AC3562" s="81">
        <v>58.9711</v>
      </c>
      <c r="AE3562" s="87">
        <v>1</v>
      </c>
      <c r="AG3562" s="85">
        <v>7.67502</v>
      </c>
      <c r="AI3562" s="86">
        <v>8.75</v>
      </c>
      <c r="AK3562" s="81">
        <v>26.0444</v>
      </c>
      <c r="AM3562" s="81">
        <v>36.7851</v>
      </c>
      <c r="AO3562" s="85">
        <v>6.7796000000000003</v>
      </c>
    </row>
    <row r="3563" spans="2:41" x14ac:dyDescent="0.25">
      <c r="B3563" s="21">
        <f t="shared" si="8"/>
        <v>45812</v>
      </c>
      <c r="C3563" s="91">
        <v>19.2638</v>
      </c>
      <c r="E3563" s="83">
        <v>0.87724100000000005</v>
      </c>
      <c r="G3563" s="84">
        <v>1184.3</v>
      </c>
      <c r="I3563" s="85">
        <v>6.9118399999999998</v>
      </c>
      <c r="K3563" s="85">
        <v>5.63856</v>
      </c>
      <c r="M3563" s="84">
        <v>938.86</v>
      </c>
      <c r="O3563" s="86">
        <v>4110.8500000000004</v>
      </c>
      <c r="Q3563" s="86">
        <v>7994.11</v>
      </c>
      <c r="S3563" s="86">
        <v>1417.76</v>
      </c>
      <c r="U3563" s="85">
        <v>3.62717</v>
      </c>
      <c r="W3563" s="81">
        <v>41.698</v>
      </c>
      <c r="Y3563" s="81">
        <v>7.3951599999999997</v>
      </c>
      <c r="AA3563" s="84">
        <v>508.84</v>
      </c>
      <c r="AC3563" s="81">
        <v>59.069299999999998</v>
      </c>
      <c r="AE3563" s="87">
        <v>1</v>
      </c>
      <c r="AG3563" s="85">
        <v>7.6855399999999996</v>
      </c>
      <c r="AI3563" s="86">
        <v>8.75</v>
      </c>
      <c r="AK3563" s="81">
        <v>26.055399999999999</v>
      </c>
      <c r="AM3563" s="81">
        <v>36.817799999999998</v>
      </c>
      <c r="AO3563" s="85">
        <v>6.7765399999999998</v>
      </c>
    </row>
    <row r="3564" spans="2:41" x14ac:dyDescent="0.25">
      <c r="B3564" s="21">
        <f t="shared" si="8"/>
        <v>45813</v>
      </c>
      <c r="C3564" s="91">
        <v>19.193200000000001</v>
      </c>
      <c r="E3564" s="83">
        <v>0.87470899999999996</v>
      </c>
      <c r="G3564" s="84">
        <v>1186.68</v>
      </c>
      <c r="I3564" s="85">
        <v>6.9087899999999998</v>
      </c>
      <c r="K3564" s="85">
        <v>5.6139200000000002</v>
      </c>
      <c r="M3564" s="84">
        <v>934.06600000000003</v>
      </c>
      <c r="O3564" s="86">
        <v>4106.79</v>
      </c>
      <c r="Q3564" s="86">
        <v>7987.16</v>
      </c>
      <c r="S3564" s="86">
        <v>1422.74</v>
      </c>
      <c r="U3564" s="85">
        <v>3.6289199999999999</v>
      </c>
      <c r="W3564" s="81">
        <v>41.621899999999997</v>
      </c>
      <c r="Y3564" s="81">
        <v>7.4140600000000001</v>
      </c>
      <c r="AA3564" s="84">
        <v>508.73399999999998</v>
      </c>
      <c r="AC3564" s="81">
        <v>59.065399999999997</v>
      </c>
      <c r="AE3564" s="87">
        <v>1</v>
      </c>
      <c r="AG3564" s="85">
        <v>7.6837200000000001</v>
      </c>
      <c r="AI3564" s="86">
        <v>8.75</v>
      </c>
      <c r="AK3564" s="81">
        <v>26.045999999999999</v>
      </c>
      <c r="AM3564" s="81">
        <v>36.802399999999999</v>
      </c>
      <c r="AO3564" s="85">
        <v>6.76302</v>
      </c>
    </row>
    <row r="3565" spans="2:41" x14ac:dyDescent="0.25">
      <c r="B3565" s="21">
        <f t="shared" si="8"/>
        <v>45814</v>
      </c>
      <c r="C3565" s="91">
        <v>19.170000000000002</v>
      </c>
      <c r="E3565" s="83">
        <v>0.87606600000000001</v>
      </c>
      <c r="G3565" s="84">
        <v>1187.1600000000001</v>
      </c>
      <c r="I3565" s="85">
        <v>6.9093200000000001</v>
      </c>
      <c r="K3565" s="85">
        <v>5.5819400000000003</v>
      </c>
      <c r="M3565" s="84">
        <v>932.24599999999998</v>
      </c>
      <c r="O3565" s="86">
        <v>4115.24</v>
      </c>
      <c r="Q3565" s="86">
        <v>7984.59</v>
      </c>
      <c r="S3565" s="86">
        <v>1430.44</v>
      </c>
      <c r="U3565" s="85">
        <v>3.6345100000000001</v>
      </c>
      <c r="W3565" s="81">
        <v>41.575400000000002</v>
      </c>
      <c r="Y3565" s="81">
        <v>7.4482100000000004</v>
      </c>
      <c r="AA3565" s="84">
        <v>509.41800000000001</v>
      </c>
      <c r="AC3565" s="81">
        <v>59.131999999999998</v>
      </c>
      <c r="AE3565" s="87">
        <v>1</v>
      </c>
      <c r="AG3565" s="85">
        <v>7.6850800000000001</v>
      </c>
      <c r="AI3565" s="86">
        <v>8.75</v>
      </c>
      <c r="AK3565" s="81">
        <v>26.045400000000001</v>
      </c>
      <c r="AM3565" s="81">
        <v>36.808799999999998</v>
      </c>
      <c r="AO3565" s="85">
        <v>6.7653499999999998</v>
      </c>
    </row>
    <row r="3566" spans="2:41" x14ac:dyDescent="0.25">
      <c r="B3566" s="21">
        <f t="shared" si="8"/>
        <v>45815</v>
      </c>
      <c r="C3566" s="91">
        <v>19.170000000000002</v>
      </c>
      <c r="E3566" s="83">
        <v>0.87745799999999996</v>
      </c>
      <c r="G3566" s="84">
        <v>1184.94</v>
      </c>
      <c r="I3566" s="85">
        <v>6.9086699999999999</v>
      </c>
      <c r="K3566" s="85">
        <v>5.5611499999999996</v>
      </c>
      <c r="M3566" s="84">
        <v>934.495</v>
      </c>
      <c r="O3566" s="86">
        <v>4118.84</v>
      </c>
      <c r="Q3566" s="86">
        <v>7981.76</v>
      </c>
      <c r="S3566" s="86">
        <v>1435.27</v>
      </c>
      <c r="U3566" s="85">
        <v>3.6501800000000002</v>
      </c>
      <c r="W3566" s="81">
        <v>41.552999999999997</v>
      </c>
      <c r="Y3566" s="81">
        <v>7.4720399999999998</v>
      </c>
      <c r="AA3566" s="84">
        <v>509.83199999999999</v>
      </c>
      <c r="AC3566" s="81">
        <v>59.153500000000001</v>
      </c>
      <c r="AE3566" s="87">
        <v>1</v>
      </c>
      <c r="AG3566" s="85">
        <v>7.6847700000000003</v>
      </c>
      <c r="AI3566" s="86">
        <v>8.75</v>
      </c>
      <c r="AK3566" s="81">
        <v>26.046399999999998</v>
      </c>
      <c r="AM3566" s="81">
        <v>36.805300000000003</v>
      </c>
      <c r="AO3566" s="85">
        <v>6.7647300000000001</v>
      </c>
    </row>
    <row r="3567" spans="2:41" x14ac:dyDescent="0.25">
      <c r="B3567" s="21">
        <f t="shared" si="8"/>
        <v>45816</v>
      </c>
      <c r="C3567" s="91">
        <v>19.170000000000002</v>
      </c>
      <c r="E3567" s="83">
        <v>0.87740399999999996</v>
      </c>
      <c r="G3567" s="84">
        <v>1185.54</v>
      </c>
      <c r="I3567" s="85">
        <v>6.9088799999999999</v>
      </c>
      <c r="K3567" s="85">
        <v>5.5610799999999996</v>
      </c>
      <c r="M3567" s="84">
        <v>934.46799999999996</v>
      </c>
      <c r="O3567" s="86">
        <v>4118.8100000000004</v>
      </c>
      <c r="Q3567" s="86">
        <v>7982.07</v>
      </c>
      <c r="S3567" s="86">
        <v>1435.34</v>
      </c>
      <c r="U3567" s="85">
        <v>3.6501999999999999</v>
      </c>
      <c r="W3567" s="81">
        <v>41.554600000000001</v>
      </c>
      <c r="Y3567" s="81">
        <v>7.4724199999999996</v>
      </c>
      <c r="AA3567" s="84">
        <v>509.83199999999999</v>
      </c>
      <c r="AC3567" s="81">
        <v>59.154800000000002</v>
      </c>
      <c r="AE3567" s="87">
        <v>1</v>
      </c>
      <c r="AG3567" s="85">
        <v>7.6847700000000003</v>
      </c>
      <c r="AI3567" s="86">
        <v>8.75</v>
      </c>
      <c r="AK3567" s="81">
        <v>26.046399999999998</v>
      </c>
      <c r="AM3567" s="81">
        <v>36.806199999999997</v>
      </c>
      <c r="AO3567" s="85">
        <v>6.7654199999999998</v>
      </c>
    </row>
    <row r="3568" spans="2:41" x14ac:dyDescent="0.25">
      <c r="B3568" s="21">
        <f t="shared" si="8"/>
        <v>45817</v>
      </c>
      <c r="C3568" s="91">
        <v>19.131699999999999</v>
      </c>
      <c r="E3568" s="83">
        <v>0.87578599999999995</v>
      </c>
      <c r="G3568" s="84">
        <v>1186.3399999999999</v>
      </c>
      <c r="I3568" s="85">
        <v>6.9130099999999999</v>
      </c>
      <c r="K3568" s="85">
        <v>5.5666200000000003</v>
      </c>
      <c r="M3568" s="84">
        <v>934.77300000000002</v>
      </c>
      <c r="O3568" s="86">
        <v>4128.58</v>
      </c>
      <c r="Q3568" s="86">
        <v>7984.96</v>
      </c>
      <c r="S3568" s="86">
        <v>1434.44</v>
      </c>
      <c r="U3568" s="85">
        <v>3.6463800000000002</v>
      </c>
      <c r="W3568" s="81">
        <v>41.573900000000002</v>
      </c>
      <c r="Y3568" s="81">
        <v>7.4684400000000002</v>
      </c>
      <c r="AA3568" s="84">
        <v>509.61599999999999</v>
      </c>
      <c r="AC3568" s="81">
        <v>59.1892</v>
      </c>
      <c r="AE3568" s="87">
        <v>1</v>
      </c>
      <c r="AG3568" s="85">
        <v>7.6850300000000002</v>
      </c>
      <c r="AI3568" s="86">
        <v>8.75</v>
      </c>
      <c r="AK3568" s="81">
        <v>26.055800000000001</v>
      </c>
      <c r="AM3568" s="81">
        <v>36.806199999999997</v>
      </c>
      <c r="AO3568" s="85">
        <v>6.7784800000000001</v>
      </c>
    </row>
    <row r="3569" spans="2:41" x14ac:dyDescent="0.25">
      <c r="B3569" s="21">
        <f t="shared" si="8"/>
        <v>45818</v>
      </c>
      <c r="C3569" s="91">
        <v>19.0595</v>
      </c>
      <c r="E3569" s="83">
        <v>0.87583800000000001</v>
      </c>
      <c r="G3569" s="84">
        <v>1186.0999999999999</v>
      </c>
      <c r="I3569" s="85">
        <v>6.9100599999999996</v>
      </c>
      <c r="K3569" s="85">
        <v>5.5621200000000002</v>
      </c>
      <c r="M3569" s="84">
        <v>937.53</v>
      </c>
      <c r="O3569" s="86">
        <v>4163.49</v>
      </c>
      <c r="Q3569" s="86">
        <v>7975.8</v>
      </c>
      <c r="S3569" s="86">
        <v>1433.96</v>
      </c>
      <c r="U3569" s="85">
        <v>3.6335000000000002</v>
      </c>
      <c r="W3569" s="81">
        <v>41.516100000000002</v>
      </c>
      <c r="Y3569" s="81">
        <v>7.4641000000000002</v>
      </c>
      <c r="AA3569" s="84">
        <v>508.68900000000002</v>
      </c>
      <c r="AC3569" s="81">
        <v>59.273400000000002</v>
      </c>
      <c r="AE3569" s="87">
        <v>1</v>
      </c>
      <c r="AG3569" s="85">
        <v>7.6833999999999998</v>
      </c>
      <c r="AI3569" s="86">
        <v>8.75</v>
      </c>
      <c r="AK3569" s="81">
        <v>26.035799999999998</v>
      </c>
      <c r="AM3569" s="81">
        <v>36.787399999999998</v>
      </c>
      <c r="AO3569" s="85">
        <v>6.7834399999999997</v>
      </c>
    </row>
    <row r="3570" spans="2:41" x14ac:dyDescent="0.25">
      <c r="B3570" s="21">
        <f t="shared" si="8"/>
        <v>45819</v>
      </c>
      <c r="C3570" s="91">
        <v>19.0518</v>
      </c>
      <c r="E3570" s="83">
        <v>0.87308399999999997</v>
      </c>
      <c r="G3570" s="84">
        <v>1185.6300000000001</v>
      </c>
      <c r="I3570" s="85">
        <v>6.9108599999999996</v>
      </c>
      <c r="K3570" s="85">
        <v>5.5568600000000004</v>
      </c>
      <c r="M3570" s="84">
        <v>938.28</v>
      </c>
      <c r="O3570" s="86">
        <v>4198.08</v>
      </c>
      <c r="Q3570" s="86">
        <v>7979.37</v>
      </c>
      <c r="S3570" s="86">
        <v>1435.95</v>
      </c>
      <c r="U3570" s="85">
        <v>3.63218</v>
      </c>
      <c r="W3570" s="81">
        <v>41.438800000000001</v>
      </c>
      <c r="Y3570" s="81">
        <v>7.45723</v>
      </c>
      <c r="AA3570" s="84">
        <v>507.928</v>
      </c>
      <c r="AC3570" s="81">
        <v>59.225299999999997</v>
      </c>
      <c r="AE3570" s="87">
        <v>1</v>
      </c>
      <c r="AG3570" s="85">
        <v>7.6844200000000003</v>
      </c>
      <c r="AI3570" s="86">
        <v>8.75</v>
      </c>
      <c r="AK3570" s="81">
        <v>26.070499999999999</v>
      </c>
      <c r="AM3570" s="81">
        <v>36.800800000000002</v>
      </c>
      <c r="AO3570" s="85">
        <v>6.7860800000000001</v>
      </c>
    </row>
    <row r="3571" spans="2:41" x14ac:dyDescent="0.25">
      <c r="B3571" s="21">
        <f t="shared" si="8"/>
        <v>45820</v>
      </c>
      <c r="C3571" s="91">
        <v>18.879000000000001</v>
      </c>
      <c r="E3571" s="83">
        <v>0.86509599999999998</v>
      </c>
      <c r="G3571" s="84">
        <v>1183.4000000000001</v>
      </c>
      <c r="I3571" s="85">
        <v>6.9003399999999999</v>
      </c>
      <c r="K3571" s="85">
        <v>5.5392299999999999</v>
      </c>
      <c r="M3571" s="84">
        <v>932.42600000000004</v>
      </c>
      <c r="O3571" s="86">
        <v>4173.78</v>
      </c>
      <c r="Q3571" s="86">
        <v>7955.44</v>
      </c>
      <c r="S3571" s="86">
        <v>1436.2</v>
      </c>
      <c r="U3571" s="85">
        <v>3.6307800000000001</v>
      </c>
      <c r="W3571" s="81">
        <v>41.199399999999997</v>
      </c>
      <c r="Y3571" s="81">
        <v>7.4377800000000001</v>
      </c>
      <c r="AA3571" s="84">
        <v>505.678</v>
      </c>
      <c r="AC3571" s="81">
        <v>58.965200000000003</v>
      </c>
      <c r="AE3571" s="87">
        <v>1</v>
      </c>
      <c r="AG3571" s="85">
        <v>7.6666800000000004</v>
      </c>
      <c r="AI3571" s="86">
        <v>8.75</v>
      </c>
      <c r="AK3571" s="81">
        <v>26.0383</v>
      </c>
      <c r="AM3571" s="81">
        <v>36.731400000000001</v>
      </c>
      <c r="AO3571" s="85">
        <v>6.7699699999999998</v>
      </c>
    </row>
    <row r="3572" spans="2:41" x14ac:dyDescent="0.25">
      <c r="B3572" s="21">
        <f t="shared" si="8"/>
        <v>45821</v>
      </c>
      <c r="C3572" s="91">
        <v>18.9068</v>
      </c>
      <c r="E3572" s="83">
        <v>0.86665400000000004</v>
      </c>
      <c r="G3572" s="84">
        <v>1184.3399999999999</v>
      </c>
      <c r="I3572" s="85">
        <v>6.9205199999999998</v>
      </c>
      <c r="K3572" s="85">
        <v>5.5442200000000001</v>
      </c>
      <c r="M3572" s="84">
        <v>933.5</v>
      </c>
      <c r="O3572" s="86">
        <v>4147.28</v>
      </c>
      <c r="Q3572" s="86">
        <v>7990.39</v>
      </c>
      <c r="S3572" s="86">
        <v>1441.22</v>
      </c>
      <c r="U3572" s="85">
        <v>3.6143399999999999</v>
      </c>
      <c r="W3572" s="81">
        <v>41.225000000000001</v>
      </c>
      <c r="Y3572" s="81">
        <v>7.4356799999999996</v>
      </c>
      <c r="AA3572" s="84">
        <v>505.56200000000001</v>
      </c>
      <c r="AC3572" s="81">
        <v>59.166200000000003</v>
      </c>
      <c r="AE3572" s="87">
        <v>1</v>
      </c>
      <c r="AG3572" s="85">
        <v>7.6944499999999998</v>
      </c>
      <c r="AI3572" s="86">
        <v>8.75</v>
      </c>
      <c r="AK3572" s="81">
        <v>26.114599999999999</v>
      </c>
      <c r="AM3572" s="81">
        <v>36.652000000000001</v>
      </c>
      <c r="AO3572" s="85">
        <v>6.7906700000000004</v>
      </c>
    </row>
    <row r="3573" spans="2:41" x14ac:dyDescent="0.25">
      <c r="B3573" s="21">
        <f t="shared" si="8"/>
        <v>45822</v>
      </c>
      <c r="C3573" s="91">
        <v>18.9068</v>
      </c>
      <c r="E3573" s="83">
        <v>0.86572199999999999</v>
      </c>
      <c r="G3573" s="84">
        <v>1181.93</v>
      </c>
      <c r="I3573" s="85">
        <v>6.9161799999999998</v>
      </c>
      <c r="K3573" s="85">
        <v>5.5448000000000004</v>
      </c>
      <c r="M3573" s="84">
        <v>937.51800000000003</v>
      </c>
      <c r="O3573" s="86">
        <v>4129.66</v>
      </c>
      <c r="Q3573" s="86">
        <v>7981.88</v>
      </c>
      <c r="S3573" s="86">
        <v>1439.53</v>
      </c>
      <c r="U3573" s="85">
        <v>3.6122000000000001</v>
      </c>
      <c r="W3573" s="81">
        <v>41.015799999999999</v>
      </c>
      <c r="Y3573" s="81">
        <v>7.3971799999999996</v>
      </c>
      <c r="AA3573" s="84">
        <v>504.363</v>
      </c>
      <c r="AC3573" s="81">
        <v>59.232500000000002</v>
      </c>
      <c r="AE3573" s="87">
        <v>1</v>
      </c>
      <c r="AG3573" s="85">
        <v>7.6894400000000003</v>
      </c>
      <c r="AI3573" s="86">
        <v>8.75</v>
      </c>
      <c r="AK3573" s="81">
        <v>26.107500000000002</v>
      </c>
      <c r="AM3573" s="81">
        <v>36.549999999999997</v>
      </c>
      <c r="AO3573" s="85">
        <v>6.7839600000000004</v>
      </c>
    </row>
    <row r="3574" spans="2:41" x14ac:dyDescent="0.25">
      <c r="B3574" s="21">
        <f t="shared" si="8"/>
        <v>45823</v>
      </c>
      <c r="C3574" s="91">
        <v>18.9068</v>
      </c>
      <c r="E3574" s="83">
        <v>0.86587099999999995</v>
      </c>
      <c r="G3574" s="84">
        <v>1181.8800000000001</v>
      </c>
      <c r="I3574" s="85">
        <v>6.9161799999999998</v>
      </c>
      <c r="K3574" s="85">
        <v>5.5448000000000004</v>
      </c>
      <c r="M3574" s="84">
        <v>937.51800000000003</v>
      </c>
      <c r="O3574" s="86">
        <v>4129.62</v>
      </c>
      <c r="Q3574" s="86">
        <v>7981.17</v>
      </c>
      <c r="S3574" s="86">
        <v>1439.4</v>
      </c>
      <c r="U3574" s="85">
        <v>3.6122000000000001</v>
      </c>
      <c r="W3574" s="81">
        <v>41.0276</v>
      </c>
      <c r="Y3574" s="81">
        <v>7.3993000000000002</v>
      </c>
      <c r="AA3574" s="84">
        <v>504.363</v>
      </c>
      <c r="AC3574" s="81">
        <v>59.228400000000001</v>
      </c>
      <c r="AE3574" s="87">
        <v>1</v>
      </c>
      <c r="AG3574" s="85">
        <v>7.6894400000000003</v>
      </c>
      <c r="AI3574" s="86">
        <v>8.75</v>
      </c>
      <c r="AK3574" s="81">
        <v>26.107500000000002</v>
      </c>
      <c r="AM3574" s="81">
        <v>36.549999999999997</v>
      </c>
      <c r="AO3574" s="85">
        <v>6.7832299999999996</v>
      </c>
    </row>
    <row r="3575" spans="2:41" x14ac:dyDescent="0.25">
      <c r="B3575" s="21">
        <f t="shared" si="8"/>
        <v>45824</v>
      </c>
      <c r="C3575" s="91">
        <v>18.930199999999999</v>
      </c>
      <c r="E3575" s="83">
        <v>0.86461900000000003</v>
      </c>
      <c r="G3575" s="84">
        <v>1182.1099999999999</v>
      </c>
      <c r="I3575" s="85">
        <v>6.9090100000000003</v>
      </c>
      <c r="K3575" s="85">
        <v>5.5259400000000003</v>
      </c>
      <c r="M3575" s="84">
        <v>937.08600000000001</v>
      </c>
      <c r="O3575" s="86">
        <v>4117.18</v>
      </c>
      <c r="Q3575" s="86">
        <v>7968.06</v>
      </c>
      <c r="S3575" s="86">
        <v>1441.94</v>
      </c>
      <c r="U3575" s="85">
        <v>3.6075499999999998</v>
      </c>
      <c r="W3575" s="81">
        <v>40.970199999999998</v>
      </c>
      <c r="Y3575" s="81">
        <v>7.4141599999999999</v>
      </c>
      <c r="AA3575" s="84">
        <v>503.59399999999999</v>
      </c>
      <c r="AC3575" s="81">
        <v>59.054000000000002</v>
      </c>
      <c r="AE3575" s="87">
        <v>1</v>
      </c>
      <c r="AG3575" s="85">
        <v>7.6786399999999997</v>
      </c>
      <c r="AI3575" s="86">
        <v>8.75</v>
      </c>
      <c r="AK3575" s="81">
        <v>26.084199999999999</v>
      </c>
      <c r="AM3575" s="81">
        <v>36.683999999999997</v>
      </c>
      <c r="AO3575" s="85">
        <v>6.7777399999999997</v>
      </c>
    </row>
    <row r="3576" spans="2:41" x14ac:dyDescent="0.25">
      <c r="B3576" s="21">
        <f t="shared" si="8"/>
        <v>45825</v>
      </c>
      <c r="C3576" s="91">
        <v>18.908300000000001</v>
      </c>
      <c r="E3576" s="83">
        <v>0.86705699999999997</v>
      </c>
      <c r="G3576" s="84">
        <v>1176.8399999999999</v>
      </c>
      <c r="I3576" s="85">
        <v>6.9268099999999997</v>
      </c>
      <c r="K3576" s="85">
        <v>5.4915900000000004</v>
      </c>
      <c r="M3576" s="84">
        <v>939.07399999999996</v>
      </c>
      <c r="O3576" s="86">
        <v>4101.16</v>
      </c>
      <c r="Q3576" s="86">
        <v>7982.98</v>
      </c>
      <c r="S3576" s="86">
        <v>1453.68</v>
      </c>
      <c r="U3576" s="85">
        <v>3.6050800000000001</v>
      </c>
      <c r="W3576" s="81">
        <v>40.987099999999998</v>
      </c>
      <c r="Y3576" s="81">
        <v>7.4636199999999997</v>
      </c>
      <c r="AA3576" s="84">
        <v>503.71499999999997</v>
      </c>
      <c r="AC3576" s="81">
        <v>59.206200000000003</v>
      </c>
      <c r="AE3576" s="87">
        <v>1</v>
      </c>
      <c r="AG3576" s="85">
        <v>7.6798599999999997</v>
      </c>
      <c r="AI3576" s="86">
        <v>8.75</v>
      </c>
      <c r="AK3576" s="81">
        <v>26.121300000000002</v>
      </c>
      <c r="AM3576" s="81">
        <v>36.553800000000003</v>
      </c>
      <c r="AO3576" s="85">
        <v>6.78139</v>
      </c>
    </row>
    <row r="3577" spans="2:41" x14ac:dyDescent="0.25">
      <c r="B3577" s="21">
        <f t="shared" si="8"/>
        <v>45826</v>
      </c>
      <c r="C3577" s="91">
        <v>18.987200000000001</v>
      </c>
      <c r="E3577" s="83">
        <v>0.86965599999999998</v>
      </c>
      <c r="G3577" s="84">
        <v>1154.8699999999999</v>
      </c>
      <c r="I3577" s="85">
        <v>6.9267200000000004</v>
      </c>
      <c r="K3577" s="85">
        <v>5.4959800000000003</v>
      </c>
      <c r="M3577" s="84">
        <v>944.34699999999998</v>
      </c>
      <c r="O3577" s="86">
        <v>4088.5</v>
      </c>
      <c r="Q3577" s="86">
        <v>7980.56</v>
      </c>
      <c r="S3577" s="86">
        <v>1452.08</v>
      </c>
      <c r="U3577" s="85">
        <v>3.6076600000000001</v>
      </c>
      <c r="W3577" s="81">
        <v>40.896299999999997</v>
      </c>
      <c r="Y3577" s="81">
        <v>7.44116</v>
      </c>
      <c r="AA3577" s="84">
        <v>504.13</v>
      </c>
      <c r="AC3577" s="81">
        <v>59.261699999999998</v>
      </c>
      <c r="AE3577" s="87">
        <v>1</v>
      </c>
      <c r="AG3577" s="85">
        <v>7.6788600000000002</v>
      </c>
      <c r="AI3577" s="86">
        <v>8.75</v>
      </c>
      <c r="AK3577" s="81">
        <v>26.119599999999998</v>
      </c>
      <c r="AM3577" s="81">
        <v>36.7836</v>
      </c>
      <c r="AO3577" s="85">
        <v>6.7816900000000002</v>
      </c>
    </row>
    <row r="3578" spans="2:41" x14ac:dyDescent="0.25">
      <c r="B3578" s="21">
        <f t="shared" si="8"/>
        <v>45827</v>
      </c>
      <c r="C3578" s="91">
        <v>19.0047</v>
      </c>
      <c r="E3578" s="83">
        <v>0.87146199999999996</v>
      </c>
      <c r="G3578" s="84">
        <v>1150.8</v>
      </c>
      <c r="I3578" s="85">
        <v>6.9257400000000002</v>
      </c>
      <c r="K3578" s="85">
        <v>5.4918199999999997</v>
      </c>
      <c r="M3578" s="84">
        <v>943.67499999999995</v>
      </c>
      <c r="O3578" s="86">
        <v>4075.76</v>
      </c>
      <c r="Q3578" s="86">
        <v>7976.61</v>
      </c>
      <c r="S3578" s="86">
        <v>1452.46</v>
      </c>
      <c r="U3578" s="85">
        <v>3.5943000000000001</v>
      </c>
      <c r="W3578" s="81">
        <v>40.877299999999998</v>
      </c>
      <c r="Y3578" s="81">
        <v>7.4433299999999996</v>
      </c>
      <c r="AA3578" s="84">
        <v>504.63799999999998</v>
      </c>
      <c r="AC3578" s="81">
        <v>59.317500000000003</v>
      </c>
      <c r="AE3578" s="87">
        <v>1</v>
      </c>
      <c r="AG3578" s="85">
        <v>7.68086</v>
      </c>
      <c r="AI3578" s="86">
        <v>8.75</v>
      </c>
      <c r="AK3578" s="81">
        <v>26.118600000000001</v>
      </c>
      <c r="AM3578" s="81">
        <v>36.777799999999999</v>
      </c>
      <c r="AO3578" s="85">
        <v>6.7857399999999997</v>
      </c>
    </row>
    <row r="3579" spans="2:41" x14ac:dyDescent="0.25">
      <c r="B3579" s="21">
        <f t="shared" si="8"/>
        <v>45828</v>
      </c>
      <c r="C3579" s="91">
        <v>19.0898</v>
      </c>
      <c r="E3579" s="83">
        <v>0.86792499999999995</v>
      </c>
      <c r="G3579" s="84">
        <v>1164.48</v>
      </c>
      <c r="I3579" s="85">
        <v>6.9221399999999997</v>
      </c>
      <c r="K3579" s="85">
        <v>5.5004600000000003</v>
      </c>
      <c r="M3579" s="84">
        <v>941.15</v>
      </c>
      <c r="O3579" s="86">
        <v>4082.42</v>
      </c>
      <c r="Q3579" s="86">
        <v>7980.84</v>
      </c>
      <c r="S3579" s="86">
        <v>1450.94</v>
      </c>
      <c r="U3579" s="85">
        <v>3.5952199999999999</v>
      </c>
      <c r="W3579" s="81">
        <v>40.896799999999999</v>
      </c>
      <c r="Y3579" s="81">
        <v>7.4351700000000003</v>
      </c>
      <c r="AA3579" s="84">
        <v>504.90600000000001</v>
      </c>
      <c r="AC3579" s="81">
        <v>59.345199999999998</v>
      </c>
      <c r="AE3579" s="87">
        <v>1</v>
      </c>
      <c r="AG3579" s="85">
        <v>7.68513</v>
      </c>
      <c r="AI3579" s="86">
        <v>8.75</v>
      </c>
      <c r="AK3579" s="81">
        <v>26.123999999999999</v>
      </c>
      <c r="AM3579" s="81">
        <v>36.811799999999998</v>
      </c>
      <c r="AO3579" s="85">
        <v>6.7923600000000004</v>
      </c>
    </row>
    <row r="3580" spans="2:41" x14ac:dyDescent="0.25">
      <c r="B3580" s="21">
        <f t="shared" si="8"/>
        <v>45829</v>
      </c>
      <c r="C3580" s="91">
        <v>19.0898</v>
      </c>
      <c r="E3580" s="83">
        <v>0.86791200000000002</v>
      </c>
      <c r="G3580" s="84">
        <v>1164.4000000000001</v>
      </c>
      <c r="I3580" s="85">
        <v>6.9165700000000001</v>
      </c>
      <c r="K3580" s="85">
        <v>5.5162199999999997</v>
      </c>
      <c r="M3580" s="84">
        <v>941.18499999999995</v>
      </c>
      <c r="O3580" s="86">
        <v>4079.7</v>
      </c>
      <c r="Q3580" s="86">
        <v>7985.98</v>
      </c>
      <c r="S3580" s="86">
        <v>1447.73</v>
      </c>
      <c r="U3580" s="85">
        <v>3.5964999999999998</v>
      </c>
      <c r="W3580" s="81">
        <v>40.911000000000001</v>
      </c>
      <c r="Y3580" s="81">
        <v>7.4165000000000001</v>
      </c>
      <c r="AA3580" s="84">
        <v>504.99799999999999</v>
      </c>
      <c r="AC3580" s="81">
        <v>59.344799999999999</v>
      </c>
      <c r="AE3580" s="87">
        <v>1</v>
      </c>
      <c r="AG3580" s="85">
        <v>7.6886799999999997</v>
      </c>
      <c r="AI3580" s="86">
        <v>8.75</v>
      </c>
      <c r="AK3580" s="81">
        <v>26.121400000000001</v>
      </c>
      <c r="AM3580" s="81">
        <v>36.818600000000004</v>
      </c>
      <c r="AO3580" s="85">
        <v>6.7978800000000001</v>
      </c>
    </row>
    <row r="3581" spans="2:41" x14ac:dyDescent="0.25">
      <c r="B3581" s="21">
        <f t="shared" si="8"/>
        <v>45830</v>
      </c>
      <c r="C3581" s="91">
        <v>19.0898</v>
      </c>
      <c r="E3581" s="83">
        <v>0.86824000000000001</v>
      </c>
      <c r="G3581" s="84">
        <v>1164.55</v>
      </c>
      <c r="I3581" s="85">
        <v>6.9164599999999998</v>
      </c>
      <c r="K3581" s="85">
        <v>5.5162599999999999</v>
      </c>
      <c r="M3581" s="84">
        <v>941.17200000000003</v>
      </c>
      <c r="O3581" s="86">
        <v>4079.79</v>
      </c>
      <c r="Q3581" s="86">
        <v>7985.85</v>
      </c>
      <c r="S3581" s="86">
        <v>1447.7</v>
      </c>
      <c r="U3581" s="85">
        <v>3.59633</v>
      </c>
      <c r="W3581" s="81">
        <v>40.910400000000003</v>
      </c>
      <c r="Y3581" s="81">
        <v>7.4163500000000004</v>
      </c>
      <c r="AA3581" s="84">
        <v>504.99799999999999</v>
      </c>
      <c r="AC3581" s="81">
        <v>59.343400000000003</v>
      </c>
      <c r="AE3581" s="87">
        <v>1</v>
      </c>
      <c r="AG3581" s="85">
        <v>7.6886799999999997</v>
      </c>
      <c r="AI3581" s="86">
        <v>8.75</v>
      </c>
      <c r="AK3581" s="81">
        <v>26.121400000000001</v>
      </c>
      <c r="AM3581" s="81">
        <v>36.818100000000001</v>
      </c>
      <c r="AO3581" s="85">
        <v>6.7976999999999999</v>
      </c>
    </row>
    <row r="3582" spans="2:41" x14ac:dyDescent="0.25">
      <c r="B3582" s="21">
        <f t="shared" si="8"/>
        <v>45831</v>
      </c>
      <c r="C3582" s="91">
        <v>19.145800000000001</v>
      </c>
      <c r="E3582" s="83">
        <v>0.86807599999999996</v>
      </c>
      <c r="G3582" s="84">
        <v>1167.46</v>
      </c>
      <c r="I3582" s="85">
        <v>6.9264799999999997</v>
      </c>
      <c r="K3582" s="85">
        <v>5.51614</v>
      </c>
      <c r="M3582" s="84">
        <v>944.73400000000004</v>
      </c>
      <c r="O3582" s="86">
        <v>4087.52</v>
      </c>
      <c r="Q3582" s="86">
        <v>7989.62</v>
      </c>
      <c r="S3582" s="86">
        <v>1448.41</v>
      </c>
      <c r="U3582" s="85">
        <v>3.5995200000000001</v>
      </c>
      <c r="W3582" s="81">
        <v>40.868000000000002</v>
      </c>
      <c r="Y3582" s="81">
        <v>7.4088000000000003</v>
      </c>
      <c r="AA3582" s="84">
        <v>505.55599999999998</v>
      </c>
      <c r="AC3582" s="81">
        <v>59.381599999999999</v>
      </c>
      <c r="AE3582" s="87">
        <v>1</v>
      </c>
      <c r="AG3582" s="85">
        <v>7.6935399999999996</v>
      </c>
      <c r="AI3582" s="86">
        <v>8.75</v>
      </c>
      <c r="AK3582" s="81">
        <v>26.127099999999999</v>
      </c>
      <c r="AM3582" s="81">
        <v>36.821199999999997</v>
      </c>
      <c r="AO3582" s="85">
        <v>6.7965799999999996</v>
      </c>
    </row>
    <row r="3583" spans="2:41" x14ac:dyDescent="0.25">
      <c r="B3583" s="21">
        <f t="shared" si="8"/>
        <v>45832</v>
      </c>
      <c r="C3583" s="91">
        <v>19.152699999999999</v>
      </c>
      <c r="E3583" s="83">
        <v>0.86150400000000005</v>
      </c>
      <c r="G3583" s="84">
        <v>1173.24</v>
      </c>
      <c r="I3583" s="85">
        <v>6.9070400000000003</v>
      </c>
      <c r="K3583" s="85">
        <v>5.5010199999999996</v>
      </c>
      <c r="M3583" s="84">
        <v>942.93799999999999</v>
      </c>
      <c r="O3583" s="86">
        <v>4082.34</v>
      </c>
      <c r="Q3583" s="86">
        <v>7939.68</v>
      </c>
      <c r="S3583" s="86">
        <v>1443.32</v>
      </c>
      <c r="U3583" s="85">
        <v>3.5790099999999998</v>
      </c>
      <c r="W3583" s="81">
        <v>40.474200000000003</v>
      </c>
      <c r="Y3583" s="81">
        <v>7.3576199999999998</v>
      </c>
      <c r="AA3583" s="84">
        <v>504.39400000000001</v>
      </c>
      <c r="AC3583" s="81">
        <v>59.116100000000003</v>
      </c>
      <c r="AE3583" s="87">
        <v>1</v>
      </c>
      <c r="AG3583" s="85">
        <v>7.6690800000000001</v>
      </c>
      <c r="AI3583" s="86">
        <v>8.75</v>
      </c>
      <c r="AK3583" s="81">
        <v>26.044699999999999</v>
      </c>
      <c r="AM3583" s="81">
        <v>36.700899999999997</v>
      </c>
      <c r="AO3583" s="85">
        <v>6.7760800000000003</v>
      </c>
    </row>
    <row r="3584" spans="2:41" x14ac:dyDescent="0.25">
      <c r="B3584" s="21">
        <f t="shared" si="8"/>
        <v>45833</v>
      </c>
      <c r="C3584" s="91">
        <v>19.026700000000002</v>
      </c>
      <c r="E3584" s="83">
        <v>0.86020600000000003</v>
      </c>
      <c r="G3584" s="84">
        <v>1178.18</v>
      </c>
      <c r="I3584" s="85">
        <v>6.9142700000000001</v>
      </c>
      <c r="K3584" s="85">
        <v>5.5315799999999999</v>
      </c>
      <c r="M3584" s="84">
        <v>936.28</v>
      </c>
      <c r="O3584" s="86">
        <v>4071.79</v>
      </c>
      <c r="Q3584" s="86">
        <v>7979.48</v>
      </c>
      <c r="S3584" s="86">
        <v>1442.53</v>
      </c>
      <c r="U3584" s="85">
        <v>3.5781800000000001</v>
      </c>
      <c r="W3584" s="81">
        <v>40.404600000000002</v>
      </c>
      <c r="Y3584" s="81">
        <v>7.30436</v>
      </c>
      <c r="AA3584" s="84">
        <v>505.58499999999998</v>
      </c>
      <c r="AC3584" s="81">
        <v>59.352499999999999</v>
      </c>
      <c r="AE3584" s="87">
        <v>1</v>
      </c>
      <c r="AG3584" s="85">
        <v>7.6885199999999996</v>
      </c>
      <c r="AI3584" s="86">
        <v>8.75</v>
      </c>
      <c r="AK3584" s="81">
        <v>26.130600000000001</v>
      </c>
      <c r="AM3584" s="81">
        <v>36.774999999999999</v>
      </c>
      <c r="AO3584" s="85">
        <v>6.7937799999999999</v>
      </c>
    </row>
    <row r="3585" spans="2:41" x14ac:dyDescent="0.25">
      <c r="B3585" s="21">
        <f t="shared" si="8"/>
        <v>45834</v>
      </c>
      <c r="C3585" s="91">
        <v>18.920300000000001</v>
      </c>
      <c r="E3585" s="83">
        <v>0.85449900000000001</v>
      </c>
      <c r="G3585" s="84">
        <v>1189.9100000000001</v>
      </c>
      <c r="I3585" s="85">
        <v>6.8995300000000004</v>
      </c>
      <c r="K3585" s="85">
        <v>5.5307199999999996</v>
      </c>
      <c r="M3585" s="84">
        <v>935.04300000000001</v>
      </c>
      <c r="O3585" s="86">
        <v>4051.66</v>
      </c>
      <c r="Q3585" s="86">
        <v>7963.52</v>
      </c>
      <c r="S3585" s="86">
        <v>1439.87</v>
      </c>
      <c r="U3585" s="85">
        <v>3.5676700000000001</v>
      </c>
      <c r="W3585" s="81">
        <v>40.243200000000002</v>
      </c>
      <c r="Y3585" s="81">
        <v>7.2763</v>
      </c>
      <c r="AA3585" s="84">
        <v>504.34800000000001</v>
      </c>
      <c r="AC3585" s="81">
        <v>59.24</v>
      </c>
      <c r="AE3585" s="87">
        <v>1</v>
      </c>
      <c r="AG3585" s="85">
        <v>7.6784299999999996</v>
      </c>
      <c r="AI3585" s="86">
        <v>8.75</v>
      </c>
      <c r="AK3585" s="81">
        <v>26.092400000000001</v>
      </c>
      <c r="AM3585" s="81">
        <v>36.731200000000001</v>
      </c>
      <c r="AO3585" s="85">
        <v>6.7823500000000001</v>
      </c>
    </row>
    <row r="3586" spans="2:41" x14ac:dyDescent="0.25">
      <c r="B3586" s="21">
        <f t="shared" si="8"/>
        <v>45835</v>
      </c>
      <c r="C3586" s="91">
        <v>18.892800000000001</v>
      </c>
      <c r="E3586" s="83">
        <v>0.85397100000000004</v>
      </c>
      <c r="G3586" s="84">
        <v>1188.42</v>
      </c>
      <c r="I3586" s="85">
        <v>6.9140899999999998</v>
      </c>
      <c r="K3586" s="85">
        <v>5.48386</v>
      </c>
      <c r="M3586" s="84">
        <v>934.17399999999998</v>
      </c>
      <c r="O3586" s="86">
        <v>4055.9</v>
      </c>
      <c r="Q3586" s="86">
        <v>7986.74</v>
      </c>
      <c r="S3586" s="86">
        <v>1456.41</v>
      </c>
      <c r="U3586" s="85">
        <v>3.55966</v>
      </c>
      <c r="W3586" s="81">
        <v>40.261400000000002</v>
      </c>
      <c r="Y3586" s="81">
        <v>7.3418000000000001</v>
      </c>
      <c r="AA3586" s="84">
        <v>504.77600000000001</v>
      </c>
      <c r="AC3586" s="81">
        <v>59.519799999999996</v>
      </c>
      <c r="AE3586" s="87">
        <v>1</v>
      </c>
      <c r="AG3586" s="85">
        <v>7.69224</v>
      </c>
      <c r="AI3586" s="86">
        <v>8.75</v>
      </c>
      <c r="AK3586" s="81">
        <v>26.143999999999998</v>
      </c>
      <c r="AM3586" s="81">
        <v>36.814399999999999</v>
      </c>
      <c r="AO3586" s="85">
        <v>6.7932300000000003</v>
      </c>
    </row>
    <row r="3587" spans="2:41" x14ac:dyDescent="0.25">
      <c r="B3587" s="21">
        <f t="shared" si="8"/>
        <v>45836</v>
      </c>
      <c r="C3587" s="91">
        <v>18.892800000000001</v>
      </c>
      <c r="E3587" s="83">
        <v>0.853352</v>
      </c>
      <c r="G3587" s="84">
        <v>1188.1600000000001</v>
      </c>
      <c r="I3587" s="85">
        <v>6.9087800000000001</v>
      </c>
      <c r="K3587" s="85">
        <v>5.4860499999999996</v>
      </c>
      <c r="M3587" s="84">
        <v>939.745</v>
      </c>
      <c r="O3587" s="86">
        <v>4088.62</v>
      </c>
      <c r="Q3587" s="86">
        <v>7976.84</v>
      </c>
      <c r="S3587" s="86">
        <v>1454.02</v>
      </c>
      <c r="U3587" s="85">
        <v>3.5489999999999999</v>
      </c>
      <c r="W3587" s="81">
        <v>40.237000000000002</v>
      </c>
      <c r="Y3587" s="81">
        <v>7.3344199999999997</v>
      </c>
      <c r="AA3587" s="84">
        <v>504.45100000000002</v>
      </c>
      <c r="AC3587" s="81">
        <v>59.55</v>
      </c>
      <c r="AE3587" s="87">
        <v>1</v>
      </c>
      <c r="AG3587" s="85">
        <v>7.6880100000000002</v>
      </c>
      <c r="AI3587" s="86">
        <v>8.75</v>
      </c>
      <c r="AK3587" s="81">
        <v>26.145</v>
      </c>
      <c r="AM3587" s="81">
        <v>36.799999999999997</v>
      </c>
      <c r="AO3587" s="85">
        <v>6.7875899999999998</v>
      </c>
    </row>
    <row r="3588" spans="2:41" x14ac:dyDescent="0.25">
      <c r="B3588" s="21">
        <f t="shared" si="8"/>
        <v>45837</v>
      </c>
      <c r="C3588" s="91">
        <v>18.892800000000001</v>
      </c>
      <c r="E3588" s="83">
        <v>0.85325499999999999</v>
      </c>
      <c r="G3588" s="84">
        <v>1188</v>
      </c>
      <c r="I3588" s="85">
        <v>6.9086600000000002</v>
      </c>
      <c r="K3588" s="85">
        <v>5.4859299999999998</v>
      </c>
      <c r="M3588" s="84">
        <v>939.745</v>
      </c>
      <c r="O3588" s="86">
        <v>4088.08</v>
      </c>
      <c r="Q3588" s="86">
        <v>7976.8</v>
      </c>
      <c r="S3588" s="86">
        <v>1454.05</v>
      </c>
      <c r="U3588" s="85">
        <v>3.5489999999999999</v>
      </c>
      <c r="W3588" s="81">
        <v>40.237000000000002</v>
      </c>
      <c r="Y3588" s="81">
        <v>7.3345799999999999</v>
      </c>
      <c r="AA3588" s="84">
        <v>504.45100000000002</v>
      </c>
      <c r="AC3588" s="81">
        <v>59.55</v>
      </c>
      <c r="AE3588" s="87">
        <v>1</v>
      </c>
      <c r="AG3588" s="85">
        <v>7.6880100000000002</v>
      </c>
      <c r="AI3588" s="86">
        <v>8.75</v>
      </c>
      <c r="AK3588" s="81">
        <v>26.145</v>
      </c>
      <c r="AM3588" s="81">
        <v>36.799399999999999</v>
      </c>
      <c r="AO3588" s="85">
        <v>6.7875899999999998</v>
      </c>
    </row>
    <row r="3589" spans="2:41" x14ac:dyDescent="0.25">
      <c r="B3589" s="21">
        <f>+B3588+1</f>
        <v>45838</v>
      </c>
      <c r="C3589" s="82">
        <v>18.848299999999998</v>
      </c>
      <c r="D3589" s="92"/>
      <c r="E3589" s="93">
        <v>0.85157899999999997</v>
      </c>
      <c r="F3589" s="92"/>
      <c r="G3589" s="94">
        <v>1193.08</v>
      </c>
      <c r="H3589" s="92"/>
      <c r="I3589" s="95">
        <v>6.9142799999999998</v>
      </c>
      <c r="J3589" s="92"/>
      <c r="K3589" s="95">
        <v>5.4667700000000004</v>
      </c>
      <c r="L3589" s="92"/>
      <c r="M3589" s="94">
        <v>934.83100000000002</v>
      </c>
      <c r="N3589" s="92"/>
      <c r="O3589" s="96">
        <v>4065.88</v>
      </c>
      <c r="P3589" s="92"/>
      <c r="Q3589" s="96">
        <v>7977.92</v>
      </c>
      <c r="R3589" s="92"/>
      <c r="S3589" s="96">
        <v>1459.36</v>
      </c>
      <c r="T3589" s="92"/>
      <c r="U3589" s="95">
        <v>3.5471200000000001</v>
      </c>
      <c r="V3589" s="92"/>
      <c r="W3589" s="91">
        <v>40.184899999999999</v>
      </c>
      <c r="X3589" s="92"/>
      <c r="Y3589" s="91">
        <v>7.3507800000000003</v>
      </c>
      <c r="Z3589" s="92"/>
      <c r="AA3589" s="94">
        <v>504.52300000000002</v>
      </c>
      <c r="AB3589" s="92"/>
      <c r="AC3589" s="91">
        <v>59.500999999999998</v>
      </c>
      <c r="AD3589" s="92"/>
      <c r="AE3589" s="97">
        <v>1</v>
      </c>
      <c r="AF3589" s="92"/>
      <c r="AG3589" s="95">
        <v>7.6891499999999997</v>
      </c>
      <c r="AH3589" s="92"/>
      <c r="AI3589" s="96">
        <v>8.75</v>
      </c>
      <c r="AJ3589" s="92"/>
      <c r="AK3589" s="91">
        <v>26.134599999999999</v>
      </c>
      <c r="AL3589" s="92"/>
      <c r="AM3589" s="91">
        <v>36.7898</v>
      </c>
      <c r="AN3589" s="92"/>
      <c r="AO3589" s="95">
        <v>6.7839299999999998</v>
      </c>
    </row>
    <row r="3590" spans="2:41" ht="13" x14ac:dyDescent="0.3">
      <c r="B3590" s="25" t="str">
        <f>"PROM-"&amp;MONTH(B3589)&amp;YEAR(B3589)</f>
        <v>PROM-62025</v>
      </c>
      <c r="C3590" s="19">
        <f>AVERAGE(C3560:C3589)</f>
        <v>19.054299999999998</v>
      </c>
      <c r="E3590" s="24">
        <f>AVERAGE(E3560:E3589)</f>
        <v>0.86796490000000015</v>
      </c>
      <c r="G3590" s="42">
        <f>AVERAGE(G3560:G3589)</f>
        <v>1179.8936666666668</v>
      </c>
      <c r="I3590" s="23">
        <f>AVERAGE(I3560:I3589)</f>
        <v>6.9132469999999993</v>
      </c>
      <c r="K3590" s="23">
        <f>AVERAGE(K3560:K3589)</f>
        <v>5.5483726666666664</v>
      </c>
      <c r="M3590" s="42">
        <f>AVERAGE(M3560:M3589)</f>
        <v>938.16399999999987</v>
      </c>
      <c r="O3590" s="80">
        <f>AVERAGE(O3560:O3589)</f>
        <v>4109.2906666666659</v>
      </c>
      <c r="Q3590" s="80">
        <f>AVERAGE(Q3560:Q3589)</f>
        <v>7979.1183333333329</v>
      </c>
      <c r="S3590" s="80">
        <f>AVERAGE(S3560:S3589)</f>
        <v>1438.2846666666669</v>
      </c>
      <c r="U3590" s="23">
        <f>AVERAGE(U3560:U3589)</f>
        <v>3.6055716666666675</v>
      </c>
      <c r="W3590" s="19">
        <f>AVERAGE(W3560:W3589)</f>
        <v>41.036523333333342</v>
      </c>
      <c r="Y3590" s="19">
        <f>AVERAGE(Y3560:Y3589)</f>
        <v>7.3963473333333338</v>
      </c>
      <c r="AA3590" s="42">
        <f>AVERAGE(AA3560:AA3589)</f>
        <v>506.16076666666663</v>
      </c>
      <c r="AC3590" s="19">
        <f>AVERAGE(AC3560:AC3589)</f>
        <v>59.226523333333326</v>
      </c>
      <c r="AE3590" s="88">
        <f>AVERAGE(AE3560:AE3589)</f>
        <v>1</v>
      </c>
      <c r="AG3590" s="23">
        <f>AVERAGE(AG3560:AG3589)</f>
        <v>7.6835703333333347</v>
      </c>
      <c r="AI3590" s="80">
        <f>AVERAGE(AI3560:AI3589)</f>
        <v>8.75</v>
      </c>
      <c r="AK3590" s="19">
        <f>AVERAGE(AK3560:AK3589)</f>
        <v>26.08747</v>
      </c>
      <c r="AM3590" s="19">
        <f>AVERAGE(AM3560:AM3589)</f>
        <v>36.757506666666657</v>
      </c>
      <c r="AO3590" s="23">
        <f>AVERAGE(AO3560:AO3589)</f>
        <v>6.7824786666666661</v>
      </c>
    </row>
    <row r="3591" spans="2:41" x14ac:dyDescent="0.25">
      <c r="B3591" s="21">
        <v>45839</v>
      </c>
      <c r="C3591" s="91">
        <v>18.833200000000001</v>
      </c>
      <c r="E3591" s="83">
        <v>0.84799899999999995</v>
      </c>
      <c r="G3591" s="84">
        <v>1208.28</v>
      </c>
      <c r="I3591" s="85">
        <v>6.9156000000000004</v>
      </c>
      <c r="K3591" s="85">
        <v>5.4442399999999997</v>
      </c>
      <c r="M3591" s="84">
        <v>930.02599999999995</v>
      </c>
      <c r="O3591" s="86">
        <v>4068.52</v>
      </c>
      <c r="Q3591" s="86">
        <v>7978.14</v>
      </c>
      <c r="S3591" s="86">
        <v>1465.44</v>
      </c>
      <c r="U3591" s="85">
        <v>3.5463399999999998</v>
      </c>
      <c r="W3591" s="81">
        <v>40.030200000000001</v>
      </c>
      <c r="Y3591" s="81">
        <v>7.3527800000000001</v>
      </c>
      <c r="AA3591" s="84">
        <v>504.77</v>
      </c>
      <c r="AC3591" s="81">
        <v>59.397599999999997</v>
      </c>
      <c r="AE3591" s="87">
        <v>1</v>
      </c>
      <c r="AG3591" s="85">
        <v>7.6899300000000004</v>
      </c>
      <c r="AI3591" s="86">
        <v>8.75</v>
      </c>
      <c r="AK3591" s="81">
        <v>26.161799999999999</v>
      </c>
      <c r="AM3591" s="81">
        <v>36.777799999999999</v>
      </c>
      <c r="AO3591" s="85">
        <v>6.7741199999999999</v>
      </c>
    </row>
    <row r="3592" spans="2:41" x14ac:dyDescent="0.25">
      <c r="B3592" s="21">
        <v>45840</v>
      </c>
      <c r="C3592" s="91">
        <v>18.765000000000001</v>
      </c>
      <c r="E3592" s="83">
        <v>0.84839799999999999</v>
      </c>
      <c r="G3592" s="84">
        <v>1225.08</v>
      </c>
      <c r="I3592" s="85">
        <v>6.9099399999999997</v>
      </c>
      <c r="K3592" s="85">
        <v>5.4484000000000004</v>
      </c>
      <c r="M3592" s="84">
        <v>927.68200000000002</v>
      </c>
      <c r="O3592" s="86">
        <v>4018.95</v>
      </c>
      <c r="Q3592" s="86">
        <v>7975.84</v>
      </c>
      <c r="S3592" s="86">
        <v>1463.89</v>
      </c>
      <c r="U3592" s="85">
        <v>3.5529199999999999</v>
      </c>
      <c r="W3592" s="81">
        <v>39.846400000000003</v>
      </c>
      <c r="Y3592" s="81">
        <v>7.3134399999999999</v>
      </c>
      <c r="AA3592" s="84">
        <v>505.00599999999997</v>
      </c>
      <c r="AC3592" s="81">
        <v>59.531599999999997</v>
      </c>
      <c r="AE3592" s="87">
        <v>1</v>
      </c>
      <c r="AG3592" s="85">
        <v>7.6884800000000002</v>
      </c>
      <c r="AI3592" s="86">
        <v>8.75</v>
      </c>
      <c r="AK3592" s="81">
        <v>26.143999999999998</v>
      </c>
      <c r="AM3592" s="81">
        <v>36.7943</v>
      </c>
      <c r="AO3592" s="85">
        <v>6.7717599999999996</v>
      </c>
    </row>
    <row r="3593" spans="2:41" x14ac:dyDescent="0.25">
      <c r="B3593" s="21">
        <v>45841</v>
      </c>
      <c r="C3593" s="91">
        <v>18.754000000000001</v>
      </c>
      <c r="E3593" s="83">
        <v>0.84913000000000005</v>
      </c>
      <c r="G3593" s="84">
        <v>1229.23</v>
      </c>
      <c r="I3593" s="85">
        <v>6.90334</v>
      </c>
      <c r="K3593" s="85">
        <v>5.4216600000000001</v>
      </c>
      <c r="M3593" s="84">
        <v>927.13699999999994</v>
      </c>
      <c r="O3593" s="86">
        <v>3990.02</v>
      </c>
      <c r="Q3593" s="86">
        <v>7965.72</v>
      </c>
      <c r="S3593" s="86">
        <v>1469.24</v>
      </c>
      <c r="U3593" s="85">
        <v>3.5535999999999999</v>
      </c>
      <c r="W3593" s="81">
        <v>39.910200000000003</v>
      </c>
      <c r="Y3593" s="81">
        <v>7.3612599999999997</v>
      </c>
      <c r="AA3593" s="84">
        <v>504.72899999999998</v>
      </c>
      <c r="AC3593" s="81">
        <v>59.6</v>
      </c>
      <c r="AE3593" s="87">
        <v>1</v>
      </c>
      <c r="AG3593" s="85">
        <v>7.6834600000000002</v>
      </c>
      <c r="AI3593" s="86">
        <v>8.75</v>
      </c>
      <c r="AK3593" s="81">
        <v>26.126000000000001</v>
      </c>
      <c r="AM3593" s="81">
        <v>36.751399999999997</v>
      </c>
      <c r="AO3593" s="85">
        <v>6.7713299999999998</v>
      </c>
    </row>
    <row r="3594" spans="2:41" x14ac:dyDescent="0.25">
      <c r="B3594" s="21">
        <v>45842</v>
      </c>
      <c r="C3594" s="91">
        <v>18.665199999999999</v>
      </c>
      <c r="E3594" s="83">
        <v>0.84926199999999996</v>
      </c>
      <c r="G3594" s="84">
        <v>1235.58</v>
      </c>
      <c r="I3594" s="85">
        <v>6.9133399999999998</v>
      </c>
      <c r="K3594" s="85">
        <v>5.4135</v>
      </c>
      <c r="M3594" s="84">
        <v>930.03700000000003</v>
      </c>
      <c r="O3594" s="86">
        <v>3993.12</v>
      </c>
      <c r="Q3594" s="86">
        <v>7975.68</v>
      </c>
      <c r="S3594" s="86">
        <v>1473.3</v>
      </c>
      <c r="U3594" s="85">
        <v>3.5540600000000002</v>
      </c>
      <c r="W3594" s="81">
        <v>40.1038</v>
      </c>
      <c r="Y3594" s="81">
        <v>7.4081200000000003</v>
      </c>
      <c r="AA3594" s="84">
        <v>505.14400000000001</v>
      </c>
      <c r="AC3594" s="81">
        <v>59.839599999999997</v>
      </c>
      <c r="AE3594" s="87">
        <v>1</v>
      </c>
      <c r="AG3594" s="85">
        <v>7.6914100000000003</v>
      </c>
      <c r="AI3594" s="86">
        <v>8.75</v>
      </c>
      <c r="AK3594" s="81">
        <v>26.138000000000002</v>
      </c>
      <c r="AM3594" s="81">
        <v>36.811599999999999</v>
      </c>
      <c r="AO3594" s="85">
        <v>6.7812599999999996</v>
      </c>
    </row>
    <row r="3595" spans="2:41" x14ac:dyDescent="0.25">
      <c r="B3595" s="21">
        <v>45843</v>
      </c>
      <c r="C3595" s="91">
        <v>18.665199999999999</v>
      </c>
      <c r="E3595" s="83">
        <v>0.84916999999999998</v>
      </c>
      <c r="G3595" s="84">
        <v>1241.68</v>
      </c>
      <c r="I3595" s="85">
        <v>6.9090600000000002</v>
      </c>
      <c r="K3595" s="85">
        <v>5.4216199999999999</v>
      </c>
      <c r="M3595" s="84">
        <v>930.3</v>
      </c>
      <c r="O3595" s="86">
        <v>4001.05</v>
      </c>
      <c r="Q3595" s="86">
        <v>7968.84</v>
      </c>
      <c r="S3595" s="86">
        <v>1469.83</v>
      </c>
      <c r="U3595" s="85">
        <v>3.5472000000000001</v>
      </c>
      <c r="W3595" s="81">
        <v>40.088299999999997</v>
      </c>
      <c r="Y3595" s="81">
        <v>7.3941600000000003</v>
      </c>
      <c r="AA3595" s="84">
        <v>504.89800000000002</v>
      </c>
      <c r="AC3595" s="81">
        <v>59.839300000000001</v>
      </c>
      <c r="AE3595" s="87">
        <v>1</v>
      </c>
      <c r="AG3595" s="85">
        <v>7.6866500000000002</v>
      </c>
      <c r="AI3595" s="86">
        <v>8.75</v>
      </c>
      <c r="AK3595" s="81">
        <v>26.120899999999999</v>
      </c>
      <c r="AM3595" s="81">
        <v>36.786700000000003</v>
      </c>
      <c r="AO3595" s="85">
        <v>6.7744200000000001</v>
      </c>
    </row>
    <row r="3596" spans="2:41" x14ac:dyDescent="0.25">
      <c r="B3596" s="21">
        <v>45844</v>
      </c>
      <c r="C3596" s="91">
        <v>18.665199999999999</v>
      </c>
      <c r="E3596" s="83">
        <v>0.849136</v>
      </c>
      <c r="G3596" s="84">
        <v>1240.42</v>
      </c>
      <c r="I3596" s="85">
        <v>6.9090699999999998</v>
      </c>
      <c r="K3596" s="85">
        <v>5.4215999999999998</v>
      </c>
      <c r="M3596" s="84">
        <v>930.30499999999995</v>
      </c>
      <c r="O3596" s="86">
        <v>4000.98</v>
      </c>
      <c r="Q3596" s="86">
        <v>7968.85</v>
      </c>
      <c r="S3596" s="86">
        <v>1469.84</v>
      </c>
      <c r="U3596" s="85">
        <v>3.5472399999999999</v>
      </c>
      <c r="W3596" s="81">
        <v>40.088000000000001</v>
      </c>
      <c r="Y3596" s="81">
        <v>7.3941499999999998</v>
      </c>
      <c r="AA3596" s="84">
        <v>504.89800000000002</v>
      </c>
      <c r="AC3596" s="81">
        <v>59.838799999999999</v>
      </c>
      <c r="AE3596" s="87">
        <v>1</v>
      </c>
      <c r="AG3596" s="85">
        <v>7.6866500000000002</v>
      </c>
      <c r="AI3596" s="86">
        <v>8.75</v>
      </c>
      <c r="AK3596" s="81">
        <v>26.120899999999999</v>
      </c>
      <c r="AM3596" s="81">
        <v>36.786799999999999</v>
      </c>
      <c r="AO3596" s="85">
        <v>6.7744200000000001</v>
      </c>
    </row>
    <row r="3597" spans="2:41" x14ac:dyDescent="0.25">
      <c r="B3597" s="21">
        <v>45845</v>
      </c>
      <c r="C3597" s="91">
        <v>18.6327</v>
      </c>
      <c r="E3597" s="83">
        <v>0.85187199999999996</v>
      </c>
      <c r="G3597" s="84">
        <v>1247.19</v>
      </c>
      <c r="I3597" s="85">
        <v>6.9116900000000001</v>
      </c>
      <c r="K3597" s="85">
        <v>5.4472800000000001</v>
      </c>
      <c r="M3597" s="84">
        <v>935.43600000000004</v>
      </c>
      <c r="O3597" s="86">
        <v>4007.36</v>
      </c>
      <c r="Q3597" s="86">
        <v>7971.19</v>
      </c>
      <c r="S3597" s="86">
        <v>1463.34</v>
      </c>
      <c r="U3597" s="85">
        <v>3.55322</v>
      </c>
      <c r="W3597" s="81">
        <v>40.144599999999997</v>
      </c>
      <c r="Y3597" s="81">
        <v>7.3696799999999998</v>
      </c>
      <c r="AA3597" s="84">
        <v>505.16</v>
      </c>
      <c r="AC3597" s="81">
        <v>59.921999999999997</v>
      </c>
      <c r="AE3597" s="87">
        <v>1</v>
      </c>
      <c r="AG3597" s="85">
        <v>7.6879200000000001</v>
      </c>
      <c r="AI3597" s="86">
        <v>8.75</v>
      </c>
      <c r="AK3597" s="81">
        <v>26.1526</v>
      </c>
      <c r="AM3597" s="81">
        <v>36.800600000000003</v>
      </c>
      <c r="AO3597" s="85">
        <v>6.7784000000000004</v>
      </c>
    </row>
    <row r="3598" spans="2:41" x14ac:dyDescent="0.25">
      <c r="B3598" s="21">
        <v>45846</v>
      </c>
      <c r="C3598" s="91">
        <v>18.669799999999999</v>
      </c>
      <c r="E3598" s="83">
        <v>0.85255599999999998</v>
      </c>
      <c r="G3598" s="84">
        <v>1259.4000000000001</v>
      </c>
      <c r="I3598" s="85">
        <v>6.9056199999999999</v>
      </c>
      <c r="K3598" s="85">
        <v>5.4703900000000001</v>
      </c>
      <c r="M3598" s="84">
        <v>942.91600000000005</v>
      </c>
      <c r="O3598" s="86">
        <v>4040.38</v>
      </c>
      <c r="Q3598" s="86">
        <v>7948.79</v>
      </c>
      <c r="S3598" s="86">
        <v>1453.06</v>
      </c>
      <c r="U3598" s="85">
        <v>3.5560200000000002</v>
      </c>
      <c r="W3598" s="81">
        <v>40.172199999999997</v>
      </c>
      <c r="Y3598" s="81">
        <v>7.3435800000000002</v>
      </c>
      <c r="AA3598" s="84">
        <v>504.99299999999999</v>
      </c>
      <c r="AC3598" s="81">
        <v>59.9358</v>
      </c>
      <c r="AE3598" s="87">
        <v>1</v>
      </c>
      <c r="AG3598" s="85">
        <v>7.6811999999999996</v>
      </c>
      <c r="AI3598" s="86">
        <v>8.75</v>
      </c>
      <c r="AK3598" s="81">
        <v>26.163599999999999</v>
      </c>
      <c r="AM3598" s="81">
        <v>36.774700000000003</v>
      </c>
      <c r="AO3598" s="85">
        <v>6.7779400000000001</v>
      </c>
    </row>
    <row r="3599" spans="2:41" x14ac:dyDescent="0.25">
      <c r="B3599" s="21">
        <v>45847</v>
      </c>
      <c r="C3599" s="91">
        <v>18.713999999999999</v>
      </c>
      <c r="E3599" s="83">
        <v>0.85366500000000001</v>
      </c>
      <c r="G3599" s="84">
        <v>1253.82</v>
      </c>
      <c r="I3599" s="85">
        <v>6.9083399999999999</v>
      </c>
      <c r="K3599" s="85">
        <v>5.4759200000000003</v>
      </c>
      <c r="M3599" s="84">
        <v>945.03599999999994</v>
      </c>
      <c r="O3599" s="86">
        <v>4039.38</v>
      </c>
      <c r="Q3599" s="86">
        <v>7855.4</v>
      </c>
      <c r="S3599" s="86">
        <v>1434.54</v>
      </c>
      <c r="U3599" s="85">
        <v>3.5474600000000001</v>
      </c>
      <c r="W3599" s="81">
        <v>40.407600000000002</v>
      </c>
      <c r="Y3599" s="81">
        <v>7.3791399999999996</v>
      </c>
      <c r="AA3599" s="84">
        <v>504.74299999999999</v>
      </c>
      <c r="AC3599" s="81">
        <v>60.053600000000003</v>
      </c>
      <c r="AE3599" s="87">
        <v>1</v>
      </c>
      <c r="AG3599" s="85">
        <v>7.6836000000000002</v>
      </c>
      <c r="AI3599" s="86">
        <v>8.75</v>
      </c>
      <c r="AK3599" s="81">
        <v>26.230499999999999</v>
      </c>
      <c r="AM3599" s="81">
        <v>36.785600000000002</v>
      </c>
      <c r="AO3599" s="85">
        <v>6.7866799999999996</v>
      </c>
    </row>
    <row r="3600" spans="2:41" x14ac:dyDescent="0.25">
      <c r="B3600" s="21">
        <v>45848</v>
      </c>
      <c r="C3600" s="91">
        <v>18.5733</v>
      </c>
      <c r="E3600" s="83">
        <v>0.85363</v>
      </c>
      <c r="G3600" s="84">
        <v>1254.79</v>
      </c>
      <c r="I3600" s="85">
        <v>6.9130900000000004</v>
      </c>
      <c r="K3600" s="85">
        <v>5.5630199999999999</v>
      </c>
      <c r="M3600" s="84">
        <v>949.79</v>
      </c>
      <c r="O3600" s="86">
        <v>4018.58</v>
      </c>
      <c r="Q3600" s="86">
        <v>7798.47</v>
      </c>
      <c r="S3600" s="86">
        <v>1401.84</v>
      </c>
      <c r="U3600" s="85">
        <v>3.5441400000000001</v>
      </c>
      <c r="W3600" s="81">
        <v>40.446199999999997</v>
      </c>
      <c r="Y3600" s="81">
        <v>7.2705599999999997</v>
      </c>
      <c r="AA3600" s="84">
        <v>504.048</v>
      </c>
      <c r="AC3600" s="81">
        <v>60.024999999999999</v>
      </c>
      <c r="AE3600" s="87">
        <v>1</v>
      </c>
      <c r="AG3600" s="85">
        <v>7.6760000000000002</v>
      </c>
      <c r="AI3600" s="86">
        <v>8.75</v>
      </c>
      <c r="AK3600" s="81">
        <v>26.167300000000001</v>
      </c>
      <c r="AM3600" s="81">
        <v>36.765099999999997</v>
      </c>
      <c r="AO3600" s="85">
        <v>6.7828499999999998</v>
      </c>
    </row>
    <row r="3601" spans="2:41" x14ac:dyDescent="0.25">
      <c r="B3601" s="21">
        <v>45849</v>
      </c>
      <c r="C3601" s="91">
        <v>18.6267</v>
      </c>
      <c r="E3601" s="83">
        <v>0.85565999999999998</v>
      </c>
      <c r="G3601" s="84">
        <v>1258.01</v>
      </c>
      <c r="I3601" s="85">
        <v>6.9248799999999999</v>
      </c>
      <c r="K3601" s="85">
        <v>5.5468099999999998</v>
      </c>
      <c r="M3601" s="84">
        <v>953.02800000000002</v>
      </c>
      <c r="O3601" s="86">
        <v>4009.77</v>
      </c>
      <c r="Q3601" s="86">
        <v>7777.93</v>
      </c>
      <c r="S3601" s="86">
        <v>1402.24</v>
      </c>
      <c r="U3601" s="85">
        <v>3.5482800000000001</v>
      </c>
      <c r="W3601" s="81">
        <v>40.443399999999997</v>
      </c>
      <c r="Y3601" s="81">
        <v>7.2912999999999997</v>
      </c>
      <c r="AA3601" s="84">
        <v>504.464</v>
      </c>
      <c r="AC3601" s="81">
        <v>60.225499999999997</v>
      </c>
      <c r="AE3601" s="87">
        <v>1</v>
      </c>
      <c r="AG3601" s="85">
        <v>7.6820199999999996</v>
      </c>
      <c r="AI3601" s="86">
        <v>8.75</v>
      </c>
      <c r="AK3601" s="81">
        <v>26.2486</v>
      </c>
      <c r="AM3601" s="81">
        <v>36.777799999999999</v>
      </c>
      <c r="AO3601" s="85">
        <v>6.7874800000000004</v>
      </c>
    </row>
    <row r="3602" spans="2:41" x14ac:dyDescent="0.25">
      <c r="B3602" s="21">
        <v>45850</v>
      </c>
      <c r="C3602" s="91">
        <v>18.6267</v>
      </c>
      <c r="E3602" s="83">
        <v>0.855352</v>
      </c>
      <c r="G3602" s="84">
        <v>1260.76</v>
      </c>
      <c r="I3602" s="85">
        <v>6.9194599999999999</v>
      </c>
      <c r="K3602" s="85">
        <v>5.5549200000000001</v>
      </c>
      <c r="M3602" s="84">
        <v>957.04</v>
      </c>
      <c r="O3602" s="86">
        <v>3998.56</v>
      </c>
      <c r="Q3602" s="86">
        <v>7747.69</v>
      </c>
      <c r="S3602" s="86">
        <v>1394.74</v>
      </c>
      <c r="U3602" s="85">
        <v>3.5507200000000001</v>
      </c>
      <c r="W3602" s="81">
        <v>40.534999999999997</v>
      </c>
      <c r="Y3602" s="81">
        <v>7.2971399999999997</v>
      </c>
      <c r="AA3602" s="84">
        <v>504.464</v>
      </c>
      <c r="AC3602" s="81">
        <v>60.3</v>
      </c>
      <c r="AE3602" s="87">
        <v>1</v>
      </c>
      <c r="AG3602" s="85">
        <v>7.6802200000000003</v>
      </c>
      <c r="AI3602" s="86">
        <v>8.75</v>
      </c>
      <c r="AK3602" s="81">
        <v>26.264600000000002</v>
      </c>
      <c r="AM3602" s="81">
        <v>36.773400000000002</v>
      </c>
      <c r="AO3602" s="85">
        <v>6.7861399999999996</v>
      </c>
    </row>
    <row r="3603" spans="2:41" x14ac:dyDescent="0.25">
      <c r="B3603" s="21">
        <v>45851</v>
      </c>
      <c r="C3603" s="91">
        <v>18.6267</v>
      </c>
      <c r="E3603" s="83">
        <v>0.85552799999999996</v>
      </c>
      <c r="G3603" s="84">
        <v>1260.58</v>
      </c>
      <c r="I3603" s="85">
        <v>6.9194599999999999</v>
      </c>
      <c r="K3603" s="85">
        <v>5.55504</v>
      </c>
      <c r="M3603" s="84">
        <v>957.04</v>
      </c>
      <c r="O3603" s="86">
        <v>3998.71</v>
      </c>
      <c r="Q3603" s="86">
        <v>7747.69</v>
      </c>
      <c r="S3603" s="86">
        <v>1394.72</v>
      </c>
      <c r="U3603" s="85">
        <v>3.5507200000000001</v>
      </c>
      <c r="W3603" s="81">
        <v>40.534999999999997</v>
      </c>
      <c r="Y3603" s="81">
        <v>7.2969900000000001</v>
      </c>
      <c r="AA3603" s="84">
        <v>504.464</v>
      </c>
      <c r="AC3603" s="81">
        <v>60.3</v>
      </c>
      <c r="AE3603" s="87">
        <v>1</v>
      </c>
      <c r="AG3603" s="85">
        <v>7.6802200000000003</v>
      </c>
      <c r="AI3603" s="86">
        <v>8.75</v>
      </c>
      <c r="AK3603" s="81">
        <v>26.264600000000002</v>
      </c>
      <c r="AM3603" s="81">
        <v>36.773400000000002</v>
      </c>
      <c r="AO3603" s="85">
        <v>6.7861399999999996</v>
      </c>
    </row>
    <row r="3604" spans="2:41" x14ac:dyDescent="0.25">
      <c r="B3604" s="21">
        <v>45852</v>
      </c>
      <c r="C3604" s="91">
        <v>18.659500000000001</v>
      </c>
      <c r="E3604" s="83">
        <v>0.85638999999999998</v>
      </c>
      <c r="G3604" s="84">
        <v>1263.44</v>
      </c>
      <c r="I3604" s="85">
        <v>6.9232100000000001</v>
      </c>
      <c r="K3604" s="85">
        <v>5.5637800000000004</v>
      </c>
      <c r="M3604" s="84">
        <v>959.89200000000005</v>
      </c>
      <c r="O3604" s="86">
        <v>4005.65</v>
      </c>
      <c r="Q3604" s="86">
        <v>7747.34</v>
      </c>
      <c r="S3604" s="86">
        <v>1392.46</v>
      </c>
      <c r="U3604" s="85">
        <v>3.5539000000000001</v>
      </c>
      <c r="W3604" s="81">
        <v>40.591999999999999</v>
      </c>
      <c r="Y3604" s="81">
        <v>7.2957599999999996</v>
      </c>
      <c r="AA3604" s="84">
        <v>504.60899999999998</v>
      </c>
      <c r="AC3604" s="81">
        <v>60.294400000000003</v>
      </c>
      <c r="AE3604" s="87">
        <v>1</v>
      </c>
      <c r="AG3604" s="85">
        <v>7.6808399999999999</v>
      </c>
      <c r="AI3604" s="86">
        <v>8.75</v>
      </c>
      <c r="AK3604" s="81">
        <v>26.2502</v>
      </c>
      <c r="AM3604" s="81">
        <v>36.7834</v>
      </c>
      <c r="AO3604" s="85">
        <v>6.7851900000000001</v>
      </c>
    </row>
    <row r="3605" spans="2:41" x14ac:dyDescent="0.25">
      <c r="B3605" s="21">
        <v>45853</v>
      </c>
      <c r="C3605" s="91">
        <v>18.751000000000001</v>
      </c>
      <c r="E3605" s="83">
        <v>0.85860300000000001</v>
      </c>
      <c r="G3605" s="84">
        <v>1271.17</v>
      </c>
      <c r="I3605" s="85">
        <v>6.9253799999999996</v>
      </c>
      <c r="K3605" s="85">
        <v>5.5701999999999998</v>
      </c>
      <c r="M3605" s="84">
        <v>965.53399999999999</v>
      </c>
      <c r="O3605" s="86">
        <v>4014.9</v>
      </c>
      <c r="Q3605" s="86">
        <v>7752.02</v>
      </c>
      <c r="S3605" s="86">
        <v>1391.7</v>
      </c>
      <c r="U3605" s="85">
        <v>3.5621399999999999</v>
      </c>
      <c r="W3605" s="81">
        <v>40.683399999999999</v>
      </c>
      <c r="Y3605" s="81">
        <v>7.3037599999999996</v>
      </c>
      <c r="AA3605" s="84">
        <v>504.75400000000002</v>
      </c>
      <c r="AC3605" s="81">
        <v>60.325200000000002</v>
      </c>
      <c r="AE3605" s="87">
        <v>1</v>
      </c>
      <c r="AG3605" s="85">
        <v>7.6824399999999997</v>
      </c>
      <c r="AI3605" s="86">
        <v>8.75</v>
      </c>
      <c r="AK3605" s="81">
        <v>26.226199999999999</v>
      </c>
      <c r="AM3605" s="81">
        <v>36.819400000000002</v>
      </c>
      <c r="AO3605" s="85">
        <v>6.7902399999999998</v>
      </c>
    </row>
    <row r="3606" spans="2:41" x14ac:dyDescent="0.25">
      <c r="B3606" s="21">
        <v>45854</v>
      </c>
      <c r="C3606" s="91">
        <v>18.839700000000001</v>
      </c>
      <c r="E3606" s="83">
        <v>0.86048899999999995</v>
      </c>
      <c r="G3606" s="84">
        <v>1259.83</v>
      </c>
      <c r="I3606" s="85">
        <v>6.9290500000000002</v>
      </c>
      <c r="K3606" s="85">
        <v>5.5618800000000004</v>
      </c>
      <c r="M3606" s="84">
        <v>966.976</v>
      </c>
      <c r="O3606" s="86">
        <v>4028.26</v>
      </c>
      <c r="Q3606" s="86">
        <v>7766.04</v>
      </c>
      <c r="S3606" s="86">
        <v>1396.3</v>
      </c>
      <c r="U3606" s="85">
        <v>3.5663100000000001</v>
      </c>
      <c r="W3606" s="81">
        <v>40.6982</v>
      </c>
      <c r="Y3606" s="81">
        <v>7.3173599999999999</v>
      </c>
      <c r="AA3606" s="84">
        <v>505.096</v>
      </c>
      <c r="AC3606" s="81">
        <v>60.4178</v>
      </c>
      <c r="AE3606" s="87">
        <v>1</v>
      </c>
      <c r="AG3606" s="85">
        <v>7.6857600000000001</v>
      </c>
      <c r="AI3606" s="86">
        <v>8.75</v>
      </c>
      <c r="AK3606" s="81">
        <v>26.245799999999999</v>
      </c>
      <c r="AM3606" s="81">
        <v>36.854199999999999</v>
      </c>
      <c r="AO3606" s="85">
        <v>6.79962</v>
      </c>
    </row>
    <row r="3607" spans="2:41" x14ac:dyDescent="0.25">
      <c r="B3607" s="21">
        <v>45855</v>
      </c>
      <c r="C3607" s="91">
        <v>18.7178</v>
      </c>
      <c r="E3607" s="83">
        <v>0.86206000000000005</v>
      </c>
      <c r="G3607" s="84">
        <v>1265.3900000000001</v>
      </c>
      <c r="I3607" s="85">
        <v>6.9116099999999996</v>
      </c>
      <c r="K3607" s="85">
        <v>5.5645300000000004</v>
      </c>
      <c r="M3607" s="84">
        <v>966.68399999999997</v>
      </c>
      <c r="O3607" s="86">
        <v>4016.44</v>
      </c>
      <c r="Q3607" s="86">
        <v>7739.49</v>
      </c>
      <c r="S3607" s="86">
        <v>1390.86</v>
      </c>
      <c r="U3607" s="85">
        <v>3.5537100000000001</v>
      </c>
      <c r="W3607" s="81">
        <v>40.409300000000002</v>
      </c>
      <c r="Y3607" s="81">
        <v>7.2619600000000002</v>
      </c>
      <c r="AA3607" s="84">
        <v>504.452</v>
      </c>
      <c r="AC3607" s="81">
        <v>60.249400000000001</v>
      </c>
      <c r="AE3607" s="87">
        <v>1</v>
      </c>
      <c r="AG3607" s="85">
        <v>7.6716600000000001</v>
      </c>
      <c r="AI3607" s="86">
        <v>8.75</v>
      </c>
      <c r="AK3607" s="81">
        <v>26.202500000000001</v>
      </c>
      <c r="AM3607" s="81">
        <v>36.783999999999999</v>
      </c>
      <c r="AO3607" s="85">
        <v>6.7854999999999999</v>
      </c>
    </row>
    <row r="3608" spans="2:41" x14ac:dyDescent="0.25">
      <c r="B3608" s="21">
        <v>45856</v>
      </c>
      <c r="C3608" s="91">
        <v>18.7685</v>
      </c>
      <c r="E3608" s="83">
        <v>0.85971500000000001</v>
      </c>
      <c r="G3608" s="84">
        <v>1277.8399999999999</v>
      </c>
      <c r="I3608" s="85">
        <v>6.9021800000000004</v>
      </c>
      <c r="K3608" s="85">
        <v>5.5582200000000004</v>
      </c>
      <c r="M3608" s="84">
        <v>963.43799999999999</v>
      </c>
      <c r="O3608" s="86">
        <v>4008.34</v>
      </c>
      <c r="Q3608" s="86">
        <v>7728.44</v>
      </c>
      <c r="S3608" s="86">
        <v>1390.45</v>
      </c>
      <c r="U3608" s="85">
        <v>3.5534500000000002</v>
      </c>
      <c r="W3608" s="81">
        <v>40.338799999999999</v>
      </c>
      <c r="Y3608" s="81">
        <v>7.2575200000000004</v>
      </c>
      <c r="AA3608" s="84">
        <v>503.976</v>
      </c>
      <c r="AC3608" s="81">
        <v>60.252400000000002</v>
      </c>
      <c r="AE3608" s="87">
        <v>1</v>
      </c>
      <c r="AG3608" s="85">
        <v>7.6669799999999997</v>
      </c>
      <c r="AI3608" s="86">
        <v>8.75</v>
      </c>
      <c r="AK3608" s="81">
        <v>26.189</v>
      </c>
      <c r="AM3608" s="81">
        <v>36.754100000000001</v>
      </c>
      <c r="AO3608" s="85">
        <v>6.7797799999999997</v>
      </c>
    </row>
    <row r="3609" spans="2:41" x14ac:dyDescent="0.25">
      <c r="B3609" s="21">
        <v>45857</v>
      </c>
      <c r="C3609" s="91">
        <v>18.7685</v>
      </c>
      <c r="E3609" s="83">
        <v>0.860178</v>
      </c>
      <c r="G3609" s="84">
        <v>1285.52</v>
      </c>
      <c r="I3609" s="85">
        <v>6.9089600000000004</v>
      </c>
      <c r="K3609" s="85">
        <v>5.5804</v>
      </c>
      <c r="M3609" s="84">
        <v>963.77800000000002</v>
      </c>
      <c r="O3609" s="86">
        <v>4008.46</v>
      </c>
      <c r="Q3609" s="86">
        <v>7736.87</v>
      </c>
      <c r="S3609" s="86">
        <v>1386.44</v>
      </c>
      <c r="U3609" s="85">
        <v>3.5647500000000001</v>
      </c>
      <c r="W3609" s="81">
        <v>40.330199999999998</v>
      </c>
      <c r="Y3609" s="81">
        <v>7.2271200000000002</v>
      </c>
      <c r="AA3609" s="84">
        <v>504.488</v>
      </c>
      <c r="AC3609" s="81">
        <v>60.44</v>
      </c>
      <c r="AE3609" s="87">
        <v>1</v>
      </c>
      <c r="AG3609" s="85">
        <v>7.6761999999999997</v>
      </c>
      <c r="AI3609" s="86">
        <v>8.75</v>
      </c>
      <c r="AK3609" s="81">
        <v>26.305499999999999</v>
      </c>
      <c r="AM3609" s="81">
        <v>36.774999999999999</v>
      </c>
      <c r="AO3609" s="85">
        <v>6.7873799999999997</v>
      </c>
    </row>
    <row r="3610" spans="2:41" x14ac:dyDescent="0.25">
      <c r="B3610" s="21">
        <v>45858</v>
      </c>
      <c r="C3610" s="91">
        <v>18.7685</v>
      </c>
      <c r="E3610" s="83">
        <v>0.86014599999999997</v>
      </c>
      <c r="G3610" s="84">
        <v>1284.76</v>
      </c>
      <c r="I3610" s="85">
        <v>6.9090800000000003</v>
      </c>
      <c r="K3610" s="85">
        <v>5.58033</v>
      </c>
      <c r="M3610" s="84">
        <v>963.78099999999995</v>
      </c>
      <c r="O3610" s="86">
        <v>4008.71</v>
      </c>
      <c r="Q3610" s="86">
        <v>7737.06</v>
      </c>
      <c r="S3610" s="86">
        <v>1386.5</v>
      </c>
      <c r="U3610" s="85">
        <v>3.5647500000000001</v>
      </c>
      <c r="W3610" s="81">
        <v>40.329599999999999</v>
      </c>
      <c r="Y3610" s="81">
        <v>7.2271200000000002</v>
      </c>
      <c r="AA3610" s="84">
        <v>504.488</v>
      </c>
      <c r="AC3610" s="81">
        <v>60.440199999999997</v>
      </c>
      <c r="AE3610" s="87">
        <v>1</v>
      </c>
      <c r="AG3610" s="85">
        <v>7.6761999999999997</v>
      </c>
      <c r="AI3610" s="86">
        <v>8.75</v>
      </c>
      <c r="AK3610" s="81">
        <v>26.305499999999999</v>
      </c>
      <c r="AM3610" s="81">
        <v>36.7759</v>
      </c>
      <c r="AO3610" s="85">
        <v>6.7877000000000001</v>
      </c>
    </row>
    <row r="3611" spans="2:41" x14ac:dyDescent="0.25">
      <c r="B3611" s="21">
        <v>45859</v>
      </c>
      <c r="C3611" s="91">
        <v>18.72</v>
      </c>
      <c r="E3611" s="83">
        <v>0.85749799999999998</v>
      </c>
      <c r="G3611" s="84">
        <v>1280.4000000000001</v>
      </c>
      <c r="I3611" s="85">
        <v>6.9122399999999997</v>
      </c>
      <c r="K3611" s="85">
        <v>5.5767800000000003</v>
      </c>
      <c r="M3611" s="84">
        <v>960.18</v>
      </c>
      <c r="O3611" s="86">
        <v>4024.62</v>
      </c>
      <c r="Q3611" s="86">
        <v>7673.7</v>
      </c>
      <c r="S3611" s="86">
        <v>1376.01</v>
      </c>
      <c r="U3611" s="85">
        <v>3.56338</v>
      </c>
      <c r="W3611" s="81">
        <v>40.347200000000001</v>
      </c>
      <c r="Y3611" s="81">
        <v>7.2348699999999999</v>
      </c>
      <c r="AA3611" s="84">
        <v>504.59800000000001</v>
      </c>
      <c r="AC3611" s="81">
        <v>60.436700000000002</v>
      </c>
      <c r="AE3611" s="87">
        <v>1</v>
      </c>
      <c r="AG3611" s="85">
        <v>7.6798000000000002</v>
      </c>
      <c r="AI3611" s="86">
        <v>8.75</v>
      </c>
      <c r="AK3611" s="81">
        <v>26.223700000000001</v>
      </c>
      <c r="AM3611" s="81">
        <v>36.815800000000003</v>
      </c>
      <c r="AO3611" s="85">
        <v>6.7911200000000003</v>
      </c>
    </row>
    <row r="3612" spans="2:41" x14ac:dyDescent="0.25">
      <c r="B3612" s="21">
        <v>45860</v>
      </c>
      <c r="C3612" s="91">
        <v>18.645499999999998</v>
      </c>
      <c r="E3612" s="83">
        <v>0.85372000000000003</v>
      </c>
      <c r="G3612" s="84">
        <v>1267.49</v>
      </c>
      <c r="I3612" s="85">
        <v>6.90076</v>
      </c>
      <c r="K3612" s="85">
        <v>5.5668699999999998</v>
      </c>
      <c r="M3612" s="84">
        <v>953.21199999999999</v>
      </c>
      <c r="O3612" s="86">
        <v>4047.66</v>
      </c>
      <c r="Q3612" s="86">
        <v>7598.99</v>
      </c>
      <c r="S3612" s="86">
        <v>1365.04</v>
      </c>
      <c r="U3612" s="85">
        <v>3.5571299999999999</v>
      </c>
      <c r="W3612" s="81">
        <v>40.305599999999998</v>
      </c>
      <c r="Y3612" s="81">
        <v>7.2402699999999998</v>
      </c>
      <c r="AA3612" s="84">
        <v>503.86200000000002</v>
      </c>
      <c r="AC3612" s="81">
        <v>60.355200000000004</v>
      </c>
      <c r="AE3612" s="87">
        <v>1</v>
      </c>
      <c r="AG3612" s="85">
        <v>7.6674800000000003</v>
      </c>
      <c r="AI3612" s="86">
        <v>8.75</v>
      </c>
      <c r="AK3612" s="81">
        <v>26.179099999999998</v>
      </c>
      <c r="AM3612" s="81">
        <v>36.752400000000002</v>
      </c>
      <c r="AO3612" s="85">
        <v>6.78104</v>
      </c>
    </row>
    <row r="3613" spans="2:41" x14ac:dyDescent="0.25">
      <c r="B3613" s="21">
        <v>45861</v>
      </c>
      <c r="C3613" s="91">
        <v>18.621200000000002</v>
      </c>
      <c r="E3613" s="83">
        <v>0.85140400000000005</v>
      </c>
      <c r="G3613" s="84">
        <v>1257.02</v>
      </c>
      <c r="I3613" s="85">
        <v>6.8999300000000003</v>
      </c>
      <c r="K3613" s="85">
        <v>5.5504800000000003</v>
      </c>
      <c r="M3613" s="84">
        <v>949.88199999999995</v>
      </c>
      <c r="O3613" s="86">
        <v>4059.34</v>
      </c>
      <c r="Q3613" s="86">
        <v>7597.95</v>
      </c>
      <c r="S3613" s="86">
        <v>1368.88</v>
      </c>
      <c r="U3613" s="85">
        <v>3.5558100000000001</v>
      </c>
      <c r="W3613" s="81">
        <v>40.195300000000003</v>
      </c>
      <c r="Y3613" s="81">
        <v>7.2417999999999996</v>
      </c>
      <c r="AA3613" s="84">
        <v>504.28199999999998</v>
      </c>
      <c r="AC3613" s="81">
        <v>60.372700000000002</v>
      </c>
      <c r="AE3613" s="87">
        <v>1</v>
      </c>
      <c r="AG3613" s="85">
        <v>7.6655199999999999</v>
      </c>
      <c r="AI3613" s="86">
        <v>8.75</v>
      </c>
      <c r="AK3613" s="81">
        <v>26.195</v>
      </c>
      <c r="AM3613" s="81">
        <v>36.746600000000001</v>
      </c>
      <c r="AO3613" s="85">
        <v>6.7814199999999998</v>
      </c>
    </row>
    <row r="3614" spans="2:41" x14ac:dyDescent="0.25">
      <c r="B3614" s="21">
        <v>45862</v>
      </c>
      <c r="C3614" s="91">
        <v>18.573499999999999</v>
      </c>
      <c r="E3614" s="83">
        <v>0.85012399999999999</v>
      </c>
      <c r="G3614" s="84">
        <v>1262.5999999999999</v>
      </c>
      <c r="I3614" s="85">
        <v>6.9007899999999998</v>
      </c>
      <c r="K3614" s="85">
        <v>5.5210900000000001</v>
      </c>
      <c r="M3614" s="84">
        <v>949.5</v>
      </c>
      <c r="O3614" s="86">
        <v>4050.98</v>
      </c>
      <c r="Q3614" s="86">
        <v>7585.12</v>
      </c>
      <c r="S3614" s="86">
        <v>1373.85</v>
      </c>
      <c r="U3614" s="85">
        <v>3.5529999999999999</v>
      </c>
      <c r="W3614" s="81">
        <v>40.075099999999999</v>
      </c>
      <c r="Y3614" s="81">
        <v>7.2585600000000001</v>
      </c>
      <c r="AA3614" s="84">
        <v>504.452</v>
      </c>
      <c r="AC3614" s="81">
        <v>60.486400000000003</v>
      </c>
      <c r="AE3614" s="87">
        <v>1</v>
      </c>
      <c r="AG3614" s="85">
        <v>7.6668200000000004</v>
      </c>
      <c r="AI3614" s="86">
        <v>8.75</v>
      </c>
      <c r="AK3614" s="81">
        <v>26.194400000000002</v>
      </c>
      <c r="AM3614" s="81">
        <v>36.759399999999999</v>
      </c>
      <c r="AO3614" s="85">
        <v>6.7855600000000003</v>
      </c>
    </row>
    <row r="3615" spans="2:41" x14ac:dyDescent="0.25">
      <c r="B3615" s="21">
        <v>45863</v>
      </c>
      <c r="C3615" s="91">
        <v>18.553799999999999</v>
      </c>
      <c r="E3615" s="83">
        <v>0.85191600000000001</v>
      </c>
      <c r="G3615" s="84">
        <v>1275.9000000000001</v>
      </c>
      <c r="I3615" s="85">
        <v>6.9094699999999998</v>
      </c>
      <c r="K3615" s="85">
        <v>5.5389499999999998</v>
      </c>
      <c r="M3615" s="84">
        <v>953.99</v>
      </c>
      <c r="O3615" s="86">
        <v>4088.3</v>
      </c>
      <c r="Q3615" s="86">
        <v>7559.46</v>
      </c>
      <c r="S3615" s="86">
        <v>1364.78</v>
      </c>
      <c r="U3615" s="85">
        <v>3.5476200000000002</v>
      </c>
      <c r="W3615" s="81">
        <v>40.054200000000002</v>
      </c>
      <c r="Y3615" s="81">
        <v>7.2313799999999997</v>
      </c>
      <c r="AA3615" s="84">
        <v>505.13499999999999</v>
      </c>
      <c r="AC3615" s="81">
        <v>60.683199999999999</v>
      </c>
      <c r="AE3615" s="87">
        <v>1</v>
      </c>
      <c r="AG3615" s="85">
        <v>7.6762600000000001</v>
      </c>
      <c r="AI3615" s="86">
        <v>8.75</v>
      </c>
      <c r="AK3615" s="81">
        <v>26.194800000000001</v>
      </c>
      <c r="AM3615" s="81">
        <v>36.801699999999997</v>
      </c>
      <c r="AO3615" s="85">
        <v>6.7992100000000004</v>
      </c>
    </row>
    <row r="3616" spans="2:41" x14ac:dyDescent="0.25">
      <c r="B3616" s="21">
        <v>45864</v>
      </c>
      <c r="C3616" s="91">
        <v>18.553799999999999</v>
      </c>
      <c r="E3616" s="83">
        <v>0.85166600000000003</v>
      </c>
      <c r="G3616" s="84">
        <v>1280.78</v>
      </c>
      <c r="I3616" s="85">
        <v>6.9122399999999997</v>
      </c>
      <c r="K3616" s="85">
        <v>5.5651200000000003</v>
      </c>
      <c r="M3616" s="84">
        <v>960.23199999999997</v>
      </c>
      <c r="O3616" s="86">
        <v>4106.5</v>
      </c>
      <c r="Q3616" s="86">
        <v>7624.48</v>
      </c>
      <c r="S3616" s="86">
        <v>1370.05</v>
      </c>
      <c r="U3616" s="85">
        <v>3.5442100000000001</v>
      </c>
      <c r="W3616" s="81">
        <v>40.081400000000002</v>
      </c>
      <c r="Y3616" s="81">
        <v>7.2022700000000004</v>
      </c>
      <c r="AA3616" s="84">
        <v>505.48599999999999</v>
      </c>
      <c r="AC3616" s="81">
        <v>60.749499999999998</v>
      </c>
      <c r="AE3616" s="87">
        <v>1</v>
      </c>
      <c r="AG3616" s="85">
        <v>7.6798999999999999</v>
      </c>
      <c r="AI3616" s="86">
        <v>8.75</v>
      </c>
      <c r="AK3616" s="81">
        <v>26.200800000000001</v>
      </c>
      <c r="AM3616" s="81">
        <v>36.812199999999997</v>
      </c>
      <c r="AO3616" s="85">
        <v>6.7994599999999998</v>
      </c>
    </row>
    <row r="3617" spans="2:41" x14ac:dyDescent="0.25">
      <c r="B3617" s="21">
        <v>45865</v>
      </c>
      <c r="C3617" s="91">
        <v>18.553799999999999</v>
      </c>
      <c r="E3617" s="83">
        <v>0.85152600000000001</v>
      </c>
      <c r="G3617" s="84">
        <v>1280.01</v>
      </c>
      <c r="I3617" s="85">
        <v>6.9119900000000003</v>
      </c>
      <c r="K3617" s="85">
        <v>5.5651400000000004</v>
      </c>
      <c r="M3617" s="84">
        <v>960.23199999999997</v>
      </c>
      <c r="O3617" s="86">
        <v>4106.07</v>
      </c>
      <c r="Q3617" s="86">
        <v>7624.48</v>
      </c>
      <c r="S3617" s="86">
        <v>1370.04</v>
      </c>
      <c r="U3617" s="85">
        <v>3.5442100000000001</v>
      </c>
      <c r="W3617" s="81">
        <v>40.079599999999999</v>
      </c>
      <c r="Y3617" s="81">
        <v>7.2019299999999999</v>
      </c>
      <c r="AA3617" s="84">
        <v>505.48599999999999</v>
      </c>
      <c r="AC3617" s="81">
        <v>60.7455</v>
      </c>
      <c r="AE3617" s="87">
        <v>1</v>
      </c>
      <c r="AG3617" s="85">
        <v>7.6798999999999999</v>
      </c>
      <c r="AI3617" s="86">
        <v>8.75</v>
      </c>
      <c r="AK3617" s="81">
        <v>26.200800000000001</v>
      </c>
      <c r="AM3617" s="81">
        <v>36.8108</v>
      </c>
      <c r="AO3617" s="85">
        <v>6.7994599999999998</v>
      </c>
    </row>
    <row r="3618" spans="2:41" x14ac:dyDescent="0.25">
      <c r="B3618" s="21">
        <v>45866</v>
      </c>
      <c r="C3618" s="91">
        <v>18.556999999999999</v>
      </c>
      <c r="E3618" s="83">
        <v>0.85735799999999995</v>
      </c>
      <c r="G3618" s="84">
        <v>1282.78</v>
      </c>
      <c r="I3618" s="85">
        <v>6.9108400000000003</v>
      </c>
      <c r="K3618" s="85">
        <v>5.5770799999999996</v>
      </c>
      <c r="M3618" s="84">
        <v>959.774</v>
      </c>
      <c r="O3618" s="86">
        <v>4136.78</v>
      </c>
      <c r="Q3618" s="86">
        <v>7483.79</v>
      </c>
      <c r="S3618" s="86">
        <v>1341.88</v>
      </c>
      <c r="U3618" s="85">
        <v>3.55531</v>
      </c>
      <c r="W3618" s="81">
        <v>40.002200000000002</v>
      </c>
      <c r="Y3618" s="81">
        <v>7.1726099999999997</v>
      </c>
      <c r="AA3618" s="84">
        <v>504.78800000000001</v>
      </c>
      <c r="AC3618" s="81">
        <v>60.661000000000001</v>
      </c>
      <c r="AE3618" s="87">
        <v>1</v>
      </c>
      <c r="AG3618" s="85">
        <v>7.6674899999999999</v>
      </c>
      <c r="AI3618" s="86">
        <v>8.75</v>
      </c>
      <c r="AK3618" s="81">
        <v>26.200800000000001</v>
      </c>
      <c r="AM3618" s="81">
        <v>36.763399999999997</v>
      </c>
      <c r="AO3618" s="85">
        <v>6.79155</v>
      </c>
    </row>
    <row r="3619" spans="2:41" x14ac:dyDescent="0.25">
      <c r="B3619" s="21">
        <v>45867</v>
      </c>
      <c r="C3619" s="91">
        <v>18.726700000000001</v>
      </c>
      <c r="E3619" s="83">
        <v>0.86506799999999995</v>
      </c>
      <c r="G3619" s="84">
        <v>1293.8399999999999</v>
      </c>
      <c r="I3619" s="85">
        <v>6.9223600000000003</v>
      </c>
      <c r="K3619" s="85">
        <v>5.5833399999999997</v>
      </c>
      <c r="M3619" s="84">
        <v>964.51400000000001</v>
      </c>
      <c r="O3619" s="86">
        <v>4163.3599999999997</v>
      </c>
      <c r="Q3619" s="86">
        <v>7495.54</v>
      </c>
      <c r="S3619" s="86">
        <v>1342.49</v>
      </c>
      <c r="U3619" s="85">
        <v>3.5905499999999999</v>
      </c>
      <c r="W3619" s="81">
        <v>40.046399999999998</v>
      </c>
      <c r="Y3619" s="81">
        <v>7.1725000000000003</v>
      </c>
      <c r="AA3619" s="84">
        <v>505.541</v>
      </c>
      <c r="AC3619" s="81">
        <v>60.8416</v>
      </c>
      <c r="AE3619" s="87">
        <v>1</v>
      </c>
      <c r="AG3619" s="85">
        <v>7.6770399999999999</v>
      </c>
      <c r="AI3619" s="86">
        <v>8.75</v>
      </c>
      <c r="AK3619" s="81">
        <v>26.3277</v>
      </c>
      <c r="AM3619" s="81">
        <v>36.774000000000001</v>
      </c>
      <c r="AO3619" s="85">
        <v>6.7911000000000001</v>
      </c>
    </row>
    <row r="3620" spans="2:41" x14ac:dyDescent="0.25">
      <c r="B3620" s="21">
        <v>45868</v>
      </c>
      <c r="C3620" s="91">
        <v>18.764199999999999</v>
      </c>
      <c r="E3620" s="83">
        <v>0.86927600000000005</v>
      </c>
      <c r="G3620" s="84">
        <v>1299.28</v>
      </c>
      <c r="I3620" s="85">
        <v>6.9149700000000003</v>
      </c>
      <c r="K3620" s="85">
        <v>5.5827600000000004</v>
      </c>
      <c r="M3620" s="84">
        <v>970.20100000000002</v>
      </c>
      <c r="O3620" s="86">
        <v>4155.82</v>
      </c>
      <c r="Q3620" s="86">
        <v>7494.8</v>
      </c>
      <c r="S3620" s="86">
        <v>1342.49</v>
      </c>
      <c r="U3620" s="85">
        <v>3.5556399999999999</v>
      </c>
      <c r="W3620" s="81">
        <v>40.035499999999999</v>
      </c>
      <c r="Y3620" s="81">
        <v>7.1712800000000003</v>
      </c>
      <c r="AA3620" s="84">
        <v>505.59199999999998</v>
      </c>
      <c r="AC3620" s="81">
        <v>60.974600000000002</v>
      </c>
      <c r="AE3620" s="87">
        <v>1</v>
      </c>
      <c r="AG3620" s="85">
        <v>7.6768099999999997</v>
      </c>
      <c r="AI3620" s="86">
        <v>8.75</v>
      </c>
      <c r="AK3620" s="81">
        <v>26.313199999999998</v>
      </c>
      <c r="AM3620" s="81">
        <v>36.784799999999997</v>
      </c>
      <c r="AO3620" s="85">
        <v>6.7880799999999999</v>
      </c>
    </row>
    <row r="3621" spans="2:41" x14ac:dyDescent="0.25">
      <c r="B3621" s="21">
        <v>45869</v>
      </c>
      <c r="C3621" s="82">
        <v>18.795999999999999</v>
      </c>
      <c r="D3621" s="92"/>
      <c r="E3621" s="93">
        <v>0.87488699999999997</v>
      </c>
      <c r="F3621" s="92"/>
      <c r="G3621" s="94">
        <v>1338.58</v>
      </c>
      <c r="H3621" s="92"/>
      <c r="I3621" s="95">
        <v>6.9107599999999998</v>
      </c>
      <c r="J3621" s="92"/>
      <c r="K3621" s="95">
        <v>5.5869799999999996</v>
      </c>
      <c r="L3621" s="92"/>
      <c r="M3621" s="94">
        <v>977.976</v>
      </c>
      <c r="N3621" s="92"/>
      <c r="O3621" s="96">
        <v>4185.24</v>
      </c>
      <c r="P3621" s="92"/>
      <c r="Q3621" s="96">
        <v>7489.36</v>
      </c>
      <c r="R3621" s="92"/>
      <c r="S3621" s="96">
        <v>1340.51</v>
      </c>
      <c r="T3621" s="92"/>
      <c r="U3621" s="95">
        <v>3.5727099999999998</v>
      </c>
      <c r="V3621" s="92"/>
      <c r="W3621" s="91">
        <v>40.098599999999998</v>
      </c>
      <c r="X3621" s="92"/>
      <c r="Y3621" s="91">
        <v>7.1771799999999999</v>
      </c>
      <c r="Z3621" s="92"/>
      <c r="AA3621" s="94">
        <v>505.39100000000002</v>
      </c>
      <c r="AB3621" s="92"/>
      <c r="AC3621" s="91">
        <v>60.952100000000002</v>
      </c>
      <c r="AD3621" s="92"/>
      <c r="AE3621" s="97">
        <v>1</v>
      </c>
      <c r="AF3621" s="92"/>
      <c r="AG3621" s="95">
        <v>7.6764000000000001</v>
      </c>
      <c r="AH3621" s="92"/>
      <c r="AI3621" s="96">
        <v>8.75</v>
      </c>
      <c r="AJ3621" s="92"/>
      <c r="AK3621" s="91">
        <v>26.293800000000001</v>
      </c>
      <c r="AL3621" s="92"/>
      <c r="AM3621" s="91">
        <v>36.779200000000003</v>
      </c>
      <c r="AN3621" s="92"/>
      <c r="AO3621" s="95">
        <v>6.7837699999999996</v>
      </c>
    </row>
    <row r="3622" spans="2:41" ht="13" x14ac:dyDescent="0.3">
      <c r="B3622" s="25" t="str">
        <f>"PROM-"&amp;MONTH(B3621)&amp;YEAR(B3621)</f>
        <v>PROM-72025</v>
      </c>
      <c r="C3622" s="19">
        <f>AVERAGE(C3591:C3621)</f>
        <v>18.682474193548391</v>
      </c>
      <c r="E3622" s="24">
        <f>AVERAGE(E3591:E3621)</f>
        <v>0.8555929677419355</v>
      </c>
      <c r="G3622" s="42">
        <f>AVERAGE(G3591:G3621)</f>
        <v>1264.5629032258064</v>
      </c>
      <c r="I3622" s="23">
        <f>AVERAGE(I3591:I3621)</f>
        <v>6.9122164516129034</v>
      </c>
      <c r="K3622" s="23">
        <f>AVERAGE(K3591:K3621)</f>
        <v>5.5283332258064526</v>
      </c>
      <c r="M3622" s="42">
        <f>AVERAGE(M3591:M3621)</f>
        <v>952.437064516129</v>
      </c>
      <c r="O3622" s="80">
        <f>AVERAGE(O3591:O3621)</f>
        <v>4045.1874193548392</v>
      </c>
      <c r="Q3622" s="80">
        <f>AVERAGE(Q3591:Q3621)</f>
        <v>7745.6503225806455</v>
      </c>
      <c r="S3622" s="80">
        <f>AVERAGE(S3591:S3621)</f>
        <v>1401.508064516129</v>
      </c>
      <c r="U3622" s="23">
        <f>AVERAGE(U3591:U3621)</f>
        <v>3.5551774193548384</v>
      </c>
      <c r="W3622" s="19">
        <f>AVERAGE(W3591:W3621)</f>
        <v>40.240435483870961</v>
      </c>
      <c r="Y3622" s="19">
        <f>AVERAGE(Y3591:Y3621)</f>
        <v>7.2795983870967751</v>
      </c>
      <c r="AA3622" s="42">
        <f>AVERAGE(AA3591:AA3621)</f>
        <v>504.78248387096767</v>
      </c>
      <c r="AC3622" s="19">
        <f>AVERAGE(AC3591:AC3621)</f>
        <v>60.273764516129013</v>
      </c>
      <c r="AE3622" s="88">
        <f>AVERAGE(AE3591:AE3621)</f>
        <v>1</v>
      </c>
      <c r="AG3622" s="23">
        <f>AVERAGE(AG3591:AG3621)</f>
        <v>7.6790729032258058</v>
      </c>
      <c r="AI3622" s="80">
        <f>AVERAGE(AI3591:AI3621)</f>
        <v>8.75</v>
      </c>
      <c r="AK3622" s="19">
        <f>AVERAGE(AK3591:AK3621)</f>
        <v>26.211361290322579</v>
      </c>
      <c r="AM3622" s="19">
        <f>AVERAGE(AM3591:AM3621)</f>
        <v>36.78404838709676</v>
      </c>
      <c r="AO3622" s="23">
        <f>AVERAGE(AO3591:AO3621)</f>
        <v>6.7851651612903243</v>
      </c>
    </row>
    <row r="3623" spans="2:41" x14ac:dyDescent="0.25">
      <c r="B3623" s="21">
        <v>45870</v>
      </c>
      <c r="C3623" s="91">
        <v>18.796299999999999</v>
      </c>
      <c r="E3623" s="83">
        <v>0.87062099999999998</v>
      </c>
      <c r="G3623" s="84">
        <v>1367.56</v>
      </c>
      <c r="I3623" s="85">
        <v>6.9086299999999996</v>
      </c>
      <c r="K3623" s="85">
        <v>5.5759999999999996</v>
      </c>
      <c r="M3623" s="84">
        <v>971.17399999999998</v>
      </c>
      <c r="O3623" s="86">
        <v>4158.8500000000004</v>
      </c>
      <c r="Q3623" s="86">
        <v>7487.12</v>
      </c>
      <c r="S3623" s="86">
        <v>1342.74</v>
      </c>
      <c r="U3623" s="85">
        <v>3.5923600000000002</v>
      </c>
      <c r="W3623" s="81">
        <v>40.119599999999998</v>
      </c>
      <c r="Y3623" s="81">
        <v>7.1950599999999998</v>
      </c>
      <c r="AA3623" s="84">
        <v>505.214</v>
      </c>
      <c r="AC3623" s="81">
        <v>60.875799999999998</v>
      </c>
      <c r="AE3623" s="87">
        <v>1</v>
      </c>
      <c r="AG3623" s="85">
        <v>7.67401</v>
      </c>
      <c r="AI3623" s="86">
        <v>8.75</v>
      </c>
      <c r="AK3623" s="81">
        <v>26.29</v>
      </c>
      <c r="AM3623" s="81">
        <v>36.780099999999997</v>
      </c>
      <c r="AO3623" s="85">
        <v>6.7755400000000003</v>
      </c>
    </row>
    <row r="3624" spans="2:41" x14ac:dyDescent="0.25">
      <c r="B3624" s="21">
        <v>45871</v>
      </c>
      <c r="C3624" s="91">
        <v>18.796299999999999</v>
      </c>
      <c r="E3624" s="83">
        <v>0.86302100000000004</v>
      </c>
      <c r="G3624" s="84">
        <v>1363.66</v>
      </c>
      <c r="I3624" s="85">
        <v>6.9088000000000003</v>
      </c>
      <c r="K3624" s="85">
        <v>5.54305</v>
      </c>
      <c r="M3624" s="84">
        <v>969.34199999999998</v>
      </c>
      <c r="O3624" s="86">
        <v>4124.47</v>
      </c>
      <c r="Q3624" s="86">
        <v>7487.95</v>
      </c>
      <c r="S3624" s="86">
        <v>1350.88</v>
      </c>
      <c r="U3624" s="85">
        <v>3.6385200000000002</v>
      </c>
      <c r="W3624" s="81">
        <v>40.141399999999997</v>
      </c>
      <c r="Y3624" s="81">
        <v>7.2417600000000002</v>
      </c>
      <c r="AA3624" s="84">
        <v>505.20800000000003</v>
      </c>
      <c r="AC3624" s="81">
        <v>60.764499999999998</v>
      </c>
      <c r="AE3624" s="87">
        <v>1</v>
      </c>
      <c r="AG3624" s="85">
        <v>7.6730999999999998</v>
      </c>
      <c r="AI3624" s="86">
        <v>8.75</v>
      </c>
      <c r="AK3624" s="81">
        <v>26.309899999999999</v>
      </c>
      <c r="AM3624" s="81">
        <v>36.765000000000001</v>
      </c>
      <c r="AO3624" s="85">
        <v>6.7730800000000002</v>
      </c>
    </row>
    <row r="3625" spans="2:41" x14ac:dyDescent="0.25">
      <c r="B3625" s="21">
        <v>45872</v>
      </c>
      <c r="C3625" s="91">
        <v>18.796299999999999</v>
      </c>
      <c r="E3625" s="83">
        <v>0.86302199999999996</v>
      </c>
      <c r="G3625" s="84">
        <v>1362.08</v>
      </c>
      <c r="I3625" s="85">
        <v>6.9088000000000003</v>
      </c>
      <c r="K3625" s="85">
        <v>5.5430299999999999</v>
      </c>
      <c r="M3625" s="84">
        <v>969.346</v>
      </c>
      <c r="O3625" s="86">
        <v>4124.46</v>
      </c>
      <c r="Q3625" s="86">
        <v>7479.88</v>
      </c>
      <c r="S3625" s="86">
        <v>1349.42</v>
      </c>
      <c r="U3625" s="85">
        <v>3.6384400000000001</v>
      </c>
      <c r="W3625" s="81">
        <v>40.14</v>
      </c>
      <c r="Y3625" s="81">
        <v>7.2415399999999996</v>
      </c>
      <c r="AA3625" s="84">
        <v>505.11599999999999</v>
      </c>
      <c r="AC3625" s="81">
        <v>60.763199999999998</v>
      </c>
      <c r="AE3625" s="87">
        <v>1</v>
      </c>
      <c r="AG3625" s="85">
        <v>7.6730600000000004</v>
      </c>
      <c r="AI3625" s="86">
        <v>8.75</v>
      </c>
      <c r="AK3625" s="81">
        <v>26.307600000000001</v>
      </c>
      <c r="AM3625" s="81">
        <v>36.765999999999998</v>
      </c>
      <c r="AO3625" s="85">
        <v>6.7730600000000001</v>
      </c>
    </row>
    <row r="3626" spans="2:41" x14ac:dyDescent="0.25">
      <c r="B3626" s="21">
        <v>45873</v>
      </c>
      <c r="C3626" s="91">
        <v>18.916</v>
      </c>
      <c r="E3626" s="83">
        <v>0.86418600000000001</v>
      </c>
      <c r="G3626" s="84">
        <v>1358.85</v>
      </c>
      <c r="I3626" s="85">
        <v>6.8810200000000004</v>
      </c>
      <c r="K3626" s="85">
        <v>5.532</v>
      </c>
      <c r="M3626" s="84">
        <v>965.89800000000002</v>
      </c>
      <c r="O3626" s="86">
        <v>4114.75</v>
      </c>
      <c r="Q3626" s="86">
        <v>7434.33</v>
      </c>
      <c r="S3626" s="86">
        <v>1343.88</v>
      </c>
      <c r="U3626" s="85">
        <v>3.58331</v>
      </c>
      <c r="W3626" s="81">
        <v>39.8581</v>
      </c>
      <c r="Y3626" s="81">
        <v>7.2050400000000003</v>
      </c>
      <c r="AA3626" s="84">
        <v>502.98</v>
      </c>
      <c r="AC3626" s="81">
        <v>60.445599999999999</v>
      </c>
      <c r="AE3626" s="87">
        <v>1</v>
      </c>
      <c r="AG3626" s="85">
        <v>7.6424599999999998</v>
      </c>
      <c r="AI3626" s="86">
        <v>8.75</v>
      </c>
      <c r="AK3626" s="81">
        <v>26.1906</v>
      </c>
      <c r="AM3626" s="81">
        <v>36.619500000000002</v>
      </c>
      <c r="AO3626" s="85">
        <v>6.7574800000000002</v>
      </c>
    </row>
    <row r="3627" spans="2:41" x14ac:dyDescent="0.25">
      <c r="B3627" s="21">
        <v>45874</v>
      </c>
      <c r="C3627" s="91">
        <v>18.878299999999999</v>
      </c>
      <c r="E3627" s="83">
        <v>0.86500999999999995</v>
      </c>
      <c r="G3627" s="84">
        <v>1351.52</v>
      </c>
      <c r="I3627" s="85">
        <v>6.8675199999999998</v>
      </c>
      <c r="K3627" s="85">
        <v>5.5038799999999997</v>
      </c>
      <c r="M3627" s="84">
        <v>966.12699999999995</v>
      </c>
      <c r="O3627" s="86">
        <v>4095.62</v>
      </c>
      <c r="Q3627" s="86">
        <v>7472.79</v>
      </c>
      <c r="S3627" s="86">
        <v>1357.74</v>
      </c>
      <c r="U3627" s="85">
        <v>3.5716999999999999</v>
      </c>
      <c r="W3627" s="81">
        <v>40.087699999999998</v>
      </c>
      <c r="Y3627" s="81">
        <v>7.2835599999999996</v>
      </c>
      <c r="AA3627" s="84">
        <v>505.31200000000001</v>
      </c>
      <c r="AC3627" s="81">
        <v>60.608800000000002</v>
      </c>
      <c r="AE3627" s="87">
        <v>1</v>
      </c>
      <c r="AG3627" s="85">
        <v>7.67354</v>
      </c>
      <c r="AI3627" s="86">
        <v>8.75</v>
      </c>
      <c r="AK3627" s="81">
        <v>26.2927</v>
      </c>
      <c r="AM3627" s="81">
        <v>36.791699999999999</v>
      </c>
      <c r="AO3627" s="85">
        <v>6.7809200000000001</v>
      </c>
    </row>
    <row r="3628" spans="2:41" x14ac:dyDescent="0.25">
      <c r="B3628" s="21">
        <v>45875</v>
      </c>
      <c r="C3628" s="91">
        <v>18.762</v>
      </c>
      <c r="E3628" s="83">
        <v>0.86107100000000003</v>
      </c>
      <c r="G3628" s="84">
        <v>1336.32</v>
      </c>
      <c r="I3628" s="85">
        <v>6.8667600000000002</v>
      </c>
      <c r="K3628" s="85">
        <v>5.48834</v>
      </c>
      <c r="M3628" s="84">
        <v>970.524</v>
      </c>
      <c r="O3628" s="86">
        <v>4072.12</v>
      </c>
      <c r="Q3628" s="86">
        <v>7458.74</v>
      </c>
      <c r="S3628" s="86">
        <v>1359.02</v>
      </c>
      <c r="U3628" s="85">
        <v>3.55871</v>
      </c>
      <c r="W3628" s="81">
        <v>40.030900000000003</v>
      </c>
      <c r="Y3628" s="81">
        <v>7.2938299999999998</v>
      </c>
      <c r="AA3628" s="84">
        <v>505.69200000000001</v>
      </c>
      <c r="AC3628" s="81">
        <v>60.864699999999999</v>
      </c>
      <c r="AE3628" s="87">
        <v>1</v>
      </c>
      <c r="AG3628" s="85">
        <v>7.6729399999999996</v>
      </c>
      <c r="AI3628" s="86">
        <v>8.75</v>
      </c>
      <c r="AK3628" s="81">
        <v>26.2928</v>
      </c>
      <c r="AM3628" s="81">
        <v>36.757199999999997</v>
      </c>
      <c r="AO3628" s="85">
        <v>6.7775699999999999</v>
      </c>
    </row>
    <row r="3629" spans="2:41" x14ac:dyDescent="0.25">
      <c r="B3629" s="21">
        <v>45876</v>
      </c>
      <c r="C3629" s="91">
        <v>18.619199999999999</v>
      </c>
      <c r="E3629" s="83">
        <v>0.85782800000000003</v>
      </c>
      <c r="G3629" s="84">
        <v>1329.96</v>
      </c>
      <c r="I3629" s="85">
        <v>6.8648800000000003</v>
      </c>
      <c r="K3629" s="85">
        <v>5.4583199999999996</v>
      </c>
      <c r="M3629" s="84">
        <v>972.90499999999997</v>
      </c>
      <c r="O3629" s="86">
        <v>4046.26</v>
      </c>
      <c r="Q3629" s="86">
        <v>7482.28</v>
      </c>
      <c r="S3629" s="86">
        <v>1370.8</v>
      </c>
      <c r="U3629" s="85">
        <v>3.5490599999999999</v>
      </c>
      <c r="W3629" s="81">
        <v>40.081400000000002</v>
      </c>
      <c r="Y3629" s="81">
        <v>7.3432000000000004</v>
      </c>
      <c r="AA3629" s="84">
        <v>505.83600000000001</v>
      </c>
      <c r="AC3629" s="81">
        <v>60.89</v>
      </c>
      <c r="AE3629" s="87">
        <v>1</v>
      </c>
      <c r="AG3629" s="85">
        <v>7.66676</v>
      </c>
      <c r="AI3629" s="86">
        <v>8.75</v>
      </c>
      <c r="AK3629" s="81">
        <v>26.2148</v>
      </c>
      <c r="AM3629" s="81">
        <v>36.7654</v>
      </c>
      <c r="AO3629" s="85">
        <v>6.7727399999999998</v>
      </c>
    </row>
    <row r="3630" spans="2:41" x14ac:dyDescent="0.25">
      <c r="B3630" s="21">
        <v>45877</v>
      </c>
      <c r="C3630" s="91">
        <v>18.676500000000001</v>
      </c>
      <c r="E3630" s="83">
        <v>0.85826000000000002</v>
      </c>
      <c r="G3630" s="84">
        <v>1325.88</v>
      </c>
      <c r="I3630" s="85">
        <v>6.8695000000000004</v>
      </c>
      <c r="K3630" s="85">
        <v>5.42666</v>
      </c>
      <c r="M3630" s="84">
        <v>968.64400000000001</v>
      </c>
      <c r="O3630" s="86">
        <v>4046.08</v>
      </c>
      <c r="Q3630" s="86">
        <v>7491.12</v>
      </c>
      <c r="S3630" s="86">
        <v>1380.43</v>
      </c>
      <c r="U3630" s="85">
        <v>3.54094</v>
      </c>
      <c r="W3630" s="81">
        <v>40.116199999999999</v>
      </c>
      <c r="Y3630" s="81">
        <v>7.3924399999999997</v>
      </c>
      <c r="AA3630" s="84">
        <v>506.548</v>
      </c>
      <c r="AC3630" s="81">
        <v>61.021999999999998</v>
      </c>
      <c r="AE3630" s="87">
        <v>1</v>
      </c>
      <c r="AG3630" s="85">
        <v>7.6736000000000004</v>
      </c>
      <c r="AI3630" s="86">
        <v>8.75</v>
      </c>
      <c r="AK3630" s="81">
        <v>26.2392</v>
      </c>
      <c r="AM3630" s="81">
        <v>36.78</v>
      </c>
      <c r="AO3630" s="85">
        <v>6.78484</v>
      </c>
    </row>
    <row r="3631" spans="2:41" x14ac:dyDescent="0.25">
      <c r="B3631" s="21">
        <v>45878</v>
      </c>
      <c r="C3631" s="91">
        <v>18.676500000000001</v>
      </c>
      <c r="E3631" s="83">
        <v>0.85899199999999998</v>
      </c>
      <c r="G3631" s="84">
        <v>1325.46</v>
      </c>
      <c r="I3631" s="85">
        <v>6.8670400000000003</v>
      </c>
      <c r="K3631" s="85">
        <v>5.4362500000000002</v>
      </c>
      <c r="M3631" s="84">
        <v>967.95500000000004</v>
      </c>
      <c r="O3631" s="86">
        <v>4046.91</v>
      </c>
      <c r="Q3631" s="86">
        <v>7484.09</v>
      </c>
      <c r="S3631" s="86">
        <v>1376.7</v>
      </c>
      <c r="U3631" s="85">
        <v>3.5333700000000001</v>
      </c>
      <c r="W3631" s="81">
        <v>40.075499999999998</v>
      </c>
      <c r="Y3631" s="81">
        <v>7.3719200000000003</v>
      </c>
      <c r="AA3631" s="84">
        <v>506.17</v>
      </c>
      <c r="AC3631" s="81">
        <v>60.905700000000003</v>
      </c>
      <c r="AE3631" s="87">
        <v>1</v>
      </c>
      <c r="AG3631" s="85">
        <v>7.6684599999999996</v>
      </c>
      <c r="AI3631" s="86">
        <v>8.75</v>
      </c>
      <c r="AK3631" s="81">
        <v>26.181000000000001</v>
      </c>
      <c r="AM3631" s="81">
        <v>36.786299999999997</v>
      </c>
      <c r="AO3631" s="85">
        <v>6.7850400000000004</v>
      </c>
    </row>
    <row r="3632" spans="2:41" x14ac:dyDescent="0.25">
      <c r="B3632" s="21">
        <v>45879</v>
      </c>
      <c r="C3632" s="91">
        <v>18.676500000000001</v>
      </c>
      <c r="E3632" s="83">
        <v>0.85894300000000001</v>
      </c>
      <c r="G3632" s="84">
        <v>1325.4</v>
      </c>
      <c r="I3632" s="85">
        <v>6.8677000000000001</v>
      </c>
      <c r="K3632" s="85">
        <v>5.4360900000000001</v>
      </c>
      <c r="M3632" s="84">
        <v>967.95100000000002</v>
      </c>
      <c r="O3632" s="86">
        <v>4046.85</v>
      </c>
      <c r="Q3632" s="86">
        <v>7483.88</v>
      </c>
      <c r="S3632" s="86">
        <v>1376.7</v>
      </c>
      <c r="U3632" s="85">
        <v>3.5336599999999998</v>
      </c>
      <c r="W3632" s="81">
        <v>40.075400000000002</v>
      </c>
      <c r="Y3632" s="81">
        <v>7.3721199999999998</v>
      </c>
      <c r="AA3632" s="84">
        <v>506.17</v>
      </c>
      <c r="AC3632" s="81">
        <v>60.910800000000002</v>
      </c>
      <c r="AE3632" s="87">
        <v>1</v>
      </c>
      <c r="AG3632" s="85">
        <v>7.6684599999999996</v>
      </c>
      <c r="AI3632" s="86">
        <v>8.75</v>
      </c>
      <c r="AK3632" s="81">
        <v>26.1798</v>
      </c>
      <c r="AM3632" s="81">
        <v>36.785600000000002</v>
      </c>
      <c r="AO3632" s="85">
        <v>6.7850400000000004</v>
      </c>
    </row>
    <row r="3633" spans="2:41" x14ac:dyDescent="0.25">
      <c r="B3633" s="21">
        <v>45880</v>
      </c>
      <c r="C3633" s="91">
        <v>18.5518</v>
      </c>
      <c r="E3633" s="83">
        <v>0.859572</v>
      </c>
      <c r="G3633" s="84">
        <v>1324.63</v>
      </c>
      <c r="I3633" s="85">
        <v>6.9202500000000002</v>
      </c>
      <c r="K3633" s="85">
        <v>5.4399499999999996</v>
      </c>
      <c r="M3633" s="84">
        <v>968.37</v>
      </c>
      <c r="O3633" s="86">
        <v>4043.58</v>
      </c>
      <c r="Q3633" s="86">
        <v>7488.14</v>
      </c>
      <c r="S3633" s="86">
        <v>1376.51</v>
      </c>
      <c r="U3633" s="85">
        <v>3.5320800000000001</v>
      </c>
      <c r="W3633" s="81">
        <v>40.045900000000003</v>
      </c>
      <c r="Y3633" s="81">
        <v>7.3614600000000001</v>
      </c>
      <c r="AA3633" s="84">
        <v>505.988</v>
      </c>
      <c r="AC3633" s="81">
        <v>61.086599999999997</v>
      </c>
      <c r="AE3633" s="87">
        <v>1</v>
      </c>
      <c r="AG3633" s="85">
        <v>7.6725500000000002</v>
      </c>
      <c r="AI3633" s="86">
        <v>8.75</v>
      </c>
      <c r="AK3633" s="81">
        <v>26.209</v>
      </c>
      <c r="AM3633" s="81">
        <v>36.794800000000002</v>
      </c>
      <c r="AO3633" s="85">
        <v>6.7858799999999997</v>
      </c>
    </row>
    <row r="3634" spans="2:41" x14ac:dyDescent="0.25">
      <c r="B3634" s="21">
        <v>45881</v>
      </c>
      <c r="C3634" s="91">
        <v>18.668299999999999</v>
      </c>
      <c r="E3634" s="83">
        <v>0.85906000000000005</v>
      </c>
      <c r="G3634" s="84">
        <v>1319.68</v>
      </c>
      <c r="I3634" s="85">
        <v>6.9329900000000002</v>
      </c>
      <c r="K3634" s="85">
        <v>5.4218000000000002</v>
      </c>
      <c r="M3634" s="84">
        <v>964.43399999999997</v>
      </c>
      <c r="O3634" s="86">
        <v>4023.42</v>
      </c>
      <c r="Q3634" s="86">
        <v>7498.85</v>
      </c>
      <c r="S3634" s="86">
        <v>1383.1</v>
      </c>
      <c r="U3634" s="85">
        <v>3.5290400000000002</v>
      </c>
      <c r="W3634" s="81">
        <v>40.057899999999997</v>
      </c>
      <c r="Y3634" s="81">
        <v>7.3883200000000002</v>
      </c>
      <c r="AA3634" s="84">
        <v>506.21</v>
      </c>
      <c r="AC3634" s="81">
        <v>61.271099999999997</v>
      </c>
      <c r="AE3634" s="87">
        <v>1</v>
      </c>
      <c r="AG3634" s="85">
        <v>7.6793500000000003</v>
      </c>
      <c r="AI3634" s="86">
        <v>8.75</v>
      </c>
      <c r="AK3634" s="81">
        <v>26.283799999999999</v>
      </c>
      <c r="AM3634" s="81">
        <v>36.815399999999997</v>
      </c>
      <c r="AO3634" s="85">
        <v>6.7928100000000002</v>
      </c>
    </row>
    <row r="3635" spans="2:41" x14ac:dyDescent="0.25">
      <c r="B3635" s="21">
        <v>45882</v>
      </c>
      <c r="C3635" s="91">
        <v>18.5657</v>
      </c>
      <c r="E3635" s="83">
        <v>0.85458800000000001</v>
      </c>
      <c r="G3635" s="84">
        <v>1316.4</v>
      </c>
      <c r="I3635" s="85">
        <v>6.9178600000000001</v>
      </c>
      <c r="K3635" s="85">
        <v>5.39724</v>
      </c>
      <c r="M3635" s="84">
        <v>954.57600000000002</v>
      </c>
      <c r="O3635" s="86">
        <v>4021.53</v>
      </c>
      <c r="Q3635" s="86">
        <v>7493.13</v>
      </c>
      <c r="S3635" s="86">
        <v>1388.32</v>
      </c>
      <c r="U3635" s="85">
        <v>3.53</v>
      </c>
      <c r="W3635" s="81">
        <v>40.0244</v>
      </c>
      <c r="Y3635" s="81">
        <v>7.4157400000000004</v>
      </c>
      <c r="AA3635" s="84">
        <v>505.916</v>
      </c>
      <c r="AC3635" s="81">
        <v>61.424900000000001</v>
      </c>
      <c r="AE3635" s="87">
        <v>1</v>
      </c>
      <c r="AG3635" s="85">
        <v>7.6730499999999999</v>
      </c>
      <c r="AI3635" s="86">
        <v>8.75</v>
      </c>
      <c r="AK3635" s="81">
        <v>26.29</v>
      </c>
      <c r="AM3635" s="81">
        <v>36.782600000000002</v>
      </c>
      <c r="AO3635" s="85">
        <v>6.7906300000000002</v>
      </c>
    </row>
    <row r="3636" spans="2:41" x14ac:dyDescent="0.25">
      <c r="B3636" s="21">
        <v>45883</v>
      </c>
      <c r="C3636" s="91">
        <v>18.635300000000001</v>
      </c>
      <c r="E3636" s="83">
        <v>0.85663800000000001</v>
      </c>
      <c r="G3636" s="84">
        <v>1307.5899999999999</v>
      </c>
      <c r="I3636" s="85">
        <v>6.9167500000000004</v>
      </c>
      <c r="K3636" s="85">
        <v>5.4047799999999997</v>
      </c>
      <c r="M3636" s="84">
        <v>958.11400000000003</v>
      </c>
      <c r="O3636" s="86">
        <v>4035.68</v>
      </c>
      <c r="Q3636" s="86">
        <v>7475.21</v>
      </c>
      <c r="S3636" s="86">
        <v>1383.08</v>
      </c>
      <c r="U3636" s="85">
        <v>3.5483600000000002</v>
      </c>
      <c r="W3636" s="81">
        <v>40.0366</v>
      </c>
      <c r="Y3636" s="81">
        <v>7.4076399999999998</v>
      </c>
      <c r="AA3636" s="84">
        <v>505.81400000000002</v>
      </c>
      <c r="AC3636" s="81">
        <v>61.627099999999999</v>
      </c>
      <c r="AE3636" s="87">
        <v>1</v>
      </c>
      <c r="AG3636" s="85">
        <v>7.6729399999999996</v>
      </c>
      <c r="AI3636" s="86">
        <v>8.75</v>
      </c>
      <c r="AK3636" s="81">
        <v>26.272600000000001</v>
      </c>
      <c r="AM3636" s="81">
        <v>36.781599999999997</v>
      </c>
      <c r="AO3636" s="85">
        <v>6.7895000000000003</v>
      </c>
    </row>
    <row r="3637" spans="2:41" x14ac:dyDescent="0.25">
      <c r="B3637" s="21">
        <v>45884</v>
      </c>
      <c r="C3637" s="91">
        <v>18.813700000000001</v>
      </c>
      <c r="E3637" s="83">
        <v>0.85571200000000003</v>
      </c>
      <c r="G3637" s="84">
        <v>1298.42</v>
      </c>
      <c r="I3637" s="85">
        <v>6.9133800000000001</v>
      </c>
      <c r="K3637" s="85">
        <v>5.4023000000000003</v>
      </c>
      <c r="M3637" s="84">
        <v>964.53599999999994</v>
      </c>
      <c r="O3637" s="86">
        <v>4035.54</v>
      </c>
      <c r="Q3637" s="86">
        <v>7385.84</v>
      </c>
      <c r="S3637" s="86">
        <v>1367.17</v>
      </c>
      <c r="U3637" s="85">
        <v>3.5624500000000001</v>
      </c>
      <c r="W3637" s="81">
        <v>40.019799999999996</v>
      </c>
      <c r="Y3637" s="81">
        <v>7.4079199999999998</v>
      </c>
      <c r="AA3637" s="84">
        <v>505.358</v>
      </c>
      <c r="AC3637" s="81">
        <v>61.663600000000002</v>
      </c>
      <c r="AE3637" s="87">
        <v>1</v>
      </c>
      <c r="AG3637" s="85">
        <v>7.6700200000000001</v>
      </c>
      <c r="AI3637" s="86">
        <v>8.75</v>
      </c>
      <c r="AK3637" s="81">
        <v>26.285499999999999</v>
      </c>
      <c r="AM3637" s="81">
        <v>36.775100000000002</v>
      </c>
      <c r="AO3637" s="85">
        <v>6.7838399999999996</v>
      </c>
    </row>
    <row r="3638" spans="2:41" x14ac:dyDescent="0.25">
      <c r="B3638" s="21">
        <v>45885</v>
      </c>
      <c r="C3638" s="91">
        <v>18.813700000000001</v>
      </c>
      <c r="E3638" s="83">
        <v>0.85433999999999999</v>
      </c>
      <c r="G3638" s="84">
        <v>1297.95</v>
      </c>
      <c r="I3638" s="85">
        <v>6.91134</v>
      </c>
      <c r="K3638" s="85">
        <v>5.4004200000000004</v>
      </c>
      <c r="M3638" s="84">
        <v>963.21799999999996</v>
      </c>
      <c r="O3638" s="86">
        <v>4015.72</v>
      </c>
      <c r="Q3638" s="86">
        <v>7407.7</v>
      </c>
      <c r="S3638" s="86">
        <v>1371.69</v>
      </c>
      <c r="U3638" s="85">
        <v>3.5602999999999998</v>
      </c>
      <c r="W3638" s="81">
        <v>40.005000000000003</v>
      </c>
      <c r="Y3638" s="81">
        <v>7.4077599999999997</v>
      </c>
      <c r="AA3638" s="84">
        <v>505.17599999999999</v>
      </c>
      <c r="AC3638" s="81">
        <v>61.704999999999998</v>
      </c>
      <c r="AE3638" s="87">
        <v>1</v>
      </c>
      <c r="AG3638" s="85">
        <v>7.6679199999999996</v>
      </c>
      <c r="AI3638" s="86">
        <v>8.75</v>
      </c>
      <c r="AK3638" s="81">
        <v>26.3475</v>
      </c>
      <c r="AM3638" s="81">
        <v>36.759799999999998</v>
      </c>
      <c r="AO3638" s="85">
        <v>6.7802600000000002</v>
      </c>
    </row>
    <row r="3639" spans="2:41" x14ac:dyDescent="0.25">
      <c r="B3639" s="21">
        <v>45886</v>
      </c>
      <c r="C3639" s="91">
        <v>18.813700000000001</v>
      </c>
      <c r="E3639" s="83">
        <v>0.85428999999999999</v>
      </c>
      <c r="G3639" s="84">
        <v>1297.68</v>
      </c>
      <c r="I3639" s="85">
        <v>6.9103000000000003</v>
      </c>
      <c r="K3639" s="85">
        <v>5.4004599999999998</v>
      </c>
      <c r="M3639" s="84">
        <v>963.27200000000005</v>
      </c>
      <c r="O3639" s="86">
        <v>4016.02</v>
      </c>
      <c r="Q3639" s="86">
        <v>7409.24</v>
      </c>
      <c r="S3639" s="86">
        <v>1371.97</v>
      </c>
      <c r="U3639" s="85">
        <v>3.5602</v>
      </c>
      <c r="W3639" s="81">
        <v>40.004800000000003</v>
      </c>
      <c r="Y3639" s="81">
        <v>7.40768</v>
      </c>
      <c r="AA3639" s="84">
        <v>505.12900000000002</v>
      </c>
      <c r="AC3639" s="81">
        <v>61.698</v>
      </c>
      <c r="AE3639" s="87">
        <v>1</v>
      </c>
      <c r="AG3639" s="85">
        <v>7.6672000000000002</v>
      </c>
      <c r="AI3639" s="86">
        <v>8.75</v>
      </c>
      <c r="AK3639" s="81">
        <v>26.3416</v>
      </c>
      <c r="AM3639" s="81">
        <v>36.758499999999998</v>
      </c>
      <c r="AO3639" s="85">
        <v>6.7796799999999999</v>
      </c>
    </row>
    <row r="3640" spans="2:41" x14ac:dyDescent="0.25">
      <c r="B3640" s="21">
        <v>45887</v>
      </c>
      <c r="C3640" s="91">
        <v>18.729500000000002</v>
      </c>
      <c r="E3640" s="83">
        <v>0.85608600000000001</v>
      </c>
      <c r="G3640" s="84">
        <v>1296.92</v>
      </c>
      <c r="I3640" s="85">
        <v>6.9123200000000002</v>
      </c>
      <c r="K3640" s="85">
        <v>5.4137000000000004</v>
      </c>
      <c r="M3640" s="84">
        <v>963.29600000000005</v>
      </c>
      <c r="O3640" s="86">
        <v>4024.22</v>
      </c>
      <c r="Q3640" s="86">
        <v>7403.34</v>
      </c>
      <c r="S3640" s="86">
        <v>1367.52</v>
      </c>
      <c r="U3640" s="85">
        <v>3.5569999999999999</v>
      </c>
      <c r="W3640" s="81">
        <v>40.010100000000001</v>
      </c>
      <c r="Y3640" s="81">
        <v>7.3905500000000002</v>
      </c>
      <c r="AA3640" s="84">
        <v>504.971</v>
      </c>
      <c r="AC3640" s="81">
        <v>61.592199999999998</v>
      </c>
      <c r="AE3640" s="87">
        <v>1</v>
      </c>
      <c r="AG3640" s="85">
        <v>7.6645399999999997</v>
      </c>
      <c r="AI3640" s="86">
        <v>8.75</v>
      </c>
      <c r="AK3640" s="81">
        <v>26.189599999999999</v>
      </c>
      <c r="AM3640" s="81">
        <v>36.770699999999998</v>
      </c>
      <c r="AO3640" s="85">
        <v>6.7756800000000004</v>
      </c>
    </row>
    <row r="3641" spans="2:41" x14ac:dyDescent="0.25">
      <c r="B3641" s="21">
        <v>45888</v>
      </c>
      <c r="C3641" s="91">
        <v>18.783999999999999</v>
      </c>
      <c r="E3641" s="83">
        <v>0.85746</v>
      </c>
      <c r="G3641" s="84">
        <v>1292.79</v>
      </c>
      <c r="I3641" s="85">
        <v>6.92875</v>
      </c>
      <c r="K3641" s="85">
        <v>5.4614000000000003</v>
      </c>
      <c r="M3641" s="84">
        <v>963.84400000000005</v>
      </c>
      <c r="O3641" s="86">
        <v>4023.62</v>
      </c>
      <c r="Q3641" s="86">
        <v>7247.62</v>
      </c>
      <c r="S3641" s="86">
        <v>1327.07</v>
      </c>
      <c r="U3641" s="85">
        <v>3.5440999999999998</v>
      </c>
      <c r="W3641" s="81">
        <v>40.085999999999999</v>
      </c>
      <c r="Y3641" s="81">
        <v>7.3398899999999996</v>
      </c>
      <c r="AA3641" s="84">
        <v>505.19200000000001</v>
      </c>
      <c r="AC3641" s="81">
        <v>61.805399999999999</v>
      </c>
      <c r="AE3641" s="87">
        <v>1</v>
      </c>
      <c r="AG3641" s="85">
        <v>7.6661200000000003</v>
      </c>
      <c r="AI3641" s="86">
        <v>8.75</v>
      </c>
      <c r="AK3641" s="81">
        <v>26.252600000000001</v>
      </c>
      <c r="AM3641" s="81">
        <v>36.784399999999998</v>
      </c>
      <c r="AO3641" s="85">
        <v>6.7769599999999999</v>
      </c>
    </row>
    <row r="3642" spans="2:41" x14ac:dyDescent="0.25">
      <c r="B3642" s="21">
        <v>45889</v>
      </c>
      <c r="C3642" s="91">
        <v>18.798200000000001</v>
      </c>
      <c r="E3642" s="83">
        <v>0.85857799999999995</v>
      </c>
      <c r="G3642" s="84">
        <v>1295.22</v>
      </c>
      <c r="I3642" s="85">
        <v>6.9213399999999998</v>
      </c>
      <c r="K3642" s="85">
        <v>5.4891899999999998</v>
      </c>
      <c r="M3642" s="84">
        <v>964.529</v>
      </c>
      <c r="O3642" s="86">
        <v>4030.57</v>
      </c>
      <c r="Q3642" s="86">
        <v>7225.46</v>
      </c>
      <c r="S3642" s="86">
        <v>1316.31</v>
      </c>
      <c r="U3642" s="85">
        <v>3.5152199999999998</v>
      </c>
      <c r="W3642" s="81">
        <v>40.128</v>
      </c>
      <c r="Y3642" s="81">
        <v>7.3103899999999999</v>
      </c>
      <c r="AA3642" s="84">
        <v>505.20100000000002</v>
      </c>
      <c r="AC3642" s="81">
        <v>61.946199999999997</v>
      </c>
      <c r="AE3642" s="87">
        <v>1</v>
      </c>
      <c r="AG3642" s="85">
        <v>7.6638599999999997</v>
      </c>
      <c r="AI3642" s="86">
        <v>8.75</v>
      </c>
      <c r="AK3642" s="81">
        <v>26.2364</v>
      </c>
      <c r="AM3642" s="81">
        <v>36.791600000000003</v>
      </c>
      <c r="AO3642" s="85">
        <v>6.7806899999999999</v>
      </c>
    </row>
    <row r="3643" spans="2:41" x14ac:dyDescent="0.25">
      <c r="B3643" s="21">
        <v>45890</v>
      </c>
      <c r="C3643" s="91">
        <v>18.757200000000001</v>
      </c>
      <c r="E3643" s="83">
        <v>0.85969600000000002</v>
      </c>
      <c r="G3643" s="84">
        <v>1305.51</v>
      </c>
      <c r="I3643" s="85">
        <v>6.9077200000000003</v>
      </c>
      <c r="K3643" s="85">
        <v>5.4788300000000003</v>
      </c>
      <c r="M3643" s="84">
        <v>967.60599999999999</v>
      </c>
      <c r="O3643" s="86">
        <v>4029.52</v>
      </c>
      <c r="Q3643" s="86">
        <v>7223.59</v>
      </c>
      <c r="S3643" s="86">
        <v>1318.46</v>
      </c>
      <c r="U3643" s="85">
        <v>3.5066099999999998</v>
      </c>
      <c r="W3643" s="81">
        <v>40.1203</v>
      </c>
      <c r="Y3643" s="81">
        <v>7.3228</v>
      </c>
      <c r="AA3643" s="84">
        <v>504.56400000000002</v>
      </c>
      <c r="AC3643" s="81">
        <v>62.191600000000001</v>
      </c>
      <c r="AE3643" s="87">
        <v>1</v>
      </c>
      <c r="AG3643" s="85">
        <v>7.6621800000000002</v>
      </c>
      <c r="AI3643" s="86">
        <v>8.75</v>
      </c>
      <c r="AK3643" s="81">
        <v>26.1906</v>
      </c>
      <c r="AM3643" s="81">
        <v>36.781100000000002</v>
      </c>
      <c r="AO3643" s="85">
        <v>6.7767799999999996</v>
      </c>
    </row>
    <row r="3644" spans="2:41" x14ac:dyDescent="0.25">
      <c r="B3644" s="21">
        <v>45891</v>
      </c>
      <c r="C3644" s="91">
        <v>18.773700000000002</v>
      </c>
      <c r="E3644" s="83">
        <v>0.858325</v>
      </c>
      <c r="G3644" s="84">
        <v>1317.55</v>
      </c>
      <c r="I3644" s="85">
        <v>6.91737</v>
      </c>
      <c r="K3644" s="85">
        <v>5.44984</v>
      </c>
      <c r="M3644" s="84">
        <v>966.822</v>
      </c>
      <c r="O3644" s="86">
        <v>4024.21</v>
      </c>
      <c r="Q3644" s="86">
        <v>7245.06</v>
      </c>
      <c r="S3644" s="86">
        <v>1329.42</v>
      </c>
      <c r="U3644" s="85">
        <v>3.5125799999999998</v>
      </c>
      <c r="W3644" s="81">
        <v>40.155200000000001</v>
      </c>
      <c r="Y3644" s="81">
        <v>7.3681700000000001</v>
      </c>
      <c r="AA3644" s="84">
        <v>504.74799999999999</v>
      </c>
      <c r="AC3644" s="81">
        <v>62.418399999999998</v>
      </c>
      <c r="AE3644" s="87">
        <v>1</v>
      </c>
      <c r="AG3644" s="85">
        <v>7.67415</v>
      </c>
      <c r="AI3644" s="86">
        <v>8.75</v>
      </c>
      <c r="AK3644" s="81">
        <v>26.187899999999999</v>
      </c>
      <c r="AM3644" s="81">
        <v>36.826599999999999</v>
      </c>
      <c r="AO3644" s="85">
        <v>6.7889499999999998</v>
      </c>
    </row>
    <row r="3645" spans="2:41" x14ac:dyDescent="0.25">
      <c r="B3645" s="21">
        <v>45892</v>
      </c>
      <c r="C3645" s="91">
        <v>18.773700000000002</v>
      </c>
      <c r="E3645" s="83">
        <v>0.85310399999999997</v>
      </c>
      <c r="G3645" s="84">
        <v>1321.02</v>
      </c>
      <c r="I3645" s="85">
        <v>6.9096000000000002</v>
      </c>
      <c r="K3645" s="85">
        <v>5.4229000000000003</v>
      </c>
      <c r="M3645" s="84">
        <v>959.79700000000003</v>
      </c>
      <c r="O3645" s="86">
        <v>4012.12</v>
      </c>
      <c r="Q3645" s="86">
        <v>7244.3</v>
      </c>
      <c r="S3645" s="86">
        <v>1335.88</v>
      </c>
      <c r="U3645" s="85">
        <v>3.5073699999999999</v>
      </c>
      <c r="W3645" s="81">
        <v>40.038400000000003</v>
      </c>
      <c r="Y3645" s="81">
        <v>7.3832199999999997</v>
      </c>
      <c r="AA3645" s="84">
        <v>503.791</v>
      </c>
      <c r="AC3645" s="81">
        <v>62.625</v>
      </c>
      <c r="AE3645" s="87">
        <v>1</v>
      </c>
      <c r="AG3645" s="85">
        <v>7.6658600000000003</v>
      </c>
      <c r="AI3645" s="86">
        <v>8.75</v>
      </c>
      <c r="AK3645" s="81">
        <v>26.160799999999998</v>
      </c>
      <c r="AM3645" s="81">
        <v>36.7913</v>
      </c>
      <c r="AO3645" s="85">
        <v>6.7756999999999996</v>
      </c>
    </row>
    <row r="3646" spans="2:41" x14ac:dyDescent="0.25">
      <c r="B3646" s="21">
        <v>45893</v>
      </c>
      <c r="C3646" s="91">
        <v>18.773700000000002</v>
      </c>
      <c r="E3646" s="83">
        <v>0.85315200000000002</v>
      </c>
      <c r="G3646" s="84">
        <v>1318.51</v>
      </c>
      <c r="I3646" s="85">
        <v>6.9096299999999999</v>
      </c>
      <c r="K3646" s="85">
        <v>5.4229599999999998</v>
      </c>
      <c r="M3646" s="84">
        <v>959.78399999999999</v>
      </c>
      <c r="O3646" s="86">
        <v>4011.37</v>
      </c>
      <c r="Q3646" s="86">
        <v>7244.3</v>
      </c>
      <c r="S3646" s="86">
        <v>1335.86</v>
      </c>
      <c r="U3646" s="85">
        <v>3.5065200000000001</v>
      </c>
      <c r="W3646" s="81">
        <v>40.039000000000001</v>
      </c>
      <c r="Y3646" s="81">
        <v>7.3832399999999998</v>
      </c>
      <c r="AA3646" s="84">
        <v>503.78699999999998</v>
      </c>
      <c r="AC3646" s="81">
        <v>62.575000000000003</v>
      </c>
      <c r="AE3646" s="87">
        <v>1</v>
      </c>
      <c r="AG3646" s="85">
        <v>7.6659600000000001</v>
      </c>
      <c r="AI3646" s="86">
        <v>8.75</v>
      </c>
      <c r="AK3646" s="81">
        <v>26.151</v>
      </c>
      <c r="AM3646" s="81">
        <v>36.791400000000003</v>
      </c>
      <c r="AO3646" s="85">
        <v>6.7776300000000003</v>
      </c>
    </row>
    <row r="3647" spans="2:41" x14ac:dyDescent="0.25">
      <c r="B3647" s="21">
        <v>45894</v>
      </c>
      <c r="C3647" s="91">
        <v>18.594999999999999</v>
      </c>
      <c r="E3647" s="83">
        <v>0.85644200000000004</v>
      </c>
      <c r="G3647" s="84">
        <v>1334.1</v>
      </c>
      <c r="I3647" s="85">
        <v>6.9032799999999996</v>
      </c>
      <c r="K3647" s="85">
        <v>5.4204999999999997</v>
      </c>
      <c r="M3647" s="84">
        <v>960.93200000000002</v>
      </c>
      <c r="O3647" s="86">
        <v>4012.6</v>
      </c>
      <c r="Q3647" s="86">
        <v>7217.82</v>
      </c>
      <c r="S3647" s="86">
        <v>1331.58</v>
      </c>
      <c r="U3647" s="85">
        <v>3.4988199999999998</v>
      </c>
      <c r="W3647" s="81">
        <v>39.879399999999997</v>
      </c>
      <c r="Y3647" s="81">
        <v>7.35717</v>
      </c>
      <c r="AA3647" s="84">
        <v>502.31200000000001</v>
      </c>
      <c r="AC3647" s="81">
        <v>62.2502</v>
      </c>
      <c r="AE3647" s="87">
        <v>1</v>
      </c>
      <c r="AG3647" s="85">
        <v>7.6445999999999996</v>
      </c>
      <c r="AI3647" s="86">
        <v>8.75</v>
      </c>
      <c r="AK3647" s="81">
        <v>26.132999999999999</v>
      </c>
      <c r="AM3647" s="81">
        <v>36.723199999999999</v>
      </c>
      <c r="AO3647" s="85">
        <v>6.7741600000000002</v>
      </c>
    </row>
    <row r="3648" spans="2:41" x14ac:dyDescent="0.25">
      <c r="B3648" s="21">
        <v>45895</v>
      </c>
      <c r="C3648" s="91">
        <v>18.636800000000001</v>
      </c>
      <c r="E3648" s="83">
        <v>0.85905200000000004</v>
      </c>
      <c r="G3648" s="84">
        <v>1357.28</v>
      </c>
      <c r="I3648" s="85">
        <v>6.9375099999999996</v>
      </c>
      <c r="K3648" s="85">
        <v>5.4212300000000004</v>
      </c>
      <c r="M3648" s="84">
        <v>964.25400000000002</v>
      </c>
      <c r="O3648" s="86">
        <v>4035.02</v>
      </c>
      <c r="Q3648" s="86">
        <v>7250.62</v>
      </c>
      <c r="S3648" s="86">
        <v>1337.45</v>
      </c>
      <c r="U3648" s="85">
        <v>3.5212400000000001</v>
      </c>
      <c r="W3648" s="81">
        <v>40.076599999999999</v>
      </c>
      <c r="Y3648" s="81">
        <v>7.3925400000000003</v>
      </c>
      <c r="AA3648" s="84">
        <v>504.20600000000002</v>
      </c>
      <c r="AC3648" s="81">
        <v>62.673499999999997</v>
      </c>
      <c r="AE3648" s="87">
        <v>1</v>
      </c>
      <c r="AG3648" s="85">
        <v>7.6729799999999999</v>
      </c>
      <c r="AI3648" s="86">
        <v>8.75</v>
      </c>
      <c r="AK3648" s="81">
        <v>26.261800000000001</v>
      </c>
      <c r="AM3648" s="81">
        <v>36.8324</v>
      </c>
      <c r="AO3648" s="85">
        <v>6.80037</v>
      </c>
    </row>
    <row r="3649" spans="2:41" x14ac:dyDescent="0.25">
      <c r="B3649" s="21">
        <v>45896</v>
      </c>
      <c r="C3649" s="91">
        <v>18.6843</v>
      </c>
      <c r="E3649" s="83">
        <v>0.86080500000000004</v>
      </c>
      <c r="G3649" s="84">
        <v>1355.44</v>
      </c>
      <c r="I3649" s="85">
        <v>6.9248099999999999</v>
      </c>
      <c r="K3649" s="85">
        <v>5.4312899999999997</v>
      </c>
      <c r="M3649" s="84">
        <v>967.39200000000005</v>
      </c>
      <c r="O3649" s="86">
        <v>4047.6</v>
      </c>
      <c r="Q3649" s="86">
        <v>7233.55</v>
      </c>
      <c r="S3649" s="86">
        <v>1331.84</v>
      </c>
      <c r="U3649" s="85">
        <v>3.5406399999999998</v>
      </c>
      <c r="W3649" s="81">
        <v>40.003799999999998</v>
      </c>
      <c r="Y3649" s="81">
        <v>7.3654599999999997</v>
      </c>
      <c r="AA3649" s="84">
        <v>503.774</v>
      </c>
      <c r="AC3649" s="81">
        <v>62.868000000000002</v>
      </c>
      <c r="AE3649" s="87">
        <v>1</v>
      </c>
      <c r="AG3649" s="85">
        <v>7.6658099999999996</v>
      </c>
      <c r="AI3649" s="86">
        <v>8.75</v>
      </c>
      <c r="AK3649" s="81">
        <v>26.238499999999998</v>
      </c>
      <c r="AM3649" s="81">
        <v>36.805599999999998</v>
      </c>
      <c r="AO3649" s="85">
        <v>6.7958100000000004</v>
      </c>
    </row>
    <row r="3650" spans="2:41" x14ac:dyDescent="0.25">
      <c r="B3650" s="21">
        <v>45897</v>
      </c>
      <c r="C3650" s="91">
        <v>18.691199999999998</v>
      </c>
      <c r="E3650" s="83">
        <v>0.857406</v>
      </c>
      <c r="G3650" s="84">
        <v>1345.06</v>
      </c>
      <c r="I3650" s="85">
        <v>6.9154200000000001</v>
      </c>
      <c r="K3650" s="85">
        <v>5.4145300000000001</v>
      </c>
      <c r="M3650" s="84">
        <v>968.09799999999996</v>
      </c>
      <c r="O3650" s="86">
        <v>4026.38</v>
      </c>
      <c r="Q3650" s="86">
        <v>7228.73</v>
      </c>
      <c r="S3650" s="86">
        <v>1335.06</v>
      </c>
      <c r="U3650" s="85">
        <v>3.5496599999999998</v>
      </c>
      <c r="W3650" s="81">
        <v>40.017499999999998</v>
      </c>
      <c r="Y3650" s="81">
        <v>7.3907800000000003</v>
      </c>
      <c r="AA3650" s="84">
        <v>504.42599999999999</v>
      </c>
      <c r="AC3650" s="81">
        <v>63.016800000000003</v>
      </c>
      <c r="AE3650" s="87">
        <v>1</v>
      </c>
      <c r="AG3650" s="85">
        <v>7.6660700000000004</v>
      </c>
      <c r="AI3650" s="86">
        <v>8.75</v>
      </c>
      <c r="AK3650" s="81">
        <v>26.258099999999999</v>
      </c>
      <c r="AM3650" s="81">
        <v>36.808999999999997</v>
      </c>
      <c r="AO3650" s="85">
        <v>6.79216</v>
      </c>
    </row>
    <row r="3651" spans="2:41" x14ac:dyDescent="0.25">
      <c r="B3651" s="21">
        <v>45898</v>
      </c>
      <c r="C3651" s="91">
        <v>18.652200000000001</v>
      </c>
      <c r="E3651" s="83">
        <v>0.85632799999999998</v>
      </c>
      <c r="G3651" s="84">
        <v>1335.69</v>
      </c>
      <c r="I3651" s="85">
        <v>6.9134599999999997</v>
      </c>
      <c r="K3651" s="85">
        <v>5.4210799999999999</v>
      </c>
      <c r="M3651" s="84">
        <v>967.23299999999995</v>
      </c>
      <c r="O3651" s="86">
        <v>4024.12</v>
      </c>
      <c r="Q3651" s="86">
        <v>7227.91</v>
      </c>
      <c r="S3651" s="86">
        <v>1333.3</v>
      </c>
      <c r="U3651" s="85">
        <v>3.54026</v>
      </c>
      <c r="W3651" s="81">
        <v>40.016399999999997</v>
      </c>
      <c r="Y3651" s="81">
        <v>7.3816600000000001</v>
      </c>
      <c r="AA3651" s="84">
        <v>504.94600000000003</v>
      </c>
      <c r="AC3651" s="81">
        <v>62.948799999999999</v>
      </c>
      <c r="AE3651" s="87">
        <v>1</v>
      </c>
      <c r="AG3651" s="85">
        <v>7.6650200000000002</v>
      </c>
      <c r="AI3651" s="86">
        <v>8.75</v>
      </c>
      <c r="AK3651" s="81">
        <v>26.218</v>
      </c>
      <c r="AM3651" s="81">
        <v>36.800600000000003</v>
      </c>
      <c r="AO3651" s="85">
        <v>6.79115</v>
      </c>
    </row>
    <row r="3652" spans="2:41" x14ac:dyDescent="0.25">
      <c r="B3652" s="21">
        <v>45899</v>
      </c>
      <c r="C3652" s="91">
        <v>18.652200000000001</v>
      </c>
      <c r="E3652" s="83">
        <v>0.85573600000000005</v>
      </c>
      <c r="G3652" s="84">
        <v>1347.02</v>
      </c>
      <c r="I3652" s="85">
        <v>6.9144300000000003</v>
      </c>
      <c r="K3652" s="85">
        <v>5.4280799999999996</v>
      </c>
      <c r="M3652" s="84">
        <v>966.745</v>
      </c>
      <c r="O3652" s="86">
        <v>4018.22</v>
      </c>
      <c r="Q3652" s="86">
        <v>7227</v>
      </c>
      <c r="S3652" s="86">
        <v>1331.41</v>
      </c>
      <c r="U3652" s="85">
        <v>3.5323500000000001</v>
      </c>
      <c r="W3652" s="81">
        <v>40.017200000000003</v>
      </c>
      <c r="Y3652" s="81">
        <v>7.3722700000000003</v>
      </c>
      <c r="AA3652" s="84">
        <v>505.16899999999998</v>
      </c>
      <c r="AC3652" s="81">
        <v>62.962499999999999</v>
      </c>
      <c r="AE3652" s="87">
        <v>1</v>
      </c>
      <c r="AG3652" s="85">
        <v>7.6660599999999999</v>
      </c>
      <c r="AI3652" s="86">
        <v>8.75</v>
      </c>
      <c r="AK3652" s="81">
        <v>26.353000000000002</v>
      </c>
      <c r="AM3652" s="81">
        <v>36.805</v>
      </c>
      <c r="AO3652" s="85">
        <v>6.79216</v>
      </c>
    </row>
    <row r="3653" spans="2:41" x14ac:dyDescent="0.25">
      <c r="B3653" s="21">
        <v>45900</v>
      </c>
      <c r="C3653" s="82">
        <v>18.652200000000001</v>
      </c>
      <c r="D3653" s="92"/>
      <c r="E3653" s="93">
        <v>0.85569300000000004</v>
      </c>
      <c r="F3653" s="92"/>
      <c r="G3653" s="94">
        <v>1345.08</v>
      </c>
      <c r="H3653" s="92"/>
      <c r="I3653" s="95">
        <v>6.9140600000000001</v>
      </c>
      <c r="J3653" s="92"/>
      <c r="K3653" s="95">
        <v>5.4281199999999998</v>
      </c>
      <c r="L3653" s="92"/>
      <c r="M3653" s="94">
        <v>966.74400000000003</v>
      </c>
      <c r="N3653" s="92"/>
      <c r="O3653" s="96">
        <v>4018.18</v>
      </c>
      <c r="P3653" s="92"/>
      <c r="Q3653" s="96">
        <v>7226.87</v>
      </c>
      <c r="R3653" s="92"/>
      <c r="S3653" s="96">
        <v>1331.38</v>
      </c>
      <c r="T3653" s="92"/>
      <c r="U3653" s="95">
        <v>3.5323600000000002</v>
      </c>
      <c r="V3653" s="92"/>
      <c r="W3653" s="91">
        <v>40.016100000000002</v>
      </c>
      <c r="X3653" s="92"/>
      <c r="Y3653" s="91">
        <v>7.3720299999999996</v>
      </c>
      <c r="Z3653" s="92"/>
      <c r="AA3653" s="94">
        <v>505.15600000000001</v>
      </c>
      <c r="AB3653" s="92"/>
      <c r="AC3653" s="91">
        <v>62.958799999999997</v>
      </c>
      <c r="AD3653" s="92"/>
      <c r="AE3653" s="97">
        <v>1</v>
      </c>
      <c r="AF3653" s="92"/>
      <c r="AG3653" s="95">
        <v>7.6656000000000004</v>
      </c>
      <c r="AH3653" s="92"/>
      <c r="AI3653" s="96">
        <v>8.75</v>
      </c>
      <c r="AJ3653" s="92"/>
      <c r="AK3653" s="91">
        <v>26.340800000000002</v>
      </c>
      <c r="AL3653" s="92"/>
      <c r="AM3653" s="91">
        <v>36.804000000000002</v>
      </c>
      <c r="AN3653" s="92"/>
      <c r="AO3653" s="95">
        <v>6.7919600000000004</v>
      </c>
    </row>
    <row r="3654" spans="2:41" ht="13" x14ac:dyDescent="0.3">
      <c r="B3654" s="25" t="s">
        <v>452</v>
      </c>
      <c r="C3654" s="19">
        <v>18.722903225806451</v>
      </c>
      <c r="E3654" s="24">
        <v>0.85848441935483877</v>
      </c>
      <c r="G3654" s="42">
        <v>1328.265483870968</v>
      </c>
      <c r="I3654" s="23">
        <v>6.9052651612903233</v>
      </c>
      <c r="K3654" s="23">
        <v>5.4488458064516117</v>
      </c>
      <c r="M3654" s="42">
        <v>965.59554838709664</v>
      </c>
      <c r="O3654" s="80">
        <v>4045.3422580645165</v>
      </c>
      <c r="Q3654" s="80">
        <v>7366.66</v>
      </c>
      <c r="S3654" s="80">
        <v>1352.0222580645159</v>
      </c>
      <c r="U3654" s="23">
        <v>3.5460396774193543</v>
      </c>
      <c r="W3654" s="19">
        <v>40.049180645161293</v>
      </c>
      <c r="Y3654" s="19">
        <v>7.3505535483870972</v>
      </c>
      <c r="AA3654" s="42">
        <v>505.03483870967744</v>
      </c>
      <c r="AC3654" s="19">
        <v>61.721283870967746</v>
      </c>
      <c r="AE3654" s="88">
        <v>1</v>
      </c>
      <c r="AG3654" s="23">
        <v>7.6676848387096772</v>
      </c>
      <c r="AI3654" s="80">
        <v>8.75</v>
      </c>
      <c r="AK3654" s="19">
        <v>26.248403225806456</v>
      </c>
      <c r="AM3654" s="19">
        <v>36.780048387096784</v>
      </c>
      <c r="AO3654" s="23">
        <v>6.7825183870967711</v>
      </c>
    </row>
    <row r="3655" spans="2:41" x14ac:dyDescent="0.25">
      <c r="B3655" s="21">
        <v>45901</v>
      </c>
      <c r="C3655" s="91">
        <v>18.643999999999998</v>
      </c>
      <c r="E3655" s="83">
        <v>0.85389099999999996</v>
      </c>
      <c r="G3655" s="84">
        <v>1354.27</v>
      </c>
      <c r="I3655" s="85">
        <v>6.9000199999999996</v>
      </c>
      <c r="K3655" s="85">
        <v>5.4360999999999997</v>
      </c>
      <c r="M3655" s="84">
        <v>967.06799999999998</v>
      </c>
      <c r="O3655" s="86">
        <v>4017.44</v>
      </c>
      <c r="Q3655" s="86">
        <v>7216.22</v>
      </c>
      <c r="S3655" s="86">
        <v>1327.46</v>
      </c>
      <c r="U3655" s="85">
        <v>3.5314399999999999</v>
      </c>
      <c r="W3655" s="81">
        <v>39.959000000000003</v>
      </c>
      <c r="Y3655" s="81">
        <v>7.3506799999999997</v>
      </c>
      <c r="AA3655" s="84">
        <v>504.892</v>
      </c>
      <c r="AC3655" s="81">
        <v>62.841799999999999</v>
      </c>
      <c r="AE3655" s="87">
        <v>1</v>
      </c>
      <c r="AG3655" s="85">
        <v>7.6573599999999997</v>
      </c>
      <c r="AI3655" s="86">
        <v>8.75</v>
      </c>
      <c r="AK3655" s="81">
        <v>26.155999999999999</v>
      </c>
      <c r="AM3655" s="81">
        <v>36.7712</v>
      </c>
      <c r="AO3655" s="85">
        <v>6.7838200000000004</v>
      </c>
    </row>
    <row r="3656" spans="2:41" x14ac:dyDescent="0.25">
      <c r="B3656" s="21">
        <v>45902</v>
      </c>
      <c r="C3656" s="91">
        <v>18.646000000000001</v>
      </c>
      <c r="E3656" s="83">
        <v>0.85763400000000001</v>
      </c>
      <c r="G3656" s="84">
        <v>1370.17</v>
      </c>
      <c r="I3656" s="85">
        <v>6.9111799999999999</v>
      </c>
      <c r="K3656" s="85">
        <v>5.4541000000000004</v>
      </c>
      <c r="M3656" s="84">
        <v>970.93200000000002</v>
      </c>
      <c r="O3656" s="86">
        <v>4013.5</v>
      </c>
      <c r="Q3656" s="86">
        <v>7226.68</v>
      </c>
      <c r="S3656" s="86">
        <v>1325</v>
      </c>
      <c r="U3656" s="85">
        <v>3.53653</v>
      </c>
      <c r="W3656" s="81">
        <v>40.024700000000003</v>
      </c>
      <c r="Y3656" s="81">
        <v>7.3384799999999997</v>
      </c>
      <c r="AA3656" s="84">
        <v>505.70299999999997</v>
      </c>
      <c r="AC3656" s="81">
        <v>63.018599999999999</v>
      </c>
      <c r="AE3656" s="87">
        <v>1</v>
      </c>
      <c r="AG3656" s="85">
        <v>7.6682399999999999</v>
      </c>
      <c r="AI3656" s="86">
        <v>8.75</v>
      </c>
      <c r="AK3656" s="81">
        <v>26.239899999999999</v>
      </c>
      <c r="AM3656" s="81">
        <v>36.816099999999999</v>
      </c>
      <c r="AO3656" s="85">
        <v>6.78735</v>
      </c>
    </row>
    <row r="3657" spans="2:41" x14ac:dyDescent="0.25">
      <c r="B3657" s="21">
        <v>45903</v>
      </c>
      <c r="C3657" s="91">
        <v>18.7072</v>
      </c>
      <c r="E3657" s="83">
        <v>0.85838599999999998</v>
      </c>
      <c r="G3657" s="84">
        <v>1360</v>
      </c>
      <c r="I3657" s="85">
        <v>6.9085000000000001</v>
      </c>
      <c r="K3657" s="85">
        <v>5.4616800000000003</v>
      </c>
      <c r="M3657" s="84">
        <v>971.43399999999997</v>
      </c>
      <c r="O3657" s="86">
        <v>4005.28</v>
      </c>
      <c r="Q3657" s="86">
        <v>7220.46</v>
      </c>
      <c r="S3657" s="86">
        <v>1322.02</v>
      </c>
      <c r="U3657" s="85">
        <v>3.5367199999999999</v>
      </c>
      <c r="W3657" s="81">
        <v>40.020600000000002</v>
      </c>
      <c r="Y3657" s="81">
        <v>7.3275399999999999</v>
      </c>
      <c r="AA3657" s="84">
        <v>505.58600000000001</v>
      </c>
      <c r="AC3657" s="81">
        <v>63.135800000000003</v>
      </c>
      <c r="AE3657" s="87">
        <v>1</v>
      </c>
      <c r="AG3657" s="85">
        <v>7.6675899999999997</v>
      </c>
      <c r="AI3657" s="86">
        <v>8.75</v>
      </c>
      <c r="AK3657" s="81">
        <v>26.3048</v>
      </c>
      <c r="AM3657" s="81">
        <v>36.8003</v>
      </c>
      <c r="AO3657" s="85">
        <v>6.7763200000000001</v>
      </c>
    </row>
    <row r="3658" spans="2:41" x14ac:dyDescent="0.25">
      <c r="B3658" s="21">
        <v>45904</v>
      </c>
      <c r="C3658" s="91">
        <v>18.6873</v>
      </c>
      <c r="E3658" s="83">
        <v>0.85841400000000001</v>
      </c>
      <c r="G3658" s="84">
        <v>1361.6</v>
      </c>
      <c r="I3658" s="85">
        <v>6.9077400000000004</v>
      </c>
      <c r="K3658" s="85">
        <v>5.4524699999999999</v>
      </c>
      <c r="M3658" s="84">
        <v>969.99199999999996</v>
      </c>
      <c r="O3658" s="86">
        <v>3998.45</v>
      </c>
      <c r="Q3658" s="86">
        <v>7213.34</v>
      </c>
      <c r="S3658" s="86">
        <v>1322.96</v>
      </c>
      <c r="U3658" s="85">
        <v>3.5319400000000001</v>
      </c>
      <c r="W3658" s="81">
        <v>40.032200000000003</v>
      </c>
      <c r="Y3658" s="81">
        <v>7.3420500000000004</v>
      </c>
      <c r="AA3658" s="84">
        <v>505.62099999999998</v>
      </c>
      <c r="AC3658" s="81">
        <v>63.277799999999999</v>
      </c>
      <c r="AE3658" s="87">
        <v>1</v>
      </c>
      <c r="AG3658" s="85">
        <v>7.66838</v>
      </c>
      <c r="AI3658" s="86">
        <v>8.75</v>
      </c>
      <c r="AK3658" s="81">
        <v>26.177800000000001</v>
      </c>
      <c r="AM3658" s="81">
        <v>36.761200000000002</v>
      </c>
      <c r="AO3658" s="85">
        <v>6.7782600000000004</v>
      </c>
    </row>
    <row r="3659" spans="2:41" x14ac:dyDescent="0.25">
      <c r="B3659" s="21">
        <v>45905</v>
      </c>
      <c r="C3659" s="91">
        <v>18.7577</v>
      </c>
      <c r="E3659" s="83">
        <v>0.85465800000000003</v>
      </c>
      <c r="G3659" s="84">
        <v>1363.82</v>
      </c>
      <c r="I3659" s="85">
        <v>6.9121199999999998</v>
      </c>
      <c r="K3659" s="85">
        <v>5.4269400000000001</v>
      </c>
      <c r="M3659" s="84">
        <v>969.15</v>
      </c>
      <c r="O3659" s="86">
        <v>3976.4</v>
      </c>
      <c r="Q3659" s="86">
        <v>7210.82</v>
      </c>
      <c r="S3659" s="86">
        <v>1328.71</v>
      </c>
      <c r="U3659" s="85">
        <v>3.5233400000000001</v>
      </c>
      <c r="W3659" s="81">
        <v>40.098999999999997</v>
      </c>
      <c r="Y3659" s="81">
        <v>7.3889100000000001</v>
      </c>
      <c r="AA3659" s="84">
        <v>506.39</v>
      </c>
      <c r="AC3659" s="81">
        <v>63.351199999999999</v>
      </c>
      <c r="AE3659" s="87">
        <v>1</v>
      </c>
      <c r="AG3659" s="85">
        <v>7.6724899999999998</v>
      </c>
      <c r="AI3659" s="86">
        <v>8.75</v>
      </c>
      <c r="AK3659" s="81">
        <v>26.192</v>
      </c>
      <c r="AM3659" s="81">
        <v>36.781599999999997</v>
      </c>
      <c r="AO3659" s="85">
        <v>6.7843600000000004</v>
      </c>
    </row>
    <row r="3660" spans="2:41" x14ac:dyDescent="0.25">
      <c r="B3660" s="21">
        <v>45906</v>
      </c>
      <c r="C3660" s="91">
        <v>18.7577</v>
      </c>
      <c r="E3660" s="83">
        <v>0.85338400000000003</v>
      </c>
      <c r="G3660" s="84">
        <v>1364.74</v>
      </c>
      <c r="I3660" s="85">
        <v>6.9119700000000002</v>
      </c>
      <c r="K3660" s="85">
        <v>5.4133199999999997</v>
      </c>
      <c r="M3660" s="84">
        <v>965.37400000000002</v>
      </c>
      <c r="O3660" s="86">
        <v>3958.22</v>
      </c>
      <c r="Q3660" s="86">
        <v>7211.18</v>
      </c>
      <c r="S3660" s="86">
        <v>1332.12</v>
      </c>
      <c r="U3660" s="85">
        <v>3.5219800000000001</v>
      </c>
      <c r="W3660" s="81">
        <v>40.121400000000001</v>
      </c>
      <c r="Y3660" s="81">
        <v>7.4116200000000001</v>
      </c>
      <c r="AA3660" s="84">
        <v>506.63099999999997</v>
      </c>
      <c r="AC3660" s="81">
        <v>63.464199999999998</v>
      </c>
      <c r="AE3660" s="87">
        <v>1</v>
      </c>
      <c r="AG3660" s="85">
        <v>7.6720800000000002</v>
      </c>
      <c r="AI3660" s="86">
        <v>8.75</v>
      </c>
      <c r="AK3660" s="81">
        <v>26.161000000000001</v>
      </c>
      <c r="AM3660" s="81">
        <v>36.725000000000001</v>
      </c>
      <c r="AO3660" s="85">
        <v>6.7764100000000003</v>
      </c>
    </row>
    <row r="3661" spans="2:41" x14ac:dyDescent="0.25">
      <c r="B3661" s="21">
        <v>45907</v>
      </c>
      <c r="C3661" s="91">
        <v>18.7577</v>
      </c>
      <c r="E3661" s="83">
        <v>0.85343199999999997</v>
      </c>
      <c r="G3661" s="84">
        <v>1364.76</v>
      </c>
      <c r="I3661" s="85">
        <v>6.9116999999999997</v>
      </c>
      <c r="K3661" s="85">
        <v>5.4133300000000002</v>
      </c>
      <c r="M3661" s="84">
        <v>965.39800000000002</v>
      </c>
      <c r="O3661" s="86">
        <v>3958.41</v>
      </c>
      <c r="Q3661" s="86">
        <v>7210.71</v>
      </c>
      <c r="S3661" s="86">
        <v>1332.03</v>
      </c>
      <c r="U3661" s="85">
        <v>3.5219</v>
      </c>
      <c r="W3661" s="81">
        <v>40.118000000000002</v>
      </c>
      <c r="Y3661" s="81">
        <v>7.4109800000000003</v>
      </c>
      <c r="AA3661" s="84">
        <v>506.59800000000001</v>
      </c>
      <c r="AC3661" s="81">
        <v>63.449399999999997</v>
      </c>
      <c r="AE3661" s="87">
        <v>1</v>
      </c>
      <c r="AG3661" s="85">
        <v>7.6719200000000001</v>
      </c>
      <c r="AI3661" s="86">
        <v>8.75</v>
      </c>
      <c r="AK3661" s="81">
        <v>26.160599999999999</v>
      </c>
      <c r="AM3661" s="81">
        <v>36.725900000000003</v>
      </c>
      <c r="AO3661" s="85">
        <v>6.7773599999999998</v>
      </c>
    </row>
    <row r="3662" spans="2:41" x14ac:dyDescent="0.25">
      <c r="B3662" s="21">
        <v>45908</v>
      </c>
      <c r="C3662" s="91">
        <v>18.679200000000002</v>
      </c>
      <c r="E3662" s="83">
        <v>0.85208799999999996</v>
      </c>
      <c r="G3662" s="84">
        <v>1389.34</v>
      </c>
      <c r="I3662" s="85">
        <v>6.9191200000000004</v>
      </c>
      <c r="K3662" s="85">
        <v>5.4188700000000001</v>
      </c>
      <c r="M3662" s="84">
        <v>967.58600000000001</v>
      </c>
      <c r="O3662" s="86">
        <v>3954.29</v>
      </c>
      <c r="Q3662" s="86">
        <v>7194.01</v>
      </c>
      <c r="S3662" s="86">
        <v>1327.58</v>
      </c>
      <c r="U3662" s="85">
        <v>3.5161500000000001</v>
      </c>
      <c r="W3662" s="81">
        <v>40.069600000000001</v>
      </c>
      <c r="Y3662" s="81">
        <v>7.3944599999999996</v>
      </c>
      <c r="AA3662" s="84">
        <v>505.38600000000002</v>
      </c>
      <c r="AC3662" s="81">
        <v>63.326000000000001</v>
      </c>
      <c r="AE3662" s="87">
        <v>1</v>
      </c>
      <c r="AG3662" s="85">
        <v>7.6673099999999996</v>
      </c>
      <c r="AI3662" s="86">
        <v>8.75</v>
      </c>
      <c r="AK3662" s="81">
        <v>26.168199999999999</v>
      </c>
      <c r="AM3662" s="81">
        <v>36.7502</v>
      </c>
      <c r="AO3662" s="85">
        <v>6.7779199999999999</v>
      </c>
    </row>
    <row r="3663" spans="2:41" x14ac:dyDescent="0.25">
      <c r="B3663" s="21">
        <v>45909</v>
      </c>
      <c r="C3663" s="91">
        <v>18.655000000000001</v>
      </c>
      <c r="E3663" s="83">
        <v>0.85163999999999995</v>
      </c>
      <c r="G3663" s="84">
        <v>1420.45</v>
      </c>
      <c r="I3663" s="85">
        <v>6.9221300000000001</v>
      </c>
      <c r="K3663" s="85">
        <v>5.4266399999999999</v>
      </c>
      <c r="M3663" s="84">
        <v>969.03700000000003</v>
      </c>
      <c r="O3663" s="86">
        <v>3932.4</v>
      </c>
      <c r="Q3663" s="86">
        <v>7171.14</v>
      </c>
      <c r="S3663" s="86">
        <v>1321.48</v>
      </c>
      <c r="U3663" s="85">
        <v>3.5035599999999998</v>
      </c>
      <c r="W3663" s="81">
        <v>40.024000000000001</v>
      </c>
      <c r="Y3663" s="81">
        <v>7.3754799999999996</v>
      </c>
      <c r="AA3663" s="84">
        <v>504.62900000000002</v>
      </c>
      <c r="AC3663" s="81">
        <v>63.633299999999998</v>
      </c>
      <c r="AE3663" s="87">
        <v>1</v>
      </c>
      <c r="AG3663" s="85">
        <v>7.6644899999999998</v>
      </c>
      <c r="AI3663" s="86">
        <v>8.75</v>
      </c>
      <c r="AK3663" s="81">
        <v>26.1738</v>
      </c>
      <c r="AM3663" s="81">
        <v>36.732799999999997</v>
      </c>
      <c r="AO3663" s="85">
        <v>6.7803800000000001</v>
      </c>
    </row>
    <row r="3664" spans="2:41" x14ac:dyDescent="0.25">
      <c r="B3664" s="21">
        <v>45910</v>
      </c>
      <c r="C3664" s="91">
        <v>18.635300000000001</v>
      </c>
      <c r="E3664" s="83">
        <v>0.85427600000000004</v>
      </c>
      <c r="G3664" s="84">
        <v>1418.52</v>
      </c>
      <c r="I3664" s="85">
        <v>6.9244199999999996</v>
      </c>
      <c r="K3664" s="85">
        <v>5.42258</v>
      </c>
      <c r="M3664" s="84">
        <v>965.12599999999998</v>
      </c>
      <c r="O3664" s="86">
        <v>3923.3</v>
      </c>
      <c r="Q3664" s="86">
        <v>7177.54</v>
      </c>
      <c r="S3664" s="86">
        <v>1323.64</v>
      </c>
      <c r="U3664" s="85">
        <v>3.4895100000000001</v>
      </c>
      <c r="W3664" s="81">
        <v>40.049199999999999</v>
      </c>
      <c r="Y3664" s="81">
        <v>7.3856700000000002</v>
      </c>
      <c r="AA3664" s="84">
        <v>505.30200000000002</v>
      </c>
      <c r="AC3664" s="81">
        <v>63.743000000000002</v>
      </c>
      <c r="AE3664" s="87">
        <v>1</v>
      </c>
      <c r="AG3664" s="85">
        <v>7.6755699999999996</v>
      </c>
      <c r="AI3664" s="86">
        <v>8.75</v>
      </c>
      <c r="AK3664" s="81">
        <v>26.228100000000001</v>
      </c>
      <c r="AM3664" s="81">
        <v>36.828400000000002</v>
      </c>
      <c r="AO3664" s="85">
        <v>6.7968999999999999</v>
      </c>
    </row>
    <row r="3665" spans="2:41" x14ac:dyDescent="0.25">
      <c r="B3665" s="21">
        <v>45911</v>
      </c>
      <c r="C3665" s="91">
        <v>18.591999999999999</v>
      </c>
      <c r="E3665" s="83">
        <v>0.853792</v>
      </c>
      <c r="G3665" s="84">
        <v>1427.11</v>
      </c>
      <c r="I3665" s="85">
        <v>6.9129800000000001</v>
      </c>
      <c r="K3665" s="85">
        <v>5.3981599999999998</v>
      </c>
      <c r="M3665" s="84">
        <v>958.46699999999998</v>
      </c>
      <c r="O3665" s="86">
        <v>3913.98</v>
      </c>
      <c r="Q3665" s="86">
        <v>7163.68</v>
      </c>
      <c r="S3665" s="86">
        <v>1327.06</v>
      </c>
      <c r="U3665" s="85">
        <v>3.4830800000000002</v>
      </c>
      <c r="W3665" s="81">
        <v>39.993099999999998</v>
      </c>
      <c r="Y3665" s="81">
        <v>7.4086600000000002</v>
      </c>
      <c r="AA3665" s="84">
        <v>504.166</v>
      </c>
      <c r="AC3665" s="81">
        <v>63.619900000000001</v>
      </c>
      <c r="AE3665" s="87">
        <v>1</v>
      </c>
      <c r="AG3665" s="85">
        <v>7.6628999999999996</v>
      </c>
      <c r="AI3665" s="86">
        <v>8.75</v>
      </c>
      <c r="AK3665" s="81">
        <v>26.193999999999999</v>
      </c>
      <c r="AM3665" s="81">
        <v>36.7866</v>
      </c>
      <c r="AO3665" s="85">
        <v>6.7916600000000003</v>
      </c>
    </row>
    <row r="3666" spans="2:41" x14ac:dyDescent="0.25">
      <c r="B3666" s="21">
        <v>45912</v>
      </c>
      <c r="C3666" s="91">
        <v>18.528700000000001</v>
      </c>
      <c r="E3666" s="83">
        <v>0.85267199999999999</v>
      </c>
      <c r="G3666" s="84">
        <v>1441.04</v>
      </c>
      <c r="I3666" s="85">
        <v>6.9020400000000004</v>
      </c>
      <c r="K3666" s="85">
        <v>5.3750200000000001</v>
      </c>
      <c r="M3666" s="84">
        <v>953.08399999999995</v>
      </c>
      <c r="O3666" s="86">
        <v>3898.5</v>
      </c>
      <c r="Q3666" s="86">
        <v>7145.08</v>
      </c>
      <c r="S3666" s="86">
        <v>1329.32</v>
      </c>
      <c r="U3666" s="85">
        <v>3.48298</v>
      </c>
      <c r="W3666" s="81">
        <v>39.974899999999998</v>
      </c>
      <c r="Y3666" s="81">
        <v>7.4371999999999998</v>
      </c>
      <c r="AA3666" s="84">
        <v>503.24599999999998</v>
      </c>
      <c r="AC3666" s="81">
        <v>63.3566</v>
      </c>
      <c r="AE3666" s="87">
        <v>1</v>
      </c>
      <c r="AG3666" s="85">
        <v>7.6543999999999999</v>
      </c>
      <c r="AI3666" s="86">
        <v>8.75</v>
      </c>
      <c r="AK3666" s="81">
        <v>26.155799999999999</v>
      </c>
      <c r="AM3666" s="81">
        <v>36.739600000000003</v>
      </c>
      <c r="AO3666" s="85">
        <v>6.7865799999999998</v>
      </c>
    </row>
    <row r="3667" spans="2:41" x14ac:dyDescent="0.25">
      <c r="B3667" s="21">
        <v>45913</v>
      </c>
      <c r="C3667" s="91">
        <v>18.528700000000001</v>
      </c>
      <c r="E3667" s="83">
        <v>0.85214100000000004</v>
      </c>
      <c r="G3667" s="84">
        <v>1454.32</v>
      </c>
      <c r="I3667" s="85">
        <v>6.9123000000000001</v>
      </c>
      <c r="K3667" s="85">
        <v>5.3543200000000004</v>
      </c>
      <c r="M3667" s="84">
        <v>954.71500000000003</v>
      </c>
      <c r="O3667" s="86">
        <v>3897.98</v>
      </c>
      <c r="Q3667" s="86">
        <v>7152.25</v>
      </c>
      <c r="S3667" s="86">
        <v>1335.79</v>
      </c>
      <c r="U3667" s="85">
        <v>3.4916999999999998</v>
      </c>
      <c r="W3667" s="81">
        <v>40.053199999999997</v>
      </c>
      <c r="Y3667" s="81">
        <v>7.4805599999999997</v>
      </c>
      <c r="AA3667" s="84">
        <v>503.858</v>
      </c>
      <c r="AC3667" s="81">
        <v>63.158700000000003</v>
      </c>
      <c r="AE3667" s="87">
        <v>1</v>
      </c>
      <c r="AG3667" s="85">
        <v>7.6680299999999999</v>
      </c>
      <c r="AI3667" s="86">
        <v>8.75</v>
      </c>
      <c r="AK3667" s="81">
        <v>26.184999999999999</v>
      </c>
      <c r="AM3667" s="81">
        <v>36.765000000000001</v>
      </c>
      <c r="AO3667" s="85">
        <v>6.7943800000000003</v>
      </c>
    </row>
    <row r="3668" spans="2:41" x14ac:dyDescent="0.25">
      <c r="B3668" s="21">
        <v>45914</v>
      </c>
      <c r="C3668" s="91">
        <v>18.528700000000001</v>
      </c>
      <c r="E3668" s="83">
        <v>0.852186</v>
      </c>
      <c r="G3668" s="84">
        <v>1453.52</v>
      </c>
      <c r="I3668" s="85">
        <v>6.9123099999999997</v>
      </c>
      <c r="K3668" s="85">
        <v>5.35398</v>
      </c>
      <c r="M3668" s="84">
        <v>954.56200000000001</v>
      </c>
      <c r="O3668" s="86">
        <v>3897.75</v>
      </c>
      <c r="Q3668" s="86">
        <v>7151.92</v>
      </c>
      <c r="S3668" s="86">
        <v>1335.82</v>
      </c>
      <c r="U3668" s="85">
        <v>3.4912800000000002</v>
      </c>
      <c r="W3668" s="81">
        <v>40.054600000000001</v>
      </c>
      <c r="Y3668" s="81">
        <v>7.4813000000000001</v>
      </c>
      <c r="AA3668" s="84">
        <v>503.86</v>
      </c>
      <c r="AC3668" s="81">
        <v>63.180799999999998</v>
      </c>
      <c r="AE3668" s="87">
        <v>1</v>
      </c>
      <c r="AG3668" s="85">
        <v>7.66812</v>
      </c>
      <c r="AI3668" s="86">
        <v>8.75</v>
      </c>
      <c r="AK3668" s="81">
        <v>26.186800000000002</v>
      </c>
      <c r="AM3668" s="81">
        <v>36.768900000000002</v>
      </c>
      <c r="AO3668" s="85">
        <v>6.7948599999999999</v>
      </c>
    </row>
    <row r="3669" spans="2:41" x14ac:dyDescent="0.25">
      <c r="B3669" s="21">
        <v>45915</v>
      </c>
      <c r="C3669" s="91">
        <v>18.4757</v>
      </c>
      <c r="E3669" s="83">
        <v>0.85107600000000005</v>
      </c>
      <c r="G3669" s="84">
        <v>1458.38</v>
      </c>
      <c r="I3669" s="85">
        <v>6.9171199999999997</v>
      </c>
      <c r="K3669" s="85">
        <v>5.3369200000000001</v>
      </c>
      <c r="M3669" s="84">
        <v>952.23699999999997</v>
      </c>
      <c r="O3669" s="86">
        <v>3898.92</v>
      </c>
      <c r="Q3669" s="86">
        <v>7142.57</v>
      </c>
      <c r="S3669" s="86">
        <v>1338.33</v>
      </c>
      <c r="U3669" s="85">
        <v>3.4897399999999998</v>
      </c>
      <c r="W3669" s="81">
        <v>40.108400000000003</v>
      </c>
      <c r="Y3669" s="81">
        <v>7.5152799999999997</v>
      </c>
      <c r="AA3669" s="84">
        <v>503.73</v>
      </c>
      <c r="AC3669" s="81">
        <v>63.1706</v>
      </c>
      <c r="AE3669" s="87">
        <v>1</v>
      </c>
      <c r="AG3669" s="85">
        <v>7.66587</v>
      </c>
      <c r="AI3669" s="86">
        <v>8.75</v>
      </c>
      <c r="AK3669" s="81">
        <v>26.1966</v>
      </c>
      <c r="AM3669" s="81">
        <v>36.786799999999999</v>
      </c>
      <c r="AO3669" s="85">
        <v>6.7922799999999999</v>
      </c>
    </row>
    <row r="3670" spans="2:41" x14ac:dyDescent="0.25">
      <c r="B3670" s="21">
        <v>45916</v>
      </c>
      <c r="C3670" s="91">
        <v>18.4757</v>
      </c>
      <c r="E3670" s="83">
        <v>0.84609000000000001</v>
      </c>
      <c r="G3670" s="84">
        <v>1466.42</v>
      </c>
      <c r="I3670" s="85">
        <v>6.9170800000000003</v>
      </c>
      <c r="K3670" s="85">
        <v>5.3096399999999999</v>
      </c>
      <c r="M3670" s="84">
        <v>950.02599999999995</v>
      </c>
      <c r="O3670" s="86">
        <v>3893.73</v>
      </c>
      <c r="Q3670" s="86">
        <v>7137.84</v>
      </c>
      <c r="S3670" s="86">
        <v>1344.32</v>
      </c>
      <c r="U3670" s="85">
        <v>3.4887199999999998</v>
      </c>
      <c r="W3670" s="81">
        <v>40.168799999999997</v>
      </c>
      <c r="Y3670" s="81">
        <v>7.5652699999999999</v>
      </c>
      <c r="AA3670" s="84">
        <v>503.72699999999998</v>
      </c>
      <c r="AC3670" s="81">
        <v>62.829599999999999</v>
      </c>
      <c r="AE3670" s="87">
        <v>1</v>
      </c>
      <c r="AG3670" s="85">
        <v>7.6654200000000001</v>
      </c>
      <c r="AI3670" s="86">
        <v>8.75</v>
      </c>
      <c r="AK3670" s="81">
        <v>26.193899999999999</v>
      </c>
      <c r="AM3670" s="81">
        <v>36.756799999999998</v>
      </c>
      <c r="AO3670" s="85">
        <v>6.7891300000000001</v>
      </c>
    </row>
    <row r="3671" spans="2:41" x14ac:dyDescent="0.25">
      <c r="B3671" s="21">
        <v>45917</v>
      </c>
      <c r="C3671" s="91">
        <v>18.363499999999998</v>
      </c>
      <c r="E3671" s="83">
        <v>0.84423800000000004</v>
      </c>
      <c r="G3671" s="84">
        <v>1471.08</v>
      </c>
      <c r="I3671" s="85">
        <v>6.8942800000000002</v>
      </c>
      <c r="K3671" s="85">
        <v>5.3001500000000004</v>
      </c>
      <c r="M3671" s="84">
        <v>949.44600000000003</v>
      </c>
      <c r="O3671" s="86">
        <v>3877.94</v>
      </c>
      <c r="Q3671" s="86">
        <v>7119.1</v>
      </c>
      <c r="S3671" s="86">
        <v>1343.19</v>
      </c>
      <c r="U3671" s="85">
        <v>3.4780600000000002</v>
      </c>
      <c r="W3671" s="81">
        <v>40.073700000000002</v>
      </c>
      <c r="Y3671" s="81">
        <v>7.5608700000000004</v>
      </c>
      <c r="AA3671" s="84">
        <v>503.07600000000002</v>
      </c>
      <c r="AC3671" s="81">
        <v>62.348799999999997</v>
      </c>
      <c r="AE3671" s="87">
        <v>1</v>
      </c>
      <c r="AG3671" s="85">
        <v>7.6508399999999996</v>
      </c>
      <c r="AI3671" s="86">
        <v>8.75</v>
      </c>
      <c r="AK3671" s="81">
        <v>26.178999999999998</v>
      </c>
      <c r="AM3671" s="81">
        <v>36.756</v>
      </c>
      <c r="AO3671" s="85">
        <v>6.7768600000000001</v>
      </c>
    </row>
    <row r="3672" spans="2:41" x14ac:dyDescent="0.25">
      <c r="B3672" s="21">
        <v>45918</v>
      </c>
      <c r="C3672" s="91">
        <v>18.325700000000001</v>
      </c>
      <c r="E3672" s="83">
        <v>0.84733599999999998</v>
      </c>
      <c r="G3672" s="84">
        <v>1473.95</v>
      </c>
      <c r="I3672" s="85">
        <v>6.9103000000000003</v>
      </c>
      <c r="K3672" s="85">
        <v>5.3071400000000004</v>
      </c>
      <c r="M3672" s="84">
        <v>953.12599999999998</v>
      </c>
      <c r="O3672" s="86">
        <v>3883.46</v>
      </c>
      <c r="Q3672" s="86">
        <v>7131.5</v>
      </c>
      <c r="S3672" s="86">
        <v>1343.76</v>
      </c>
      <c r="U3672" s="85">
        <v>3.4802200000000001</v>
      </c>
      <c r="W3672" s="81">
        <v>40.107999999999997</v>
      </c>
      <c r="Y3672" s="81">
        <v>7.5573899999999998</v>
      </c>
      <c r="AA3672" s="84">
        <v>504.14400000000001</v>
      </c>
      <c r="AC3672" s="81">
        <v>62.153799999999997</v>
      </c>
      <c r="AE3672" s="87">
        <v>1</v>
      </c>
      <c r="AG3672" s="85">
        <v>7.6638200000000003</v>
      </c>
      <c r="AI3672" s="86">
        <v>8.75</v>
      </c>
      <c r="AK3672" s="81">
        <v>26.215800000000002</v>
      </c>
      <c r="AM3672" s="81">
        <v>36.796199999999999</v>
      </c>
      <c r="AO3672" s="85">
        <v>6.7834199999999996</v>
      </c>
    </row>
    <row r="3673" spans="2:41" x14ac:dyDescent="0.25">
      <c r="B3673" s="21">
        <v>45919</v>
      </c>
      <c r="C3673" s="91">
        <v>18.361000000000001</v>
      </c>
      <c r="E3673" s="83">
        <v>0.85036400000000001</v>
      </c>
      <c r="G3673" s="84">
        <v>1474.8</v>
      </c>
      <c r="I3673" s="85">
        <v>6.9140199999999998</v>
      </c>
      <c r="K3673" s="85">
        <v>5.3173399999999997</v>
      </c>
      <c r="M3673" s="84">
        <v>954.71299999999997</v>
      </c>
      <c r="O3673" s="86">
        <v>3893.78</v>
      </c>
      <c r="Q3673" s="86">
        <v>7130.34</v>
      </c>
      <c r="S3673" s="86">
        <v>1340.96</v>
      </c>
      <c r="U3673" s="85">
        <v>3.4877799999999999</v>
      </c>
      <c r="W3673" s="81">
        <v>40.014400000000002</v>
      </c>
      <c r="Y3673" s="81">
        <v>7.52529</v>
      </c>
      <c r="AA3673" s="84">
        <v>504.67700000000002</v>
      </c>
      <c r="AC3673" s="81">
        <v>62.146099999999997</v>
      </c>
      <c r="AE3673" s="87">
        <v>1</v>
      </c>
      <c r="AG3673" s="85">
        <v>7.6678699999999997</v>
      </c>
      <c r="AI3673" s="86">
        <v>8.75</v>
      </c>
      <c r="AK3673" s="81">
        <v>26.2239</v>
      </c>
      <c r="AM3673" s="81">
        <v>36.803400000000003</v>
      </c>
      <c r="AO3673" s="85">
        <v>6.7783100000000003</v>
      </c>
    </row>
    <row r="3674" spans="2:41" x14ac:dyDescent="0.25">
      <c r="B3674" s="21">
        <v>45920</v>
      </c>
      <c r="C3674" s="91">
        <v>18.361000000000001</v>
      </c>
      <c r="E3674" s="83">
        <v>0.85135000000000005</v>
      </c>
      <c r="G3674" s="84">
        <v>1475.1</v>
      </c>
      <c r="I3674" s="85">
        <v>6.9115599999999997</v>
      </c>
      <c r="K3674" s="85">
        <v>5.3256800000000002</v>
      </c>
      <c r="M3674" s="84">
        <v>955.255</v>
      </c>
      <c r="O3674" s="86">
        <v>3892.34</v>
      </c>
      <c r="Q3674" s="86">
        <v>7124.52</v>
      </c>
      <c r="S3674" s="86">
        <v>1337.77</v>
      </c>
      <c r="U3674" s="85">
        <v>3.4915099999999999</v>
      </c>
      <c r="W3674" s="81">
        <v>39.932299999999998</v>
      </c>
      <c r="Y3674" s="81">
        <v>7.4980900000000004</v>
      </c>
      <c r="AA3674" s="84">
        <v>504.49200000000002</v>
      </c>
      <c r="AC3674" s="81">
        <v>62.081200000000003</v>
      </c>
      <c r="AE3674" s="87">
        <v>1</v>
      </c>
      <c r="AG3674" s="85">
        <v>7.6619599999999997</v>
      </c>
      <c r="AI3674" s="86">
        <v>8.75</v>
      </c>
      <c r="AK3674" s="81">
        <v>26.220199999999998</v>
      </c>
      <c r="AM3674" s="81">
        <v>36.805999999999997</v>
      </c>
      <c r="AO3674" s="85">
        <v>6.7763</v>
      </c>
    </row>
    <row r="3675" spans="2:41" x14ac:dyDescent="0.25">
      <c r="B3675" s="21">
        <v>45921</v>
      </c>
      <c r="C3675" s="91">
        <v>18.361000000000001</v>
      </c>
      <c r="E3675" s="83">
        <v>0.85138499999999995</v>
      </c>
      <c r="G3675" s="84">
        <v>1475.28</v>
      </c>
      <c r="I3675" s="85">
        <v>6.9116400000000002</v>
      </c>
      <c r="K3675" s="85">
        <v>5.3256100000000002</v>
      </c>
      <c r="M3675" s="84">
        <v>955.25900000000001</v>
      </c>
      <c r="O3675" s="86">
        <v>3892.5</v>
      </c>
      <c r="Q3675" s="86">
        <v>7124.6</v>
      </c>
      <c r="S3675" s="86">
        <v>1337.8</v>
      </c>
      <c r="U3675" s="85">
        <v>3.4913599999999998</v>
      </c>
      <c r="W3675" s="81">
        <v>39.934899999999999</v>
      </c>
      <c r="Y3675" s="81">
        <v>7.4986600000000001</v>
      </c>
      <c r="AA3675" s="84">
        <v>504.46600000000001</v>
      </c>
      <c r="AC3675" s="81">
        <v>62.0809</v>
      </c>
      <c r="AE3675" s="87">
        <v>1</v>
      </c>
      <c r="AG3675" s="85">
        <v>7.6618899999999996</v>
      </c>
      <c r="AI3675" s="86">
        <v>8.75</v>
      </c>
      <c r="AK3675" s="81">
        <v>26.2212</v>
      </c>
      <c r="AM3675" s="81">
        <v>36.806100000000001</v>
      </c>
      <c r="AO3675" s="85">
        <v>6.7763799999999996</v>
      </c>
    </row>
    <row r="3676" spans="2:41" x14ac:dyDescent="0.25">
      <c r="B3676" s="21">
        <v>45922</v>
      </c>
      <c r="C3676" s="91">
        <v>18.389199999999999</v>
      </c>
      <c r="E3676" s="83">
        <v>0.84974799999999995</v>
      </c>
      <c r="G3676" s="84">
        <v>1452.18</v>
      </c>
      <c r="I3676" s="85">
        <v>6.9183300000000001</v>
      </c>
      <c r="K3676" s="85">
        <v>5.3354400000000002</v>
      </c>
      <c r="M3676" s="84">
        <v>955.60599999999999</v>
      </c>
      <c r="O3676" s="86">
        <v>3863.68</v>
      </c>
      <c r="Q3676" s="86">
        <v>7124.98</v>
      </c>
      <c r="S3676" s="86">
        <v>1335.41</v>
      </c>
      <c r="U3676" s="85">
        <v>3.49207</v>
      </c>
      <c r="W3676" s="81">
        <v>39.932000000000002</v>
      </c>
      <c r="Y3676" s="81">
        <v>7.4843000000000002</v>
      </c>
      <c r="AA3676" s="84">
        <v>504.49299999999999</v>
      </c>
      <c r="AC3676" s="81">
        <v>62.012599999999999</v>
      </c>
      <c r="AE3676" s="87">
        <v>1</v>
      </c>
      <c r="AG3676" s="85">
        <v>7.6592200000000004</v>
      </c>
      <c r="AI3676" s="86">
        <v>8.75</v>
      </c>
      <c r="AK3676" s="81">
        <v>26.226400000000002</v>
      </c>
      <c r="AM3676" s="81">
        <v>36.797600000000003</v>
      </c>
      <c r="AO3676" s="85">
        <v>6.77989</v>
      </c>
    </row>
    <row r="3677" spans="2:41" x14ac:dyDescent="0.25">
      <c r="B3677" s="21">
        <v>45923</v>
      </c>
      <c r="C3677" s="91">
        <v>18.408200000000001</v>
      </c>
      <c r="E3677" s="83">
        <v>0.84721500000000005</v>
      </c>
      <c r="G3677" s="84">
        <v>1389.28</v>
      </c>
      <c r="I3677" s="85">
        <v>6.9175300000000002</v>
      </c>
      <c r="K3677" s="85">
        <v>5.3160100000000003</v>
      </c>
      <c r="M3677" s="84">
        <v>953.19</v>
      </c>
      <c r="O3677" s="86">
        <v>3851.61</v>
      </c>
      <c r="Q3677" s="86">
        <v>7116.52</v>
      </c>
      <c r="S3677" s="86">
        <v>1338.7</v>
      </c>
      <c r="U3677" s="85">
        <v>3.5012500000000002</v>
      </c>
      <c r="W3677" s="81">
        <v>39.866</v>
      </c>
      <c r="Y3677" s="81">
        <v>7.4992599999999996</v>
      </c>
      <c r="AA3677" s="84">
        <v>504.37799999999999</v>
      </c>
      <c r="AC3677" s="81">
        <v>61.915300000000002</v>
      </c>
      <c r="AE3677" s="87">
        <v>1</v>
      </c>
      <c r="AG3677" s="85">
        <v>7.65984</v>
      </c>
      <c r="AI3677" s="86">
        <v>8.75</v>
      </c>
      <c r="AK3677" s="81">
        <v>26.208600000000001</v>
      </c>
      <c r="AM3677" s="81">
        <v>36.741199999999999</v>
      </c>
      <c r="AO3677" s="85">
        <v>6.7791199999999998</v>
      </c>
    </row>
    <row r="3678" spans="2:41" x14ac:dyDescent="0.25">
      <c r="B3678" s="21">
        <v>45924</v>
      </c>
      <c r="C3678" s="91">
        <v>18.3232</v>
      </c>
      <c r="E3678" s="83">
        <v>0.85009800000000002</v>
      </c>
      <c r="G3678" s="84">
        <v>1356.44</v>
      </c>
      <c r="I3678" s="85">
        <v>6.9142999999999999</v>
      </c>
      <c r="K3678" s="85">
        <v>5.3016800000000002</v>
      </c>
      <c r="M3678" s="84">
        <v>950.66</v>
      </c>
      <c r="O3678" s="86">
        <v>3871.9</v>
      </c>
      <c r="Q3678" s="86">
        <v>7115.3</v>
      </c>
      <c r="S3678" s="86">
        <v>1342.08</v>
      </c>
      <c r="U3678" s="85">
        <v>3.5019200000000001</v>
      </c>
      <c r="W3678" s="81">
        <v>39.886000000000003</v>
      </c>
      <c r="Y3678" s="81">
        <v>7.5232900000000003</v>
      </c>
      <c r="AA3678" s="84">
        <v>504.613</v>
      </c>
      <c r="AC3678" s="81">
        <v>62.138199999999998</v>
      </c>
      <c r="AE3678" s="87">
        <v>1</v>
      </c>
      <c r="AG3678" s="85">
        <v>7.6632600000000002</v>
      </c>
      <c r="AI3678" s="86">
        <v>8.75</v>
      </c>
      <c r="AK3678" s="81">
        <v>26.1998</v>
      </c>
      <c r="AM3678" s="81">
        <v>36.729900000000001</v>
      </c>
      <c r="AO3678" s="85">
        <v>6.7876399999999997</v>
      </c>
    </row>
    <row r="3679" spans="2:41" x14ac:dyDescent="0.25">
      <c r="B3679" s="21">
        <v>45925</v>
      </c>
      <c r="C3679" s="91">
        <v>18.4312</v>
      </c>
      <c r="E3679" s="83">
        <v>0.85401800000000005</v>
      </c>
      <c r="G3679" s="84">
        <v>1335.73</v>
      </c>
      <c r="I3679" s="85">
        <v>6.9133899999999997</v>
      </c>
      <c r="K3679" s="85">
        <v>5.3417599999999998</v>
      </c>
      <c r="M3679" s="84">
        <v>955.19</v>
      </c>
      <c r="O3679" s="86">
        <v>3892.8</v>
      </c>
      <c r="Q3679" s="86">
        <v>7102.94</v>
      </c>
      <c r="S3679" s="86">
        <v>1329.7</v>
      </c>
      <c r="U3679" s="85">
        <v>3.5028800000000002</v>
      </c>
      <c r="W3679" s="81">
        <v>39.902299999999997</v>
      </c>
      <c r="Y3679" s="81">
        <v>7.4698799999999999</v>
      </c>
      <c r="AA3679" s="84">
        <v>504.66199999999998</v>
      </c>
      <c r="AC3679" s="81">
        <v>62.071199999999997</v>
      </c>
      <c r="AE3679" s="87">
        <v>1</v>
      </c>
      <c r="AG3679" s="85">
        <v>7.6644699999999997</v>
      </c>
      <c r="AI3679" s="86">
        <v>8.75</v>
      </c>
      <c r="AK3679" s="81">
        <v>26.2362</v>
      </c>
      <c r="AM3679" s="81">
        <v>36.774500000000003</v>
      </c>
      <c r="AO3679" s="85">
        <v>6.7893499999999998</v>
      </c>
    </row>
    <row r="3680" spans="2:41" x14ac:dyDescent="0.25">
      <c r="B3680" s="21">
        <v>45926</v>
      </c>
      <c r="C3680" s="91">
        <v>18.445699999999999</v>
      </c>
      <c r="E3680" s="83">
        <v>0.85579400000000005</v>
      </c>
      <c r="G3680" s="84">
        <v>1335.62</v>
      </c>
      <c r="I3680" s="85">
        <v>6.9157900000000003</v>
      </c>
      <c r="K3680" s="85">
        <v>5.3545600000000002</v>
      </c>
      <c r="M3680" s="84">
        <v>960.24099999999999</v>
      </c>
      <c r="O3680" s="86">
        <v>3903.46</v>
      </c>
      <c r="Q3680" s="86">
        <v>7102.24</v>
      </c>
      <c r="S3680" s="86">
        <v>1326.4</v>
      </c>
      <c r="U3680" s="85">
        <v>3.5053200000000002</v>
      </c>
      <c r="W3680" s="81">
        <v>39.915999999999997</v>
      </c>
      <c r="Y3680" s="81">
        <v>7.4546099999999997</v>
      </c>
      <c r="AA3680" s="84">
        <v>505.54</v>
      </c>
      <c r="AC3680" s="81">
        <v>62.231000000000002</v>
      </c>
      <c r="AE3680" s="87">
        <v>1</v>
      </c>
      <c r="AG3680" s="85">
        <v>7.6711400000000003</v>
      </c>
      <c r="AI3680" s="86">
        <v>8.75</v>
      </c>
      <c r="AK3680" s="81">
        <v>26.285900000000002</v>
      </c>
      <c r="AM3680" s="81">
        <v>36.826999999999998</v>
      </c>
      <c r="AO3680" s="85">
        <v>6.7960000000000003</v>
      </c>
    </row>
    <row r="3681" spans="2:41" x14ac:dyDescent="0.25">
      <c r="B3681" s="21">
        <v>45927</v>
      </c>
      <c r="C3681" s="91">
        <v>18.445699999999999</v>
      </c>
      <c r="E3681" s="83">
        <v>0.85468200000000005</v>
      </c>
      <c r="G3681" s="84">
        <v>1329.56</v>
      </c>
      <c r="I3681" s="85">
        <v>6.8940900000000003</v>
      </c>
      <c r="K3681" s="85">
        <v>5.3441799999999997</v>
      </c>
      <c r="M3681" s="84">
        <v>960.476</v>
      </c>
      <c r="O3681" s="86">
        <v>3901.38</v>
      </c>
      <c r="Q3681" s="86">
        <v>7064.9</v>
      </c>
      <c r="S3681" s="86">
        <v>1321.98</v>
      </c>
      <c r="U3681" s="85">
        <v>3.49288</v>
      </c>
      <c r="W3681" s="81">
        <v>39.820799999999998</v>
      </c>
      <c r="Y3681" s="81">
        <v>7.4512600000000004</v>
      </c>
      <c r="AA3681" s="84">
        <v>503.62200000000001</v>
      </c>
      <c r="AC3681" s="81">
        <v>62.0625</v>
      </c>
      <c r="AE3681" s="87">
        <v>1</v>
      </c>
      <c r="AG3681" s="85">
        <v>7.6469399999999998</v>
      </c>
      <c r="AI3681" s="86">
        <v>8.75</v>
      </c>
      <c r="AK3681" s="81">
        <v>26.195499999999999</v>
      </c>
      <c r="AM3681" s="81">
        <v>36.677500000000002</v>
      </c>
      <c r="AO3681" s="85">
        <v>6.7721400000000003</v>
      </c>
    </row>
    <row r="3682" spans="2:41" x14ac:dyDescent="0.25">
      <c r="B3682" s="21">
        <v>45928</v>
      </c>
      <c r="C3682" s="91">
        <v>18.445699999999999</v>
      </c>
      <c r="E3682" s="83">
        <v>0.85463999999999996</v>
      </c>
      <c r="G3682" s="84">
        <v>1330.17</v>
      </c>
      <c r="I3682" s="85">
        <v>6.8940000000000001</v>
      </c>
      <c r="K3682" s="85">
        <v>5.3443699999999996</v>
      </c>
      <c r="M3682" s="84">
        <v>960.46799999999996</v>
      </c>
      <c r="O3682" s="86">
        <v>3901.37</v>
      </c>
      <c r="Q3682" s="86">
        <v>7065.23</v>
      </c>
      <c r="S3682" s="86">
        <v>1322</v>
      </c>
      <c r="U3682" s="85">
        <v>3.4929600000000001</v>
      </c>
      <c r="W3682" s="81">
        <v>39.820599999999999</v>
      </c>
      <c r="Y3682" s="81">
        <v>7.4509600000000002</v>
      </c>
      <c r="AA3682" s="84">
        <v>503.67399999999998</v>
      </c>
      <c r="AC3682" s="81">
        <v>62.059399999999997</v>
      </c>
      <c r="AE3682" s="87">
        <v>1</v>
      </c>
      <c r="AG3682" s="85">
        <v>7.6474799999999998</v>
      </c>
      <c r="AI3682" s="86">
        <v>8.75</v>
      </c>
      <c r="AK3682" s="81">
        <v>26.197600000000001</v>
      </c>
      <c r="AM3682" s="81">
        <v>36.6798</v>
      </c>
      <c r="AO3682" s="85">
        <v>6.7727300000000001</v>
      </c>
    </row>
    <row r="3683" spans="2:41" x14ac:dyDescent="0.25">
      <c r="B3683" s="21">
        <v>45929</v>
      </c>
      <c r="C3683" s="91">
        <v>18.3825</v>
      </c>
      <c r="E3683" s="83">
        <v>0.85278600000000004</v>
      </c>
      <c r="G3683" s="84">
        <v>1339.57</v>
      </c>
      <c r="I3683" s="85">
        <v>6.8897599999999999</v>
      </c>
      <c r="K3683" s="85">
        <v>5.3350200000000001</v>
      </c>
      <c r="M3683" s="84">
        <v>961.78</v>
      </c>
      <c r="O3683" s="86">
        <v>3905.64</v>
      </c>
      <c r="Q3683" s="86">
        <v>7071.8</v>
      </c>
      <c r="S3683" s="86">
        <v>1325.54</v>
      </c>
      <c r="U3683" s="85">
        <v>3.4871099999999999</v>
      </c>
      <c r="W3683" s="81">
        <v>39.798200000000001</v>
      </c>
      <c r="Y3683" s="81">
        <v>7.4598300000000002</v>
      </c>
      <c r="AA3683" s="84">
        <v>503.83499999999998</v>
      </c>
      <c r="AC3683" s="81">
        <v>62.015000000000001</v>
      </c>
      <c r="AE3683" s="87">
        <v>1</v>
      </c>
      <c r="AG3683" s="85">
        <v>7.6515399999999998</v>
      </c>
      <c r="AI3683" s="86">
        <v>8.75</v>
      </c>
      <c r="AK3683" s="81">
        <v>26.1921</v>
      </c>
      <c r="AM3683" s="81">
        <v>36.718200000000003</v>
      </c>
      <c r="AO3683" s="85">
        <v>6.7786799999999996</v>
      </c>
    </row>
    <row r="3684" spans="2:41" x14ac:dyDescent="0.25">
      <c r="B3684" s="21">
        <v>45930</v>
      </c>
      <c r="C3684" s="82">
        <v>18.3507</v>
      </c>
      <c r="D3684" s="92"/>
      <c r="E3684" s="93">
        <v>0.852016</v>
      </c>
      <c r="F3684" s="92"/>
      <c r="G3684" s="94">
        <v>1365.31</v>
      </c>
      <c r="H3684" s="92"/>
      <c r="I3684" s="95">
        <v>6.9192799999999997</v>
      </c>
      <c r="J3684" s="92"/>
      <c r="K3684" s="95">
        <v>5.32212</v>
      </c>
      <c r="L3684" s="92"/>
      <c r="M3684" s="94">
        <v>964.22199999999998</v>
      </c>
      <c r="N3684" s="92"/>
      <c r="O3684" s="96">
        <v>3921.56</v>
      </c>
      <c r="P3684" s="92"/>
      <c r="Q3684" s="96">
        <v>7088.96</v>
      </c>
      <c r="R3684" s="92"/>
      <c r="S3684" s="96">
        <v>1331.98</v>
      </c>
      <c r="T3684" s="92"/>
      <c r="U3684" s="95">
        <v>3.4792200000000002</v>
      </c>
      <c r="V3684" s="92"/>
      <c r="W3684" s="91">
        <v>39.8889</v>
      </c>
      <c r="X3684" s="92"/>
      <c r="Y3684" s="91">
        <v>7.4949399999999997</v>
      </c>
      <c r="Z3684" s="92"/>
      <c r="AA3684" s="94">
        <v>503.79199999999997</v>
      </c>
      <c r="AB3684" s="92"/>
      <c r="AC3684" s="91">
        <v>62.154000000000003</v>
      </c>
      <c r="AD3684" s="92"/>
      <c r="AE3684" s="97">
        <v>1</v>
      </c>
      <c r="AF3684" s="92"/>
      <c r="AG3684" s="95">
        <v>7.6658200000000001</v>
      </c>
      <c r="AH3684" s="92"/>
      <c r="AI3684" s="96">
        <v>8.75</v>
      </c>
      <c r="AJ3684" s="92"/>
      <c r="AK3684" s="91">
        <v>26.226800000000001</v>
      </c>
      <c r="AL3684" s="92"/>
      <c r="AM3684" s="91">
        <v>36.7592</v>
      </c>
      <c r="AN3684" s="92"/>
      <c r="AO3684" s="95">
        <v>6.7899399999999996</v>
      </c>
    </row>
    <row r="3685" spans="2:41" ht="13" x14ac:dyDescent="0.3">
      <c r="B3685" s="25" t="str">
        <f>"PROM-"&amp;MONTH(B3684)&amp;YEAR(B3684)</f>
        <v>PROM-92025</v>
      </c>
      <c r="C3685" s="19">
        <f>AVERAGE(C3655:C3684)</f>
        <v>18.515030000000003</v>
      </c>
      <c r="E3685" s="24">
        <f>AVERAGE(E3655:E3684)</f>
        <v>0.85238099999999994</v>
      </c>
      <c r="G3685" s="42">
        <f>AVERAGE(G3655:G3684)</f>
        <v>1402.4176666666667</v>
      </c>
      <c r="I3685" s="23">
        <f>AVERAGE(I3655:I3684)</f>
        <v>6.9107000000000003</v>
      </c>
      <c r="K3685" s="23">
        <f>AVERAGE(K3655:K3684)</f>
        <v>5.3675043333333337</v>
      </c>
      <c r="M3685" s="42">
        <f>AVERAGE(M3655:M3684)</f>
        <v>959.79399999999987</v>
      </c>
      <c r="O3685" s="80">
        <f>AVERAGE(O3655:O3684)</f>
        <v>3919.7323333333338</v>
      </c>
      <c r="Q3685" s="80">
        <f>AVERAGE(Q3655:Q3684)</f>
        <v>7147.6123333333326</v>
      </c>
      <c r="S3685" s="80">
        <f>AVERAGE(S3655:S3684)</f>
        <v>1331.6970000000001</v>
      </c>
      <c r="U3685" s="23">
        <f>AVERAGE(U3655:U3684)</f>
        <v>3.5008369999999998</v>
      </c>
      <c r="W3685" s="19">
        <f>AVERAGE(W3655:W3684)</f>
        <v>39.992159999999991</v>
      </c>
      <c r="Y3685" s="19">
        <f>AVERAGE(Y3655:Y3684)</f>
        <v>7.4514256666666672</v>
      </c>
      <c r="AA3685" s="42">
        <f>AVERAGE(AA3655:AA3684)</f>
        <v>504.62629999999996</v>
      </c>
      <c r="AC3685" s="19">
        <f>AVERAGE(AC3655:AC3684)</f>
        <v>62.734243333333353</v>
      </c>
      <c r="AE3685" s="88">
        <f>AVERAGE(AE3655:AE3684)</f>
        <v>1</v>
      </c>
      <c r="AG3685" s="23">
        <f>AVERAGE(AG3655:AG3684)</f>
        <v>7.6635419999999987</v>
      </c>
      <c r="AI3685" s="80">
        <f>AVERAGE(AI3655:AI3684)</f>
        <v>8.75</v>
      </c>
      <c r="AK3685" s="19">
        <f>AVERAGE(AK3655:AK3684)</f>
        <v>26.203443333333333</v>
      </c>
      <c r="AM3685" s="19">
        <f>AVERAGE(AM3655:AM3684)</f>
        <v>36.765633333333334</v>
      </c>
      <c r="AO3685" s="23">
        <f>AVERAGE(AO3655:AO3684)</f>
        <v>6.7834910000000006</v>
      </c>
    </row>
    <row r="3686" spans="2:41" x14ac:dyDescent="0.25">
      <c r="B3686" s="21">
        <v>45931</v>
      </c>
      <c r="C3686" s="91">
        <v>18.334199999999999</v>
      </c>
      <c r="E3686" s="83">
        <v>0.85179300000000002</v>
      </c>
      <c r="G3686" s="84">
        <v>1399.56</v>
      </c>
      <c r="I3686" s="85">
        <v>6.9125199999999998</v>
      </c>
      <c r="K3686" s="85">
        <v>5.3223599999999998</v>
      </c>
      <c r="M3686" s="84">
        <v>960.755</v>
      </c>
      <c r="O3686" s="86">
        <v>3910.16</v>
      </c>
      <c r="Q3686" s="86">
        <v>7075.62</v>
      </c>
      <c r="S3686" s="86">
        <v>1329.42</v>
      </c>
      <c r="U3686" s="85">
        <v>3.4706199999999998</v>
      </c>
      <c r="W3686" s="81">
        <v>39.872599999999998</v>
      </c>
      <c r="Y3686" s="81">
        <v>7.4915500000000002</v>
      </c>
      <c r="AA3686" s="84">
        <v>503.80599999999998</v>
      </c>
      <c r="AC3686" s="81">
        <v>62.312199999999997</v>
      </c>
      <c r="AE3686" s="87">
        <v>1</v>
      </c>
      <c r="AG3686" s="85">
        <v>7.6650499999999999</v>
      </c>
      <c r="AI3686" s="86">
        <v>8.75</v>
      </c>
      <c r="AK3686" s="81">
        <v>26.188099999999999</v>
      </c>
      <c r="AM3686" s="81">
        <v>36.725999999999999</v>
      </c>
      <c r="AO3686" s="85">
        <v>6.7896599999999996</v>
      </c>
    </row>
    <row r="3687" spans="2:41" x14ac:dyDescent="0.25">
      <c r="B3687" s="21">
        <v>45932</v>
      </c>
      <c r="C3687" s="91">
        <v>18.3477</v>
      </c>
      <c r="E3687" s="83">
        <v>0.85246900000000003</v>
      </c>
      <c r="G3687" s="84">
        <v>1423.9</v>
      </c>
      <c r="I3687" s="85">
        <v>6.9105600000000003</v>
      </c>
      <c r="K3687" s="85">
        <v>5.3349299999999999</v>
      </c>
      <c r="M3687" s="84">
        <v>960.72299999999996</v>
      </c>
      <c r="O3687" s="86">
        <v>3886</v>
      </c>
      <c r="Q3687" s="86">
        <v>7050.7</v>
      </c>
      <c r="S3687" s="86">
        <v>1321.62</v>
      </c>
      <c r="U3687" s="85">
        <v>3.4776099999999999</v>
      </c>
      <c r="W3687" s="81">
        <v>39.863300000000002</v>
      </c>
      <c r="Y3687" s="81">
        <v>7.4721599999999997</v>
      </c>
      <c r="AA3687" s="84">
        <v>503.755</v>
      </c>
      <c r="AC3687" s="81">
        <v>62.468000000000004</v>
      </c>
      <c r="AE3687" s="87">
        <v>1</v>
      </c>
      <c r="AG3687" s="85">
        <v>7.6635200000000001</v>
      </c>
      <c r="AI3687" s="86">
        <v>8.75</v>
      </c>
      <c r="AK3687" s="81">
        <v>26.209900000000001</v>
      </c>
      <c r="AM3687" s="81">
        <v>36.713799999999999</v>
      </c>
      <c r="AO3687" s="85">
        <v>6.7877999999999998</v>
      </c>
    </row>
    <row r="3688" spans="2:41" x14ac:dyDescent="0.25">
      <c r="B3688" s="21">
        <v>45933</v>
      </c>
      <c r="C3688" s="91">
        <v>18.484300000000001</v>
      </c>
      <c r="E3688" s="83">
        <v>0.85222799999999999</v>
      </c>
      <c r="G3688" s="84">
        <v>1424.58</v>
      </c>
      <c r="I3688" s="85">
        <v>6.9129199999999997</v>
      </c>
      <c r="K3688" s="85">
        <v>5.3394000000000004</v>
      </c>
      <c r="M3688" s="84">
        <v>963.06200000000001</v>
      </c>
      <c r="O3688" s="86">
        <v>3880.45</v>
      </c>
      <c r="Q3688" s="86">
        <v>7038.2</v>
      </c>
      <c r="S3688" s="86">
        <v>1318.17</v>
      </c>
      <c r="U3688" s="85">
        <v>3.47268</v>
      </c>
      <c r="W3688" s="81">
        <v>39.891199999999998</v>
      </c>
      <c r="Y3688" s="81">
        <v>7.47112</v>
      </c>
      <c r="AA3688" s="84">
        <v>503.18599999999998</v>
      </c>
      <c r="AC3688" s="81">
        <v>62.552199999999999</v>
      </c>
      <c r="AE3688" s="87">
        <v>1</v>
      </c>
      <c r="AG3688" s="85">
        <v>7.6662800000000004</v>
      </c>
      <c r="AI3688" s="86">
        <v>8.75</v>
      </c>
      <c r="AK3688" s="81">
        <v>26.204499999999999</v>
      </c>
      <c r="AM3688" s="81">
        <v>36.718899999999998</v>
      </c>
      <c r="AO3688" s="85">
        <v>6.78294</v>
      </c>
    </row>
    <row r="3689" spans="2:41" x14ac:dyDescent="0.25">
      <c r="B3689" s="21">
        <v>45934</v>
      </c>
      <c r="C3689" s="91">
        <v>18.484300000000001</v>
      </c>
      <c r="E3689" s="83">
        <v>0.85157099999999997</v>
      </c>
      <c r="G3689" s="84">
        <v>1424.52</v>
      </c>
      <c r="I3689" s="85">
        <v>6.91364</v>
      </c>
      <c r="K3689" s="85">
        <v>5.33575</v>
      </c>
      <c r="M3689" s="84">
        <v>965.50199999999995</v>
      </c>
      <c r="O3689" s="86">
        <v>3870.58</v>
      </c>
      <c r="Q3689" s="86">
        <v>7056.92</v>
      </c>
      <c r="S3689" s="86">
        <v>1322.58</v>
      </c>
      <c r="U3689" s="85">
        <v>3.4621499999999998</v>
      </c>
      <c r="W3689" s="81">
        <v>39.891599999999997</v>
      </c>
      <c r="Y3689" s="81">
        <v>7.4763000000000002</v>
      </c>
      <c r="AA3689" s="84">
        <v>502.69099999999997</v>
      </c>
      <c r="AC3689" s="81">
        <v>62.586199999999998</v>
      </c>
      <c r="AE3689" s="87">
        <v>1</v>
      </c>
      <c r="AG3689" s="85">
        <v>7.6672399999999996</v>
      </c>
      <c r="AI3689" s="86">
        <v>8.75</v>
      </c>
      <c r="AK3689" s="81">
        <v>26.177</v>
      </c>
      <c r="AM3689" s="81">
        <v>36.717500000000001</v>
      </c>
      <c r="AO3689" s="85">
        <v>6.7807599999999999</v>
      </c>
    </row>
    <row r="3690" spans="2:41" x14ac:dyDescent="0.25">
      <c r="B3690" s="21">
        <v>45935</v>
      </c>
      <c r="C3690" s="91">
        <v>18.484300000000001</v>
      </c>
      <c r="E3690" s="83">
        <v>0.85179199999999999</v>
      </c>
      <c r="G3690" s="84">
        <v>1424.8</v>
      </c>
      <c r="I3690" s="85">
        <v>6.9135600000000004</v>
      </c>
      <c r="K3690" s="85">
        <v>5.3357799999999997</v>
      </c>
      <c r="M3690" s="84">
        <v>965.50199999999995</v>
      </c>
      <c r="O3690" s="86">
        <v>3870.84</v>
      </c>
      <c r="Q3690" s="86">
        <v>7056.16</v>
      </c>
      <c r="S3690" s="86">
        <v>1322.42</v>
      </c>
      <c r="U3690" s="85">
        <v>3.4629500000000002</v>
      </c>
      <c r="W3690" s="81">
        <v>39.891599999999997</v>
      </c>
      <c r="Y3690" s="81">
        <v>7.4762599999999999</v>
      </c>
      <c r="AA3690" s="84">
        <v>502.69299999999998</v>
      </c>
      <c r="AC3690" s="81">
        <v>62.581899999999997</v>
      </c>
      <c r="AE3690" s="87">
        <v>1</v>
      </c>
      <c r="AG3690" s="85">
        <v>7.66716</v>
      </c>
      <c r="AI3690" s="86">
        <v>8.75</v>
      </c>
      <c r="AK3690" s="81">
        <v>26.179600000000001</v>
      </c>
      <c r="AM3690" s="81">
        <v>36.7164</v>
      </c>
      <c r="AO3690" s="85">
        <v>6.7807300000000001</v>
      </c>
    </row>
    <row r="3691" spans="2:41" x14ac:dyDescent="0.25">
      <c r="B3691" s="21">
        <v>45936</v>
      </c>
      <c r="C3691" s="91">
        <v>18.3902</v>
      </c>
      <c r="E3691" s="83">
        <v>0.85450199999999998</v>
      </c>
      <c r="G3691" s="84">
        <v>1427.34</v>
      </c>
      <c r="I3691" s="85">
        <v>6.9269999999999996</v>
      </c>
      <c r="K3691" s="85">
        <v>5.3271199999999999</v>
      </c>
      <c r="M3691" s="84">
        <v>963.154</v>
      </c>
      <c r="O3691" s="86">
        <v>3869.07</v>
      </c>
      <c r="Q3691" s="86">
        <v>7019.44</v>
      </c>
      <c r="S3691" s="86">
        <v>1317.68</v>
      </c>
      <c r="U3691" s="85">
        <v>3.4696899999999999</v>
      </c>
      <c r="W3691" s="81">
        <v>39.927399999999999</v>
      </c>
      <c r="Y3691" s="81">
        <v>7.4951499999999998</v>
      </c>
      <c r="AA3691" s="84">
        <v>502.86599999999999</v>
      </c>
      <c r="AC3691" s="81">
        <v>62.547199999999997</v>
      </c>
      <c r="AE3691" s="87">
        <v>1</v>
      </c>
      <c r="AG3691" s="85">
        <v>7.6676799999999998</v>
      </c>
      <c r="AI3691" s="86">
        <v>8.75</v>
      </c>
      <c r="AK3691" s="81">
        <v>26.247599999999998</v>
      </c>
      <c r="AM3691" s="81">
        <v>36.777799999999999</v>
      </c>
      <c r="AO3691" s="85">
        <v>6.7836699999999999</v>
      </c>
    </row>
    <row r="3692" spans="2:41" x14ac:dyDescent="0.25">
      <c r="B3692" s="21">
        <v>45937</v>
      </c>
      <c r="C3692" s="91">
        <v>18.352799999999998</v>
      </c>
      <c r="E3692" s="83">
        <v>0.85652700000000004</v>
      </c>
      <c r="G3692" s="84">
        <v>1429.74</v>
      </c>
      <c r="I3692" s="85">
        <v>6.9218799999999998</v>
      </c>
      <c r="K3692" s="85">
        <v>5.3283800000000001</v>
      </c>
      <c r="M3692" s="84">
        <v>961.34199999999998</v>
      </c>
      <c r="O3692" s="86">
        <v>3866.04</v>
      </c>
      <c r="Q3692" s="86">
        <v>6989.47</v>
      </c>
      <c r="S3692" s="86">
        <v>1311.75</v>
      </c>
      <c r="U3692" s="85">
        <v>3.4575</v>
      </c>
      <c r="W3692" s="81">
        <v>39.863799999999998</v>
      </c>
      <c r="Y3692" s="81">
        <v>7.4814400000000001</v>
      </c>
      <c r="AA3692" s="84">
        <v>502.56400000000002</v>
      </c>
      <c r="AC3692" s="81">
        <v>62.529600000000002</v>
      </c>
      <c r="AE3692" s="87">
        <v>1</v>
      </c>
      <c r="AG3692" s="85">
        <v>7.6564800000000002</v>
      </c>
      <c r="AI3692" s="86">
        <v>8.75</v>
      </c>
      <c r="AK3692" s="81">
        <v>26.2502</v>
      </c>
      <c r="AM3692" s="81">
        <v>36.753399999999999</v>
      </c>
      <c r="AO3692" s="85">
        <v>6.7809400000000002</v>
      </c>
    </row>
    <row r="3693" spans="2:41" x14ac:dyDescent="0.25">
      <c r="B3693" s="21">
        <v>45938</v>
      </c>
      <c r="C3693" s="91">
        <v>18.376200000000001</v>
      </c>
      <c r="E3693" s="83">
        <v>0.86031400000000002</v>
      </c>
      <c r="G3693" s="84">
        <v>1429.75</v>
      </c>
      <c r="I3693" s="85">
        <v>6.9233599999999997</v>
      </c>
      <c r="K3693" s="85">
        <v>5.3495799999999996</v>
      </c>
      <c r="M3693" s="84">
        <v>955.85</v>
      </c>
      <c r="O3693" s="86">
        <v>3879.78</v>
      </c>
      <c r="Q3693" s="86">
        <v>6995.16</v>
      </c>
      <c r="S3693" s="86">
        <v>1307.6199999999999</v>
      </c>
      <c r="U3693" s="85">
        <v>3.44936</v>
      </c>
      <c r="W3693" s="81">
        <v>39.949399999999997</v>
      </c>
      <c r="Y3693" s="81">
        <v>7.4677800000000003</v>
      </c>
      <c r="AA3693" s="84">
        <v>503.55799999999999</v>
      </c>
      <c r="AC3693" s="81">
        <v>62.742400000000004</v>
      </c>
      <c r="AE3693" s="87">
        <v>1</v>
      </c>
      <c r="AG3693" s="85">
        <v>7.66662</v>
      </c>
      <c r="AI3693" s="86">
        <v>8.75</v>
      </c>
      <c r="AK3693" s="81">
        <v>26.255400000000002</v>
      </c>
      <c r="AM3693" s="81">
        <v>36.779000000000003</v>
      </c>
      <c r="AO3693" s="85">
        <v>6.7927200000000001</v>
      </c>
    </row>
    <row r="3694" spans="2:41" x14ac:dyDescent="0.25">
      <c r="B3694" s="21">
        <v>45939</v>
      </c>
      <c r="C3694" s="91">
        <v>18.3477</v>
      </c>
      <c r="E3694" s="83">
        <v>0.86203799999999997</v>
      </c>
      <c r="G3694" s="84">
        <v>1432.48</v>
      </c>
      <c r="I3694" s="85">
        <v>6.9233599999999997</v>
      </c>
      <c r="K3694" s="85">
        <v>5.3540999999999999</v>
      </c>
      <c r="M3694" s="84">
        <v>950.44200000000001</v>
      </c>
      <c r="O3694" s="86">
        <v>3889.44</v>
      </c>
      <c r="Q3694" s="86">
        <v>7001.59</v>
      </c>
      <c r="S3694" s="86">
        <v>1307.71</v>
      </c>
      <c r="U3694" s="85">
        <v>3.4451399999999999</v>
      </c>
      <c r="W3694" s="81">
        <v>39.976100000000002</v>
      </c>
      <c r="Y3694" s="81">
        <v>7.46645</v>
      </c>
      <c r="AA3694" s="84">
        <v>503.834</v>
      </c>
      <c r="AC3694" s="81">
        <v>62.879899999999999</v>
      </c>
      <c r="AE3694" s="87">
        <v>1</v>
      </c>
      <c r="AG3694" s="85">
        <v>7.6730299999999998</v>
      </c>
      <c r="AI3694" s="86">
        <v>8.75</v>
      </c>
      <c r="AK3694" s="81">
        <v>26.2818</v>
      </c>
      <c r="AM3694" s="81">
        <v>36.8371</v>
      </c>
      <c r="AO3694" s="85">
        <v>6.7964599999999997</v>
      </c>
    </row>
    <row r="3695" spans="2:41" x14ac:dyDescent="0.25">
      <c r="B3695" s="21">
        <v>45940</v>
      </c>
      <c r="C3695" s="91">
        <v>18.382999999999999</v>
      </c>
      <c r="E3695" s="83">
        <v>0.86301099999999997</v>
      </c>
      <c r="G3695" s="84">
        <v>1421.48</v>
      </c>
      <c r="I3695" s="85">
        <v>6.9279200000000003</v>
      </c>
      <c r="K3695" s="85">
        <v>5.4283700000000001</v>
      </c>
      <c r="M3695" s="84">
        <v>953.16399999999999</v>
      </c>
      <c r="O3695" s="86">
        <v>3903.94</v>
      </c>
      <c r="Q3695" s="86">
        <v>7016.48</v>
      </c>
      <c r="S3695" s="86">
        <v>1292.56</v>
      </c>
      <c r="U3695" s="85">
        <v>3.4388200000000002</v>
      </c>
      <c r="W3695" s="81">
        <v>40.045999999999999</v>
      </c>
      <c r="Y3695" s="81">
        <v>7.3772000000000002</v>
      </c>
      <c r="AA3695" s="84">
        <v>503.53</v>
      </c>
      <c r="AC3695" s="81">
        <v>63.051699999999997</v>
      </c>
      <c r="AE3695" s="87">
        <v>1</v>
      </c>
      <c r="AG3695" s="85">
        <v>7.6712100000000003</v>
      </c>
      <c r="AI3695" s="86">
        <v>8.75</v>
      </c>
      <c r="AK3695" s="81">
        <v>26.282</v>
      </c>
      <c r="AM3695" s="81">
        <v>36.8352</v>
      </c>
      <c r="AO3695" s="85">
        <v>6.7952300000000001</v>
      </c>
    </row>
    <row r="3696" spans="2:41" x14ac:dyDescent="0.25">
      <c r="B3696" s="21">
        <v>45941</v>
      </c>
      <c r="C3696" s="91">
        <v>18.382999999999999</v>
      </c>
      <c r="E3696" s="83">
        <v>0.86048500000000006</v>
      </c>
      <c r="G3696" s="84">
        <v>1421.33</v>
      </c>
      <c r="I3696" s="85">
        <v>6.9074900000000001</v>
      </c>
      <c r="K3696" s="85">
        <v>5.5208500000000003</v>
      </c>
      <c r="M3696" s="84">
        <v>957.06500000000005</v>
      </c>
      <c r="O3696" s="86">
        <v>3923.52</v>
      </c>
      <c r="Q3696" s="86">
        <v>6996.54</v>
      </c>
      <c r="S3696" s="86">
        <v>1267.3</v>
      </c>
      <c r="U3696" s="85">
        <v>3.4346800000000002</v>
      </c>
      <c r="W3696" s="81">
        <v>40.020200000000003</v>
      </c>
      <c r="Y3696" s="81">
        <v>7.2489499999999998</v>
      </c>
      <c r="AA3696" s="84">
        <v>501.76600000000002</v>
      </c>
      <c r="AC3696" s="81">
        <v>62.875</v>
      </c>
      <c r="AE3696" s="87">
        <v>1</v>
      </c>
      <c r="AG3696" s="85">
        <v>7.6429099999999996</v>
      </c>
      <c r="AI3696" s="86">
        <v>8.75</v>
      </c>
      <c r="AK3696" s="81">
        <v>26.1966</v>
      </c>
      <c r="AM3696" s="81">
        <v>36.711599999999997</v>
      </c>
      <c r="AO3696" s="85">
        <v>6.7755999999999998</v>
      </c>
    </row>
    <row r="3697" spans="2:41" x14ac:dyDescent="0.25">
      <c r="B3697" s="21">
        <v>45942</v>
      </c>
      <c r="C3697" s="91">
        <v>18.382999999999999</v>
      </c>
      <c r="E3697" s="83">
        <v>0.86062899999999998</v>
      </c>
      <c r="G3697" s="84">
        <v>1421.02</v>
      </c>
      <c r="I3697" s="85">
        <v>6.9069000000000003</v>
      </c>
      <c r="K3697" s="85">
        <v>5.5210900000000001</v>
      </c>
      <c r="M3697" s="84">
        <v>956.97900000000004</v>
      </c>
      <c r="O3697" s="86">
        <v>3923.01</v>
      </c>
      <c r="Q3697" s="86">
        <v>6996.22</v>
      </c>
      <c r="S3697" s="86">
        <v>1267.19</v>
      </c>
      <c r="U3697" s="85">
        <v>3.4345400000000001</v>
      </c>
      <c r="W3697" s="81">
        <v>40.016800000000003</v>
      </c>
      <c r="Y3697" s="81">
        <v>7.2480000000000002</v>
      </c>
      <c r="AA3697" s="84">
        <v>501.78800000000001</v>
      </c>
      <c r="AC3697" s="81">
        <v>62.874400000000001</v>
      </c>
      <c r="AE3697" s="87">
        <v>1</v>
      </c>
      <c r="AG3697" s="85">
        <v>7.6429499999999999</v>
      </c>
      <c r="AI3697" s="86">
        <v>8.75</v>
      </c>
      <c r="AK3697" s="81">
        <v>26.1968</v>
      </c>
      <c r="AM3697" s="81">
        <v>36.714799999999997</v>
      </c>
      <c r="AO3697" s="85">
        <v>6.77562</v>
      </c>
    </row>
    <row r="3698" spans="2:41" x14ac:dyDescent="0.25">
      <c r="B3698" s="21">
        <v>45943</v>
      </c>
      <c r="C3698" s="91">
        <v>18.556699999999999</v>
      </c>
      <c r="E3698" s="83">
        <v>0.86289800000000005</v>
      </c>
      <c r="G3698" s="84">
        <v>1387.98</v>
      </c>
      <c r="I3698" s="85">
        <v>6.91594</v>
      </c>
      <c r="K3698" s="85">
        <v>5.49472</v>
      </c>
      <c r="M3698" s="84">
        <v>955.69200000000001</v>
      </c>
      <c r="O3698" s="86">
        <v>3910.5</v>
      </c>
      <c r="Q3698" s="86">
        <v>7018.04</v>
      </c>
      <c r="S3698" s="86">
        <v>1277.24</v>
      </c>
      <c r="U3698" s="85">
        <v>3.4268100000000001</v>
      </c>
      <c r="W3698" s="81">
        <v>40.058799999999998</v>
      </c>
      <c r="Y3698" s="81">
        <v>7.2904299999999997</v>
      </c>
      <c r="AA3698" s="84">
        <v>502.44200000000001</v>
      </c>
      <c r="AC3698" s="81">
        <v>62.878599999999999</v>
      </c>
      <c r="AE3698" s="87">
        <v>1</v>
      </c>
      <c r="AG3698" s="85">
        <v>7.6506800000000004</v>
      </c>
      <c r="AI3698" s="86">
        <v>8.75</v>
      </c>
      <c r="AK3698" s="81">
        <v>26.227</v>
      </c>
      <c r="AM3698" s="81">
        <v>36.7408</v>
      </c>
      <c r="AO3698" s="85">
        <v>6.78017</v>
      </c>
    </row>
    <row r="3699" spans="2:41" x14ac:dyDescent="0.25">
      <c r="B3699" s="21">
        <v>45944</v>
      </c>
      <c r="C3699" s="91">
        <v>18.440000000000001</v>
      </c>
      <c r="E3699" s="83">
        <v>0.86343000000000003</v>
      </c>
      <c r="G3699" s="84">
        <v>1353.04</v>
      </c>
      <c r="I3699" s="85">
        <v>6.9259000000000004</v>
      </c>
      <c r="K3699" s="85">
        <v>5.4750800000000002</v>
      </c>
      <c r="M3699" s="84">
        <v>959.99800000000005</v>
      </c>
      <c r="O3699" s="86">
        <v>3925.76</v>
      </c>
      <c r="Q3699" s="86">
        <v>7049.84</v>
      </c>
      <c r="S3699" s="86">
        <v>1287.6300000000001</v>
      </c>
      <c r="U3699" s="85">
        <v>3.4308100000000001</v>
      </c>
      <c r="W3699" s="81">
        <v>40.133800000000001</v>
      </c>
      <c r="Y3699" s="81">
        <v>7.33026</v>
      </c>
      <c r="AA3699" s="84">
        <v>503.464</v>
      </c>
      <c r="AC3699" s="81">
        <v>62.999499999999998</v>
      </c>
      <c r="AE3699" s="87">
        <v>1</v>
      </c>
      <c r="AG3699" s="85">
        <v>7.6628600000000002</v>
      </c>
      <c r="AI3699" s="86">
        <v>8.75</v>
      </c>
      <c r="AK3699" s="81">
        <v>26.250800000000002</v>
      </c>
      <c r="AM3699" s="81">
        <v>36.772599999999997</v>
      </c>
      <c r="AO3699" s="85">
        <v>6.7919200000000002</v>
      </c>
    </row>
    <row r="3700" spans="2:41" x14ac:dyDescent="0.25">
      <c r="B3700" s="21">
        <v>45945</v>
      </c>
      <c r="C3700" s="91">
        <v>18.521999999999998</v>
      </c>
      <c r="E3700" s="83">
        <v>0.859846</v>
      </c>
      <c r="G3700" s="84">
        <v>1361.88</v>
      </c>
      <c r="I3700" s="85">
        <v>6.9049100000000001</v>
      </c>
      <c r="K3700" s="85">
        <v>5.4681800000000003</v>
      </c>
      <c r="M3700" s="84">
        <v>960.56</v>
      </c>
      <c r="O3700" s="86">
        <v>3914.04</v>
      </c>
      <c r="Q3700" s="86">
        <v>7036.78</v>
      </c>
      <c r="S3700" s="86">
        <v>1286.8599999999999</v>
      </c>
      <c r="U3700" s="85">
        <v>3.4169299999999998</v>
      </c>
      <c r="W3700" s="81">
        <v>40.052599999999998</v>
      </c>
      <c r="Y3700" s="81">
        <v>7.3246900000000004</v>
      </c>
      <c r="AA3700" s="84">
        <v>502.51499999999999</v>
      </c>
      <c r="AC3700" s="81">
        <v>62.941899999999997</v>
      </c>
      <c r="AE3700" s="87">
        <v>1</v>
      </c>
      <c r="AG3700" s="85">
        <v>7.6459999999999999</v>
      </c>
      <c r="AI3700" s="86">
        <v>8.75</v>
      </c>
      <c r="AK3700" s="81">
        <v>26.198499999999999</v>
      </c>
      <c r="AM3700" s="81">
        <v>36.686</v>
      </c>
      <c r="AO3700" s="85">
        <v>6.7769500000000003</v>
      </c>
    </row>
    <row r="3701" spans="2:41" x14ac:dyDescent="0.25">
      <c r="B3701" s="21">
        <v>45946</v>
      </c>
      <c r="C3701" s="91">
        <v>18.480799999999999</v>
      </c>
      <c r="E3701" s="83">
        <v>0.856962</v>
      </c>
      <c r="G3701" s="84">
        <v>1377.48</v>
      </c>
      <c r="I3701" s="85">
        <v>6.9129399999999999</v>
      </c>
      <c r="K3701" s="85">
        <v>5.4473099999999999</v>
      </c>
      <c r="M3701" s="84">
        <v>957.86800000000005</v>
      </c>
      <c r="O3701" s="86">
        <v>3883.17</v>
      </c>
      <c r="Q3701" s="86">
        <v>7065.82</v>
      </c>
      <c r="S3701" s="86">
        <v>1297.1199999999999</v>
      </c>
      <c r="U3701" s="85">
        <v>3.39886</v>
      </c>
      <c r="W3701" s="81">
        <v>40.092799999999997</v>
      </c>
      <c r="Y3701" s="81">
        <v>7.3601400000000003</v>
      </c>
      <c r="AA3701" s="84">
        <v>502.82799999999997</v>
      </c>
      <c r="AC3701" s="81">
        <v>63.157200000000003</v>
      </c>
      <c r="AE3701" s="87">
        <v>1</v>
      </c>
      <c r="AG3701" s="85">
        <v>7.6595399999999998</v>
      </c>
      <c r="AI3701" s="86">
        <v>8.75</v>
      </c>
      <c r="AK3701" s="81">
        <v>26.221900000000002</v>
      </c>
      <c r="AM3701" s="81">
        <v>36.712699999999998</v>
      </c>
      <c r="AO3701" s="85">
        <v>6.7866</v>
      </c>
    </row>
    <row r="3702" spans="2:41" x14ac:dyDescent="0.25">
      <c r="B3702" s="21">
        <v>45947</v>
      </c>
      <c r="C3702" s="91">
        <v>18.410799999999998</v>
      </c>
      <c r="E3702" s="83">
        <v>0.85579000000000005</v>
      </c>
      <c r="G3702" s="84">
        <v>1425.93</v>
      </c>
      <c r="I3702" s="85">
        <v>6.9087399999999999</v>
      </c>
      <c r="K3702" s="85">
        <v>5.4322999999999997</v>
      </c>
      <c r="M3702" s="84">
        <v>956.77599999999995</v>
      </c>
      <c r="O3702" s="86">
        <v>3849.32</v>
      </c>
      <c r="Q3702" s="86">
        <v>7069.8</v>
      </c>
      <c r="S3702" s="86">
        <v>1301.44</v>
      </c>
      <c r="U3702" s="85">
        <v>3.3878400000000002</v>
      </c>
      <c r="W3702" s="81">
        <v>40.023699999999998</v>
      </c>
      <c r="Y3702" s="81">
        <v>7.3677400000000004</v>
      </c>
      <c r="AA3702" s="84">
        <v>501.80700000000002</v>
      </c>
      <c r="AC3702" s="81">
        <v>63.185400000000001</v>
      </c>
      <c r="AE3702" s="87">
        <v>1</v>
      </c>
      <c r="AG3702" s="85">
        <v>7.6514600000000002</v>
      </c>
      <c r="AI3702" s="86">
        <v>8.75</v>
      </c>
      <c r="AK3702" s="81">
        <v>26.2254</v>
      </c>
      <c r="AM3702" s="81">
        <v>36.750999999999998</v>
      </c>
      <c r="AO3702" s="85">
        <v>6.7774999999999999</v>
      </c>
    </row>
    <row r="3703" spans="2:41" x14ac:dyDescent="0.25">
      <c r="B3703" s="21">
        <v>45948</v>
      </c>
      <c r="C3703" s="91">
        <v>18.410799999999998</v>
      </c>
      <c r="E3703" s="83">
        <v>0.85829599999999995</v>
      </c>
      <c r="G3703" s="84">
        <v>1457.54</v>
      </c>
      <c r="I3703" s="85">
        <v>6.9262199999999998</v>
      </c>
      <c r="K3703" s="85">
        <v>5.4092500000000001</v>
      </c>
      <c r="M3703" s="84">
        <v>956.78200000000004</v>
      </c>
      <c r="O3703" s="86">
        <v>3830.28</v>
      </c>
      <c r="Q3703" s="86">
        <v>7117.79</v>
      </c>
      <c r="S3703" s="86">
        <v>1315.86</v>
      </c>
      <c r="U3703" s="85">
        <v>3.39167</v>
      </c>
      <c r="W3703" s="81">
        <v>40.147399999999998</v>
      </c>
      <c r="Y3703" s="81">
        <v>7.4219999999999997</v>
      </c>
      <c r="AA3703" s="84">
        <v>503.22399999999999</v>
      </c>
      <c r="AC3703" s="81">
        <v>63.322200000000002</v>
      </c>
      <c r="AE3703" s="87">
        <v>1</v>
      </c>
      <c r="AG3703" s="85">
        <v>7.6759000000000004</v>
      </c>
      <c r="AI3703" s="86">
        <v>8.75</v>
      </c>
      <c r="AK3703" s="81">
        <v>26.3232</v>
      </c>
      <c r="AM3703" s="81">
        <v>36.908999999999999</v>
      </c>
      <c r="AO3703" s="85">
        <v>6.7968000000000002</v>
      </c>
    </row>
    <row r="3704" spans="2:41" x14ac:dyDescent="0.25">
      <c r="B3704" s="21">
        <v>45949</v>
      </c>
      <c r="C3704" s="91">
        <v>18.410799999999998</v>
      </c>
      <c r="E3704" s="83">
        <v>0.85822600000000004</v>
      </c>
      <c r="G3704" s="84">
        <v>1454.8</v>
      </c>
      <c r="I3704" s="85">
        <v>6.9262199999999998</v>
      </c>
      <c r="K3704" s="85">
        <v>5.4090299999999996</v>
      </c>
      <c r="M3704" s="84">
        <v>956.82600000000002</v>
      </c>
      <c r="O3704" s="86">
        <v>3830.81</v>
      </c>
      <c r="Q3704" s="86">
        <v>7116.41</v>
      </c>
      <c r="S3704" s="86">
        <v>1315.66</v>
      </c>
      <c r="U3704" s="85">
        <v>3.3914800000000001</v>
      </c>
      <c r="W3704" s="81">
        <v>40.147100000000002</v>
      </c>
      <c r="Y3704" s="81">
        <v>7.42225</v>
      </c>
      <c r="AA3704" s="84">
        <v>503.19</v>
      </c>
      <c r="AC3704" s="81">
        <v>63.332900000000002</v>
      </c>
      <c r="AE3704" s="87">
        <v>1</v>
      </c>
      <c r="AG3704" s="85">
        <v>7.6750600000000002</v>
      </c>
      <c r="AI3704" s="86">
        <v>8.75</v>
      </c>
      <c r="AK3704" s="81">
        <v>26.323</v>
      </c>
      <c r="AM3704" s="81">
        <v>36.901400000000002</v>
      </c>
      <c r="AO3704" s="85">
        <v>6.7960000000000003</v>
      </c>
    </row>
    <row r="3705" spans="2:41" x14ac:dyDescent="0.25">
      <c r="B3705" s="21">
        <v>45950</v>
      </c>
      <c r="C3705" s="91">
        <v>18.407</v>
      </c>
      <c r="E3705" s="83">
        <v>0.85792800000000002</v>
      </c>
      <c r="G3705" s="84">
        <v>1463.71</v>
      </c>
      <c r="I3705" s="85">
        <v>6.9184799999999997</v>
      </c>
      <c r="K3705" s="85">
        <v>5.3942800000000002</v>
      </c>
      <c r="M3705" s="84">
        <v>955.40800000000002</v>
      </c>
      <c r="O3705" s="86">
        <v>3859.02</v>
      </c>
      <c r="Q3705" s="86">
        <v>7097.86</v>
      </c>
      <c r="S3705" s="86">
        <v>1315.82</v>
      </c>
      <c r="U3705" s="85">
        <v>3.38348</v>
      </c>
      <c r="W3705" s="81">
        <v>40.013500000000001</v>
      </c>
      <c r="Y3705" s="81">
        <v>7.4177799999999996</v>
      </c>
      <c r="AA3705" s="84">
        <v>502.69600000000003</v>
      </c>
      <c r="AC3705" s="81">
        <v>63.4587</v>
      </c>
      <c r="AE3705" s="87">
        <v>1</v>
      </c>
      <c r="AG3705" s="85">
        <v>7.6654400000000003</v>
      </c>
      <c r="AI3705" s="86">
        <v>8.75</v>
      </c>
      <c r="AK3705" s="81">
        <v>26.277799999999999</v>
      </c>
      <c r="AM3705" s="81">
        <v>36.793199999999999</v>
      </c>
      <c r="AO3705" s="85">
        <v>6.7869200000000003</v>
      </c>
    </row>
    <row r="3706" spans="2:41" x14ac:dyDescent="0.25">
      <c r="B3706" s="21">
        <v>45951</v>
      </c>
      <c r="C3706" s="91">
        <v>18.403199999999998</v>
      </c>
      <c r="E3706" s="83">
        <v>0.86069399999999996</v>
      </c>
      <c r="G3706" s="84">
        <v>1482.22</v>
      </c>
      <c r="I3706" s="85">
        <v>6.9109699999999998</v>
      </c>
      <c r="K3706" s="85">
        <v>5.3803999999999998</v>
      </c>
      <c r="M3706" s="84">
        <v>953.05600000000004</v>
      </c>
      <c r="O3706" s="86">
        <v>3884.74</v>
      </c>
      <c r="Q3706" s="86">
        <v>7083</v>
      </c>
      <c r="S3706" s="86">
        <v>1316.44</v>
      </c>
      <c r="U3706" s="85">
        <v>3.3793500000000001</v>
      </c>
      <c r="W3706" s="81">
        <v>39.880899999999997</v>
      </c>
      <c r="Y3706" s="81">
        <v>7.4122700000000004</v>
      </c>
      <c r="AA3706" s="84">
        <v>502.142</v>
      </c>
      <c r="AC3706" s="81">
        <v>63.532200000000003</v>
      </c>
      <c r="AE3706" s="87">
        <v>1</v>
      </c>
      <c r="AG3706" s="85">
        <v>7.6584000000000003</v>
      </c>
      <c r="AI3706" s="86">
        <v>8.75</v>
      </c>
      <c r="AK3706" s="81">
        <v>26.2502</v>
      </c>
      <c r="AM3706" s="81">
        <v>36.755800000000001</v>
      </c>
      <c r="AO3706" s="85">
        <v>6.7810800000000002</v>
      </c>
    </row>
    <row r="3707" spans="2:41" x14ac:dyDescent="0.25">
      <c r="B3707" s="21">
        <v>45952</v>
      </c>
      <c r="C3707" s="91">
        <v>18.4252</v>
      </c>
      <c r="E3707" s="83">
        <v>0.86173200000000005</v>
      </c>
      <c r="G3707" s="84">
        <v>1489.22</v>
      </c>
      <c r="I3707" s="85">
        <v>6.9100799999999998</v>
      </c>
      <c r="K3707" s="85">
        <v>5.3929</v>
      </c>
      <c r="M3707" s="84">
        <v>951.36800000000005</v>
      </c>
      <c r="O3707" s="86">
        <v>3893.04</v>
      </c>
      <c r="Q3707" s="86">
        <v>7083.84</v>
      </c>
      <c r="S3707" s="86">
        <v>1313.55</v>
      </c>
      <c r="U3707" s="85">
        <v>3.3925399999999999</v>
      </c>
      <c r="W3707" s="81">
        <v>39.857900000000001</v>
      </c>
      <c r="Y3707" s="81">
        <v>7.3908199999999997</v>
      </c>
      <c r="AA3707" s="84">
        <v>502.01400000000001</v>
      </c>
      <c r="AC3707" s="81">
        <v>63.670200000000001</v>
      </c>
      <c r="AE3707" s="87">
        <v>1</v>
      </c>
      <c r="AG3707" s="85">
        <v>7.65848</v>
      </c>
      <c r="AI3707" s="86">
        <v>8.75</v>
      </c>
      <c r="AK3707" s="81">
        <v>26.253</v>
      </c>
      <c r="AM3707" s="81">
        <v>36.758600000000001</v>
      </c>
      <c r="AO3707" s="85">
        <v>6.7827000000000002</v>
      </c>
    </row>
    <row r="3708" spans="2:41" x14ac:dyDescent="0.25">
      <c r="B3708" s="21">
        <v>45953</v>
      </c>
      <c r="C3708" s="91">
        <v>18.433299999999999</v>
      </c>
      <c r="E3708" s="83">
        <v>0.86174300000000004</v>
      </c>
      <c r="G3708" s="84">
        <v>1486.14</v>
      </c>
      <c r="I3708" s="85">
        <v>6.9036200000000001</v>
      </c>
      <c r="K3708" s="85">
        <v>5.3925200000000002</v>
      </c>
      <c r="M3708" s="84">
        <v>948.24800000000005</v>
      </c>
      <c r="O3708" s="86">
        <v>3900.31</v>
      </c>
      <c r="Q3708" s="86">
        <v>7071.88</v>
      </c>
      <c r="S3708" s="86">
        <v>1311.42</v>
      </c>
      <c r="U3708" s="85">
        <v>3.3965200000000002</v>
      </c>
      <c r="W3708" s="81">
        <v>39.795200000000001</v>
      </c>
      <c r="Y3708" s="81">
        <v>7.3797199999999998</v>
      </c>
      <c r="AA3708" s="84">
        <v>501.84100000000001</v>
      </c>
      <c r="AC3708" s="81">
        <v>63.751800000000003</v>
      </c>
      <c r="AE3708" s="87">
        <v>1</v>
      </c>
      <c r="AG3708" s="85">
        <v>7.6539999999999999</v>
      </c>
      <c r="AI3708" s="86">
        <v>8.75</v>
      </c>
      <c r="AK3708" s="81">
        <v>26.234000000000002</v>
      </c>
      <c r="AM3708" s="81">
        <v>36.751100000000001</v>
      </c>
      <c r="AO3708" s="85">
        <v>6.7800399999999996</v>
      </c>
    </row>
    <row r="3709" spans="2:41" x14ac:dyDescent="0.25">
      <c r="B3709" s="21">
        <v>45954</v>
      </c>
      <c r="C3709" s="91">
        <v>18.403300000000002</v>
      </c>
      <c r="E3709" s="83">
        <v>0.86063800000000001</v>
      </c>
      <c r="G3709" s="84">
        <v>1485.88</v>
      </c>
      <c r="I3709" s="85">
        <v>6.9024700000000001</v>
      </c>
      <c r="K3709" s="85">
        <v>5.3847699999999996</v>
      </c>
      <c r="M3709" s="84">
        <v>944.29300000000001</v>
      </c>
      <c r="O3709" s="86">
        <v>3876.39</v>
      </c>
      <c r="Q3709" s="86">
        <v>7068.34</v>
      </c>
      <c r="S3709" s="86">
        <v>1312.66</v>
      </c>
      <c r="U3709" s="85">
        <v>3.3931800000000001</v>
      </c>
      <c r="W3709" s="81">
        <v>39.802399999999999</v>
      </c>
      <c r="Y3709" s="81">
        <v>7.39168</v>
      </c>
      <c r="AA3709" s="84">
        <v>501.80399999999997</v>
      </c>
      <c r="AC3709" s="81">
        <v>63.911700000000003</v>
      </c>
      <c r="AE3709" s="87">
        <v>1</v>
      </c>
      <c r="AG3709" s="85">
        <v>7.6538500000000003</v>
      </c>
      <c r="AI3709" s="86">
        <v>8.75</v>
      </c>
      <c r="AK3709" s="81">
        <v>26.223800000000001</v>
      </c>
      <c r="AM3709" s="81">
        <v>36.721200000000003</v>
      </c>
      <c r="AO3709" s="85">
        <v>6.7834199999999996</v>
      </c>
    </row>
    <row r="3710" spans="2:41" x14ac:dyDescent="0.25">
      <c r="B3710" s="21">
        <v>45955</v>
      </c>
      <c r="C3710" s="91">
        <v>18.403300000000002</v>
      </c>
      <c r="E3710" s="83">
        <v>0.86011199999999999</v>
      </c>
      <c r="G3710" s="84">
        <v>1492.46</v>
      </c>
      <c r="I3710" s="85">
        <v>6.9083399999999999</v>
      </c>
      <c r="K3710" s="85">
        <v>5.3905000000000003</v>
      </c>
      <c r="M3710" s="84">
        <v>941.82</v>
      </c>
      <c r="O3710" s="86">
        <v>3866.22</v>
      </c>
      <c r="Q3710" s="86">
        <v>7075.5</v>
      </c>
      <c r="S3710" s="86">
        <v>1312.59</v>
      </c>
      <c r="U3710" s="85">
        <v>3.3902700000000001</v>
      </c>
      <c r="W3710" s="81">
        <v>39.869999999999997</v>
      </c>
      <c r="Y3710" s="81">
        <v>7.3963700000000001</v>
      </c>
      <c r="AA3710" s="84">
        <v>501.95699999999999</v>
      </c>
      <c r="AC3710" s="81">
        <v>64.022499999999994</v>
      </c>
      <c r="AE3710" s="87">
        <v>1</v>
      </c>
      <c r="AG3710" s="85">
        <v>7.6597200000000001</v>
      </c>
      <c r="AI3710" s="86">
        <v>8.75</v>
      </c>
      <c r="AK3710" s="81">
        <v>26.188500000000001</v>
      </c>
      <c r="AM3710" s="81">
        <v>36.65</v>
      </c>
      <c r="AO3710" s="85">
        <v>6.7933000000000003</v>
      </c>
    </row>
    <row r="3711" spans="2:41" x14ac:dyDescent="0.25">
      <c r="B3711" s="21">
        <v>45956</v>
      </c>
      <c r="C3711" s="91">
        <v>18.403300000000002</v>
      </c>
      <c r="E3711" s="83">
        <v>0.86006899999999997</v>
      </c>
      <c r="G3711" s="84">
        <v>1491.54</v>
      </c>
      <c r="I3711" s="85">
        <v>6.9078499999999998</v>
      </c>
      <c r="K3711" s="85">
        <v>5.3905000000000003</v>
      </c>
      <c r="M3711" s="84">
        <v>941.85799999999995</v>
      </c>
      <c r="O3711" s="86">
        <v>3866.64</v>
      </c>
      <c r="Q3711" s="86">
        <v>7074.6</v>
      </c>
      <c r="S3711" s="86">
        <v>1312.42</v>
      </c>
      <c r="U3711" s="85">
        <v>3.3897900000000001</v>
      </c>
      <c r="W3711" s="81">
        <v>39.867800000000003</v>
      </c>
      <c r="Y3711" s="81">
        <v>7.3959400000000004</v>
      </c>
      <c r="AA3711" s="84">
        <v>501.91699999999997</v>
      </c>
      <c r="AC3711" s="81">
        <v>64.020399999999995</v>
      </c>
      <c r="AE3711" s="87">
        <v>1</v>
      </c>
      <c r="AG3711" s="85">
        <v>7.6590999999999996</v>
      </c>
      <c r="AI3711" s="86">
        <v>8.75</v>
      </c>
      <c r="AK3711" s="81">
        <v>26.194400000000002</v>
      </c>
      <c r="AM3711" s="81">
        <v>36.660600000000002</v>
      </c>
      <c r="AO3711" s="85">
        <v>6.79244</v>
      </c>
    </row>
    <row r="3712" spans="2:41" x14ac:dyDescent="0.25">
      <c r="B3712" s="21">
        <v>45957</v>
      </c>
      <c r="C3712" s="91">
        <v>18.3948</v>
      </c>
      <c r="E3712" s="83">
        <v>0.85932600000000003</v>
      </c>
      <c r="G3712" s="84">
        <v>1469.36</v>
      </c>
      <c r="I3712" s="85">
        <v>6.9124299999999996</v>
      </c>
      <c r="K3712" s="85">
        <v>5.3825500000000002</v>
      </c>
      <c r="M3712" s="84">
        <v>940.89400000000001</v>
      </c>
      <c r="O3712" s="86">
        <v>3858.76</v>
      </c>
      <c r="Q3712" s="86">
        <v>7075.4</v>
      </c>
      <c r="S3712" s="86">
        <v>1314.51</v>
      </c>
      <c r="U3712" s="85">
        <v>3.38646</v>
      </c>
      <c r="W3712" s="81">
        <v>39.864100000000001</v>
      </c>
      <c r="Y3712" s="81">
        <v>7.4062000000000001</v>
      </c>
      <c r="AA3712" s="84">
        <v>501.51600000000002</v>
      </c>
      <c r="AC3712" s="81">
        <v>63.995199999999997</v>
      </c>
      <c r="AE3712" s="87">
        <v>1</v>
      </c>
      <c r="AG3712" s="85">
        <v>7.6563600000000003</v>
      </c>
      <c r="AI3712" s="86">
        <v>8.75</v>
      </c>
      <c r="AK3712" s="81">
        <v>26.2835</v>
      </c>
      <c r="AM3712" s="81">
        <v>36.764600000000002</v>
      </c>
      <c r="AO3712" s="85">
        <v>6.7850999999999999</v>
      </c>
    </row>
    <row r="3713" spans="2:41" x14ac:dyDescent="0.25">
      <c r="B3713" s="21">
        <v>45958</v>
      </c>
      <c r="C3713" s="91">
        <v>18.389199999999999</v>
      </c>
      <c r="E3713" s="83">
        <v>0.85790100000000002</v>
      </c>
      <c r="G3713" s="84">
        <v>1450.29</v>
      </c>
      <c r="I3713" s="85">
        <v>6.9212400000000001</v>
      </c>
      <c r="K3713" s="85">
        <v>5.36972</v>
      </c>
      <c r="M3713" s="84">
        <v>941.41200000000003</v>
      </c>
      <c r="O3713" s="86">
        <v>3861.46</v>
      </c>
      <c r="Q3713" s="86">
        <v>7090.32</v>
      </c>
      <c r="S3713" s="86">
        <v>1320.43</v>
      </c>
      <c r="U3713" s="85">
        <v>3.3878599999999999</v>
      </c>
      <c r="W3713" s="81">
        <v>39.895400000000002</v>
      </c>
      <c r="Y3713" s="81">
        <v>7.4297199999999997</v>
      </c>
      <c r="AA3713" s="84">
        <v>501.54399999999998</v>
      </c>
      <c r="AC3713" s="81">
        <v>64.089100000000002</v>
      </c>
      <c r="AE3713" s="87">
        <v>1</v>
      </c>
      <c r="AG3713" s="85">
        <v>7.6640199999999998</v>
      </c>
      <c r="AI3713" s="86">
        <v>8.75</v>
      </c>
      <c r="AK3713" s="81">
        <v>26.34</v>
      </c>
      <c r="AM3713" s="81">
        <v>36.7639</v>
      </c>
      <c r="AO3713" s="85">
        <v>6.7906000000000004</v>
      </c>
    </row>
    <row r="3714" spans="2:41" x14ac:dyDescent="0.25">
      <c r="B3714" s="21">
        <v>45959</v>
      </c>
      <c r="C3714" s="91">
        <v>18.4145</v>
      </c>
      <c r="E3714" s="83">
        <v>0.85969200000000001</v>
      </c>
      <c r="G3714" s="84">
        <v>1460.18</v>
      </c>
      <c r="I3714" s="85">
        <v>6.9140600000000001</v>
      </c>
      <c r="K3714" s="85">
        <v>5.3556299999999997</v>
      </c>
      <c r="M3714" s="84">
        <v>941.85400000000004</v>
      </c>
      <c r="O3714" s="86">
        <v>3884.2</v>
      </c>
      <c r="Q3714" s="86">
        <v>7097.88</v>
      </c>
      <c r="S3714" s="86">
        <v>1325.32</v>
      </c>
      <c r="U3714" s="85">
        <v>3.3902000000000001</v>
      </c>
      <c r="W3714" s="81">
        <v>39.915399999999998</v>
      </c>
      <c r="Y3714" s="81">
        <v>7.4530099999999999</v>
      </c>
      <c r="AA3714" s="84">
        <v>501.601</v>
      </c>
      <c r="AC3714" s="81">
        <v>64.151799999999994</v>
      </c>
      <c r="AE3714" s="87">
        <v>1</v>
      </c>
      <c r="AG3714" s="85">
        <v>7.6631600000000004</v>
      </c>
      <c r="AI3714" s="86">
        <v>8.75</v>
      </c>
      <c r="AK3714" s="81">
        <v>26.3108</v>
      </c>
      <c r="AM3714" s="81">
        <v>36.797400000000003</v>
      </c>
      <c r="AO3714" s="85">
        <v>6.7831700000000001</v>
      </c>
    </row>
    <row r="3715" spans="2:41" x14ac:dyDescent="0.25">
      <c r="B3715" s="21">
        <v>45960</v>
      </c>
      <c r="C3715" s="91">
        <v>18.4072</v>
      </c>
      <c r="E3715" s="83">
        <v>0.86260000000000003</v>
      </c>
      <c r="G3715" s="84">
        <v>1437.6</v>
      </c>
      <c r="I3715" s="85">
        <v>6.9126000000000003</v>
      </c>
      <c r="K3715" s="85">
        <v>5.3705100000000003</v>
      </c>
      <c r="M3715" s="84">
        <v>942.08</v>
      </c>
      <c r="O3715" s="86">
        <v>3871.7</v>
      </c>
      <c r="Q3715" s="86">
        <v>7090.96</v>
      </c>
      <c r="S3715" s="86">
        <v>1320.36</v>
      </c>
      <c r="U3715" s="85">
        <v>3.38957</v>
      </c>
      <c r="W3715" s="81">
        <v>39.877600000000001</v>
      </c>
      <c r="Y3715" s="81">
        <v>7.4253200000000001</v>
      </c>
      <c r="AA3715" s="84">
        <v>501.95600000000002</v>
      </c>
      <c r="AC3715" s="81">
        <v>64.178799999999995</v>
      </c>
      <c r="AE3715" s="87">
        <v>1</v>
      </c>
      <c r="AG3715" s="85">
        <v>7.6632100000000003</v>
      </c>
      <c r="AI3715" s="86">
        <v>8.75</v>
      </c>
      <c r="AK3715" s="81">
        <v>26.2788</v>
      </c>
      <c r="AM3715" s="81">
        <v>36.777700000000003</v>
      </c>
      <c r="AO3715" s="85">
        <v>6.77189</v>
      </c>
    </row>
    <row r="3716" spans="2:41" x14ac:dyDescent="0.25">
      <c r="B3716" s="21">
        <v>45961</v>
      </c>
      <c r="C3716" s="82">
        <v>18.538</v>
      </c>
      <c r="D3716" s="92"/>
      <c r="E3716" s="93">
        <v>0.86563800000000002</v>
      </c>
      <c r="F3716" s="92"/>
      <c r="G3716" s="94">
        <v>1442.38</v>
      </c>
      <c r="H3716" s="92"/>
      <c r="I3716" s="95">
        <v>6.9193800000000003</v>
      </c>
      <c r="J3716" s="92"/>
      <c r="K3716" s="95">
        <v>5.3818799999999998</v>
      </c>
      <c r="L3716" s="92"/>
      <c r="M3716" s="94">
        <v>942.43100000000004</v>
      </c>
      <c r="N3716" s="92"/>
      <c r="O3716" s="96">
        <v>3859.33</v>
      </c>
      <c r="P3716" s="92"/>
      <c r="Q3716" s="96">
        <v>7090.72</v>
      </c>
      <c r="R3716" s="92"/>
      <c r="S3716" s="96">
        <v>1317.52</v>
      </c>
      <c r="T3716" s="92"/>
      <c r="U3716" s="95">
        <v>3.3844400000000001</v>
      </c>
      <c r="V3716" s="92"/>
      <c r="W3716" s="91">
        <v>39.936</v>
      </c>
      <c r="X3716" s="92"/>
      <c r="Y3716" s="91">
        <v>7.4204600000000003</v>
      </c>
      <c r="Z3716" s="92"/>
      <c r="AA3716" s="94">
        <v>502.45100000000002</v>
      </c>
      <c r="AB3716" s="92"/>
      <c r="AC3716" s="91">
        <v>64.198400000000007</v>
      </c>
      <c r="AD3716" s="92"/>
      <c r="AE3716" s="97">
        <v>1</v>
      </c>
      <c r="AF3716" s="92"/>
      <c r="AG3716" s="95">
        <v>7.6707200000000002</v>
      </c>
      <c r="AH3716" s="92"/>
      <c r="AI3716" s="96">
        <v>8.75</v>
      </c>
      <c r="AJ3716" s="92"/>
      <c r="AK3716" s="91">
        <v>26.2986</v>
      </c>
      <c r="AL3716" s="92"/>
      <c r="AM3716" s="91">
        <v>36.800400000000003</v>
      </c>
      <c r="AN3716" s="92"/>
      <c r="AO3716" s="95">
        <v>6.7761800000000001</v>
      </c>
    </row>
    <row r="3717" spans="2:41" ht="13" x14ac:dyDescent="0.3">
      <c r="B3717" s="25" t="str">
        <f>"PROM-"&amp;MONTH(B3716)&amp;YEAR(B3716)</f>
        <v>PROM-102025</v>
      </c>
      <c r="C3717" s="19">
        <f>AVERAGE(C3686:C3716)</f>
        <v>18.419512903225808</v>
      </c>
      <c r="E3717" s="19">
        <f>AVERAGE(E3686:E3716)</f>
        <v>0.858738064516129</v>
      </c>
      <c r="G3717" s="19">
        <f>AVERAGE(G3686:G3716)</f>
        <v>1437.1009677419354</v>
      </c>
      <c r="I3717" s="19">
        <f>AVERAGE(I3686:I3716)</f>
        <v>6.9149516129032254</v>
      </c>
      <c r="K3717" s="19">
        <f>AVERAGE(K3686:K3716)</f>
        <v>5.3941851612903227</v>
      </c>
      <c r="M3717" s="19">
        <f>AVERAGE(M3686:M3716)</f>
        <v>953.6375483870969</v>
      </c>
      <c r="O3717" s="19">
        <f>AVERAGE(O3686:O3716)</f>
        <v>3880.5974193548386</v>
      </c>
      <c r="Q3717" s="19">
        <f>AVERAGE(Q3686:Q3716)</f>
        <v>7057.0090322580636</v>
      </c>
      <c r="S3717" s="19">
        <f>AVERAGE(S3686:S3716)</f>
        <v>1308.4151612903224</v>
      </c>
      <c r="U3717" s="19">
        <f>AVERAGE(U3686:U3716)</f>
        <v>3.4188322580645161</v>
      </c>
      <c r="W3717" s="19">
        <f>AVERAGE(W3686:W3716)</f>
        <v>39.94975483870968</v>
      </c>
      <c r="Y3717" s="19">
        <f>AVERAGE(Y3686:Y3716)</f>
        <v>7.4067470967741924</v>
      </c>
      <c r="AA3717" s="19">
        <f>AVERAGE(AA3686:AA3716)</f>
        <v>502.54664516129031</v>
      </c>
      <c r="AC3717" s="19">
        <f>AVERAGE(AC3686:AC3716)</f>
        <v>63.251587096774209</v>
      </c>
      <c r="AE3717" s="19">
        <f>AVERAGE(AE3686:AE3716)</f>
        <v>1</v>
      </c>
      <c r="AG3717" s="19">
        <f>AVERAGE(AG3686:AG3716)</f>
        <v>7.6612287096774185</v>
      </c>
      <c r="AI3717" s="19">
        <f>AVERAGE(AI3686:AI3716)</f>
        <v>8.75</v>
      </c>
      <c r="AK3717" s="19">
        <f>AVERAGE(AK3686:AK3716)</f>
        <v>26.24428064516129</v>
      </c>
      <c r="AM3717" s="19">
        <f>AVERAGE(AM3686:AM3716)</f>
        <v>36.757080645161288</v>
      </c>
      <c r="AO3717" s="19">
        <f>AVERAGE(AO3686:AO3716)</f>
        <v>6.7849970967741964</v>
      </c>
    </row>
    <row r="3718" spans="2:41" x14ac:dyDescent="0.25">
      <c r="B3718" s="21">
        <v>45962</v>
      </c>
      <c r="C3718" s="91">
        <v>18.538</v>
      </c>
      <c r="E3718" s="83">
        <v>0.86682899999999996</v>
      </c>
      <c r="G3718" s="84">
        <v>1446.32</v>
      </c>
      <c r="I3718" s="85">
        <v>6.9171899999999997</v>
      </c>
      <c r="K3718" s="85">
        <v>5.3764500000000002</v>
      </c>
      <c r="M3718" s="84">
        <v>942.42399999999998</v>
      </c>
      <c r="O3718" s="86">
        <v>3859.46</v>
      </c>
      <c r="Q3718" s="86">
        <v>7089.19</v>
      </c>
      <c r="S3718" s="86">
        <v>1318.56</v>
      </c>
      <c r="U3718" s="85">
        <v>3.3748800000000001</v>
      </c>
      <c r="W3718" s="81">
        <v>39.868600000000001</v>
      </c>
      <c r="Y3718" s="81">
        <v>7.4154299999999997</v>
      </c>
      <c r="AA3718" s="84">
        <v>501.93799999999999</v>
      </c>
      <c r="AC3718" s="81">
        <v>64.077500000000001</v>
      </c>
      <c r="AE3718" s="87">
        <v>1</v>
      </c>
      <c r="AG3718" s="85">
        <v>7.6710000000000003</v>
      </c>
      <c r="AI3718" s="86">
        <v>8.75</v>
      </c>
      <c r="AK3718" s="81">
        <v>26.263000000000002</v>
      </c>
      <c r="AM3718" s="81">
        <v>36.76</v>
      </c>
      <c r="AO3718" s="85">
        <v>6.7640799999999999</v>
      </c>
    </row>
    <row r="3719" spans="2:41" x14ac:dyDescent="0.25">
      <c r="B3719" s="21">
        <f t="shared" ref="B3719:B3747" si="9">B3718+1</f>
        <v>45963</v>
      </c>
      <c r="C3719" s="91">
        <v>18.538</v>
      </c>
      <c r="E3719" s="83">
        <v>0.86685400000000001</v>
      </c>
      <c r="G3719" s="84">
        <v>1446.4</v>
      </c>
      <c r="I3719" s="85">
        <v>6.9171899999999997</v>
      </c>
      <c r="K3719" s="85">
        <v>5.3764500000000002</v>
      </c>
      <c r="M3719" s="84">
        <v>942.42399999999998</v>
      </c>
      <c r="O3719" s="86">
        <v>3859.46</v>
      </c>
      <c r="Q3719" s="86">
        <v>7088.74</v>
      </c>
      <c r="S3719" s="86">
        <v>1318.48</v>
      </c>
      <c r="U3719" s="85">
        <v>3.3748800000000001</v>
      </c>
      <c r="W3719" s="81">
        <v>39.868600000000001</v>
      </c>
      <c r="Y3719" s="81">
        <v>7.4154400000000003</v>
      </c>
      <c r="AA3719" s="84">
        <v>501.93099999999998</v>
      </c>
      <c r="AC3719" s="81">
        <v>64.077200000000005</v>
      </c>
      <c r="AE3719" s="87">
        <v>1</v>
      </c>
      <c r="AG3719" s="85">
        <v>7.67096</v>
      </c>
      <c r="AI3719" s="86">
        <v>8.75</v>
      </c>
      <c r="AK3719" s="81">
        <v>26.262899999999998</v>
      </c>
      <c r="AM3719" s="81">
        <v>36.760100000000001</v>
      </c>
      <c r="AO3719" s="85">
        <v>6.7642600000000002</v>
      </c>
    </row>
    <row r="3720" spans="2:41" x14ac:dyDescent="0.25">
      <c r="B3720" s="21">
        <f t="shared" si="9"/>
        <v>45964</v>
      </c>
      <c r="C3720" s="91">
        <v>18.572500000000002</v>
      </c>
      <c r="E3720" s="83">
        <v>0.86776699999999996</v>
      </c>
      <c r="G3720" s="84">
        <v>1457.14</v>
      </c>
      <c r="I3720" s="85">
        <v>6.9340599999999997</v>
      </c>
      <c r="K3720" s="85">
        <v>5.3708799999999997</v>
      </c>
      <c r="M3720" s="84">
        <v>941.24400000000003</v>
      </c>
      <c r="O3720" s="86">
        <v>3856.92</v>
      </c>
      <c r="Q3720" s="86">
        <v>7096.92</v>
      </c>
      <c r="S3720" s="86">
        <v>1321.37</v>
      </c>
      <c r="U3720" s="85">
        <v>3.3803000000000001</v>
      </c>
      <c r="W3720" s="81">
        <v>39.926099999999998</v>
      </c>
      <c r="Y3720" s="81">
        <v>7.43384</v>
      </c>
      <c r="AA3720" s="84">
        <v>502.27800000000002</v>
      </c>
      <c r="AC3720" s="81">
        <v>64.356800000000007</v>
      </c>
      <c r="AE3720" s="87">
        <v>1</v>
      </c>
      <c r="AG3720" s="85">
        <v>7.6736899999999997</v>
      </c>
      <c r="AI3720" s="86">
        <v>8.75</v>
      </c>
      <c r="AK3720" s="81">
        <v>26.336400000000001</v>
      </c>
      <c r="AM3720" s="81">
        <v>36.8474</v>
      </c>
      <c r="AO3720" s="85">
        <v>6.78294</v>
      </c>
    </row>
    <row r="3721" spans="2:41" x14ac:dyDescent="0.25">
      <c r="B3721" s="21">
        <f t="shared" si="9"/>
        <v>45965</v>
      </c>
      <c r="C3721" s="91">
        <v>18.483499999999999</v>
      </c>
      <c r="E3721" s="83">
        <v>0.869672</v>
      </c>
      <c r="G3721" s="84">
        <v>1473.42</v>
      </c>
      <c r="I3721" s="85">
        <v>6.9237900000000003</v>
      </c>
      <c r="K3721" s="85">
        <v>5.3762400000000001</v>
      </c>
      <c r="M3721" s="84">
        <v>942.11400000000003</v>
      </c>
      <c r="O3721" s="86">
        <v>3859.94</v>
      </c>
      <c r="Q3721" s="86">
        <v>7091.38</v>
      </c>
      <c r="S3721" s="86">
        <v>1319.03</v>
      </c>
      <c r="U3721" s="85">
        <v>3.3782800000000002</v>
      </c>
      <c r="W3721" s="81">
        <v>39.830500000000001</v>
      </c>
      <c r="Y3721" s="81">
        <v>7.4086400000000001</v>
      </c>
      <c r="AA3721" s="84">
        <v>501.74599999999998</v>
      </c>
      <c r="AC3721" s="81">
        <v>64.264700000000005</v>
      </c>
      <c r="AE3721" s="87">
        <v>1</v>
      </c>
      <c r="AG3721" s="85">
        <v>7.6636499999999996</v>
      </c>
      <c r="AI3721" s="86">
        <v>8.75</v>
      </c>
      <c r="AK3721" s="81">
        <v>26.334900000000001</v>
      </c>
      <c r="AM3721" s="81">
        <v>36.788600000000002</v>
      </c>
      <c r="AO3721" s="85">
        <v>6.7779299999999996</v>
      </c>
    </row>
    <row r="3722" spans="2:41" x14ac:dyDescent="0.25">
      <c r="B3722" s="21">
        <f t="shared" si="9"/>
        <v>45966</v>
      </c>
      <c r="C3722" s="91">
        <v>18.613299999999999</v>
      </c>
      <c r="E3722" s="83">
        <v>0.87056800000000001</v>
      </c>
      <c r="G3722" s="84">
        <v>1454.03</v>
      </c>
      <c r="I3722" s="85">
        <v>6.9116600000000004</v>
      </c>
      <c r="K3722" s="85">
        <v>5.3834</v>
      </c>
      <c r="M3722" s="84">
        <v>945.90800000000002</v>
      </c>
      <c r="O3722" s="86">
        <v>3853.2</v>
      </c>
      <c r="Q3722" s="86">
        <v>7083.94</v>
      </c>
      <c r="S3722" s="86">
        <v>1315.88</v>
      </c>
      <c r="U3722" s="85">
        <v>3.3791799999999999</v>
      </c>
      <c r="W3722" s="81">
        <v>39.804200000000002</v>
      </c>
      <c r="Y3722" s="81">
        <v>7.3938800000000002</v>
      </c>
      <c r="AA3722" s="84">
        <v>501.94799999999998</v>
      </c>
      <c r="AC3722" s="81">
        <v>64.183000000000007</v>
      </c>
      <c r="AE3722" s="87">
        <v>1</v>
      </c>
      <c r="AG3722" s="85">
        <v>7.6631400000000003</v>
      </c>
      <c r="AI3722" s="86">
        <v>8.75</v>
      </c>
      <c r="AK3722" s="81">
        <v>26.3232</v>
      </c>
      <c r="AM3722" s="81">
        <v>36.782200000000003</v>
      </c>
      <c r="AO3722" s="85">
        <v>6.7775400000000001</v>
      </c>
    </row>
    <row r="3723" spans="2:41" x14ac:dyDescent="0.25">
      <c r="B3723" s="21">
        <f t="shared" si="9"/>
        <v>45967</v>
      </c>
      <c r="C3723" s="91">
        <v>18.5947</v>
      </c>
      <c r="E3723" s="83">
        <v>0.86773800000000001</v>
      </c>
      <c r="G3723" s="84">
        <v>1450.74</v>
      </c>
      <c r="I3723" s="85">
        <v>6.9097999999999997</v>
      </c>
      <c r="K3723" s="85">
        <v>5.3548900000000001</v>
      </c>
      <c r="M3723" s="84">
        <v>943.20399999999995</v>
      </c>
      <c r="O3723" s="86">
        <v>3819.55</v>
      </c>
      <c r="Q3723" s="86">
        <v>7079.94</v>
      </c>
      <c r="S3723" s="86">
        <v>1322.14</v>
      </c>
      <c r="U3723" s="85">
        <v>3.37601</v>
      </c>
      <c r="W3723" s="81">
        <v>39.790399999999998</v>
      </c>
      <c r="Y3723" s="81">
        <v>7.4306799999999997</v>
      </c>
      <c r="AA3723" s="84">
        <v>502.23500000000001</v>
      </c>
      <c r="AC3723" s="81">
        <v>64.310199999999995</v>
      </c>
      <c r="AE3723" s="87">
        <v>1</v>
      </c>
      <c r="AG3723" s="85">
        <v>7.6616</v>
      </c>
      <c r="AI3723" s="86">
        <v>8.75</v>
      </c>
      <c r="AK3723" s="81">
        <v>26.319299999999998</v>
      </c>
      <c r="AM3723" s="81">
        <v>36.7834</v>
      </c>
      <c r="AO3723" s="85">
        <v>6.7755599999999996</v>
      </c>
    </row>
    <row r="3724" spans="2:41" x14ac:dyDescent="0.25">
      <c r="B3724" s="21">
        <f t="shared" si="9"/>
        <v>45968</v>
      </c>
      <c r="C3724" s="91">
        <v>18.6233</v>
      </c>
      <c r="E3724" s="83">
        <v>0.86546199999999995</v>
      </c>
      <c r="G3724" s="84">
        <v>1440.3</v>
      </c>
      <c r="I3724" s="85">
        <v>6.9129399999999999</v>
      </c>
      <c r="K3724" s="85">
        <v>5.34694</v>
      </c>
      <c r="M3724" s="84">
        <v>944.30799999999999</v>
      </c>
      <c r="O3724" s="86">
        <v>3783.78</v>
      </c>
      <c r="Q3724" s="86">
        <v>7075.31</v>
      </c>
      <c r="S3724" s="86">
        <v>1323.24</v>
      </c>
      <c r="U3724" s="85">
        <v>3.37527</v>
      </c>
      <c r="W3724" s="81">
        <v>39.806800000000003</v>
      </c>
      <c r="Y3724" s="81">
        <v>7.4447900000000002</v>
      </c>
      <c r="AA3724" s="84">
        <v>501.96100000000001</v>
      </c>
      <c r="AC3724" s="81">
        <v>64.259600000000006</v>
      </c>
      <c r="AE3724" s="87">
        <v>1</v>
      </c>
      <c r="AG3724" s="85">
        <v>7.66134</v>
      </c>
      <c r="AI3724" s="86">
        <v>8.75</v>
      </c>
      <c r="AK3724" s="81">
        <v>26.282</v>
      </c>
      <c r="AM3724" s="81">
        <v>36.777999999999999</v>
      </c>
      <c r="AO3724" s="85">
        <v>6.7742500000000003</v>
      </c>
    </row>
    <row r="3725" spans="2:41" x14ac:dyDescent="0.25">
      <c r="B3725" s="21">
        <f t="shared" si="9"/>
        <v>45969</v>
      </c>
      <c r="C3725" s="91">
        <v>18.6233</v>
      </c>
      <c r="E3725" s="83">
        <v>0.86457700000000004</v>
      </c>
      <c r="G3725" s="84">
        <v>1417.04</v>
      </c>
      <c r="I3725" s="85">
        <v>6.9165700000000001</v>
      </c>
      <c r="K3725" s="85">
        <v>5.3340800000000002</v>
      </c>
      <c r="M3725" s="84">
        <v>944.75</v>
      </c>
      <c r="O3725" s="86">
        <v>3780</v>
      </c>
      <c r="Q3725" s="86">
        <v>7078.38</v>
      </c>
      <c r="S3725" s="86">
        <v>1327.02</v>
      </c>
      <c r="U3725" s="85">
        <v>3.3740600000000001</v>
      </c>
      <c r="W3725" s="81">
        <v>39.796100000000003</v>
      </c>
      <c r="Y3725" s="81">
        <v>7.4607400000000004</v>
      </c>
      <c r="AA3725" s="84">
        <v>501.94200000000001</v>
      </c>
      <c r="AC3725" s="81">
        <v>64.275400000000005</v>
      </c>
      <c r="AE3725" s="87">
        <v>1</v>
      </c>
      <c r="AG3725" s="85">
        <v>7.6612</v>
      </c>
      <c r="AI3725" s="86">
        <v>8.75</v>
      </c>
      <c r="AK3725" s="81">
        <v>26.29</v>
      </c>
      <c r="AM3725" s="81">
        <v>36.791400000000003</v>
      </c>
      <c r="AO3725" s="85">
        <v>6.7797700000000001</v>
      </c>
    </row>
    <row r="3726" spans="2:41" x14ac:dyDescent="0.25">
      <c r="B3726" s="21">
        <f t="shared" si="9"/>
        <v>45970</v>
      </c>
      <c r="C3726" s="91">
        <v>18.6233</v>
      </c>
      <c r="E3726" s="83">
        <v>0.86466299999999996</v>
      </c>
      <c r="G3726" s="84">
        <v>1416.22</v>
      </c>
      <c r="I3726" s="85">
        <v>6.9165700000000001</v>
      </c>
      <c r="K3726" s="85">
        <v>5.33406</v>
      </c>
      <c r="M3726" s="84">
        <v>944.75</v>
      </c>
      <c r="O3726" s="86">
        <v>3780.01</v>
      </c>
      <c r="Q3726" s="86">
        <v>7078.23</v>
      </c>
      <c r="S3726" s="86">
        <v>1327</v>
      </c>
      <c r="U3726" s="85">
        <v>3.3739599999999998</v>
      </c>
      <c r="W3726" s="81">
        <v>39.795900000000003</v>
      </c>
      <c r="Y3726" s="81">
        <v>7.4607299999999999</v>
      </c>
      <c r="AA3726" s="84">
        <v>501.93599999999998</v>
      </c>
      <c r="AC3726" s="81">
        <v>64.270799999999994</v>
      </c>
      <c r="AE3726" s="87">
        <v>1</v>
      </c>
      <c r="AG3726" s="85">
        <v>7.6611200000000004</v>
      </c>
      <c r="AI3726" s="86">
        <v>8.75</v>
      </c>
      <c r="AK3726" s="81">
        <v>26.2897</v>
      </c>
      <c r="AM3726" s="81">
        <v>36.790999999999997</v>
      </c>
      <c r="AO3726" s="85">
        <v>6.7796200000000004</v>
      </c>
    </row>
    <row r="3727" spans="2:41" x14ac:dyDescent="0.25">
      <c r="B3727" s="21">
        <f t="shared" si="9"/>
        <v>45971</v>
      </c>
      <c r="C3727" s="91">
        <v>18.5</v>
      </c>
      <c r="E3727" s="83">
        <v>0.86499599999999999</v>
      </c>
      <c r="G3727" s="84">
        <v>1415.58</v>
      </c>
      <c r="I3727" s="85">
        <v>6.9215799999999996</v>
      </c>
      <c r="K3727" s="85">
        <v>5.3227000000000002</v>
      </c>
      <c r="M3727" s="84">
        <v>941.85699999999997</v>
      </c>
      <c r="O3727" s="86">
        <v>3773.03</v>
      </c>
      <c r="Q3727" s="86">
        <v>7074.06</v>
      </c>
      <c r="S3727" s="86">
        <v>1329.04</v>
      </c>
      <c r="U3727" s="85">
        <v>3.3723200000000002</v>
      </c>
      <c r="W3727" s="81">
        <v>39.784799999999997</v>
      </c>
      <c r="Y3727" s="81">
        <v>7.4745999999999997</v>
      </c>
      <c r="AA3727" s="84">
        <v>501.90600000000001</v>
      </c>
      <c r="AC3727" s="81">
        <v>64.259</v>
      </c>
      <c r="AE3727" s="87">
        <v>1</v>
      </c>
      <c r="AG3727" s="85">
        <v>7.6611900000000004</v>
      </c>
      <c r="AI3727" s="86">
        <v>8.75</v>
      </c>
      <c r="AK3727" s="81">
        <v>26.296399999999998</v>
      </c>
      <c r="AM3727" s="81">
        <v>36.783299999999997</v>
      </c>
      <c r="AO3727" s="85">
        <v>6.7796200000000004</v>
      </c>
    </row>
    <row r="3728" spans="2:41" x14ac:dyDescent="0.25">
      <c r="B3728" s="21">
        <f t="shared" si="9"/>
        <v>45972</v>
      </c>
      <c r="C3728" s="91">
        <v>18.392199999999999</v>
      </c>
      <c r="E3728" s="83">
        <v>0.86395999999999995</v>
      </c>
      <c r="G3728" s="84">
        <v>1416.66</v>
      </c>
      <c r="I3728" s="85">
        <v>6.9255300000000002</v>
      </c>
      <c r="K3728" s="85">
        <v>5.2856100000000001</v>
      </c>
      <c r="M3728" s="84">
        <v>937.24699999999996</v>
      </c>
      <c r="O3728" s="86">
        <v>3755.49</v>
      </c>
      <c r="Q3728" s="86">
        <v>7071.78</v>
      </c>
      <c r="S3728" s="86">
        <v>1337.94</v>
      </c>
      <c r="U3728" s="85">
        <v>3.3674200000000001</v>
      </c>
      <c r="W3728" s="81">
        <v>39.789299999999997</v>
      </c>
      <c r="Y3728" s="81">
        <v>7.5278799999999997</v>
      </c>
      <c r="AA3728" s="84">
        <v>502.286</v>
      </c>
      <c r="AC3728" s="81">
        <v>64.306299999999993</v>
      </c>
      <c r="AE3728" s="87">
        <v>1</v>
      </c>
      <c r="AG3728" s="85">
        <v>7.6654600000000004</v>
      </c>
      <c r="AI3728" s="86">
        <v>8.75</v>
      </c>
      <c r="AK3728" s="81">
        <v>26.316600000000001</v>
      </c>
      <c r="AM3728" s="81">
        <v>36.789000000000001</v>
      </c>
      <c r="AO3728" s="85">
        <v>6.7815599999999998</v>
      </c>
    </row>
    <row r="3729" spans="2:41" x14ac:dyDescent="0.25">
      <c r="B3729" s="21">
        <f t="shared" si="9"/>
        <v>45973</v>
      </c>
      <c r="C3729" s="91">
        <v>18.333300000000001</v>
      </c>
      <c r="E3729" s="83">
        <v>0.86345099999999997</v>
      </c>
      <c r="G3729" s="84">
        <v>1408.46</v>
      </c>
      <c r="I3729" s="85">
        <v>6.9137500000000003</v>
      </c>
      <c r="K3729" s="85">
        <v>5.2815300000000001</v>
      </c>
      <c r="M3729" s="84">
        <v>933.71199999999999</v>
      </c>
      <c r="O3729" s="86">
        <v>3734.48</v>
      </c>
      <c r="Q3729" s="86">
        <v>7054.69</v>
      </c>
      <c r="S3729" s="86">
        <v>1335.74</v>
      </c>
      <c r="U3729" s="85">
        <v>3.3686600000000002</v>
      </c>
      <c r="W3729" s="81">
        <v>39.772199999999998</v>
      </c>
      <c r="Y3729" s="81">
        <v>7.5304399999999996</v>
      </c>
      <c r="AA3729" s="84">
        <v>502.28800000000001</v>
      </c>
      <c r="AC3729" s="81">
        <v>64.302999999999997</v>
      </c>
      <c r="AE3729" s="87">
        <v>1</v>
      </c>
      <c r="AG3729" s="85">
        <v>7.6638599999999997</v>
      </c>
      <c r="AI3729" s="86">
        <v>8.75</v>
      </c>
      <c r="AK3729" s="81">
        <v>26.306799999999999</v>
      </c>
      <c r="AM3729" s="81">
        <v>36.795400000000001</v>
      </c>
      <c r="AO3729" s="85">
        <v>6.7772600000000001</v>
      </c>
    </row>
    <row r="3730" spans="2:41" x14ac:dyDescent="0.25">
      <c r="B3730" s="21">
        <f t="shared" si="9"/>
        <v>45974</v>
      </c>
      <c r="C3730" s="91">
        <v>18.298200000000001</v>
      </c>
      <c r="E3730" s="83">
        <v>0.86092000000000002</v>
      </c>
      <c r="G3730" s="84">
        <v>1408.26</v>
      </c>
      <c r="I3730" s="85">
        <v>6.9208100000000004</v>
      </c>
      <c r="K3730" s="85">
        <v>5.2917899999999998</v>
      </c>
      <c r="M3730" s="84">
        <v>929.06200000000001</v>
      </c>
      <c r="O3730" s="86">
        <v>3715.87</v>
      </c>
      <c r="Q3730" s="86">
        <v>7052.81</v>
      </c>
      <c r="S3730" s="86">
        <v>1332.78</v>
      </c>
      <c r="U3730" s="85">
        <v>3.3697699999999999</v>
      </c>
      <c r="W3730" s="81">
        <v>39.761400000000002</v>
      </c>
      <c r="Y3730" s="81">
        <v>7.5138199999999999</v>
      </c>
      <c r="AA3730" s="84">
        <v>502.161</v>
      </c>
      <c r="AC3730" s="81">
        <v>64.3018</v>
      </c>
      <c r="AE3730" s="87">
        <v>1</v>
      </c>
      <c r="AG3730" s="85">
        <v>7.6637199999999996</v>
      </c>
      <c r="AI3730" s="86">
        <v>8.75</v>
      </c>
      <c r="AK3730" s="81">
        <v>26.303999999999998</v>
      </c>
      <c r="AM3730" s="81">
        <v>36.785400000000003</v>
      </c>
      <c r="AO3730" s="85">
        <v>6.7673800000000002</v>
      </c>
    </row>
    <row r="3731" spans="2:41" x14ac:dyDescent="0.25">
      <c r="B3731" s="21">
        <f t="shared" si="9"/>
        <v>45975</v>
      </c>
      <c r="C3731" s="91">
        <v>18.2805</v>
      </c>
      <c r="E3731" s="83">
        <v>0.86002100000000004</v>
      </c>
      <c r="G3731" s="84">
        <v>1406.26</v>
      </c>
      <c r="I3731" s="85">
        <v>6.92056</v>
      </c>
      <c r="K3731" s="85">
        <v>5.2965600000000004</v>
      </c>
      <c r="M3731" s="84">
        <v>929.37</v>
      </c>
      <c r="O3731" s="86">
        <v>3752.98</v>
      </c>
      <c r="Q3731" s="86">
        <v>7046.15</v>
      </c>
      <c r="S3731" s="86">
        <v>1330.34</v>
      </c>
      <c r="U3731" s="85">
        <v>3.3694999999999999</v>
      </c>
      <c r="W3731" s="81">
        <v>39.761400000000002</v>
      </c>
      <c r="Y3731" s="81">
        <v>7.5070399999999999</v>
      </c>
      <c r="AA3731" s="84">
        <v>501.416</v>
      </c>
      <c r="AC3731" s="81">
        <v>64.332599999999999</v>
      </c>
      <c r="AE3731" s="87">
        <v>1</v>
      </c>
      <c r="AG3731" s="85">
        <v>7.6619599999999997</v>
      </c>
      <c r="AI3731" s="86">
        <v>8.75</v>
      </c>
      <c r="AK3731" s="81">
        <v>26.3032</v>
      </c>
      <c r="AM3731" s="81">
        <v>36.784199999999998</v>
      </c>
      <c r="AO3731" s="85">
        <v>6.7736099999999997</v>
      </c>
    </row>
    <row r="3732" spans="2:41" x14ac:dyDescent="0.25">
      <c r="B3732" s="21">
        <f t="shared" si="9"/>
        <v>45976</v>
      </c>
      <c r="C3732" s="91">
        <v>18.2805</v>
      </c>
      <c r="E3732" s="83">
        <v>0.86043700000000001</v>
      </c>
      <c r="G3732" s="84">
        <v>1403.62</v>
      </c>
      <c r="I3732" s="85">
        <v>6.91073</v>
      </c>
      <c r="K3732" s="85">
        <v>5.2972999999999999</v>
      </c>
      <c r="M3732" s="84">
        <v>925.49800000000005</v>
      </c>
      <c r="O3732" s="86">
        <v>3757.25</v>
      </c>
      <c r="Q3732" s="86">
        <v>7048.4</v>
      </c>
      <c r="S3732" s="86">
        <v>1330.57</v>
      </c>
      <c r="U3732" s="85">
        <v>3.3650000000000002</v>
      </c>
      <c r="W3732" s="81">
        <v>39.768999999999998</v>
      </c>
      <c r="Y3732" s="81">
        <v>7.5074300000000003</v>
      </c>
      <c r="AA3732" s="84">
        <v>500.93200000000002</v>
      </c>
      <c r="AC3732" s="81">
        <v>64.137500000000003</v>
      </c>
      <c r="AE3732" s="87">
        <v>1</v>
      </c>
      <c r="AG3732" s="85">
        <v>7.6611799999999999</v>
      </c>
      <c r="AI3732" s="86">
        <v>8.75</v>
      </c>
      <c r="AK3732" s="81">
        <v>26.302</v>
      </c>
      <c r="AM3732" s="81">
        <v>36.770000000000003</v>
      </c>
      <c r="AO3732" s="85">
        <v>6.7789200000000003</v>
      </c>
    </row>
    <row r="3733" spans="2:41" x14ac:dyDescent="0.25">
      <c r="B3733" s="21">
        <f t="shared" si="9"/>
        <v>45977</v>
      </c>
      <c r="C3733" s="91">
        <v>18.2805</v>
      </c>
      <c r="E3733" s="83">
        <v>0.86044200000000004</v>
      </c>
      <c r="G3733" s="84">
        <v>1403.82</v>
      </c>
      <c r="I3733" s="85">
        <v>6.91073</v>
      </c>
      <c r="K3733" s="85">
        <v>5.2972700000000001</v>
      </c>
      <c r="M3733" s="84">
        <v>925.49800000000005</v>
      </c>
      <c r="O3733" s="86">
        <v>3757.2</v>
      </c>
      <c r="Q3733" s="86">
        <v>7048.4</v>
      </c>
      <c r="S3733" s="86">
        <v>1330.58</v>
      </c>
      <c r="U3733" s="85">
        <v>3.3650000000000002</v>
      </c>
      <c r="W3733" s="81">
        <v>39.768999999999998</v>
      </c>
      <c r="Y3733" s="81">
        <v>7.5074800000000002</v>
      </c>
      <c r="AA3733" s="84">
        <v>500.93200000000002</v>
      </c>
      <c r="AC3733" s="81">
        <v>64.143799999999999</v>
      </c>
      <c r="AE3733" s="87">
        <v>1</v>
      </c>
      <c r="AG3733" s="85">
        <v>7.6611799999999999</v>
      </c>
      <c r="AI3733" s="86">
        <v>8.75</v>
      </c>
      <c r="AK3733" s="81">
        <v>26.302</v>
      </c>
      <c r="AM3733" s="81">
        <v>36.770200000000003</v>
      </c>
      <c r="AO3733" s="85">
        <v>6.7789200000000003</v>
      </c>
    </row>
    <row r="3734" spans="2:41" x14ac:dyDescent="0.25">
      <c r="B3734" s="21">
        <f t="shared" si="9"/>
        <v>45978</v>
      </c>
      <c r="C3734" s="91">
        <v>18.2805</v>
      </c>
      <c r="E3734" s="83">
        <v>0.86221099999999995</v>
      </c>
      <c r="G3734" s="84">
        <v>1400.59</v>
      </c>
      <c r="I3734" s="85">
        <v>6.92319</v>
      </c>
      <c r="K3734" s="85">
        <v>5.3071900000000003</v>
      </c>
      <c r="M3734" s="84">
        <v>925.15599999999995</v>
      </c>
      <c r="O3734" s="86">
        <v>3755.04</v>
      </c>
      <c r="Q3734" s="86">
        <v>7047</v>
      </c>
      <c r="S3734" s="86">
        <v>1327.82</v>
      </c>
      <c r="U3734" s="85">
        <v>3.3679399999999999</v>
      </c>
      <c r="W3734" s="81">
        <v>39.7928</v>
      </c>
      <c r="Y3734" s="81">
        <v>7.4979300000000002</v>
      </c>
      <c r="AA3734" s="84">
        <v>501.04</v>
      </c>
      <c r="AC3734" s="81">
        <v>64.222300000000004</v>
      </c>
      <c r="AE3734" s="87">
        <v>1</v>
      </c>
      <c r="AG3734" s="85">
        <v>7.6654999999999998</v>
      </c>
      <c r="AI3734" s="86">
        <v>8.75</v>
      </c>
      <c r="AK3734" s="81">
        <v>26.310600000000001</v>
      </c>
      <c r="AM3734" s="81">
        <v>36.813600000000001</v>
      </c>
      <c r="AO3734" s="85">
        <v>6.7808900000000003</v>
      </c>
    </row>
    <row r="3735" spans="2:41" x14ac:dyDescent="0.25">
      <c r="B3735" s="21">
        <f t="shared" si="9"/>
        <v>45979</v>
      </c>
      <c r="C3735" s="91">
        <v>18.3262</v>
      </c>
      <c r="E3735" s="83">
        <v>0.86289899999999997</v>
      </c>
      <c r="G3735" s="84">
        <v>1391.1</v>
      </c>
      <c r="I3735" s="85">
        <v>6.9230600000000004</v>
      </c>
      <c r="K3735" s="85">
        <v>5.3271699999999997</v>
      </c>
      <c r="M3735" s="84">
        <v>927.221</v>
      </c>
      <c r="O3735" s="86">
        <v>3745.5</v>
      </c>
      <c r="Q3735" s="86">
        <v>7042.86</v>
      </c>
      <c r="S3735" s="86">
        <v>1322.07</v>
      </c>
      <c r="U3735" s="85">
        <v>3.3670100000000001</v>
      </c>
      <c r="W3735" s="81">
        <v>39.795000000000002</v>
      </c>
      <c r="Y3735" s="81">
        <v>7.4702200000000003</v>
      </c>
      <c r="AA3735" s="84">
        <v>500.44299999999998</v>
      </c>
      <c r="AC3735" s="81">
        <v>63.972700000000003</v>
      </c>
      <c r="AE3735" s="87">
        <v>1</v>
      </c>
      <c r="AG3735" s="85">
        <v>7.6617499999999996</v>
      </c>
      <c r="AI3735" s="86">
        <v>8.75</v>
      </c>
      <c r="AK3735" s="81">
        <v>26.307400000000001</v>
      </c>
      <c r="AM3735" s="81">
        <v>36.7971</v>
      </c>
      <c r="AO3735" s="85">
        <v>6.7767600000000003</v>
      </c>
    </row>
    <row r="3736" spans="2:41" x14ac:dyDescent="0.25">
      <c r="B3736" s="21">
        <f t="shared" si="9"/>
        <v>45980</v>
      </c>
      <c r="C3736" s="91">
        <v>18.372800000000002</v>
      </c>
      <c r="E3736" s="83">
        <v>0.86482999999999999</v>
      </c>
      <c r="G3736" s="84">
        <v>1402.47</v>
      </c>
      <c r="I3736" s="85">
        <v>6.9150999999999998</v>
      </c>
      <c r="K3736" s="85">
        <v>5.3285799999999997</v>
      </c>
      <c r="M3736" s="84">
        <v>932.12900000000002</v>
      </c>
      <c r="O3736" s="86">
        <v>3718.24</v>
      </c>
      <c r="Q3736" s="86">
        <v>7041.94</v>
      </c>
      <c r="S3736" s="86">
        <v>1321.54</v>
      </c>
      <c r="U3736" s="85">
        <v>3.37276</v>
      </c>
      <c r="W3736" s="81">
        <v>39.815600000000003</v>
      </c>
      <c r="Y3736" s="81">
        <v>7.4721000000000002</v>
      </c>
      <c r="AA3736" s="84">
        <v>500.21800000000002</v>
      </c>
      <c r="AC3736" s="81">
        <v>63.649799999999999</v>
      </c>
      <c r="AE3736" s="87">
        <v>1</v>
      </c>
      <c r="AG3736" s="85">
        <v>7.6609400000000001</v>
      </c>
      <c r="AI3736" s="86">
        <v>8.75</v>
      </c>
      <c r="AK3736" s="81">
        <v>26.305800000000001</v>
      </c>
      <c r="AM3736" s="81">
        <v>36.794499999999999</v>
      </c>
      <c r="AO3736" s="85">
        <v>6.7812000000000001</v>
      </c>
    </row>
    <row r="3737" spans="2:41" x14ac:dyDescent="0.25">
      <c r="B3737" s="21">
        <f t="shared" si="9"/>
        <v>45981</v>
      </c>
      <c r="C3737" s="91">
        <v>18.341000000000001</v>
      </c>
      <c r="E3737" s="83">
        <v>0.86764799999999997</v>
      </c>
      <c r="G3737" s="84">
        <v>1413.23</v>
      </c>
      <c r="I3737" s="85">
        <v>6.9251199999999997</v>
      </c>
      <c r="K3737" s="85">
        <v>5.3316800000000004</v>
      </c>
      <c r="M3737" s="84">
        <v>931.16700000000003</v>
      </c>
      <c r="O3737" s="86">
        <v>3727.55</v>
      </c>
      <c r="Q3737" s="86">
        <v>7050.14</v>
      </c>
      <c r="S3737" s="86">
        <v>1322.32</v>
      </c>
      <c r="U3737" s="85">
        <v>3.3823599999999998</v>
      </c>
      <c r="W3737" s="81">
        <v>39.9148</v>
      </c>
      <c r="Y3737" s="81">
        <v>7.4863799999999996</v>
      </c>
      <c r="AA3737" s="84">
        <v>501.05</v>
      </c>
      <c r="AC3737" s="81">
        <v>63.534700000000001</v>
      </c>
      <c r="AE3737" s="87">
        <v>1</v>
      </c>
      <c r="AG3737" s="85">
        <v>7.6743399999999999</v>
      </c>
      <c r="AI3737" s="86">
        <v>8.75</v>
      </c>
      <c r="AK3737" s="81">
        <v>26.360600000000002</v>
      </c>
      <c r="AM3737" s="81">
        <v>36.849400000000003</v>
      </c>
      <c r="AO3737" s="85">
        <v>6.7961200000000002</v>
      </c>
    </row>
    <row r="3738" spans="2:41" x14ac:dyDescent="0.25">
      <c r="B3738" s="21">
        <f t="shared" si="9"/>
        <v>45982</v>
      </c>
      <c r="C3738" s="91">
        <v>18.355</v>
      </c>
      <c r="E3738" s="83">
        <v>0.86783200000000005</v>
      </c>
      <c r="G3738" s="84">
        <v>1424.46</v>
      </c>
      <c r="I3738" s="85">
        <v>6.9087399999999999</v>
      </c>
      <c r="K3738" s="85">
        <v>5.3666600000000004</v>
      </c>
      <c r="M3738" s="84">
        <v>933.88</v>
      </c>
      <c r="O3738" s="86">
        <v>3752.98</v>
      </c>
      <c r="Q3738" s="86">
        <v>7014.89</v>
      </c>
      <c r="S3738" s="86">
        <v>1307.1199999999999</v>
      </c>
      <c r="U3738" s="85">
        <v>3.37914</v>
      </c>
      <c r="W3738" s="81">
        <v>39.766199999999998</v>
      </c>
      <c r="Y3738" s="81">
        <v>7.4098699999999997</v>
      </c>
      <c r="AA3738" s="84">
        <v>499.96800000000002</v>
      </c>
      <c r="AC3738" s="81">
        <v>63.178400000000003</v>
      </c>
      <c r="AE3738" s="87">
        <v>1</v>
      </c>
      <c r="AG3738" s="85">
        <v>7.6562999999999999</v>
      </c>
      <c r="AI3738" s="86">
        <v>8.75</v>
      </c>
      <c r="AK3738" s="81">
        <v>26.284199999999998</v>
      </c>
      <c r="AM3738" s="81">
        <v>36.760199999999998</v>
      </c>
      <c r="AO3738" s="85">
        <v>6.7864800000000001</v>
      </c>
    </row>
    <row r="3739" spans="2:41" x14ac:dyDescent="0.25">
      <c r="B3739" s="21">
        <f t="shared" si="9"/>
        <v>45983</v>
      </c>
      <c r="C3739" s="91">
        <v>18.355</v>
      </c>
      <c r="E3739" s="83">
        <v>0.86856800000000001</v>
      </c>
      <c r="G3739" s="84">
        <v>1424.16</v>
      </c>
      <c r="I3739" s="85">
        <v>6.9164700000000003</v>
      </c>
      <c r="K3739" s="85">
        <v>5.4031799999999999</v>
      </c>
      <c r="M3739" s="84">
        <v>939.11</v>
      </c>
      <c r="O3739" s="86">
        <v>3754.09</v>
      </c>
      <c r="Q3739" s="86">
        <v>7025.53</v>
      </c>
      <c r="S3739" s="86">
        <v>1300.26</v>
      </c>
      <c r="U3739" s="85">
        <v>3.3837600000000001</v>
      </c>
      <c r="W3739" s="81">
        <v>39.747799999999998</v>
      </c>
      <c r="Y3739" s="81">
        <v>7.3563799999999997</v>
      </c>
      <c r="AA3739" s="84">
        <v>500.41199999999998</v>
      </c>
      <c r="AC3739" s="81">
        <v>63.0837</v>
      </c>
      <c r="AE3739" s="87">
        <v>1</v>
      </c>
      <c r="AG3739" s="85">
        <v>7.6610300000000002</v>
      </c>
      <c r="AI3739" s="86">
        <v>8.75</v>
      </c>
      <c r="AK3739" s="81">
        <v>26.266500000000001</v>
      </c>
      <c r="AM3739" s="81">
        <v>36.774999999999999</v>
      </c>
      <c r="AO3739" s="85">
        <v>6.79359</v>
      </c>
    </row>
    <row r="3740" spans="2:41" x14ac:dyDescent="0.25">
      <c r="B3740" s="21">
        <f t="shared" si="9"/>
        <v>45984</v>
      </c>
      <c r="C3740" s="91">
        <v>18.355</v>
      </c>
      <c r="E3740" s="83">
        <v>0.86858000000000002</v>
      </c>
      <c r="G3740" s="84">
        <v>1424.14</v>
      </c>
      <c r="I3740" s="85">
        <v>6.9156199999999997</v>
      </c>
      <c r="K3740" s="85">
        <v>5.4032</v>
      </c>
      <c r="M3740" s="84">
        <v>939.06200000000001</v>
      </c>
      <c r="O3740" s="86">
        <v>3755.46</v>
      </c>
      <c r="Q3740" s="86">
        <v>7024.35</v>
      </c>
      <c r="S3740" s="86">
        <v>1300.04</v>
      </c>
      <c r="U3740" s="85">
        <v>3.3836400000000002</v>
      </c>
      <c r="W3740" s="81">
        <v>39.747599999999998</v>
      </c>
      <c r="Y3740" s="81">
        <v>7.3563200000000002</v>
      </c>
      <c r="AA3740" s="84">
        <v>500.40800000000002</v>
      </c>
      <c r="AC3740" s="81">
        <v>63.083500000000001</v>
      </c>
      <c r="AE3740" s="87">
        <v>1</v>
      </c>
      <c r="AG3740" s="85">
        <v>7.66092</v>
      </c>
      <c r="AI3740" s="86">
        <v>8.75</v>
      </c>
      <c r="AK3740" s="81">
        <v>26.267700000000001</v>
      </c>
      <c r="AM3740" s="81">
        <v>36.7746</v>
      </c>
      <c r="AO3740" s="85">
        <v>6.7934799999999997</v>
      </c>
    </row>
    <row r="3741" spans="2:41" x14ac:dyDescent="0.25">
      <c r="B3741" s="21">
        <f t="shared" si="9"/>
        <v>45985</v>
      </c>
      <c r="C3741" s="91">
        <v>18.496500000000001</v>
      </c>
      <c r="E3741" s="83">
        <v>0.86770599999999998</v>
      </c>
      <c r="G3741" s="84">
        <v>1424.17</v>
      </c>
      <c r="I3741" s="85">
        <v>6.9188799999999997</v>
      </c>
      <c r="K3741" s="85">
        <v>5.3985500000000002</v>
      </c>
      <c r="M3741" s="84">
        <v>938.43</v>
      </c>
      <c r="O3741" s="86">
        <v>3794.3</v>
      </c>
      <c r="Q3741" s="86">
        <v>7012.9</v>
      </c>
      <c r="S3741" s="86">
        <v>1299.04</v>
      </c>
      <c r="U3741" s="85">
        <v>3.3833799999999998</v>
      </c>
      <c r="W3741" s="81">
        <v>39.758200000000002</v>
      </c>
      <c r="Y3741" s="81">
        <v>7.3646200000000004</v>
      </c>
      <c r="AA3741" s="84">
        <v>500.41199999999998</v>
      </c>
      <c r="AC3741" s="81">
        <v>62.9831</v>
      </c>
      <c r="AE3741" s="87">
        <v>1</v>
      </c>
      <c r="AG3741" s="85">
        <v>7.6624800000000004</v>
      </c>
      <c r="AI3741" s="86">
        <v>8.75</v>
      </c>
      <c r="AK3741" s="81">
        <v>26.3109</v>
      </c>
      <c r="AM3741" s="81">
        <v>36.792400000000001</v>
      </c>
      <c r="AO3741" s="85">
        <v>6.7959800000000001</v>
      </c>
    </row>
    <row r="3742" spans="2:41" x14ac:dyDescent="0.25">
      <c r="B3742" s="21">
        <f t="shared" si="9"/>
        <v>45986</v>
      </c>
      <c r="C3742" s="91">
        <v>18.499700000000001</v>
      </c>
      <c r="E3742" s="83">
        <v>0.86614100000000005</v>
      </c>
      <c r="G3742" s="84">
        <v>1434.37</v>
      </c>
      <c r="I3742" s="85">
        <v>6.9316199999999997</v>
      </c>
      <c r="K3742" s="85">
        <v>5.38612</v>
      </c>
      <c r="M3742" s="84">
        <v>938.49</v>
      </c>
      <c r="O3742" s="86">
        <v>3804.44</v>
      </c>
      <c r="Q3742" s="86">
        <v>7000.68</v>
      </c>
      <c r="S3742" s="86">
        <v>1299.76</v>
      </c>
      <c r="U3742" s="85">
        <v>3.3830300000000002</v>
      </c>
      <c r="W3742" s="81">
        <v>39.773899999999998</v>
      </c>
      <c r="Y3742" s="81">
        <v>7.3845299999999998</v>
      </c>
      <c r="AA3742" s="84">
        <v>500.40300000000002</v>
      </c>
      <c r="AC3742" s="81">
        <v>62.912199999999999</v>
      </c>
      <c r="AE3742" s="87">
        <v>1</v>
      </c>
      <c r="AG3742" s="85">
        <v>7.6645399999999997</v>
      </c>
      <c r="AI3742" s="86">
        <v>8.75</v>
      </c>
      <c r="AK3742" s="81">
        <v>26.322600000000001</v>
      </c>
      <c r="AM3742" s="81">
        <v>36.812899999999999</v>
      </c>
      <c r="AO3742" s="85">
        <v>6.8005599999999999</v>
      </c>
    </row>
    <row r="3743" spans="2:41" x14ac:dyDescent="0.25">
      <c r="B3743" s="21">
        <f t="shared" si="9"/>
        <v>45987</v>
      </c>
      <c r="C3743" s="91">
        <v>18.430800000000001</v>
      </c>
      <c r="E3743" s="83">
        <v>0.86328199999999999</v>
      </c>
      <c r="G3743" s="84">
        <v>1449.12</v>
      </c>
      <c r="I3743" s="85">
        <v>6.9149599999999998</v>
      </c>
      <c r="K3743" s="85">
        <v>5.3665000000000003</v>
      </c>
      <c r="M3743" s="84">
        <v>932.07</v>
      </c>
      <c r="O3743" s="86">
        <v>3783.96</v>
      </c>
      <c r="Q3743" s="86">
        <v>6983.04</v>
      </c>
      <c r="S3743" s="86">
        <v>1301.23</v>
      </c>
      <c r="U3743" s="85">
        <v>3.3695200000000001</v>
      </c>
      <c r="W3743" s="81">
        <v>39.665500000000002</v>
      </c>
      <c r="Y3743" s="81">
        <v>7.3913200000000003</v>
      </c>
      <c r="AA3743" s="84">
        <v>498.79199999999997</v>
      </c>
      <c r="AC3743" s="81">
        <v>62.671500000000002</v>
      </c>
      <c r="AE3743" s="87">
        <v>1</v>
      </c>
      <c r="AG3743" s="85">
        <v>7.6488300000000002</v>
      </c>
      <c r="AI3743" s="86">
        <v>8.75</v>
      </c>
      <c r="AK3743" s="81">
        <v>26.280200000000001</v>
      </c>
      <c r="AM3743" s="81">
        <v>36.773699999999998</v>
      </c>
      <c r="AO3743" s="85">
        <v>6.7837399999999999</v>
      </c>
    </row>
    <row r="3744" spans="2:41" x14ac:dyDescent="0.25">
      <c r="B3744" s="21">
        <f t="shared" si="9"/>
        <v>45988</v>
      </c>
      <c r="C3744" s="91">
        <v>18.356000000000002</v>
      </c>
      <c r="E3744" s="83">
        <v>0.86242200000000002</v>
      </c>
      <c r="G3744" s="84">
        <v>1451.16</v>
      </c>
      <c r="I3744" s="85">
        <v>6.9160199999999996</v>
      </c>
      <c r="K3744" s="85">
        <v>5.34192</v>
      </c>
      <c r="M3744" s="84">
        <v>927.23599999999999</v>
      </c>
      <c r="O3744" s="86">
        <v>3738</v>
      </c>
      <c r="Q3744" s="86">
        <v>6981.18</v>
      </c>
      <c r="S3744" s="86">
        <v>1306.8699999999999</v>
      </c>
      <c r="U3744" s="85">
        <v>3.3664000000000001</v>
      </c>
      <c r="W3744" s="81">
        <v>39.733699999999999</v>
      </c>
      <c r="Y3744" s="81">
        <v>7.4381199999999996</v>
      </c>
      <c r="AA3744" s="84">
        <v>498.61200000000002</v>
      </c>
      <c r="AC3744" s="81">
        <v>62.561199999999999</v>
      </c>
      <c r="AE3744" s="87">
        <v>1</v>
      </c>
      <c r="AG3744" s="85">
        <v>7.6608599999999996</v>
      </c>
      <c r="AI3744" s="86">
        <v>8.75</v>
      </c>
      <c r="AK3744" s="81">
        <v>26.297599999999999</v>
      </c>
      <c r="AM3744" s="81">
        <v>36.770600000000002</v>
      </c>
      <c r="AO3744" s="85">
        <v>6.7858099999999997</v>
      </c>
    </row>
    <row r="3745" spans="2:41" x14ac:dyDescent="0.25">
      <c r="B3745" s="21">
        <f t="shared" si="9"/>
        <v>45989</v>
      </c>
      <c r="C3745" s="91">
        <v>18.346699999999998</v>
      </c>
      <c r="E3745" s="83">
        <v>0.86304700000000001</v>
      </c>
      <c r="G3745" s="84">
        <v>1450.58</v>
      </c>
      <c r="I3745" s="85">
        <v>6.9137700000000004</v>
      </c>
      <c r="K3745" s="85">
        <v>5.3464799999999997</v>
      </c>
      <c r="M3745" s="84">
        <v>928.03200000000004</v>
      </c>
      <c r="O3745" s="86">
        <v>3745.9</v>
      </c>
      <c r="Q3745" s="86">
        <v>6984.11</v>
      </c>
      <c r="S3745" s="86">
        <v>1306.3</v>
      </c>
      <c r="U3745" s="85">
        <v>3.3655599999999999</v>
      </c>
      <c r="W3745" s="81">
        <v>39.650799999999997</v>
      </c>
      <c r="Y3745" s="81">
        <v>7.4162800000000004</v>
      </c>
      <c r="AA3745" s="84">
        <v>497.63</v>
      </c>
      <c r="AC3745" s="81">
        <v>62.717799999999997</v>
      </c>
      <c r="AE3745" s="87">
        <v>1</v>
      </c>
      <c r="AG3745" s="85">
        <v>7.6578400000000002</v>
      </c>
      <c r="AI3745" s="86">
        <v>8.75</v>
      </c>
      <c r="AK3745" s="81">
        <v>26.322800000000001</v>
      </c>
      <c r="AM3745" s="81">
        <v>36.791800000000002</v>
      </c>
      <c r="AO3745" s="85">
        <v>6.7835799999999997</v>
      </c>
    </row>
    <row r="3746" spans="2:41" x14ac:dyDescent="0.25">
      <c r="B3746" s="21">
        <f t="shared" si="9"/>
        <v>45990</v>
      </c>
      <c r="C3746" s="91">
        <v>18.346699999999998</v>
      </c>
      <c r="E3746" s="83">
        <v>0.86217999999999995</v>
      </c>
      <c r="G3746" s="84">
        <v>1450.18</v>
      </c>
      <c r="I3746" s="85">
        <v>6.9146400000000003</v>
      </c>
      <c r="K3746" s="85">
        <v>5.3349099999999998</v>
      </c>
      <c r="M3746" s="84">
        <v>928.07799999999997</v>
      </c>
      <c r="O3746" s="86">
        <v>3749.13</v>
      </c>
      <c r="Q3746" s="86">
        <v>6986.08</v>
      </c>
      <c r="S3746" s="86">
        <v>1309.51</v>
      </c>
      <c r="U3746" s="85">
        <v>3.3629500000000001</v>
      </c>
      <c r="W3746" s="81">
        <v>39.489800000000002</v>
      </c>
      <c r="Y3746" s="81">
        <v>7.4021600000000003</v>
      </c>
      <c r="AA3746" s="84">
        <v>495.58100000000002</v>
      </c>
      <c r="AC3746" s="81">
        <v>62.91</v>
      </c>
      <c r="AE3746" s="87">
        <v>1</v>
      </c>
      <c r="AG3746" s="85">
        <v>7.6524599999999996</v>
      </c>
      <c r="AI3746" s="86">
        <v>8.75</v>
      </c>
      <c r="AK3746" s="81">
        <v>26.331800000000001</v>
      </c>
      <c r="AM3746" s="81">
        <v>36.787500000000001</v>
      </c>
      <c r="AO3746" s="85">
        <v>6.7624000000000004</v>
      </c>
    </row>
    <row r="3747" spans="2:41" x14ac:dyDescent="0.25">
      <c r="B3747" s="21">
        <f t="shared" si="9"/>
        <v>45991</v>
      </c>
      <c r="C3747" s="82">
        <v>18.346699999999998</v>
      </c>
      <c r="D3747" s="92"/>
      <c r="E3747" s="93">
        <v>0.86217999999999995</v>
      </c>
      <c r="F3747" s="92"/>
      <c r="G3747" s="94">
        <v>1450</v>
      </c>
      <c r="H3747" s="92"/>
      <c r="I3747" s="95">
        <v>6.9147400000000001</v>
      </c>
      <c r="J3747" s="92"/>
      <c r="K3747" s="95">
        <v>5.3349000000000002</v>
      </c>
      <c r="L3747" s="92"/>
      <c r="M3747" s="94">
        <v>928.07799999999997</v>
      </c>
      <c r="N3747" s="92"/>
      <c r="O3747" s="96">
        <v>3749.09</v>
      </c>
      <c r="P3747" s="92"/>
      <c r="Q3747" s="96">
        <v>6986.28</v>
      </c>
      <c r="R3747" s="92"/>
      <c r="S3747" s="96">
        <v>1309.54</v>
      </c>
      <c r="T3747" s="92"/>
      <c r="U3747" s="95">
        <v>3.36293</v>
      </c>
      <c r="V3747" s="92"/>
      <c r="W3747" s="91">
        <v>39.493000000000002</v>
      </c>
      <c r="X3747" s="92"/>
      <c r="Y3747" s="91">
        <v>7.4027799999999999</v>
      </c>
      <c r="Z3747" s="92"/>
      <c r="AA3747" s="94">
        <v>495.68599999999998</v>
      </c>
      <c r="AB3747" s="92"/>
      <c r="AC3747" s="91">
        <v>62.918300000000002</v>
      </c>
      <c r="AD3747" s="92"/>
      <c r="AE3747" s="97">
        <v>1</v>
      </c>
      <c r="AF3747" s="92"/>
      <c r="AG3747" s="95">
        <v>7.6526800000000001</v>
      </c>
      <c r="AH3747" s="92"/>
      <c r="AI3747" s="96">
        <v>8.75</v>
      </c>
      <c r="AJ3747" s="92"/>
      <c r="AK3747" s="91">
        <v>26.331600000000002</v>
      </c>
      <c r="AL3747" s="92"/>
      <c r="AM3747" s="91">
        <v>36.787599999999998</v>
      </c>
      <c r="AN3747" s="92"/>
      <c r="AO3747" s="95">
        <v>6.7626799999999996</v>
      </c>
    </row>
    <row r="3748" spans="2:41" ht="13" x14ac:dyDescent="0.3">
      <c r="B3748" s="25" t="str">
        <f>"PROM-"&amp;MONTH(B3747)&amp;YEAR(B3747)</f>
        <v>PROM-112025</v>
      </c>
      <c r="C3748" s="19">
        <f>AVERAGE(C3718:C3747)</f>
        <v>18.42612333333334</v>
      </c>
      <c r="E3748" s="19">
        <f>AVERAGE(E3718:E3747)</f>
        <v>0.86492943333333328</v>
      </c>
      <c r="G3748" s="19">
        <f>AVERAGE(G3718:G3747)</f>
        <v>1428.4666666666667</v>
      </c>
      <c r="I3748" s="19">
        <f>AVERAGE(I3718:I3747)</f>
        <v>6.9178463333333324</v>
      </c>
      <c r="K3748" s="19">
        <f>AVERAGE(K3718:K3747)</f>
        <v>5.3434396666666668</v>
      </c>
      <c r="M3748" s="19">
        <f>AVERAGE(M3718:M3747)</f>
        <v>935.38363333333359</v>
      </c>
      <c r="O3748" s="19">
        <f>AVERAGE(O3718:O3747)</f>
        <v>3775.7433333333338</v>
      </c>
      <c r="Q3748" s="19">
        <f>AVERAGE(Q3718:Q3747)</f>
        <v>7044.6433333333316</v>
      </c>
      <c r="S3748" s="19">
        <f>AVERAGE(S3718:S3747)</f>
        <v>1318.4376666666672</v>
      </c>
      <c r="U3748" s="19">
        <f>AVERAGE(U3718:U3747)</f>
        <v>3.373162333333334</v>
      </c>
      <c r="W3748" s="19">
        <f>AVERAGE(W3718:W3747)</f>
        <v>39.767966666666666</v>
      </c>
      <c r="Y3748" s="19">
        <f>AVERAGE(Y3718:Y3747)</f>
        <v>7.4427290000000017</v>
      </c>
      <c r="AA3748" s="19">
        <f>AVERAGE(AA3718:AA3747)</f>
        <v>500.6830333333333</v>
      </c>
      <c r="AC3748" s="19">
        <f>AVERAGE(AC3718:AC3747)</f>
        <v>63.741946666666649</v>
      </c>
      <c r="AE3748" s="19">
        <f>AVERAGE(AE3718:AE3747)</f>
        <v>1</v>
      </c>
      <c r="AG3748" s="19">
        <f>AVERAGE(AG3718:AG3747)</f>
        <v>7.6622240000000001</v>
      </c>
      <c r="AI3748" s="19">
        <f>AVERAGE(AI3718:AI3747)</f>
        <v>8.75</v>
      </c>
      <c r="AK3748" s="19">
        <f>AVERAGE(AK3718:AK3747)</f>
        <v>26.304423333333332</v>
      </c>
      <c r="AM3748" s="19">
        <f>AVERAGE(AM3718:AM3747)</f>
        <v>36.78801666666665</v>
      </c>
      <c r="AO3748" s="19">
        <f>AVERAGE(AO3718:AO3747)</f>
        <v>6.779882999999999</v>
      </c>
    </row>
    <row r="3749" spans="2:41" x14ac:dyDescent="0.25">
      <c r="B3749" s="21">
        <v>45992</v>
      </c>
      <c r="C3749" s="91">
        <v>18.307500000000001</v>
      </c>
      <c r="E3749" s="83">
        <v>0.86100399999999999</v>
      </c>
      <c r="G3749" s="84">
        <v>1449.26</v>
      </c>
      <c r="I3749" s="85">
        <v>6.9181900000000001</v>
      </c>
      <c r="K3749" s="85">
        <v>5.3490500000000001</v>
      </c>
      <c r="M3749" s="84">
        <v>927.30899999999997</v>
      </c>
      <c r="O3749" s="86">
        <v>3764.72</v>
      </c>
      <c r="Q3749" s="86">
        <v>6976.84</v>
      </c>
      <c r="S3749" s="86">
        <v>1304.32</v>
      </c>
      <c r="U3749" s="85">
        <v>3.36103</v>
      </c>
      <c r="W3749" s="81">
        <v>39.557899999999997</v>
      </c>
      <c r="Y3749" s="81">
        <v>7.39534</v>
      </c>
      <c r="AA3749" s="84">
        <v>494.64600000000002</v>
      </c>
      <c r="AC3749" s="81">
        <v>62.657800000000002</v>
      </c>
      <c r="AE3749" s="87">
        <v>1</v>
      </c>
      <c r="AG3749" s="85">
        <v>7.6527000000000003</v>
      </c>
      <c r="AI3749" s="86">
        <v>8.75</v>
      </c>
      <c r="AK3749" s="81">
        <v>26.301400000000001</v>
      </c>
      <c r="AM3749" s="81">
        <v>36.768999999999998</v>
      </c>
      <c r="AO3749" s="85">
        <v>6.7701700000000002</v>
      </c>
    </row>
    <row r="3750" spans="2:41" x14ac:dyDescent="0.25">
      <c r="B3750" s="21">
        <v>45993</v>
      </c>
      <c r="C3750" s="91">
        <v>18.275700000000001</v>
      </c>
      <c r="E3750" s="83">
        <v>0.86117200000000005</v>
      </c>
      <c r="G3750" s="84">
        <v>1453.24</v>
      </c>
      <c r="I3750" s="85">
        <v>6.93032</v>
      </c>
      <c r="K3750" s="85">
        <v>5.3481899999999998</v>
      </c>
      <c r="M3750" s="84">
        <v>927</v>
      </c>
      <c r="O3750" s="86">
        <v>3813.06</v>
      </c>
      <c r="Q3750" s="86">
        <v>6973.78</v>
      </c>
      <c r="S3750" s="86">
        <v>1303.96</v>
      </c>
      <c r="U3750" s="85">
        <v>3.37018</v>
      </c>
      <c r="W3750" s="81">
        <v>39.4358</v>
      </c>
      <c r="Y3750" s="81">
        <v>7.3737000000000004</v>
      </c>
      <c r="AA3750" s="84">
        <v>492.73</v>
      </c>
      <c r="AC3750" s="81">
        <v>62.9816</v>
      </c>
      <c r="AE3750" s="87">
        <v>1</v>
      </c>
      <c r="AG3750" s="85">
        <v>7.6663699999999997</v>
      </c>
      <c r="AI3750" s="86">
        <v>8.75</v>
      </c>
      <c r="AK3750" s="81">
        <v>26.348600000000001</v>
      </c>
      <c r="AM3750" s="81">
        <v>36.817</v>
      </c>
      <c r="AO3750" s="85">
        <v>6.7816599999999996</v>
      </c>
    </row>
    <row r="3751" spans="2:41" x14ac:dyDescent="0.25">
      <c r="B3751" s="21">
        <v>45994</v>
      </c>
      <c r="C3751" s="91">
        <v>18.291</v>
      </c>
      <c r="E3751" s="83">
        <v>0.85798399999999997</v>
      </c>
      <c r="G3751" s="84">
        <v>1454.98</v>
      </c>
      <c r="I3751" s="85">
        <v>6.9117199999999999</v>
      </c>
      <c r="K3751" s="85">
        <v>5.3203699999999996</v>
      </c>
      <c r="M3751" s="84">
        <v>921.42499999999995</v>
      </c>
      <c r="O3751" s="86">
        <v>3799.22</v>
      </c>
      <c r="Q3751" s="86">
        <v>6946.7</v>
      </c>
      <c r="S3751" s="86">
        <v>1305.69</v>
      </c>
      <c r="U3751" s="85">
        <v>3.3656799999999998</v>
      </c>
      <c r="W3751" s="81">
        <v>39.265799999999999</v>
      </c>
      <c r="Y3751" s="81">
        <v>7.3803200000000002</v>
      </c>
      <c r="AA3751" s="84">
        <v>491.98099999999999</v>
      </c>
      <c r="AC3751" s="81">
        <v>63.193600000000004</v>
      </c>
      <c r="AE3751" s="87">
        <v>1</v>
      </c>
      <c r="AG3751" s="85">
        <v>7.6546399999999997</v>
      </c>
      <c r="AI3751" s="86">
        <v>8.75</v>
      </c>
      <c r="AK3751" s="81">
        <v>26.3095</v>
      </c>
      <c r="AM3751" s="81">
        <v>36.771999999999998</v>
      </c>
      <c r="AO3751" s="85">
        <v>6.7712000000000003</v>
      </c>
    </row>
    <row r="3752" spans="2:41" x14ac:dyDescent="0.25">
      <c r="B3752" s="21">
        <v>45995</v>
      </c>
      <c r="C3752" s="91">
        <v>18.264199999999999</v>
      </c>
      <c r="E3752" s="83">
        <v>0.85759600000000002</v>
      </c>
      <c r="G3752" s="84">
        <v>1450.58</v>
      </c>
      <c r="I3752" s="85">
        <v>6.9161200000000003</v>
      </c>
      <c r="K3752" s="85">
        <v>5.3075099999999997</v>
      </c>
      <c r="M3752" s="84">
        <v>918.572</v>
      </c>
      <c r="O3752" s="86">
        <v>3776.72</v>
      </c>
      <c r="Q3752" s="86">
        <v>6945.2</v>
      </c>
      <c r="S3752" s="86">
        <v>1308.56</v>
      </c>
      <c r="U3752" s="85">
        <v>3.36341</v>
      </c>
      <c r="W3752" s="81">
        <v>39.430300000000003</v>
      </c>
      <c r="Y3752" s="81">
        <v>7.4291600000000004</v>
      </c>
      <c r="AA3752" s="84">
        <v>491.322</v>
      </c>
      <c r="AC3752" s="81">
        <v>63.427799999999998</v>
      </c>
      <c r="AE3752" s="87">
        <v>1</v>
      </c>
      <c r="AG3752" s="85">
        <v>7.6604999999999999</v>
      </c>
      <c r="AI3752" s="86">
        <v>8.75</v>
      </c>
      <c r="AK3752" s="81">
        <v>26.324000000000002</v>
      </c>
      <c r="AM3752" s="81">
        <v>36.796599999999998</v>
      </c>
      <c r="AO3752" s="85">
        <v>6.7769599999999999</v>
      </c>
    </row>
    <row r="3753" spans="2:41" x14ac:dyDescent="0.25">
      <c r="B3753" s="21">
        <v>45996</v>
      </c>
      <c r="C3753" s="91">
        <v>18.229299999999999</v>
      </c>
      <c r="E3753" s="83">
        <v>0.858433</v>
      </c>
      <c r="G3753" s="84">
        <v>1441.81</v>
      </c>
      <c r="I3753" s="85">
        <v>6.9174499999999997</v>
      </c>
      <c r="K3753" s="85">
        <v>5.3529900000000001</v>
      </c>
      <c r="M3753" s="84">
        <v>919.63300000000004</v>
      </c>
      <c r="O3753" s="86">
        <v>3810.51</v>
      </c>
      <c r="Q3753" s="86">
        <v>6926.08</v>
      </c>
      <c r="S3753" s="86">
        <v>1293.8800000000001</v>
      </c>
      <c r="U3753" s="85">
        <v>3.36436</v>
      </c>
      <c r="W3753" s="81">
        <v>39.198099999999997</v>
      </c>
      <c r="Y3753" s="81">
        <v>7.3226699999999996</v>
      </c>
      <c r="AA3753" s="84">
        <v>489.67200000000003</v>
      </c>
      <c r="AC3753" s="81">
        <v>63.9407</v>
      </c>
      <c r="AE3753" s="87">
        <v>1</v>
      </c>
      <c r="AG3753" s="85">
        <v>7.6646200000000002</v>
      </c>
      <c r="AI3753" s="86">
        <v>8.75</v>
      </c>
      <c r="AK3753" s="81">
        <v>26.338200000000001</v>
      </c>
      <c r="AM3753" s="81">
        <v>36.812199999999997</v>
      </c>
      <c r="AO3753" s="85">
        <v>6.7821400000000001</v>
      </c>
    </row>
    <row r="3754" spans="2:41" x14ac:dyDescent="0.25">
      <c r="B3754" s="21">
        <v>45997</v>
      </c>
      <c r="C3754" s="91">
        <v>18.229299999999999</v>
      </c>
      <c r="E3754" s="83">
        <v>0.858815</v>
      </c>
      <c r="G3754" s="84">
        <v>1434.02</v>
      </c>
      <c r="I3754" s="85">
        <v>6.9102199999999998</v>
      </c>
      <c r="K3754" s="85">
        <v>5.4389500000000002</v>
      </c>
      <c r="M3754" s="84">
        <v>923.54200000000003</v>
      </c>
      <c r="O3754" s="86">
        <v>3837.04</v>
      </c>
      <c r="Q3754" s="86">
        <v>6913.8</v>
      </c>
      <c r="S3754" s="86">
        <v>1271.18</v>
      </c>
      <c r="U3754" s="85">
        <v>3.3644500000000002</v>
      </c>
      <c r="W3754" s="81">
        <v>39.0884</v>
      </c>
      <c r="Y3754" s="81">
        <v>7.1867799999999997</v>
      </c>
      <c r="AA3754" s="84">
        <v>488.47399999999999</v>
      </c>
      <c r="AC3754" s="81">
        <v>64.25</v>
      </c>
      <c r="AE3754" s="87">
        <v>1</v>
      </c>
      <c r="AG3754" s="85">
        <v>7.6577900000000003</v>
      </c>
      <c r="AI3754" s="86">
        <v>8.75</v>
      </c>
      <c r="AK3754" s="81">
        <v>26.294499999999999</v>
      </c>
      <c r="AM3754" s="81">
        <v>36.787500000000001</v>
      </c>
      <c r="AO3754" s="85">
        <v>6.7756800000000004</v>
      </c>
    </row>
    <row r="3755" spans="2:41" x14ac:dyDescent="0.25">
      <c r="B3755" s="21">
        <v>45998</v>
      </c>
      <c r="C3755" s="91">
        <v>18.229299999999999</v>
      </c>
      <c r="E3755" s="83">
        <v>0.85882499999999995</v>
      </c>
      <c r="G3755" s="84">
        <v>1434.6</v>
      </c>
      <c r="I3755" s="85">
        <v>6.9102199999999998</v>
      </c>
      <c r="K3755" s="85">
        <v>5.4394200000000001</v>
      </c>
      <c r="M3755" s="84">
        <v>923.54200000000003</v>
      </c>
      <c r="O3755" s="86">
        <v>3836.85</v>
      </c>
      <c r="Q3755" s="86">
        <v>6913.8</v>
      </c>
      <c r="S3755" s="86">
        <v>1271.06</v>
      </c>
      <c r="U3755" s="85">
        <v>3.3644500000000002</v>
      </c>
      <c r="W3755" s="81">
        <v>39.0884</v>
      </c>
      <c r="Y3755" s="81">
        <v>7.1861800000000002</v>
      </c>
      <c r="AA3755" s="84">
        <v>488.47399999999999</v>
      </c>
      <c r="AC3755" s="81">
        <v>64.244399999999999</v>
      </c>
      <c r="AE3755" s="87">
        <v>1</v>
      </c>
      <c r="AG3755" s="85">
        <v>7.6578600000000003</v>
      </c>
      <c r="AI3755" s="86">
        <v>8.75</v>
      </c>
      <c r="AK3755" s="81">
        <v>26.2958</v>
      </c>
      <c r="AM3755" s="81">
        <v>36.787500000000001</v>
      </c>
      <c r="AO3755" s="85">
        <v>6.7756600000000002</v>
      </c>
    </row>
    <row r="3756" spans="2:41" x14ac:dyDescent="0.25">
      <c r="B3756" s="21">
        <v>45999</v>
      </c>
      <c r="C3756" s="91">
        <v>18.186</v>
      </c>
      <c r="E3756" s="83">
        <v>0.85867499999999997</v>
      </c>
      <c r="G3756" s="84">
        <v>1434.36</v>
      </c>
      <c r="I3756" s="85">
        <v>6.9181600000000003</v>
      </c>
      <c r="K3756" s="85">
        <v>5.4365100000000002</v>
      </c>
      <c r="M3756" s="84">
        <v>923.57</v>
      </c>
      <c r="O3756" s="86">
        <v>3837.32</v>
      </c>
      <c r="Q3756" s="86">
        <v>6896.67</v>
      </c>
      <c r="S3756" s="86">
        <v>1268.58</v>
      </c>
      <c r="U3756" s="85">
        <v>3.3621300000000001</v>
      </c>
      <c r="W3756" s="81">
        <v>39.083799999999997</v>
      </c>
      <c r="Y3756" s="81">
        <v>7.1891600000000002</v>
      </c>
      <c r="AA3756" s="84">
        <v>488.351</v>
      </c>
      <c r="AC3756" s="81">
        <v>64.128299999999996</v>
      </c>
      <c r="AE3756" s="87">
        <v>1</v>
      </c>
      <c r="AG3756" s="85">
        <v>7.6588399999999996</v>
      </c>
      <c r="AI3756" s="86">
        <v>8.75</v>
      </c>
      <c r="AK3756" s="81">
        <v>26.3322</v>
      </c>
      <c r="AM3756" s="81">
        <v>36.796100000000003</v>
      </c>
      <c r="AO3756" s="85">
        <v>6.7750000000000004</v>
      </c>
    </row>
    <row r="3757" spans="2:41" x14ac:dyDescent="0.25">
      <c r="B3757" s="21">
        <v>46000</v>
      </c>
      <c r="C3757" s="91">
        <v>18.236699999999999</v>
      </c>
      <c r="E3757" s="83">
        <v>0.85931599999999997</v>
      </c>
      <c r="G3757" s="84">
        <v>1436.62</v>
      </c>
      <c r="I3757" s="85">
        <v>6.9326800000000004</v>
      </c>
      <c r="K3757" s="85">
        <v>5.4386599999999996</v>
      </c>
      <c r="M3757" s="84">
        <v>924.33100000000002</v>
      </c>
      <c r="O3757" s="86">
        <v>3839.66</v>
      </c>
      <c r="Q3757" s="86">
        <v>6880.68</v>
      </c>
      <c r="S3757" s="86">
        <v>1265.1400000000001</v>
      </c>
      <c r="U3757" s="85">
        <v>3.3628999999999998</v>
      </c>
      <c r="W3757" s="81">
        <v>39.111199999999997</v>
      </c>
      <c r="Y3757" s="81">
        <v>7.1913600000000004</v>
      </c>
      <c r="AA3757" s="84">
        <v>488.57600000000002</v>
      </c>
      <c r="AC3757" s="81">
        <v>64.249099999999999</v>
      </c>
      <c r="AE3757" s="87">
        <v>1</v>
      </c>
      <c r="AG3757" s="85">
        <v>7.6620600000000003</v>
      </c>
      <c r="AI3757" s="86">
        <v>8.75</v>
      </c>
      <c r="AK3757" s="81">
        <v>26.290900000000001</v>
      </c>
      <c r="AM3757" s="81">
        <v>36.797600000000003</v>
      </c>
      <c r="AO3757" s="85">
        <v>6.77522</v>
      </c>
    </row>
    <row r="3758" spans="2:41" x14ac:dyDescent="0.25">
      <c r="B3758" s="21">
        <v>46001</v>
      </c>
      <c r="C3758" s="91">
        <v>18.193999999999999</v>
      </c>
      <c r="E3758" s="83">
        <v>0.85853400000000002</v>
      </c>
      <c r="G3758" s="84">
        <v>1439.16</v>
      </c>
      <c r="I3758" s="85">
        <v>6.9243399999999999</v>
      </c>
      <c r="K3758" s="85">
        <v>5.4538099999999998</v>
      </c>
      <c r="M3758" s="84">
        <v>925.096</v>
      </c>
      <c r="O3758" s="86">
        <v>3842.67</v>
      </c>
      <c r="Q3758" s="86">
        <v>6894.47</v>
      </c>
      <c r="S3758" s="86">
        <v>1264.1600000000001</v>
      </c>
      <c r="U3758" s="85">
        <v>3.3648799999999999</v>
      </c>
      <c r="W3758" s="81">
        <v>39.1691</v>
      </c>
      <c r="Y3758" s="81">
        <v>7.1819800000000003</v>
      </c>
      <c r="AA3758" s="84">
        <v>491.28199999999998</v>
      </c>
      <c r="AC3758" s="81">
        <v>64.319800000000001</v>
      </c>
      <c r="AE3758" s="87">
        <v>1</v>
      </c>
      <c r="AG3758" s="85">
        <v>7.6592799999999999</v>
      </c>
      <c r="AI3758" s="86">
        <v>8.75</v>
      </c>
      <c r="AK3758" s="81">
        <v>26.323899999999998</v>
      </c>
      <c r="AM3758" s="81">
        <v>36.804499999999997</v>
      </c>
      <c r="AO3758" s="85">
        <v>6.7780500000000004</v>
      </c>
    </row>
    <row r="3759" spans="2:41" x14ac:dyDescent="0.25">
      <c r="B3759" s="21">
        <v>46002</v>
      </c>
      <c r="C3759" s="91">
        <v>18.208500000000001</v>
      </c>
      <c r="E3759" s="83">
        <v>0.85326800000000003</v>
      </c>
      <c r="G3759" s="84">
        <v>1437.5</v>
      </c>
      <c r="I3759" s="85">
        <v>6.9053300000000002</v>
      </c>
      <c r="K3759" s="85">
        <v>5.4447400000000004</v>
      </c>
      <c r="M3759" s="84">
        <v>919.74400000000003</v>
      </c>
      <c r="O3759" s="86">
        <v>3828.16</v>
      </c>
      <c r="Q3759" s="86">
        <v>6784.47</v>
      </c>
      <c r="S3759" s="86">
        <v>1246.06</v>
      </c>
      <c r="U3759" s="85">
        <v>3.36192</v>
      </c>
      <c r="W3759" s="81">
        <v>39.169400000000003</v>
      </c>
      <c r="Y3759" s="81">
        <v>7.1940099999999996</v>
      </c>
      <c r="AA3759" s="84">
        <v>494.71699999999998</v>
      </c>
      <c r="AC3759" s="81">
        <v>64.012799999999999</v>
      </c>
      <c r="AE3759" s="87">
        <v>1</v>
      </c>
      <c r="AG3759" s="85">
        <v>7.6395600000000004</v>
      </c>
      <c r="AI3759" s="86">
        <v>8.75</v>
      </c>
      <c r="AK3759" s="81">
        <v>26.258600000000001</v>
      </c>
      <c r="AM3759" s="81">
        <v>36.730899999999998</v>
      </c>
      <c r="AO3759" s="85">
        <v>6.7685500000000003</v>
      </c>
    </row>
    <row r="3760" spans="2:41" x14ac:dyDescent="0.25">
      <c r="B3760" s="21">
        <v>46003</v>
      </c>
      <c r="C3760" s="91">
        <v>18.208500000000001</v>
      </c>
      <c r="E3760" s="83">
        <v>0.85205600000000004</v>
      </c>
      <c r="G3760" s="84">
        <v>1437.89</v>
      </c>
      <c r="I3760" s="85">
        <v>6.9094899999999999</v>
      </c>
      <c r="K3760" s="85">
        <v>5.4069799999999999</v>
      </c>
      <c r="M3760" s="84">
        <v>913.63800000000003</v>
      </c>
      <c r="O3760" s="86">
        <v>3802.06</v>
      </c>
      <c r="Q3760" s="86">
        <v>6768.99</v>
      </c>
      <c r="S3760" s="86">
        <v>1251.9000000000001</v>
      </c>
      <c r="U3760" s="85">
        <v>3.3667400000000001</v>
      </c>
      <c r="W3760" s="81">
        <v>39.241199999999999</v>
      </c>
      <c r="Y3760" s="81">
        <v>7.2575399999999997</v>
      </c>
      <c r="AA3760" s="84">
        <v>499.10899999999998</v>
      </c>
      <c r="AC3760" s="81">
        <v>63.771799999999999</v>
      </c>
      <c r="AE3760" s="87">
        <v>1</v>
      </c>
      <c r="AG3760" s="85">
        <v>7.6552300000000004</v>
      </c>
      <c r="AI3760" s="86">
        <v>8.75</v>
      </c>
      <c r="AK3760" s="81">
        <v>26.2942</v>
      </c>
      <c r="AM3760" s="81">
        <v>36.772199999999998</v>
      </c>
      <c r="AO3760" s="85">
        <v>6.7828099999999996</v>
      </c>
    </row>
    <row r="3761" spans="2:41" x14ac:dyDescent="0.25">
      <c r="B3761" s="21">
        <v>46004</v>
      </c>
      <c r="C3761" s="91">
        <v>18.208500000000001</v>
      </c>
      <c r="E3761" s="83">
        <v>0.85178200000000004</v>
      </c>
      <c r="G3761" s="84">
        <v>1440.76</v>
      </c>
      <c r="I3761" s="85">
        <v>6.9207599999999996</v>
      </c>
      <c r="K3761" s="85">
        <v>5.4187900000000004</v>
      </c>
      <c r="M3761" s="84">
        <v>910.58699999999999</v>
      </c>
      <c r="O3761" s="86">
        <v>3803.5</v>
      </c>
      <c r="Q3761" s="86">
        <v>6718.89</v>
      </c>
      <c r="S3761" s="86">
        <v>1239.93</v>
      </c>
      <c r="U3761" s="85">
        <v>3.3675999999999999</v>
      </c>
      <c r="W3761" s="81">
        <v>39.181800000000003</v>
      </c>
      <c r="Y3761" s="81">
        <v>7.2307399999999999</v>
      </c>
      <c r="AA3761" s="84">
        <v>500.322</v>
      </c>
      <c r="AC3761" s="81">
        <v>63.74</v>
      </c>
      <c r="AE3761" s="87">
        <v>1</v>
      </c>
      <c r="AG3761" s="85">
        <v>7.6609999999999996</v>
      </c>
      <c r="AI3761" s="86">
        <v>8.75</v>
      </c>
      <c r="AK3761" s="81">
        <v>26.234999999999999</v>
      </c>
      <c r="AM3761" s="81">
        <v>36.782499999999999</v>
      </c>
      <c r="AO3761" s="85">
        <v>6.7868700000000004</v>
      </c>
    </row>
    <row r="3762" spans="2:41" x14ac:dyDescent="0.25">
      <c r="B3762" s="21">
        <v>46005</v>
      </c>
      <c r="C3762" s="91">
        <v>18.208500000000001</v>
      </c>
      <c r="E3762" s="83">
        <v>0.85179199999999999</v>
      </c>
      <c r="G3762" s="84">
        <v>1440.49</v>
      </c>
      <c r="I3762" s="85">
        <v>6.9207599999999996</v>
      </c>
      <c r="K3762" s="85">
        <v>5.4187900000000004</v>
      </c>
      <c r="M3762" s="84">
        <v>910.572</v>
      </c>
      <c r="O3762" s="86">
        <v>3803.5</v>
      </c>
      <c r="Q3762" s="86">
        <v>6724.5</v>
      </c>
      <c r="S3762" s="86">
        <v>1240.96</v>
      </c>
      <c r="U3762" s="85">
        <v>3.3675999999999999</v>
      </c>
      <c r="W3762" s="81">
        <v>39.181800000000003</v>
      </c>
      <c r="Y3762" s="81">
        <v>7.2307399999999999</v>
      </c>
      <c r="AA3762" s="84">
        <v>500.322</v>
      </c>
      <c r="AC3762" s="81">
        <v>63.732999999999997</v>
      </c>
      <c r="AE3762" s="87">
        <v>1</v>
      </c>
      <c r="AG3762" s="85">
        <v>7.6609999999999996</v>
      </c>
      <c r="AI3762" s="86">
        <v>8.75</v>
      </c>
      <c r="AK3762" s="81">
        <v>26.235399999999998</v>
      </c>
      <c r="AM3762" s="81">
        <v>36.782600000000002</v>
      </c>
      <c r="AO3762" s="85">
        <v>6.7868700000000004</v>
      </c>
    </row>
    <row r="3763" spans="2:41" x14ac:dyDescent="0.25">
      <c r="B3763" s="21">
        <v>46006</v>
      </c>
      <c r="C3763" s="91">
        <v>18.054300000000001</v>
      </c>
      <c r="E3763" s="83">
        <v>0.85146599999999995</v>
      </c>
      <c r="G3763" s="84">
        <v>1438.65</v>
      </c>
      <c r="I3763" s="85">
        <v>6.9169400000000003</v>
      </c>
      <c r="K3763" s="85">
        <v>5.4142599999999996</v>
      </c>
      <c r="M3763" s="84">
        <v>912.72799999999995</v>
      </c>
      <c r="O3763" s="86">
        <v>3808.88</v>
      </c>
      <c r="Q3763" s="86">
        <v>6719.66</v>
      </c>
      <c r="S3763" s="86">
        <v>1241.1099999999999</v>
      </c>
      <c r="U3763" s="85">
        <v>3.3664800000000001</v>
      </c>
      <c r="W3763" s="81">
        <v>39.1738</v>
      </c>
      <c r="Y3763" s="81">
        <v>7.2353100000000001</v>
      </c>
      <c r="AA3763" s="84">
        <v>499.92899999999997</v>
      </c>
      <c r="AC3763" s="81">
        <v>63.476599999999998</v>
      </c>
      <c r="AE3763" s="87">
        <v>1</v>
      </c>
      <c r="AG3763" s="85">
        <v>7.6567699999999999</v>
      </c>
      <c r="AI3763" s="86">
        <v>8.75</v>
      </c>
      <c r="AK3763" s="81">
        <v>26.3033</v>
      </c>
      <c r="AM3763" s="81">
        <v>36.774799999999999</v>
      </c>
      <c r="AO3763" s="85">
        <v>6.7832699999999999</v>
      </c>
    </row>
    <row r="3764" spans="2:41" x14ac:dyDescent="0.25">
      <c r="B3764" s="21">
        <v>46007</v>
      </c>
      <c r="C3764" s="91">
        <v>17.9925</v>
      </c>
      <c r="E3764" s="83">
        <v>0.85047099999999998</v>
      </c>
      <c r="G3764" s="84">
        <v>1443.96</v>
      </c>
      <c r="I3764" s="85">
        <v>6.92272</v>
      </c>
      <c r="K3764" s="85">
        <v>5.4399199999999999</v>
      </c>
      <c r="M3764" s="84">
        <v>914.19899999999996</v>
      </c>
      <c r="O3764" s="86">
        <v>3827.86</v>
      </c>
      <c r="Q3764" s="86">
        <v>6738.78</v>
      </c>
      <c r="S3764" s="86">
        <v>1238.76</v>
      </c>
      <c r="U3764" s="85">
        <v>3.3687399999999998</v>
      </c>
      <c r="W3764" s="81">
        <v>39.118600000000001</v>
      </c>
      <c r="Y3764" s="81">
        <v>7.1910499999999997</v>
      </c>
      <c r="AA3764" s="84">
        <v>499.27</v>
      </c>
      <c r="AC3764" s="81">
        <v>63.5854</v>
      </c>
      <c r="AE3764" s="87">
        <v>1</v>
      </c>
      <c r="AG3764" s="85">
        <v>7.6576700000000004</v>
      </c>
      <c r="AI3764" s="86">
        <v>8.75</v>
      </c>
      <c r="AK3764" s="81">
        <v>26.302399999999999</v>
      </c>
      <c r="AM3764" s="81">
        <v>36.776600000000002</v>
      </c>
      <c r="AO3764" s="85">
        <v>6.7840199999999999</v>
      </c>
    </row>
    <row r="3765" spans="2:41" x14ac:dyDescent="0.25">
      <c r="B3765" s="21">
        <v>46008</v>
      </c>
      <c r="C3765" s="91">
        <v>17.952500000000001</v>
      </c>
      <c r="E3765" s="83">
        <v>0.85221599999999997</v>
      </c>
      <c r="G3765" s="84">
        <v>1450.15</v>
      </c>
      <c r="I3765" s="85">
        <v>6.9145799999999999</v>
      </c>
      <c r="K3765" s="85">
        <v>5.5024600000000001</v>
      </c>
      <c r="M3765" s="84">
        <v>915.69899999999996</v>
      </c>
      <c r="O3765" s="86">
        <v>3850.74</v>
      </c>
      <c r="Q3765" s="86">
        <v>6718.95</v>
      </c>
      <c r="S3765" s="86">
        <v>1221.08</v>
      </c>
      <c r="U3765" s="85">
        <v>3.3691300000000002</v>
      </c>
      <c r="W3765" s="81">
        <v>39.108800000000002</v>
      </c>
      <c r="Y3765" s="81">
        <v>7.1075299999999997</v>
      </c>
      <c r="AA3765" s="84">
        <v>498.61399999999998</v>
      </c>
      <c r="AC3765" s="81">
        <v>63.244399999999999</v>
      </c>
      <c r="AE3765" s="87">
        <v>1</v>
      </c>
      <c r="AG3765" s="85">
        <v>7.6606899999999998</v>
      </c>
      <c r="AI3765" s="86">
        <v>8.75</v>
      </c>
      <c r="AK3765" s="81">
        <v>26.320900000000002</v>
      </c>
      <c r="AM3765" s="81">
        <v>36.7971</v>
      </c>
      <c r="AO3765" s="85">
        <v>6.78538</v>
      </c>
    </row>
    <row r="3766" spans="2:41" x14ac:dyDescent="0.25">
      <c r="B3766" s="21">
        <v>46009</v>
      </c>
      <c r="C3766" s="91">
        <v>18.02</v>
      </c>
      <c r="E3766" s="83">
        <v>0.85240300000000002</v>
      </c>
      <c r="G3766" s="84">
        <v>1451.14</v>
      </c>
      <c r="I3766" s="85">
        <v>6.9097600000000003</v>
      </c>
      <c r="K3766" s="85">
        <v>5.5204399999999998</v>
      </c>
      <c r="M3766" s="84">
        <v>915.33399999999995</v>
      </c>
      <c r="O3766" s="86">
        <v>3866.7</v>
      </c>
      <c r="Q3766" s="86">
        <v>6697.77</v>
      </c>
      <c r="S3766" s="86">
        <v>1213.27</v>
      </c>
      <c r="U3766" s="85">
        <v>3.3656999999999999</v>
      </c>
      <c r="W3766" s="81">
        <v>39.0625</v>
      </c>
      <c r="Y3766" s="81">
        <v>7.07599</v>
      </c>
      <c r="AA3766" s="84">
        <v>497.95400000000001</v>
      </c>
      <c r="AC3766" s="81">
        <v>62.746200000000002</v>
      </c>
      <c r="AE3766" s="87">
        <v>1</v>
      </c>
      <c r="AG3766" s="85">
        <v>7.6544999999999996</v>
      </c>
      <c r="AI3766" s="86">
        <v>8.75</v>
      </c>
      <c r="AK3766" s="81">
        <v>26.2882</v>
      </c>
      <c r="AM3766" s="81">
        <v>36.761600000000001</v>
      </c>
      <c r="AO3766" s="85">
        <v>6.7809200000000001</v>
      </c>
    </row>
    <row r="3767" spans="2:41" x14ac:dyDescent="0.25">
      <c r="B3767" s="21">
        <v>46010</v>
      </c>
      <c r="C3767" s="91">
        <v>17.979199999999999</v>
      </c>
      <c r="E3767" s="83">
        <v>0.85343500000000005</v>
      </c>
      <c r="G3767" s="84">
        <v>1450.57</v>
      </c>
      <c r="I3767" s="85">
        <v>6.9133800000000001</v>
      </c>
      <c r="K3767" s="85">
        <v>5.5268199999999998</v>
      </c>
      <c r="M3767" s="84">
        <v>910.87800000000004</v>
      </c>
      <c r="O3767" s="86">
        <v>3846.1</v>
      </c>
      <c r="Q3767" s="86">
        <v>6704.04</v>
      </c>
      <c r="S3767" s="86">
        <v>1213</v>
      </c>
      <c r="U3767" s="85">
        <v>3.36673</v>
      </c>
      <c r="W3767" s="81">
        <v>39.188200000000002</v>
      </c>
      <c r="Y3767" s="81">
        <v>7.09056</v>
      </c>
      <c r="AA3767" s="84">
        <v>498.86700000000002</v>
      </c>
      <c r="AC3767" s="81">
        <v>62.687199999999997</v>
      </c>
      <c r="AE3767" s="87">
        <v>1</v>
      </c>
      <c r="AG3767" s="85">
        <v>7.6608299999999998</v>
      </c>
      <c r="AI3767" s="86">
        <v>8.75</v>
      </c>
      <c r="AK3767" s="81">
        <v>26.337700000000002</v>
      </c>
      <c r="AM3767" s="81">
        <v>36.7806</v>
      </c>
      <c r="AO3767" s="85">
        <v>6.7868199999999996</v>
      </c>
    </row>
    <row r="3768" spans="2:41" x14ac:dyDescent="0.25">
      <c r="B3768" s="21">
        <v>46011</v>
      </c>
      <c r="C3768" s="91">
        <v>17.979199999999999</v>
      </c>
      <c r="E3768" s="83">
        <v>0.85399599999999998</v>
      </c>
      <c r="G3768" s="84">
        <v>1449.12</v>
      </c>
      <c r="I3768" s="85">
        <v>6.9178600000000001</v>
      </c>
      <c r="K3768" s="85">
        <v>5.5403799999999999</v>
      </c>
      <c r="M3768" s="84">
        <v>910.2</v>
      </c>
      <c r="O3768" s="86">
        <v>3809.31</v>
      </c>
      <c r="Q3768" s="86">
        <v>6732.56</v>
      </c>
      <c r="S3768" s="86">
        <v>1215.18</v>
      </c>
      <c r="U3768" s="85">
        <v>3.3660000000000001</v>
      </c>
      <c r="W3768" s="81">
        <v>39.165900000000001</v>
      </c>
      <c r="Y3768" s="81">
        <v>7.0691899999999999</v>
      </c>
      <c r="AA3768" s="84">
        <v>499.21199999999999</v>
      </c>
      <c r="AC3768" s="81">
        <v>62.61</v>
      </c>
      <c r="AE3768" s="87">
        <v>1</v>
      </c>
      <c r="AG3768" s="85">
        <v>7.6630000000000003</v>
      </c>
      <c r="AI3768" s="86">
        <v>8.75</v>
      </c>
      <c r="AK3768" s="81">
        <v>26.3935</v>
      </c>
      <c r="AM3768" s="81">
        <v>36.725000000000001</v>
      </c>
      <c r="AO3768" s="85">
        <v>6.7911200000000003</v>
      </c>
    </row>
    <row r="3769" spans="2:41" x14ac:dyDescent="0.25">
      <c r="B3769" s="21">
        <v>46012</v>
      </c>
      <c r="C3769" s="91">
        <v>17.979199999999999</v>
      </c>
      <c r="E3769" s="83">
        <v>0.85397100000000004</v>
      </c>
      <c r="G3769" s="84">
        <v>1449.18</v>
      </c>
      <c r="I3769" s="85">
        <v>6.9178600000000001</v>
      </c>
      <c r="K3769" s="85">
        <v>5.5404799999999996</v>
      </c>
      <c r="M3769" s="84">
        <v>910.22400000000005</v>
      </c>
      <c r="O3769" s="86">
        <v>3809.12</v>
      </c>
      <c r="Q3769" s="86">
        <v>6732.6</v>
      </c>
      <c r="S3769" s="86">
        <v>1215.17</v>
      </c>
      <c r="U3769" s="85">
        <v>3.3660600000000001</v>
      </c>
      <c r="W3769" s="81">
        <v>39.166800000000002</v>
      </c>
      <c r="Y3769" s="81">
        <v>7.0692199999999996</v>
      </c>
      <c r="AA3769" s="84">
        <v>499.19299999999998</v>
      </c>
      <c r="AC3769" s="81">
        <v>62.610799999999998</v>
      </c>
      <c r="AE3769" s="87">
        <v>1</v>
      </c>
      <c r="AG3769" s="85">
        <v>7.6630099999999999</v>
      </c>
      <c r="AI3769" s="86">
        <v>8.75</v>
      </c>
      <c r="AK3769" s="81">
        <v>26.392199999999999</v>
      </c>
      <c r="AM3769" s="81">
        <v>36.725499999999997</v>
      </c>
      <c r="AO3769" s="85">
        <v>6.7911599999999996</v>
      </c>
    </row>
    <row r="3770" spans="2:41" x14ac:dyDescent="0.25">
      <c r="B3770" s="21">
        <v>46013</v>
      </c>
      <c r="C3770" s="91">
        <v>18.006499999999999</v>
      </c>
      <c r="E3770" s="83">
        <v>0.85186799999999996</v>
      </c>
      <c r="G3770" s="84">
        <v>1450.31</v>
      </c>
      <c r="I3770" s="85">
        <v>6.91683</v>
      </c>
      <c r="K3770" s="85">
        <v>5.5579299999999998</v>
      </c>
      <c r="M3770" s="84">
        <v>910.15</v>
      </c>
      <c r="O3770" s="86">
        <v>3818.2</v>
      </c>
      <c r="Q3770" s="86">
        <v>6743.14</v>
      </c>
      <c r="S3770" s="86">
        <v>1213.25</v>
      </c>
      <c r="U3770" s="85">
        <v>3.3659400000000002</v>
      </c>
      <c r="W3770" s="81">
        <v>39.185299999999998</v>
      </c>
      <c r="Y3770" s="81">
        <v>7.0503600000000004</v>
      </c>
      <c r="AA3770" s="84">
        <v>498.452</v>
      </c>
      <c r="AC3770" s="81">
        <v>62.588200000000001</v>
      </c>
      <c r="AE3770" s="87">
        <v>1</v>
      </c>
      <c r="AG3770" s="85">
        <v>7.6599700000000004</v>
      </c>
      <c r="AI3770" s="86">
        <v>8.75</v>
      </c>
      <c r="AK3770" s="81">
        <v>26.348400000000002</v>
      </c>
      <c r="AM3770" s="81">
        <v>36.766599999999997</v>
      </c>
      <c r="AO3770" s="85">
        <v>6.7913600000000001</v>
      </c>
    </row>
    <row r="3771" spans="2:41" x14ac:dyDescent="0.25">
      <c r="B3771" s="21">
        <v>46014</v>
      </c>
      <c r="C3771" s="91">
        <v>17.9785</v>
      </c>
      <c r="E3771" s="83">
        <v>0.84875699999999998</v>
      </c>
      <c r="G3771" s="84">
        <v>1451.09</v>
      </c>
      <c r="I3771" s="85">
        <v>6.9164199999999996</v>
      </c>
      <c r="K3771" s="85">
        <v>5.5691199999999998</v>
      </c>
      <c r="M3771" s="84">
        <v>907.74</v>
      </c>
      <c r="O3771" s="86">
        <v>3781.94</v>
      </c>
      <c r="Q3771" s="86">
        <v>6770.39</v>
      </c>
      <c r="S3771" s="86">
        <v>1215.7</v>
      </c>
      <c r="U3771" s="85">
        <v>3.3634200000000001</v>
      </c>
      <c r="W3771" s="81">
        <v>39.073799999999999</v>
      </c>
      <c r="Y3771" s="81">
        <v>7.0161800000000003</v>
      </c>
      <c r="AA3771" s="84">
        <v>495.95</v>
      </c>
      <c r="AC3771" s="81">
        <v>62.467199999999998</v>
      </c>
      <c r="AE3771" s="87">
        <v>1</v>
      </c>
      <c r="AG3771" s="85">
        <v>7.6522199999999998</v>
      </c>
      <c r="AI3771" s="86">
        <v>8.75</v>
      </c>
      <c r="AK3771" s="81">
        <v>26.327200000000001</v>
      </c>
      <c r="AM3771" s="81">
        <v>36.715699999999998</v>
      </c>
      <c r="AO3771" s="85">
        <v>6.79162</v>
      </c>
    </row>
    <row r="3772" spans="2:41" x14ac:dyDescent="0.25">
      <c r="B3772" s="21">
        <v>46015</v>
      </c>
      <c r="C3772" s="91">
        <v>17.933199999999999</v>
      </c>
      <c r="E3772" s="83">
        <v>0.84830799999999995</v>
      </c>
      <c r="G3772" s="84">
        <v>1450.3</v>
      </c>
      <c r="I3772" s="85">
        <v>6.9245000000000001</v>
      </c>
      <c r="K3772" s="85">
        <v>5.5232299999999999</v>
      </c>
      <c r="M3772" s="84">
        <v>905.60400000000004</v>
      </c>
      <c r="O3772" s="86">
        <v>3746.6</v>
      </c>
      <c r="Q3772" s="86">
        <v>6800</v>
      </c>
      <c r="S3772" s="86">
        <v>1231.17</v>
      </c>
      <c r="U3772" s="85">
        <v>3.36477</v>
      </c>
      <c r="W3772" s="81">
        <v>39.078800000000001</v>
      </c>
      <c r="Y3772" s="81">
        <v>7.07538</v>
      </c>
      <c r="AA3772" s="84">
        <v>497.19400000000002</v>
      </c>
      <c r="AC3772" s="81">
        <v>62.572400000000002</v>
      </c>
      <c r="AE3772" s="87">
        <v>1</v>
      </c>
      <c r="AG3772" s="85">
        <v>7.6592000000000002</v>
      </c>
      <c r="AI3772" s="86">
        <v>8.75</v>
      </c>
      <c r="AK3772" s="81">
        <v>26.353000000000002</v>
      </c>
      <c r="AM3772" s="81">
        <v>36.7943</v>
      </c>
      <c r="AO3772" s="85">
        <v>6.7998500000000002</v>
      </c>
    </row>
    <row r="3773" spans="2:41" x14ac:dyDescent="0.25">
      <c r="B3773" s="21">
        <v>46016</v>
      </c>
      <c r="C3773" s="91">
        <v>17.933199999999999</v>
      </c>
      <c r="E3773" s="83">
        <v>0.849074</v>
      </c>
      <c r="G3773" s="84">
        <v>1450.12</v>
      </c>
      <c r="I3773" s="85">
        <v>6.9240000000000004</v>
      </c>
      <c r="K3773" s="85">
        <v>5.5225999999999997</v>
      </c>
      <c r="M3773" s="84">
        <v>904.82399999999996</v>
      </c>
      <c r="O3773" s="86">
        <v>3735.69</v>
      </c>
      <c r="Q3773" s="86">
        <v>6781.23</v>
      </c>
      <c r="S3773" s="86">
        <v>1227.92</v>
      </c>
      <c r="U3773" s="85">
        <v>3.3662399999999999</v>
      </c>
      <c r="W3773" s="81">
        <v>39.094700000000003</v>
      </c>
      <c r="Y3773" s="81">
        <v>7.0791199999999996</v>
      </c>
      <c r="AA3773" s="84">
        <v>497.678</v>
      </c>
      <c r="AC3773" s="81">
        <v>62.693399999999997</v>
      </c>
      <c r="AE3773" s="87">
        <v>1</v>
      </c>
      <c r="AG3773" s="85">
        <v>7.6626399999999997</v>
      </c>
      <c r="AI3773" s="86">
        <v>8.75</v>
      </c>
      <c r="AK3773" s="81">
        <v>26.361699999999999</v>
      </c>
      <c r="AM3773" s="81">
        <v>36.805700000000002</v>
      </c>
      <c r="AO3773" s="85">
        <v>6.8009000000000004</v>
      </c>
    </row>
    <row r="3774" spans="2:41" x14ac:dyDescent="0.25">
      <c r="B3774" s="21">
        <v>46017</v>
      </c>
      <c r="C3774" s="91">
        <v>17.924800000000001</v>
      </c>
      <c r="E3774" s="83">
        <v>0.84900900000000001</v>
      </c>
      <c r="G3774" s="84">
        <v>1450.46</v>
      </c>
      <c r="I3774" s="85">
        <v>6.9237200000000003</v>
      </c>
      <c r="K3774" s="85">
        <v>5.5368000000000004</v>
      </c>
      <c r="M3774" s="84">
        <v>904.81500000000005</v>
      </c>
      <c r="O3774" s="86">
        <v>3718.89</v>
      </c>
      <c r="Q3774" s="86">
        <v>6784.46</v>
      </c>
      <c r="S3774" s="86">
        <v>1225.3499999999999</v>
      </c>
      <c r="U3774" s="85">
        <v>3.3661599999999998</v>
      </c>
      <c r="W3774" s="81">
        <v>39.089599999999997</v>
      </c>
      <c r="Y3774" s="81">
        <v>7.06</v>
      </c>
      <c r="AA3774" s="84">
        <v>497.25400000000002</v>
      </c>
      <c r="AC3774" s="81">
        <v>62.6982</v>
      </c>
      <c r="AE3774" s="87">
        <v>1</v>
      </c>
      <c r="AG3774" s="85">
        <v>7.6620699999999999</v>
      </c>
      <c r="AI3774" s="86">
        <v>8.75</v>
      </c>
      <c r="AK3774" s="81">
        <v>26.362200000000001</v>
      </c>
      <c r="AM3774" s="81">
        <v>36.805599999999998</v>
      </c>
      <c r="AO3774" s="85">
        <v>6.8007</v>
      </c>
    </row>
    <row r="3775" spans="2:41" x14ac:dyDescent="0.25">
      <c r="B3775" s="21">
        <v>46018</v>
      </c>
      <c r="C3775" s="91">
        <v>17.924800000000001</v>
      </c>
      <c r="E3775" s="83">
        <v>0.849549</v>
      </c>
      <c r="G3775" s="84">
        <v>1451.5</v>
      </c>
      <c r="I3775" s="85">
        <v>6.9226700000000001</v>
      </c>
      <c r="K3775" s="85">
        <v>5.5442200000000001</v>
      </c>
      <c r="M3775" s="84">
        <v>905.92499999999995</v>
      </c>
      <c r="O3775" s="86">
        <v>3696.9</v>
      </c>
      <c r="Q3775" s="86">
        <v>6797.65</v>
      </c>
      <c r="S3775" s="86">
        <v>1226.08</v>
      </c>
      <c r="U3775" s="85">
        <v>3.3663599999999998</v>
      </c>
      <c r="W3775" s="81">
        <v>39.110799999999998</v>
      </c>
      <c r="Y3775" s="81">
        <v>7.0543399999999998</v>
      </c>
      <c r="AA3775" s="84">
        <v>497.18799999999999</v>
      </c>
      <c r="AC3775" s="81">
        <v>62.692900000000002</v>
      </c>
      <c r="AE3775" s="87">
        <v>1</v>
      </c>
      <c r="AG3775" s="85">
        <v>7.6608400000000003</v>
      </c>
      <c r="AI3775" s="86">
        <v>8.75</v>
      </c>
      <c r="AK3775" s="81">
        <v>26.3628</v>
      </c>
      <c r="AM3775" s="81">
        <v>36.802799999999998</v>
      </c>
      <c r="AO3775" s="85">
        <v>6.80077</v>
      </c>
    </row>
    <row r="3776" spans="2:41" x14ac:dyDescent="0.25">
      <c r="B3776" s="21">
        <v>46019</v>
      </c>
      <c r="C3776" s="91">
        <v>17.924800000000001</v>
      </c>
      <c r="E3776" s="83">
        <v>0.84953599999999996</v>
      </c>
      <c r="G3776" s="84">
        <v>1451.48</v>
      </c>
      <c r="I3776" s="85">
        <v>6.9226999999999999</v>
      </c>
      <c r="K3776" s="85">
        <v>5.5442200000000001</v>
      </c>
      <c r="M3776" s="84">
        <v>905.92499999999995</v>
      </c>
      <c r="O3776" s="86">
        <v>3696.9</v>
      </c>
      <c r="Q3776" s="86">
        <v>6797.44</v>
      </c>
      <c r="S3776" s="86">
        <v>1226.04</v>
      </c>
      <c r="U3776" s="85">
        <v>3.3663599999999998</v>
      </c>
      <c r="W3776" s="81">
        <v>39.110599999999998</v>
      </c>
      <c r="Y3776" s="81">
        <v>7.0542999999999996</v>
      </c>
      <c r="AA3776" s="84">
        <v>497.202</v>
      </c>
      <c r="AC3776" s="81">
        <v>62.695999999999998</v>
      </c>
      <c r="AE3776" s="87">
        <v>1</v>
      </c>
      <c r="AG3776" s="85">
        <v>7.6608599999999996</v>
      </c>
      <c r="AI3776" s="86">
        <v>8.75</v>
      </c>
      <c r="AK3776" s="81">
        <v>26.3628</v>
      </c>
      <c r="AM3776" s="81">
        <v>36.802900000000001</v>
      </c>
      <c r="AO3776" s="85">
        <v>6.8007799999999996</v>
      </c>
    </row>
    <row r="3777" spans="2:41" x14ac:dyDescent="0.25">
      <c r="B3777" s="21">
        <v>46020</v>
      </c>
      <c r="C3777" s="91">
        <v>17.904199999999999</v>
      </c>
      <c r="E3777" s="83">
        <v>0.84963599999999995</v>
      </c>
      <c r="G3777" s="84">
        <v>1453.7</v>
      </c>
      <c r="I3777" s="85">
        <v>6.9261600000000003</v>
      </c>
      <c r="K3777" s="85">
        <v>5.5632000000000001</v>
      </c>
      <c r="M3777" s="84">
        <v>909.52499999999998</v>
      </c>
      <c r="O3777" s="86">
        <v>3708.96</v>
      </c>
      <c r="Q3777" s="86">
        <v>6787.22</v>
      </c>
      <c r="S3777" s="86">
        <v>1220.02</v>
      </c>
      <c r="U3777" s="85">
        <v>3.3662800000000002</v>
      </c>
      <c r="W3777" s="81">
        <v>39.153199999999998</v>
      </c>
      <c r="Y3777" s="81">
        <v>7.0378999999999996</v>
      </c>
      <c r="AA3777" s="84">
        <v>496.55399999999997</v>
      </c>
      <c r="AC3777" s="81">
        <v>62.782800000000002</v>
      </c>
      <c r="AE3777" s="87">
        <v>1</v>
      </c>
      <c r="AG3777" s="85">
        <v>7.66486</v>
      </c>
      <c r="AI3777" s="86">
        <v>8.75</v>
      </c>
      <c r="AK3777" s="81">
        <v>26.369800000000001</v>
      </c>
      <c r="AM3777" s="81">
        <v>36.766800000000003</v>
      </c>
      <c r="AO3777" s="85">
        <v>6.8002200000000004</v>
      </c>
    </row>
    <row r="3778" spans="2:41" x14ac:dyDescent="0.25">
      <c r="B3778" s="21">
        <v>46021</v>
      </c>
      <c r="C3778" s="91">
        <v>17.966699999999999</v>
      </c>
      <c r="E3778" s="83">
        <v>0.85005600000000003</v>
      </c>
      <c r="G3778" s="84">
        <v>1455.97</v>
      </c>
      <c r="I3778" s="85">
        <v>6.9281600000000001</v>
      </c>
      <c r="K3778" s="85">
        <v>5.5339700000000001</v>
      </c>
      <c r="M3778" s="84">
        <v>909.77300000000002</v>
      </c>
      <c r="O3778" s="86">
        <v>3735.16</v>
      </c>
      <c r="Q3778" s="86">
        <v>6723.86</v>
      </c>
      <c r="S3778" s="86">
        <v>1215.02</v>
      </c>
      <c r="U3778" s="85">
        <v>3.3654099999999998</v>
      </c>
      <c r="W3778" s="81">
        <v>39.193399999999997</v>
      </c>
      <c r="Y3778" s="81">
        <v>7.0823600000000004</v>
      </c>
      <c r="AA3778" s="84">
        <v>496.05200000000002</v>
      </c>
      <c r="AC3778" s="81">
        <v>62.875599999999999</v>
      </c>
      <c r="AE3778" s="87">
        <v>1</v>
      </c>
      <c r="AG3778" s="85">
        <v>7.6652199999999997</v>
      </c>
      <c r="AI3778" s="86">
        <v>8.75</v>
      </c>
      <c r="AK3778" s="81">
        <v>26.388400000000001</v>
      </c>
      <c r="AM3778" s="81">
        <v>36.7774</v>
      </c>
      <c r="AO3778" s="85">
        <v>6.7942799999999997</v>
      </c>
    </row>
    <row r="3779" spans="2:41" x14ac:dyDescent="0.25">
      <c r="B3779" s="21">
        <v>46022</v>
      </c>
      <c r="C3779" s="82">
        <v>17.9528</v>
      </c>
      <c r="D3779" s="92"/>
      <c r="E3779" s="93">
        <v>0.851773</v>
      </c>
      <c r="F3779" s="92"/>
      <c r="G3779" s="94">
        <v>1451.52</v>
      </c>
      <c r="H3779" s="92"/>
      <c r="I3779" s="95">
        <v>6.9366000000000003</v>
      </c>
      <c r="J3779" s="92"/>
      <c r="K3779" s="95">
        <v>5.4875800000000003</v>
      </c>
      <c r="L3779" s="92"/>
      <c r="M3779" s="94">
        <v>901.10900000000004</v>
      </c>
      <c r="N3779" s="92"/>
      <c r="O3779" s="96">
        <v>3763.59</v>
      </c>
      <c r="P3779" s="92"/>
      <c r="Q3779" s="96">
        <v>6626.06</v>
      </c>
      <c r="R3779" s="92"/>
      <c r="S3779" s="96">
        <v>1207.48</v>
      </c>
      <c r="T3779" s="92"/>
      <c r="U3779" s="95">
        <v>3.3660000000000001</v>
      </c>
      <c r="V3779" s="92"/>
      <c r="W3779" s="91">
        <v>39.182299999999998</v>
      </c>
      <c r="X3779" s="92"/>
      <c r="Y3779" s="91">
        <v>7.1402200000000002</v>
      </c>
      <c r="Z3779" s="92"/>
      <c r="AA3779" s="94">
        <v>497.15600000000001</v>
      </c>
      <c r="AB3779" s="92"/>
      <c r="AC3779" s="91">
        <v>63.038600000000002</v>
      </c>
      <c r="AD3779" s="92"/>
      <c r="AE3779" s="97">
        <v>1</v>
      </c>
      <c r="AF3779" s="92"/>
      <c r="AG3779" s="95">
        <v>7.6751399999999999</v>
      </c>
      <c r="AH3779" s="92"/>
      <c r="AI3779" s="96">
        <v>8.75</v>
      </c>
      <c r="AJ3779" s="92"/>
      <c r="AK3779" s="91">
        <v>26.3962</v>
      </c>
      <c r="AL3779" s="92"/>
      <c r="AM3779" s="91">
        <v>36.831000000000003</v>
      </c>
      <c r="AN3779" s="92"/>
      <c r="AO3779" s="95">
        <v>6.8002000000000002</v>
      </c>
    </row>
    <row r="3780" spans="2:41" ht="13" x14ac:dyDescent="0.3">
      <c r="B3780" s="25" t="str">
        <f>"PROM-"&amp;MONTH(B3779)&amp;YEAR(B3779)</f>
        <v>PROM-122025</v>
      </c>
      <c r="C3780" s="19">
        <f>AVERAGE(C3749:C3779)</f>
        <v>18.086561290322578</v>
      </c>
      <c r="E3780" s="19">
        <f>AVERAGE(E3749:E3779)</f>
        <v>0.85370245161290326</v>
      </c>
      <c r="G3780" s="19">
        <f>AVERAGE(G3749:G3779)</f>
        <v>1446.2738709677421</v>
      </c>
      <c r="I3780" s="19">
        <f>AVERAGE(I3749:I3779)</f>
        <v>6.9193748387096772</v>
      </c>
      <c r="K3780" s="19">
        <f>AVERAGE(K3749:K3779)</f>
        <v>5.4658835483870973</v>
      </c>
      <c r="M3780" s="19">
        <f>AVERAGE(M3749:M3779)</f>
        <v>914.29719354838721</v>
      </c>
      <c r="O3780" s="19">
        <f>AVERAGE(O3749:O3779)</f>
        <v>3794.0816129032255</v>
      </c>
      <c r="Q3780" s="19">
        <f>AVERAGE(Q3749:Q3779)</f>
        <v>6803.8929032258075</v>
      </c>
      <c r="S3780" s="19">
        <f>AVERAGE(S3749:S3779)</f>
        <v>1245.1929032258063</v>
      </c>
      <c r="U3780" s="19">
        <f>AVERAGE(U3749:U3779)</f>
        <v>3.3655841935483877</v>
      </c>
      <c r="W3780" s="19">
        <f>AVERAGE(W3749:W3779)</f>
        <v>39.176132258064506</v>
      </c>
      <c r="Y3780" s="19">
        <f>AVERAGE(Y3749:Y3779)</f>
        <v>7.16899</v>
      </c>
      <c r="AA3780" s="19">
        <f>AVERAGE(AA3749:AA3779)</f>
        <v>495.6031290322581</v>
      </c>
      <c r="AC3780" s="19">
        <f>AVERAGE(AC3749:AC3779)</f>
        <v>63.248922580645157</v>
      </c>
      <c r="AE3780" s="19">
        <f>AVERAGE(AE3749:AE3779)</f>
        <v>1</v>
      </c>
      <c r="AG3780" s="19">
        <f>AVERAGE(AG3749:AG3779)</f>
        <v>7.6597077419354838</v>
      </c>
      <c r="AI3780" s="19">
        <f>AVERAGE(AI3749:AI3779)</f>
        <v>8.75</v>
      </c>
      <c r="AK3780" s="19">
        <f>AVERAGE(AK3749:AK3779)</f>
        <v>26.327512903225806</v>
      </c>
      <c r="AM3780" s="19">
        <f>AVERAGE(AM3749:AM3779)</f>
        <v>36.781232258064527</v>
      </c>
      <c r="AO3780" s="19">
        <f>AVERAGE(AO3749:AO3779)</f>
        <v>6.7861358064516129</v>
      </c>
    </row>
    <row r="3781" spans="2:41" x14ac:dyDescent="0.25">
      <c r="B3781" s="21">
        <v>46023</v>
      </c>
      <c r="C3781" s="91">
        <v>17.9528</v>
      </c>
      <c r="E3781" s="83">
        <v>0.85134399999999999</v>
      </c>
      <c r="G3781" s="84">
        <v>1451.3</v>
      </c>
      <c r="I3781" s="85">
        <v>6.9306799999999997</v>
      </c>
      <c r="K3781" s="85">
        <v>5.5033599999999998</v>
      </c>
      <c r="M3781" s="84">
        <v>900.18600000000004</v>
      </c>
      <c r="O3781" s="86">
        <v>3770.38</v>
      </c>
      <c r="Q3781" s="86">
        <v>6569.87</v>
      </c>
      <c r="S3781" s="86">
        <v>1193.8</v>
      </c>
      <c r="U3781" s="85">
        <v>3.3631000000000002</v>
      </c>
      <c r="W3781" s="81">
        <v>39.194099999999999</v>
      </c>
      <c r="Y3781" s="81">
        <v>7.1219599999999996</v>
      </c>
      <c r="AA3781" s="84">
        <v>497.24</v>
      </c>
      <c r="AC3781" s="81">
        <v>63.092799999999997</v>
      </c>
      <c r="AE3781" s="87">
        <v>1</v>
      </c>
      <c r="AG3781" s="85">
        <v>7.6734099999999996</v>
      </c>
      <c r="AI3781" s="86">
        <v>8.75</v>
      </c>
      <c r="AK3781" s="81">
        <v>26.377600000000001</v>
      </c>
      <c r="AM3781" s="81">
        <v>36.847999999999999</v>
      </c>
      <c r="AO3781" s="85">
        <v>6.7994399999999997</v>
      </c>
    </row>
    <row r="3782" spans="2:41" x14ac:dyDescent="0.25">
      <c r="B3782" s="21">
        <v>46024</v>
      </c>
      <c r="C3782" s="91">
        <v>18.001200000000001</v>
      </c>
      <c r="E3782" s="83">
        <v>0.85216400000000003</v>
      </c>
      <c r="G3782" s="84">
        <v>1459.84</v>
      </c>
      <c r="I3782" s="85">
        <v>6.9238799999999996</v>
      </c>
      <c r="K3782" s="85">
        <v>5.4684200000000001</v>
      </c>
      <c r="M3782" s="84">
        <v>902.05799999999999</v>
      </c>
      <c r="O3782" s="86">
        <v>3776.22</v>
      </c>
      <c r="Q3782" s="86">
        <v>6601.52</v>
      </c>
      <c r="S3782" s="86">
        <v>1207.22</v>
      </c>
      <c r="U3782" s="85">
        <v>3.36267</v>
      </c>
      <c r="W3782" s="81">
        <v>39.111600000000003</v>
      </c>
      <c r="Y3782" s="81">
        <v>7.1523199999999996</v>
      </c>
      <c r="AA3782" s="84">
        <v>497.38600000000002</v>
      </c>
      <c r="AC3782" s="81">
        <v>63.075800000000001</v>
      </c>
      <c r="AE3782" s="87">
        <v>1</v>
      </c>
      <c r="AG3782" s="85">
        <v>7.6708999999999996</v>
      </c>
      <c r="AI3782" s="86">
        <v>8.75</v>
      </c>
      <c r="AK3782" s="81">
        <v>26.384</v>
      </c>
      <c r="AM3782" s="81">
        <v>36.783200000000001</v>
      </c>
      <c r="AO3782" s="85">
        <v>6.7974399999999999</v>
      </c>
    </row>
    <row r="3783" spans="2:41" x14ac:dyDescent="0.25">
      <c r="B3783" s="21">
        <v>46025</v>
      </c>
      <c r="C3783" s="91">
        <v>18.001200000000001</v>
      </c>
      <c r="E3783" s="83">
        <v>0.85327500000000001</v>
      </c>
      <c r="G3783" s="84">
        <v>1474.76</v>
      </c>
      <c r="I3783" s="85">
        <v>6.9197800000000003</v>
      </c>
      <c r="K3783" s="85">
        <v>5.4230799999999997</v>
      </c>
      <c r="M3783" s="84">
        <v>906.3</v>
      </c>
      <c r="O3783" s="86">
        <v>3777.12</v>
      </c>
      <c r="Q3783" s="86">
        <v>6645.86</v>
      </c>
      <c r="S3783" s="86">
        <v>1225.48</v>
      </c>
      <c r="U3783" s="85">
        <v>3.3621799999999999</v>
      </c>
      <c r="W3783" s="81">
        <v>38.983199999999997</v>
      </c>
      <c r="Y3783" s="81">
        <v>7.1883999999999997</v>
      </c>
      <c r="AA3783" s="84">
        <v>497.35199999999998</v>
      </c>
      <c r="AC3783" s="81">
        <v>63.022500000000001</v>
      </c>
      <c r="AE3783" s="87">
        <v>1</v>
      </c>
      <c r="AG3783" s="85">
        <v>7.6694000000000004</v>
      </c>
      <c r="AI3783" s="86">
        <v>8.75</v>
      </c>
      <c r="AK3783" s="81">
        <v>26.4285</v>
      </c>
      <c r="AM3783" s="81">
        <v>36.700000000000003</v>
      </c>
      <c r="AO3783" s="85">
        <v>6.7973400000000002</v>
      </c>
    </row>
    <row r="3784" spans="2:41" x14ac:dyDescent="0.25">
      <c r="B3784" s="21">
        <v>46026</v>
      </c>
      <c r="C3784" s="91">
        <v>18.001200000000001</v>
      </c>
      <c r="E3784" s="83">
        <v>0.85330600000000001</v>
      </c>
      <c r="G3784" s="84">
        <v>1474.92</v>
      </c>
      <c r="I3784" s="85">
        <v>6.9197199999999999</v>
      </c>
      <c r="K3784" s="85">
        <v>5.4230700000000001</v>
      </c>
      <c r="M3784" s="84">
        <v>906.21900000000005</v>
      </c>
      <c r="O3784" s="86">
        <v>3777.02</v>
      </c>
      <c r="Q3784" s="86">
        <v>6643.65</v>
      </c>
      <c r="S3784" s="86">
        <v>1225.08</v>
      </c>
      <c r="U3784" s="85">
        <v>3.3621400000000001</v>
      </c>
      <c r="W3784" s="81">
        <v>38.986199999999997</v>
      </c>
      <c r="Y3784" s="81">
        <v>7.1889799999999999</v>
      </c>
      <c r="AA3784" s="84">
        <v>497.36399999999998</v>
      </c>
      <c r="AC3784" s="81">
        <v>63.026200000000003</v>
      </c>
      <c r="AE3784" s="87">
        <v>1</v>
      </c>
      <c r="AG3784" s="85">
        <v>7.6696</v>
      </c>
      <c r="AI3784" s="86">
        <v>8.75</v>
      </c>
      <c r="AK3784" s="81">
        <v>26.426400000000001</v>
      </c>
      <c r="AM3784" s="81">
        <v>36.703899999999997</v>
      </c>
      <c r="AO3784" s="85">
        <v>6.7974899999999998</v>
      </c>
    </row>
    <row r="3785" spans="2:41" x14ac:dyDescent="0.25">
      <c r="B3785" s="21">
        <v>46027</v>
      </c>
      <c r="C3785" s="91">
        <v>17.880299999999998</v>
      </c>
      <c r="E3785" s="83">
        <v>0.85489400000000004</v>
      </c>
      <c r="G3785" s="84">
        <v>1474.97</v>
      </c>
      <c r="I3785" s="85">
        <v>6.9260599999999997</v>
      </c>
      <c r="K3785" s="85">
        <v>5.4215200000000001</v>
      </c>
      <c r="M3785" s="84">
        <v>903.31100000000004</v>
      </c>
      <c r="O3785" s="86">
        <v>3769.18</v>
      </c>
      <c r="Q3785" s="86">
        <v>6654.57</v>
      </c>
      <c r="S3785" s="86">
        <v>1227.44</v>
      </c>
      <c r="U3785" s="85">
        <v>3.3647300000000002</v>
      </c>
      <c r="W3785" s="81">
        <v>39.061599999999999</v>
      </c>
      <c r="Y3785" s="81">
        <v>7.2049200000000004</v>
      </c>
      <c r="AA3785" s="84">
        <v>497.89600000000002</v>
      </c>
      <c r="AC3785" s="81">
        <v>63.211399999999998</v>
      </c>
      <c r="AE3785" s="87">
        <v>1</v>
      </c>
      <c r="AG3785" s="85">
        <v>7.67563</v>
      </c>
      <c r="AI3785" s="86">
        <v>8.75</v>
      </c>
      <c r="AK3785" s="81">
        <v>26.398199999999999</v>
      </c>
      <c r="AM3785" s="81">
        <v>36.805599999999998</v>
      </c>
      <c r="AO3785" s="85">
        <v>6.7978100000000001</v>
      </c>
    </row>
    <row r="3786" spans="2:41" x14ac:dyDescent="0.25">
      <c r="B3786" s="21">
        <v>46028</v>
      </c>
      <c r="C3786" s="91">
        <v>17.890499999999999</v>
      </c>
      <c r="E3786" s="83">
        <v>0.85398700000000005</v>
      </c>
      <c r="G3786" s="84">
        <v>1468.91</v>
      </c>
      <c r="I3786" s="85">
        <v>6.9184799999999997</v>
      </c>
      <c r="K3786" s="85">
        <v>5.39398</v>
      </c>
      <c r="M3786" s="84">
        <v>900.51400000000001</v>
      </c>
      <c r="O3786" s="86">
        <v>3740.42</v>
      </c>
      <c r="Q3786" s="86">
        <v>6687.04</v>
      </c>
      <c r="S3786" s="86">
        <v>1239.72</v>
      </c>
      <c r="U3786" s="85">
        <v>3.3591799999999998</v>
      </c>
      <c r="W3786" s="81">
        <v>38.922600000000003</v>
      </c>
      <c r="Y3786" s="81">
        <v>7.2159599999999999</v>
      </c>
      <c r="AA3786" s="84">
        <v>496.50400000000002</v>
      </c>
      <c r="AC3786" s="81">
        <v>63.241199999999999</v>
      </c>
      <c r="AE3786" s="87">
        <v>1</v>
      </c>
      <c r="AG3786" s="85">
        <v>7.6565200000000004</v>
      </c>
      <c r="AI3786" s="86">
        <v>8.75</v>
      </c>
      <c r="AK3786" s="81">
        <v>26.334599999999998</v>
      </c>
      <c r="AM3786" s="81">
        <v>36.757399999999997</v>
      </c>
      <c r="AO3786" s="85">
        <v>6.7774999999999999</v>
      </c>
    </row>
    <row r="3787" spans="2:41" x14ac:dyDescent="0.25">
      <c r="B3787" s="21">
        <v>46029</v>
      </c>
      <c r="C3787" s="91">
        <v>17.9697</v>
      </c>
      <c r="E3787" s="83">
        <v>0.85558800000000002</v>
      </c>
      <c r="G3787" s="84">
        <v>1465.84</v>
      </c>
      <c r="I3787" s="85">
        <v>6.9264299999999999</v>
      </c>
      <c r="K3787" s="85">
        <v>5.3816600000000001</v>
      </c>
      <c r="M3787" s="84">
        <v>894.51400000000001</v>
      </c>
      <c r="O3787" s="86">
        <v>3728.61</v>
      </c>
      <c r="Q3787" s="86">
        <v>6673.35</v>
      </c>
      <c r="S3787" s="86">
        <v>1240.02</v>
      </c>
      <c r="U3787" s="85">
        <v>3.3634400000000002</v>
      </c>
      <c r="W3787" s="81">
        <v>38.9465</v>
      </c>
      <c r="Y3787" s="81">
        <v>7.23691</v>
      </c>
      <c r="AA3787" s="84">
        <v>497.37</v>
      </c>
      <c r="AC3787" s="81">
        <v>63.472099999999998</v>
      </c>
      <c r="AE3787" s="87">
        <v>1</v>
      </c>
      <c r="AG3787" s="85">
        <v>7.6686800000000002</v>
      </c>
      <c r="AI3787" s="86">
        <v>8.75</v>
      </c>
      <c r="AK3787" s="81">
        <v>26.3828</v>
      </c>
      <c r="AM3787" s="81">
        <v>36.809800000000003</v>
      </c>
      <c r="AO3787" s="85">
        <v>6.7865200000000003</v>
      </c>
    </row>
    <row r="3788" spans="2:41" x14ac:dyDescent="0.25">
      <c r="B3788" s="21">
        <v>46030</v>
      </c>
      <c r="C3788" s="91">
        <v>17.9587</v>
      </c>
      <c r="E3788" s="83">
        <v>0.85704100000000005</v>
      </c>
      <c r="G3788" s="84">
        <v>1461.44</v>
      </c>
      <c r="I3788" s="85">
        <v>6.93222</v>
      </c>
      <c r="K3788" s="85">
        <v>5.3878599999999999</v>
      </c>
      <c r="M3788" s="84">
        <v>896.00099999999998</v>
      </c>
      <c r="O3788" s="86">
        <v>3738.05</v>
      </c>
      <c r="Q3788" s="86">
        <v>6678.49</v>
      </c>
      <c r="S3788" s="86">
        <v>1239.55</v>
      </c>
      <c r="U3788" s="85">
        <v>3.3637299999999999</v>
      </c>
      <c r="W3788" s="81">
        <v>38.970999999999997</v>
      </c>
      <c r="Y3788" s="81">
        <v>7.2331399999999997</v>
      </c>
      <c r="AA3788" s="84">
        <v>497.43400000000003</v>
      </c>
      <c r="AC3788" s="81">
        <v>63.5443</v>
      </c>
      <c r="AE3788" s="87">
        <v>1</v>
      </c>
      <c r="AG3788" s="85">
        <v>7.6696799999999996</v>
      </c>
      <c r="AI3788" s="86">
        <v>8.75</v>
      </c>
      <c r="AK3788" s="81">
        <v>26.391400000000001</v>
      </c>
      <c r="AM3788" s="81">
        <v>36.813200000000002</v>
      </c>
      <c r="AO3788" s="85">
        <v>6.7893699999999999</v>
      </c>
    </row>
    <row r="3789" spans="2:41" x14ac:dyDescent="0.25">
      <c r="B3789" s="21">
        <v>46031</v>
      </c>
      <c r="C3789" s="91">
        <v>17.980699999999999</v>
      </c>
      <c r="E3789" s="83">
        <v>0.85887599999999997</v>
      </c>
      <c r="G3789" s="84">
        <v>1464.32</v>
      </c>
      <c r="I3789" s="85">
        <v>6.93499</v>
      </c>
      <c r="K3789" s="85">
        <v>5.3786800000000001</v>
      </c>
      <c r="M3789" s="84">
        <v>896.005</v>
      </c>
      <c r="O3789" s="86">
        <v>3714.07</v>
      </c>
      <c r="Q3789" s="86">
        <v>6644.98</v>
      </c>
      <c r="S3789" s="86">
        <v>1235.43</v>
      </c>
      <c r="U3789" s="85">
        <v>3.3646400000000001</v>
      </c>
      <c r="W3789" s="81">
        <v>38.976799999999997</v>
      </c>
      <c r="Y3789" s="81">
        <v>7.24655</v>
      </c>
      <c r="AA3789" s="84">
        <v>497.63400000000001</v>
      </c>
      <c r="AC3789" s="81">
        <v>63.549199999999999</v>
      </c>
      <c r="AE3789" s="87">
        <v>1</v>
      </c>
      <c r="AG3789" s="85">
        <v>7.6734999999999998</v>
      </c>
      <c r="AI3789" s="86">
        <v>8.75</v>
      </c>
      <c r="AK3789" s="81">
        <v>26.409400000000002</v>
      </c>
      <c r="AM3789" s="81">
        <v>36.823</v>
      </c>
      <c r="AO3789" s="85">
        <v>6.7945000000000002</v>
      </c>
    </row>
    <row r="3790" spans="2:41" x14ac:dyDescent="0.25">
      <c r="B3790" s="21">
        <v>46032</v>
      </c>
      <c r="C3790" s="91">
        <v>17.980699999999999</v>
      </c>
      <c r="E3790" s="83">
        <v>0.85934999999999995</v>
      </c>
      <c r="G3790" s="84">
        <v>1464.98</v>
      </c>
      <c r="I3790" s="85">
        <v>6.9273999999999996</v>
      </c>
      <c r="K3790" s="85">
        <v>5.3715999999999999</v>
      </c>
      <c r="M3790" s="84">
        <v>893.91</v>
      </c>
      <c r="O3790" s="86">
        <v>3713</v>
      </c>
      <c r="Q3790" s="86">
        <v>6597.9</v>
      </c>
      <c r="S3790" s="86">
        <v>1228.3</v>
      </c>
      <c r="U3790" s="85">
        <v>3.3624999999999998</v>
      </c>
      <c r="W3790" s="81">
        <v>38.892899999999997</v>
      </c>
      <c r="Y3790" s="81">
        <v>7.2404799999999998</v>
      </c>
      <c r="AA3790" s="84">
        <v>497.32600000000002</v>
      </c>
      <c r="AC3790" s="81">
        <v>63.272500000000001</v>
      </c>
      <c r="AE3790" s="87">
        <v>1</v>
      </c>
      <c r="AG3790" s="85">
        <v>7.6689400000000001</v>
      </c>
      <c r="AI3790" s="86">
        <v>8.75</v>
      </c>
      <c r="AK3790" s="81">
        <v>26.441500000000001</v>
      </c>
      <c r="AM3790" s="81">
        <v>36.79</v>
      </c>
      <c r="AO3790" s="85">
        <v>6.7905600000000002</v>
      </c>
    </row>
    <row r="3791" spans="2:41" x14ac:dyDescent="0.25">
      <c r="B3791" s="21">
        <v>46033</v>
      </c>
      <c r="C3791" s="91">
        <v>17.980699999999999</v>
      </c>
      <c r="E3791" s="83">
        <v>0.85938700000000001</v>
      </c>
      <c r="G3791" s="84">
        <v>1465.01</v>
      </c>
      <c r="I3791" s="85">
        <v>6.9273999999999996</v>
      </c>
      <c r="K3791" s="85">
        <v>5.3714300000000001</v>
      </c>
      <c r="M3791" s="84">
        <v>894.096</v>
      </c>
      <c r="O3791" s="86">
        <v>3713.02</v>
      </c>
      <c r="Q3791" s="86">
        <v>6598.24</v>
      </c>
      <c r="S3791" s="86">
        <v>1228.4000000000001</v>
      </c>
      <c r="U3791" s="85">
        <v>3.36266</v>
      </c>
      <c r="W3791" s="81">
        <v>38.893799999999999</v>
      </c>
      <c r="Y3791" s="81">
        <v>7.2408799999999998</v>
      </c>
      <c r="AA3791" s="84">
        <v>497.33199999999999</v>
      </c>
      <c r="AC3791" s="81">
        <v>63.289200000000001</v>
      </c>
      <c r="AE3791" s="87">
        <v>1</v>
      </c>
      <c r="AG3791" s="85">
        <v>7.6691799999999999</v>
      </c>
      <c r="AI3791" s="86">
        <v>8.75</v>
      </c>
      <c r="AK3791" s="81">
        <v>26.439699999999998</v>
      </c>
      <c r="AM3791" s="81">
        <v>36.79</v>
      </c>
      <c r="AO3791" s="85">
        <v>6.7905699999999998</v>
      </c>
    </row>
    <row r="3792" spans="2:41" x14ac:dyDescent="0.25">
      <c r="B3792" s="21">
        <v>46034</v>
      </c>
      <c r="C3792" s="91">
        <v>17.984200000000001</v>
      </c>
      <c r="E3792" s="83">
        <v>0.85676200000000002</v>
      </c>
      <c r="G3792" s="84">
        <v>1464.95</v>
      </c>
      <c r="I3792" s="85">
        <v>6.9270100000000001</v>
      </c>
      <c r="K3792" s="85">
        <v>5.3732800000000003</v>
      </c>
      <c r="M3792" s="84">
        <v>892.06700000000001</v>
      </c>
      <c r="O3792" s="86">
        <v>3713.74</v>
      </c>
      <c r="Q3792" s="86">
        <v>6615.89</v>
      </c>
      <c r="S3792" s="86">
        <v>1231.26</v>
      </c>
      <c r="U3792" s="85">
        <v>3.3607100000000001</v>
      </c>
      <c r="W3792" s="81">
        <v>38.908000000000001</v>
      </c>
      <c r="Y3792" s="81">
        <v>7.2410199999999998</v>
      </c>
      <c r="AA3792" s="84">
        <v>497.10199999999998</v>
      </c>
      <c r="AC3792" s="81">
        <v>63.565600000000003</v>
      </c>
      <c r="AE3792" s="87">
        <v>1</v>
      </c>
      <c r="AG3792" s="85">
        <v>7.6649599999999998</v>
      </c>
      <c r="AI3792" s="86">
        <v>8.75</v>
      </c>
      <c r="AK3792" s="81">
        <v>26.383199999999999</v>
      </c>
      <c r="AM3792" s="81">
        <v>36.792400000000001</v>
      </c>
      <c r="AO3792" s="85">
        <v>6.7880599999999998</v>
      </c>
    </row>
    <row r="3793" spans="2:41" x14ac:dyDescent="0.25">
      <c r="B3793" s="21">
        <v>46035</v>
      </c>
      <c r="C3793" s="91">
        <v>17.907499999999999</v>
      </c>
      <c r="E3793" s="83">
        <v>0.85786899999999999</v>
      </c>
      <c r="G3793" s="84">
        <v>1464.98</v>
      </c>
      <c r="I3793" s="85">
        <v>6.9302400000000004</v>
      </c>
      <c r="K3793" s="85">
        <v>5.3761099999999997</v>
      </c>
      <c r="M3793" s="84">
        <v>886.20799999999997</v>
      </c>
      <c r="O3793" s="86">
        <v>3699.3</v>
      </c>
      <c r="Q3793" s="86">
        <v>6634.85</v>
      </c>
      <c r="S3793" s="86">
        <v>1234.1400000000001</v>
      </c>
      <c r="U3793" s="85">
        <v>3.36178</v>
      </c>
      <c r="W3793" s="81">
        <v>38.901800000000001</v>
      </c>
      <c r="Y3793" s="81">
        <v>7.2360699999999998</v>
      </c>
      <c r="AA3793" s="84">
        <v>497.48</v>
      </c>
      <c r="AC3793" s="81">
        <v>63.6586</v>
      </c>
      <c r="AE3793" s="87">
        <v>1</v>
      </c>
      <c r="AG3793" s="85">
        <v>7.6723800000000004</v>
      </c>
      <c r="AI3793" s="86">
        <v>8.75</v>
      </c>
      <c r="AK3793" s="81">
        <v>26.4148</v>
      </c>
      <c r="AM3793" s="81">
        <v>36.829099999999997</v>
      </c>
      <c r="AO3793" s="85">
        <v>6.7962699999999998</v>
      </c>
    </row>
    <row r="3794" spans="2:41" x14ac:dyDescent="0.25">
      <c r="B3794" s="21">
        <v>46036</v>
      </c>
      <c r="C3794" s="91">
        <v>17.853999999999999</v>
      </c>
      <c r="E3794" s="83">
        <v>0.85861399999999999</v>
      </c>
      <c r="G3794" s="84">
        <v>1456.69</v>
      </c>
      <c r="I3794" s="85">
        <v>6.9209800000000001</v>
      </c>
      <c r="K3794" s="85">
        <v>5.3811799999999996</v>
      </c>
      <c r="M3794" s="84">
        <v>884.66</v>
      </c>
      <c r="O3794" s="86">
        <v>3667.42</v>
      </c>
      <c r="Q3794" s="86">
        <v>6680.6</v>
      </c>
      <c r="S3794" s="86">
        <v>1241.48</v>
      </c>
      <c r="U3794" s="85">
        <v>3.36137</v>
      </c>
      <c r="W3794" s="81">
        <v>38.7913</v>
      </c>
      <c r="Y3794" s="81">
        <v>7.2087199999999996</v>
      </c>
      <c r="AA3794" s="84">
        <v>497.07299999999998</v>
      </c>
      <c r="AC3794" s="81">
        <v>63.755000000000003</v>
      </c>
      <c r="AE3794" s="87">
        <v>1</v>
      </c>
      <c r="AG3794" s="85">
        <v>7.6740399999999998</v>
      </c>
      <c r="AI3794" s="86">
        <v>8.75</v>
      </c>
      <c r="AK3794" s="81">
        <v>26.410900000000002</v>
      </c>
      <c r="AM3794" s="81">
        <v>36.828200000000002</v>
      </c>
      <c r="AO3794" s="85">
        <v>6.7934200000000002</v>
      </c>
    </row>
    <row r="3795" spans="2:41" x14ac:dyDescent="0.25">
      <c r="B3795" s="21">
        <v>46037</v>
      </c>
      <c r="C3795" s="91">
        <v>17.816700000000001</v>
      </c>
      <c r="E3795" s="83">
        <v>0.86033800000000005</v>
      </c>
      <c r="G3795" s="84">
        <v>1449.46</v>
      </c>
      <c r="I3795" s="85">
        <v>6.9182600000000001</v>
      </c>
      <c r="K3795" s="85">
        <v>5.3847899999999997</v>
      </c>
      <c r="M3795" s="84">
        <v>882.33600000000001</v>
      </c>
      <c r="O3795" s="86">
        <v>3677.21</v>
      </c>
      <c r="Q3795" s="86">
        <v>6759.04</v>
      </c>
      <c r="S3795" s="86">
        <v>1255.21</v>
      </c>
      <c r="U3795" s="85">
        <v>3.3601399999999999</v>
      </c>
      <c r="W3795" s="81">
        <v>38.7042</v>
      </c>
      <c r="Y3795" s="81">
        <v>7.1877000000000004</v>
      </c>
      <c r="AA3795" s="84">
        <v>495.25599999999997</v>
      </c>
      <c r="AC3795" s="81">
        <v>63.738599999999998</v>
      </c>
      <c r="AE3795" s="87">
        <v>1</v>
      </c>
      <c r="AG3795" s="85">
        <v>7.66866</v>
      </c>
      <c r="AI3795" s="86">
        <v>8.75</v>
      </c>
      <c r="AK3795" s="81">
        <v>26.4222</v>
      </c>
      <c r="AM3795" s="81">
        <v>36.793199999999999</v>
      </c>
      <c r="AO3795" s="85">
        <v>6.7883300000000002</v>
      </c>
    </row>
    <row r="3796" spans="2:41" x14ac:dyDescent="0.25">
      <c r="B3796" s="21">
        <v>46038</v>
      </c>
      <c r="C3796" s="91">
        <v>17.689699999999998</v>
      </c>
      <c r="E3796" s="83">
        <v>0.86153800000000003</v>
      </c>
      <c r="G3796" s="84">
        <v>1437.36</v>
      </c>
      <c r="I3796" s="85">
        <v>6.9183899999999996</v>
      </c>
      <c r="K3796" s="85">
        <v>5.37235</v>
      </c>
      <c r="M3796" s="84">
        <v>884.49199999999996</v>
      </c>
      <c r="O3796" s="86">
        <v>3689.2</v>
      </c>
      <c r="Q3796" s="86">
        <v>6792.38</v>
      </c>
      <c r="S3796" s="86">
        <v>1264.32</v>
      </c>
      <c r="U3796" s="85">
        <v>3.36083</v>
      </c>
      <c r="W3796" s="81">
        <v>38.6877</v>
      </c>
      <c r="Y3796" s="81">
        <v>7.2012799999999997</v>
      </c>
      <c r="AA3796" s="84">
        <v>491.61200000000002</v>
      </c>
      <c r="AC3796" s="81">
        <v>63.694800000000001</v>
      </c>
      <c r="AE3796" s="87">
        <v>1</v>
      </c>
      <c r="AG3796" s="85">
        <v>7.6721199999999996</v>
      </c>
      <c r="AI3796" s="86">
        <v>8.75</v>
      </c>
      <c r="AK3796" s="81">
        <v>26.416799999999999</v>
      </c>
      <c r="AM3796" s="81">
        <v>36.800400000000003</v>
      </c>
      <c r="AO3796" s="85">
        <v>6.7918799999999999</v>
      </c>
    </row>
    <row r="3797" spans="2:41" x14ac:dyDescent="0.25">
      <c r="B3797" s="21">
        <v>46039</v>
      </c>
      <c r="C3797" s="91">
        <v>17.689699999999998</v>
      </c>
      <c r="E3797" s="83">
        <v>0.86215799999999998</v>
      </c>
      <c r="G3797" s="84">
        <v>1429.48</v>
      </c>
      <c r="I3797" s="85">
        <v>6.9130599999999998</v>
      </c>
      <c r="K3797" s="85">
        <v>5.3696000000000002</v>
      </c>
      <c r="M3797" s="84">
        <v>886.54</v>
      </c>
      <c r="O3797" s="86">
        <v>3693.32</v>
      </c>
      <c r="Q3797" s="86">
        <v>6802.78</v>
      </c>
      <c r="S3797" s="86">
        <v>1266.9100000000001</v>
      </c>
      <c r="U3797" s="85">
        <v>3.3590800000000001</v>
      </c>
      <c r="W3797" s="81">
        <v>38.622399999999999</v>
      </c>
      <c r="Y3797" s="81">
        <v>7.1928000000000001</v>
      </c>
      <c r="AA3797" s="84">
        <v>488.69299999999998</v>
      </c>
      <c r="AC3797" s="81">
        <v>63.37</v>
      </c>
      <c r="AE3797" s="87">
        <v>1</v>
      </c>
      <c r="AG3797" s="85">
        <v>7.6667800000000002</v>
      </c>
      <c r="AI3797" s="86">
        <v>8.75</v>
      </c>
      <c r="AK3797" s="81">
        <v>26.4755</v>
      </c>
      <c r="AM3797" s="81">
        <v>36.725000000000001</v>
      </c>
      <c r="AO3797" s="85">
        <v>6.7876799999999999</v>
      </c>
    </row>
    <row r="3798" spans="2:41" x14ac:dyDescent="0.25">
      <c r="B3798" s="21">
        <v>46040</v>
      </c>
      <c r="C3798" s="91">
        <v>17.689699999999998</v>
      </c>
      <c r="E3798" s="83">
        <v>0.86216599999999999</v>
      </c>
      <c r="G3798" s="84">
        <v>1429.32</v>
      </c>
      <c r="I3798" s="85">
        <v>6.9130599999999998</v>
      </c>
      <c r="K3798" s="85">
        <v>5.3695500000000003</v>
      </c>
      <c r="M3798" s="84">
        <v>886.54200000000003</v>
      </c>
      <c r="O3798" s="86">
        <v>3693.29</v>
      </c>
      <c r="Q3798" s="86">
        <v>6803.3</v>
      </c>
      <c r="S3798" s="86">
        <v>1267.02</v>
      </c>
      <c r="U3798" s="85">
        <v>3.3590800000000001</v>
      </c>
      <c r="W3798" s="81">
        <v>38.623800000000003</v>
      </c>
      <c r="Y3798" s="81">
        <v>7.1931399999999996</v>
      </c>
      <c r="AA3798" s="84">
        <v>488.697</v>
      </c>
      <c r="AC3798" s="81">
        <v>63.379600000000003</v>
      </c>
      <c r="AE3798" s="87">
        <v>1</v>
      </c>
      <c r="AG3798" s="85">
        <v>7.6669</v>
      </c>
      <c r="AI3798" s="86">
        <v>8.75</v>
      </c>
      <c r="AK3798" s="81">
        <v>26.474</v>
      </c>
      <c r="AM3798" s="81">
        <v>36.7254</v>
      </c>
      <c r="AO3798" s="85">
        <v>6.78782</v>
      </c>
    </row>
    <row r="3799" spans="2:41" x14ac:dyDescent="0.25">
      <c r="B3799" s="21">
        <v>46041</v>
      </c>
      <c r="C3799" s="91">
        <v>17.686699999999998</v>
      </c>
      <c r="E3799" s="83">
        <v>0.85961600000000005</v>
      </c>
      <c r="G3799" s="84">
        <v>1431.88</v>
      </c>
      <c r="I3799" s="85">
        <v>6.9209399999999999</v>
      </c>
      <c r="K3799" s="85">
        <v>5.3668399999999998</v>
      </c>
      <c r="M3799" s="84">
        <v>887.33600000000001</v>
      </c>
      <c r="O3799" s="86">
        <v>3685.32</v>
      </c>
      <c r="Q3799" s="86">
        <v>6782.08</v>
      </c>
      <c r="S3799" s="86">
        <v>1263.7</v>
      </c>
      <c r="U3799" s="85">
        <v>3.3584299999999998</v>
      </c>
      <c r="W3799" s="81">
        <v>38.626600000000003</v>
      </c>
      <c r="Y3799" s="81">
        <v>7.1973000000000003</v>
      </c>
      <c r="AA3799" s="84">
        <v>487.952</v>
      </c>
      <c r="AC3799" s="81">
        <v>63.615600000000001</v>
      </c>
      <c r="AE3799" s="87">
        <v>1</v>
      </c>
      <c r="AG3799" s="85">
        <v>7.66622</v>
      </c>
      <c r="AI3799" s="86">
        <v>8.75</v>
      </c>
      <c r="AK3799" s="81">
        <v>26.3736</v>
      </c>
      <c r="AM3799" s="81">
        <v>36.790799999999997</v>
      </c>
      <c r="AO3799" s="85">
        <v>6.7864899999999997</v>
      </c>
    </row>
    <row r="3800" spans="2:41" x14ac:dyDescent="0.25">
      <c r="B3800" s="21">
        <v>46042</v>
      </c>
      <c r="C3800" s="91">
        <v>17.599</v>
      </c>
      <c r="E3800" s="83">
        <v>0.85452399999999995</v>
      </c>
      <c r="G3800" s="84">
        <v>1435.38</v>
      </c>
      <c r="I3800" s="85">
        <v>6.9205899999999998</v>
      </c>
      <c r="K3800" s="85">
        <v>5.37418</v>
      </c>
      <c r="M3800" s="84">
        <v>887.31200000000001</v>
      </c>
      <c r="O3800" s="86">
        <v>3671.08</v>
      </c>
      <c r="Q3800" s="86">
        <v>6692.11</v>
      </c>
      <c r="S3800" s="86">
        <v>1245.24</v>
      </c>
      <c r="U3800" s="85">
        <v>3.3561399999999999</v>
      </c>
      <c r="W3800" s="81">
        <v>38.4758</v>
      </c>
      <c r="Y3800" s="81">
        <v>7.1594199999999999</v>
      </c>
      <c r="AA3800" s="84">
        <v>487.33499999999998</v>
      </c>
      <c r="AC3800" s="81">
        <v>63.351599999999998</v>
      </c>
      <c r="AE3800" s="87">
        <v>1</v>
      </c>
      <c r="AG3800" s="85">
        <v>7.6631200000000002</v>
      </c>
      <c r="AI3800" s="86">
        <v>8.75</v>
      </c>
      <c r="AK3800" s="81">
        <v>26.376000000000001</v>
      </c>
      <c r="AM3800" s="81">
        <v>36.764600000000002</v>
      </c>
      <c r="AO3800" s="85">
        <v>6.7771400000000002</v>
      </c>
    </row>
    <row r="3801" spans="2:41" x14ac:dyDescent="0.25">
      <c r="B3801" s="21">
        <v>46043</v>
      </c>
      <c r="C3801" s="91">
        <v>17.6008</v>
      </c>
      <c r="E3801" s="83">
        <v>0.85397800000000001</v>
      </c>
      <c r="G3801" s="84">
        <v>1432.48</v>
      </c>
      <c r="I3801" s="85">
        <v>6.9148800000000001</v>
      </c>
      <c r="K3801" s="85">
        <v>5.35311</v>
      </c>
      <c r="M3801" s="84">
        <v>881.65300000000002</v>
      </c>
      <c r="O3801" s="86">
        <v>3672.61</v>
      </c>
      <c r="Q3801" s="86">
        <v>6688.85</v>
      </c>
      <c r="S3801" s="86">
        <v>1249.53</v>
      </c>
      <c r="U3801" s="85">
        <v>3.35724</v>
      </c>
      <c r="W3801" s="81">
        <v>38.370600000000003</v>
      </c>
      <c r="Y3801" s="81">
        <v>7.1679399999999998</v>
      </c>
      <c r="AA3801" s="84">
        <v>489.053</v>
      </c>
      <c r="AC3801" s="81">
        <v>63.143999999999998</v>
      </c>
      <c r="AE3801" s="87">
        <v>1</v>
      </c>
      <c r="AG3801" s="85">
        <v>7.6694300000000002</v>
      </c>
      <c r="AI3801" s="86">
        <v>8.75</v>
      </c>
      <c r="AK3801" s="81">
        <v>26.418299999999999</v>
      </c>
      <c r="AM3801" s="81">
        <v>36.739199999999997</v>
      </c>
      <c r="AO3801" s="85">
        <v>6.78</v>
      </c>
    </row>
    <row r="3802" spans="2:41" x14ac:dyDescent="0.25">
      <c r="B3802" s="21">
        <v>46044</v>
      </c>
      <c r="C3802" s="91">
        <v>17.452000000000002</v>
      </c>
      <c r="E3802" s="83">
        <v>0.85373399999999999</v>
      </c>
      <c r="G3802" s="84">
        <v>1429.28</v>
      </c>
      <c r="I3802" s="85">
        <v>6.9214799999999999</v>
      </c>
      <c r="K3802" s="85">
        <v>5.3091100000000004</v>
      </c>
      <c r="M3802" s="84">
        <v>873.12400000000002</v>
      </c>
      <c r="O3802" s="86">
        <v>3653.8</v>
      </c>
      <c r="Q3802" s="86">
        <v>6722.18</v>
      </c>
      <c r="S3802" s="86">
        <v>1266.1600000000001</v>
      </c>
      <c r="U3802" s="85">
        <v>3.3561100000000001</v>
      </c>
      <c r="W3802" s="81">
        <v>38.271000000000001</v>
      </c>
      <c r="Y3802" s="81">
        <v>7.2085800000000004</v>
      </c>
      <c r="AA3802" s="84">
        <v>492.26</v>
      </c>
      <c r="AC3802" s="81">
        <v>63.075600000000001</v>
      </c>
      <c r="AE3802" s="87">
        <v>1</v>
      </c>
      <c r="AG3802" s="85">
        <v>7.6773199999999999</v>
      </c>
      <c r="AI3802" s="86">
        <v>8.75</v>
      </c>
      <c r="AK3802" s="81">
        <v>26.4192</v>
      </c>
      <c r="AM3802" s="81">
        <v>36.767600000000002</v>
      </c>
      <c r="AO3802" s="85">
        <v>6.7925700000000004</v>
      </c>
    </row>
    <row r="3803" spans="2:41" x14ac:dyDescent="0.25">
      <c r="B3803" s="21">
        <v>46045</v>
      </c>
      <c r="C3803" s="91">
        <v>17.482800000000001</v>
      </c>
      <c r="E3803" s="83">
        <v>0.85006300000000001</v>
      </c>
      <c r="G3803" s="84">
        <v>1430.86</v>
      </c>
      <c r="I3803" s="85">
        <v>6.9182399999999999</v>
      </c>
      <c r="K3803" s="85">
        <v>5.28782</v>
      </c>
      <c r="M3803" s="84">
        <v>870.245</v>
      </c>
      <c r="O3803" s="86">
        <v>3618.18</v>
      </c>
      <c r="Q3803" s="86">
        <v>6712.25</v>
      </c>
      <c r="S3803" s="86">
        <v>1269.3800000000001</v>
      </c>
      <c r="U3803" s="85">
        <v>3.35602</v>
      </c>
      <c r="W3803" s="81">
        <v>37.940399999999997</v>
      </c>
      <c r="Y3803" s="81">
        <v>7.1750800000000003</v>
      </c>
      <c r="AA3803" s="84">
        <v>493.63799999999998</v>
      </c>
      <c r="AC3803" s="81">
        <v>62.931699999999999</v>
      </c>
      <c r="AE3803" s="87">
        <v>1</v>
      </c>
      <c r="AG3803" s="85">
        <v>7.6722000000000001</v>
      </c>
      <c r="AI3803" s="86">
        <v>8.75</v>
      </c>
      <c r="AK3803" s="81">
        <v>26.345800000000001</v>
      </c>
      <c r="AM3803" s="81">
        <v>36.743699999999997</v>
      </c>
      <c r="AO3803" s="85">
        <v>6.7825199999999999</v>
      </c>
    </row>
    <row r="3804" spans="2:41" x14ac:dyDescent="0.25">
      <c r="B3804" s="21">
        <v>46046</v>
      </c>
      <c r="C3804" s="91">
        <v>17.482800000000001</v>
      </c>
      <c r="E3804" s="83">
        <v>0.84547300000000003</v>
      </c>
      <c r="G3804" s="84">
        <v>1434.34</v>
      </c>
      <c r="I3804" s="85">
        <v>6.9146999999999998</v>
      </c>
      <c r="K3804" s="85">
        <v>5.2910000000000004</v>
      </c>
      <c r="M3804" s="84">
        <v>868.53499999999997</v>
      </c>
      <c r="O3804" s="86">
        <v>3639.93</v>
      </c>
      <c r="Q3804" s="86">
        <v>6717.62</v>
      </c>
      <c r="S3804" s="86">
        <v>1269.6400000000001</v>
      </c>
      <c r="U3804" s="85">
        <v>3.35364</v>
      </c>
      <c r="W3804" s="81">
        <v>37.643099999999997</v>
      </c>
      <c r="Y3804" s="81">
        <v>7.1145699999999996</v>
      </c>
      <c r="AA3804" s="84">
        <v>494.77600000000001</v>
      </c>
      <c r="AC3804" s="81">
        <v>63.016100000000002</v>
      </c>
      <c r="AE3804" s="87">
        <v>1</v>
      </c>
      <c r="AG3804" s="85">
        <v>7.6745400000000004</v>
      </c>
      <c r="AI3804" s="86">
        <v>8.75</v>
      </c>
      <c r="AK3804" s="81">
        <v>26.370999999999999</v>
      </c>
      <c r="AM3804" s="81">
        <v>36.792000000000002</v>
      </c>
      <c r="AO3804" s="85">
        <v>6.79312</v>
      </c>
    </row>
    <row r="3805" spans="2:41" x14ac:dyDescent="0.25">
      <c r="B3805" s="21">
        <v>46047</v>
      </c>
      <c r="C3805" s="91">
        <v>17.482800000000001</v>
      </c>
      <c r="E3805" s="83">
        <v>0.84523400000000004</v>
      </c>
      <c r="G3805" s="84">
        <v>1433.34</v>
      </c>
      <c r="I3805" s="85">
        <v>6.9146999999999998</v>
      </c>
      <c r="K3805" s="85">
        <v>5.2909199999999998</v>
      </c>
      <c r="M3805" s="84">
        <v>868.48400000000004</v>
      </c>
      <c r="O3805" s="86">
        <v>3639.34</v>
      </c>
      <c r="Q3805" s="86">
        <v>6717.62</v>
      </c>
      <c r="S3805" s="86">
        <v>1269.6500000000001</v>
      </c>
      <c r="U3805" s="85">
        <v>3.35364</v>
      </c>
      <c r="W3805" s="81">
        <v>37.643099999999997</v>
      </c>
      <c r="Y3805" s="81">
        <v>7.1146799999999999</v>
      </c>
      <c r="AA3805" s="84">
        <v>494.78399999999999</v>
      </c>
      <c r="AC3805" s="81">
        <v>63.001899999999999</v>
      </c>
      <c r="AE3805" s="87">
        <v>1</v>
      </c>
      <c r="AG3805" s="85">
        <v>7.6745400000000004</v>
      </c>
      <c r="AI3805" s="86">
        <v>8.75</v>
      </c>
      <c r="AK3805" s="81">
        <v>26.363499999999998</v>
      </c>
      <c r="AM3805" s="81">
        <v>36.792000000000002</v>
      </c>
      <c r="AO3805" s="85">
        <v>6.79312</v>
      </c>
    </row>
    <row r="3806" spans="2:41" x14ac:dyDescent="0.25">
      <c r="B3806" s="21">
        <v>46048</v>
      </c>
      <c r="C3806" s="91">
        <v>17.454499999999999</v>
      </c>
      <c r="E3806" s="83">
        <v>0.84273799999999999</v>
      </c>
      <c r="G3806" s="84">
        <v>1433.14</v>
      </c>
      <c r="I3806" s="85">
        <v>6.8845999999999998</v>
      </c>
      <c r="K3806" s="85">
        <v>5.2902399999999998</v>
      </c>
      <c r="M3806" s="84">
        <v>863.99</v>
      </c>
      <c r="O3806" s="86">
        <v>3650.18</v>
      </c>
      <c r="Q3806" s="86">
        <v>6673.52</v>
      </c>
      <c r="S3806" s="86">
        <v>1261.48</v>
      </c>
      <c r="U3806" s="85">
        <v>3.3448799999999999</v>
      </c>
      <c r="W3806" s="81">
        <v>37.560099999999998</v>
      </c>
      <c r="Y3806" s="81">
        <v>7.0999100000000004</v>
      </c>
      <c r="AA3806" s="84">
        <v>493.613</v>
      </c>
      <c r="AC3806" s="81">
        <v>62.625</v>
      </c>
      <c r="AE3806" s="87">
        <v>1</v>
      </c>
      <c r="AG3806" s="85">
        <v>7.6492599999999999</v>
      </c>
      <c r="AI3806" s="86">
        <v>8.75</v>
      </c>
      <c r="AK3806" s="81">
        <v>26.284400000000002</v>
      </c>
      <c r="AM3806" s="81">
        <v>36.688200000000002</v>
      </c>
      <c r="AO3806" s="85">
        <v>6.7646499999999996</v>
      </c>
    </row>
    <row r="3807" spans="2:41" x14ac:dyDescent="0.25">
      <c r="B3807" s="21">
        <v>46049</v>
      </c>
      <c r="C3807" s="91">
        <v>17.283000000000001</v>
      </c>
      <c r="E3807" s="83">
        <v>0.83838999999999997</v>
      </c>
      <c r="G3807" s="84">
        <v>1439.51</v>
      </c>
      <c r="I3807" s="85">
        <v>6.9162600000000003</v>
      </c>
      <c r="K3807" s="85">
        <v>5.25007</v>
      </c>
      <c r="M3807" s="84">
        <v>862.87900000000002</v>
      </c>
      <c r="O3807" s="86">
        <v>3675.98</v>
      </c>
      <c r="Q3807" s="86">
        <v>6705.25</v>
      </c>
      <c r="S3807" s="86">
        <v>1277.18</v>
      </c>
      <c r="U3807" s="85">
        <v>3.3493400000000002</v>
      </c>
      <c r="W3807" s="81">
        <v>37.611600000000003</v>
      </c>
      <c r="Y3807" s="81">
        <v>7.16404</v>
      </c>
      <c r="AA3807" s="84">
        <v>495.464</v>
      </c>
      <c r="AC3807" s="81">
        <v>62.789400000000001</v>
      </c>
      <c r="AE3807" s="87">
        <v>1</v>
      </c>
      <c r="AG3807" s="85">
        <v>7.6643600000000003</v>
      </c>
      <c r="AI3807" s="86">
        <v>8.75</v>
      </c>
      <c r="AK3807" s="81">
        <v>26.420999999999999</v>
      </c>
      <c r="AM3807" s="81">
        <v>36.749600000000001</v>
      </c>
      <c r="AO3807" s="85">
        <v>6.79054</v>
      </c>
    </row>
    <row r="3808" spans="2:41" x14ac:dyDescent="0.25">
      <c r="B3808" s="21">
        <v>46050</v>
      </c>
      <c r="C3808" s="91">
        <v>17.235700000000001</v>
      </c>
      <c r="E3808" s="83">
        <v>0.83533999999999997</v>
      </c>
      <c r="G3808" s="84">
        <v>1442.76</v>
      </c>
      <c r="I3808" s="85">
        <v>6.8993399999999996</v>
      </c>
      <c r="K3808" s="85">
        <v>5.1933199999999999</v>
      </c>
      <c r="M3808" s="84">
        <v>860.78399999999999</v>
      </c>
      <c r="O3808" s="86">
        <v>3660.98</v>
      </c>
      <c r="Q3808" s="86">
        <v>6691.12</v>
      </c>
      <c r="S3808" s="86">
        <v>1288.42</v>
      </c>
      <c r="U3808" s="85">
        <v>3.3373400000000002</v>
      </c>
      <c r="W3808" s="81">
        <v>37.578800000000001</v>
      </c>
      <c r="Y3808" s="81">
        <v>7.2359999999999998</v>
      </c>
      <c r="AA3808" s="84">
        <v>494.98599999999999</v>
      </c>
      <c r="AC3808" s="81">
        <v>62.744700000000002</v>
      </c>
      <c r="AE3808" s="87">
        <v>1</v>
      </c>
      <c r="AG3808" s="85">
        <v>7.6502499999999998</v>
      </c>
      <c r="AI3808" s="86">
        <v>8.75</v>
      </c>
      <c r="AK3808" s="81">
        <v>26.320399999999999</v>
      </c>
      <c r="AM3808" s="81">
        <v>36.667400000000001</v>
      </c>
      <c r="AO3808" s="85">
        <v>6.7793900000000002</v>
      </c>
    </row>
    <row r="3809" spans="2:41" x14ac:dyDescent="0.25">
      <c r="B3809" s="21">
        <v>46051</v>
      </c>
      <c r="C3809" s="91">
        <v>17.232199999999999</v>
      </c>
      <c r="E3809" s="83">
        <v>0.83584400000000003</v>
      </c>
      <c r="G3809" s="84">
        <v>1444.47</v>
      </c>
      <c r="I3809" s="85">
        <v>6.9115799999999998</v>
      </c>
      <c r="K3809" s="85">
        <v>5.1973700000000003</v>
      </c>
      <c r="M3809" s="84">
        <v>861.61099999999999</v>
      </c>
      <c r="O3809" s="86">
        <v>3664.18</v>
      </c>
      <c r="Q3809" s="86">
        <v>6720.02</v>
      </c>
      <c r="S3809" s="86">
        <v>1292.97</v>
      </c>
      <c r="U3809" s="85">
        <v>3.3450000000000002</v>
      </c>
      <c r="W3809" s="81">
        <v>37.999499999999998</v>
      </c>
      <c r="Y3809" s="81">
        <v>7.3113099999999998</v>
      </c>
      <c r="AA3809" s="84">
        <v>495.50200000000001</v>
      </c>
      <c r="AC3809" s="81">
        <v>62.944000000000003</v>
      </c>
      <c r="AE3809" s="87">
        <v>1</v>
      </c>
      <c r="AG3809" s="85">
        <v>7.6728399999999999</v>
      </c>
      <c r="AI3809" s="86">
        <v>8.75</v>
      </c>
      <c r="AK3809" s="81">
        <v>26.3934</v>
      </c>
      <c r="AM3809" s="81">
        <v>36.806600000000003</v>
      </c>
      <c r="AO3809" s="85">
        <v>6.7872199999999996</v>
      </c>
    </row>
    <row r="3810" spans="2:41" x14ac:dyDescent="0.25">
      <c r="B3810" s="21">
        <v>46052</v>
      </c>
      <c r="C3810" s="91">
        <v>17.2532</v>
      </c>
      <c r="E3810" s="83">
        <v>0.84005600000000002</v>
      </c>
      <c r="G3810" s="84">
        <v>1445.4</v>
      </c>
      <c r="I3810" s="85">
        <v>6.9215299999999997</v>
      </c>
      <c r="K3810" s="85">
        <v>5.21746</v>
      </c>
      <c r="M3810" s="84">
        <v>863.02300000000002</v>
      </c>
      <c r="O3810" s="86">
        <v>3659.23</v>
      </c>
      <c r="Q3810" s="86">
        <v>6724.01</v>
      </c>
      <c r="S3810" s="86">
        <v>1288.76</v>
      </c>
      <c r="U3810" s="85">
        <v>3.3496600000000001</v>
      </c>
      <c r="W3810" s="81">
        <v>38.327599999999997</v>
      </c>
      <c r="Y3810" s="81">
        <v>7.3460400000000003</v>
      </c>
      <c r="AA3810" s="84">
        <v>495.82900000000001</v>
      </c>
      <c r="AC3810" s="81">
        <v>62.945999999999998</v>
      </c>
      <c r="AE3810" s="87">
        <v>1</v>
      </c>
      <c r="AG3810" s="85">
        <v>7.6833999999999998</v>
      </c>
      <c r="AI3810" s="86">
        <v>8.75</v>
      </c>
      <c r="AK3810" s="81">
        <v>26.427900000000001</v>
      </c>
      <c r="AM3810" s="81">
        <v>36.692799999999998</v>
      </c>
      <c r="AO3810" s="85">
        <v>6.7957400000000003</v>
      </c>
    </row>
    <row r="3811" spans="2:41" x14ac:dyDescent="0.25">
      <c r="B3811" s="21">
        <v>46053</v>
      </c>
      <c r="C3811" s="82">
        <v>17.2532</v>
      </c>
      <c r="D3811" s="92"/>
      <c r="E3811" s="93">
        <v>0.84384300000000001</v>
      </c>
      <c r="F3811" s="92"/>
      <c r="G3811" s="94">
        <v>1446.98</v>
      </c>
      <c r="H3811" s="92"/>
      <c r="I3811" s="95">
        <v>6.9468500000000004</v>
      </c>
      <c r="J3811" s="92"/>
      <c r="K3811" s="95">
        <v>5.2564799999999998</v>
      </c>
      <c r="L3811" s="92"/>
      <c r="M3811" s="94">
        <v>870.13800000000003</v>
      </c>
      <c r="N3811" s="92"/>
      <c r="O3811" s="96">
        <v>3673.85</v>
      </c>
      <c r="P3811" s="92"/>
      <c r="Q3811" s="96">
        <v>6750.16</v>
      </c>
      <c r="R3811" s="92"/>
      <c r="S3811" s="96">
        <v>1284.1600000000001</v>
      </c>
      <c r="T3811" s="92"/>
      <c r="U3811" s="95">
        <v>3.3693499999999998</v>
      </c>
      <c r="V3811" s="92"/>
      <c r="W3811" s="91">
        <v>38.822400000000002</v>
      </c>
      <c r="X3811" s="92"/>
      <c r="Y3811" s="91">
        <v>7.3856599999999997</v>
      </c>
      <c r="Z3811" s="92"/>
      <c r="AA3811" s="94">
        <v>498.31599999999997</v>
      </c>
      <c r="AB3811" s="92"/>
      <c r="AC3811" s="91">
        <v>62.797499999999999</v>
      </c>
      <c r="AD3811" s="92"/>
      <c r="AE3811" s="97">
        <v>1</v>
      </c>
      <c r="AF3811" s="92"/>
      <c r="AG3811" s="95">
        <v>7.7153900000000002</v>
      </c>
      <c r="AH3811" s="92"/>
      <c r="AI3811" s="96">
        <v>8.75</v>
      </c>
      <c r="AJ3811" s="92"/>
      <c r="AK3811" s="91">
        <v>26.444500000000001</v>
      </c>
      <c r="AL3811" s="92"/>
      <c r="AM3811" s="91">
        <v>36.725000000000001</v>
      </c>
      <c r="AN3811" s="92"/>
      <c r="AO3811" s="95">
        <v>6.8133299999999997</v>
      </c>
    </row>
    <row r="3812" spans="2:41" ht="13" x14ac:dyDescent="0.3">
      <c r="B3812" s="25" t="str">
        <f>"PROM-"&amp;MONTH(B3811)&amp;YEAR(B3811)</f>
        <v>PROM-12026</v>
      </c>
      <c r="C3812" s="19">
        <f>AVERAGE(C3781:C3811)</f>
        <v>17.700900000000004</v>
      </c>
      <c r="E3812" s="19">
        <f>AVERAGE(E3781:E3811)</f>
        <v>0.85249967741935484</v>
      </c>
      <c r="G3812" s="19">
        <f>AVERAGE(G3781:G3811)</f>
        <v>1449.624193548387</v>
      </c>
      <c r="I3812" s="19">
        <f>AVERAGE(I3781:I3811)</f>
        <v>6.9204429032258075</v>
      </c>
      <c r="K3812" s="19">
        <f>AVERAGE(K3781:K3811)</f>
        <v>5.3493367741935485</v>
      </c>
      <c r="M3812" s="19">
        <f>AVERAGE(M3781:M3811)</f>
        <v>884.35719354838727</v>
      </c>
      <c r="O3812" s="19">
        <f>AVERAGE(O3781:O3811)</f>
        <v>3697.2654838709668</v>
      </c>
      <c r="Q3812" s="19">
        <f>AVERAGE(Q3781:Q3811)</f>
        <v>6689.7129032258053</v>
      </c>
      <c r="S3812" s="19">
        <f>AVERAGE(S3781:S3811)</f>
        <v>1250.8725806451614</v>
      </c>
      <c r="U3812" s="19">
        <f>AVERAGE(U3781:U3811)</f>
        <v>3.358088709677419</v>
      </c>
      <c r="W3812" s="19">
        <f>AVERAGE(W3781:W3811)</f>
        <v>38.550003225806449</v>
      </c>
      <c r="Y3812" s="19">
        <f>AVERAGE(Y3781:Y3811)</f>
        <v>7.2068309677419355</v>
      </c>
      <c r="AA3812" s="19">
        <f>AVERAGE(AA3781:AA3811)</f>
        <v>494.84706451612902</v>
      </c>
      <c r="AC3812" s="19">
        <f>AVERAGE(AC3781:AC3811)</f>
        <v>63.223951612903228</v>
      </c>
      <c r="AE3812" s="19">
        <f>AVERAGE(AE3781:AE3811)</f>
        <v>1</v>
      </c>
      <c r="AG3812" s="19">
        <f>AVERAGE(AG3781:AG3811)</f>
        <v>7.6704564516129041</v>
      </c>
      <c r="AI3812" s="19">
        <f>AVERAGE(AI3781:AI3811)</f>
        <v>8.75</v>
      </c>
      <c r="AK3812" s="19">
        <f>AVERAGE(AK3781:AK3811)</f>
        <v>26.39904838709678</v>
      </c>
      <c r="AM3812" s="19">
        <f>AVERAGE(AM3781:AM3811)</f>
        <v>36.768945161290318</v>
      </c>
      <c r="AO3812" s="19">
        <f>AVERAGE(AO3781:AO3811)</f>
        <v>6.7899299999999991</v>
      </c>
    </row>
    <row r="3813" spans="2:41" x14ac:dyDescent="0.25">
      <c r="B3813" s="21">
        <v>46054</v>
      </c>
      <c r="C3813" s="91">
        <v>17.2532</v>
      </c>
      <c r="E3813" s="83">
        <v>0.84385600000000005</v>
      </c>
      <c r="G3813" s="84">
        <v>1447.4</v>
      </c>
      <c r="I3813" s="85">
        <v>6.9468500000000004</v>
      </c>
      <c r="K3813" s="85">
        <v>5.2564599999999997</v>
      </c>
      <c r="M3813" s="84">
        <v>869.89099999999996</v>
      </c>
      <c r="O3813" s="86">
        <v>3673.91</v>
      </c>
      <c r="Q3813" s="86">
        <v>6750.18</v>
      </c>
      <c r="S3813" s="86">
        <v>1284.17</v>
      </c>
      <c r="U3813" s="85">
        <v>3.3693599999999999</v>
      </c>
      <c r="W3813" s="81">
        <v>38.822400000000002</v>
      </c>
      <c r="Y3813" s="81">
        <v>7.3856799999999998</v>
      </c>
      <c r="AA3813" s="84">
        <v>498.31200000000001</v>
      </c>
      <c r="AC3813" s="81">
        <v>62.811399999999999</v>
      </c>
      <c r="AE3813" s="87">
        <v>1</v>
      </c>
      <c r="AG3813" s="85">
        <v>7.7153200000000002</v>
      </c>
      <c r="AI3813" s="86">
        <v>8.75</v>
      </c>
      <c r="AK3813" s="81">
        <v>26.446200000000001</v>
      </c>
      <c r="AM3813" s="81">
        <v>36.726399999999998</v>
      </c>
      <c r="AO3813" s="85">
        <v>6.8131399999999998</v>
      </c>
    </row>
    <row r="3814" spans="2:41" x14ac:dyDescent="0.25">
      <c r="B3814" s="21">
        <f t="shared" ref="B3814:B3840" si="10">B3813+1</f>
        <v>46055</v>
      </c>
      <c r="C3814" s="91">
        <v>17.2532</v>
      </c>
      <c r="E3814" s="83">
        <v>0.84511899999999995</v>
      </c>
      <c r="G3814" s="84">
        <v>1450.57</v>
      </c>
      <c r="I3814" s="85">
        <v>6.9432499999999999</v>
      </c>
      <c r="K3814" s="85">
        <v>5.2612199999999998</v>
      </c>
      <c r="M3814" s="84">
        <v>868.37599999999998</v>
      </c>
      <c r="O3814" s="86">
        <v>3653.18</v>
      </c>
      <c r="Q3814" s="86">
        <v>6721.45</v>
      </c>
      <c r="S3814" s="86">
        <v>1277.55</v>
      </c>
      <c r="U3814" s="85">
        <v>3.3675999999999999</v>
      </c>
      <c r="W3814" s="81">
        <v>38.757800000000003</v>
      </c>
      <c r="Y3814" s="81">
        <v>7.3667199999999999</v>
      </c>
      <c r="AA3814" s="84">
        <v>497.25299999999999</v>
      </c>
      <c r="AC3814" s="81">
        <v>63.1663</v>
      </c>
      <c r="AE3814" s="87">
        <v>1</v>
      </c>
      <c r="AG3814" s="85">
        <v>7.6942599999999999</v>
      </c>
      <c r="AI3814" s="86">
        <v>8.75</v>
      </c>
      <c r="AK3814" s="81">
        <v>26.475899999999999</v>
      </c>
      <c r="AM3814" s="81">
        <v>36.848599999999998</v>
      </c>
      <c r="AO3814" s="85">
        <v>6.7955300000000003</v>
      </c>
    </row>
    <row r="3815" spans="2:41" x14ac:dyDescent="0.25">
      <c r="B3815" s="21">
        <f t="shared" si="10"/>
        <v>46056</v>
      </c>
      <c r="C3815" s="91">
        <v>17.331</v>
      </c>
      <c r="E3815" s="83">
        <v>0.84686700000000004</v>
      </c>
      <c r="G3815" s="84">
        <v>1449.48</v>
      </c>
      <c r="I3815" s="85">
        <v>6.9399199999999999</v>
      </c>
      <c r="K3815" s="85">
        <v>5.2470600000000003</v>
      </c>
      <c r="M3815" s="84">
        <v>862.81100000000004</v>
      </c>
      <c r="O3815" s="86">
        <v>3633.2</v>
      </c>
      <c r="Q3815" s="86">
        <v>6698.9</v>
      </c>
      <c r="S3815" s="86">
        <v>1276.7</v>
      </c>
      <c r="U3815" s="85">
        <v>3.37046</v>
      </c>
      <c r="W3815" s="81">
        <v>38.654200000000003</v>
      </c>
      <c r="Y3815" s="81">
        <v>7.3668399999999998</v>
      </c>
      <c r="AA3815" s="84">
        <v>496.88499999999999</v>
      </c>
      <c r="AC3815" s="81">
        <v>63.156799999999997</v>
      </c>
      <c r="AE3815" s="87">
        <v>1</v>
      </c>
      <c r="AG3815" s="85">
        <v>7.68119</v>
      </c>
      <c r="AI3815" s="86">
        <v>8.75</v>
      </c>
      <c r="AK3815" s="81">
        <v>26.453199999999999</v>
      </c>
      <c r="AM3815" s="81">
        <v>36.837200000000003</v>
      </c>
      <c r="AO3815" s="85">
        <v>6.77874</v>
      </c>
    </row>
    <row r="3816" spans="2:41" x14ac:dyDescent="0.25">
      <c r="B3816" s="21">
        <f t="shared" si="10"/>
        <v>46057</v>
      </c>
      <c r="C3816" s="91">
        <v>17.234999999999999</v>
      </c>
      <c r="E3816" s="83">
        <v>0.84636400000000001</v>
      </c>
      <c r="G3816" s="84">
        <v>1446.18</v>
      </c>
      <c r="I3816" s="85">
        <v>6.9122199999999996</v>
      </c>
      <c r="K3816" s="85">
        <v>5.2413400000000001</v>
      </c>
      <c r="M3816" s="84">
        <v>859.14599999999996</v>
      </c>
      <c r="O3816" s="86">
        <v>3637.62</v>
      </c>
      <c r="Q3816" s="86">
        <v>6635.4</v>
      </c>
      <c r="S3816" s="86">
        <v>1265.98</v>
      </c>
      <c r="U3816" s="85">
        <v>3.35853</v>
      </c>
      <c r="W3816" s="81">
        <v>38.505899999999997</v>
      </c>
      <c r="Y3816" s="81">
        <v>7.3465999999999996</v>
      </c>
      <c r="AA3816" s="84">
        <v>495.38400000000001</v>
      </c>
      <c r="AC3816" s="81">
        <v>62.788600000000002</v>
      </c>
      <c r="AE3816" s="87">
        <v>1</v>
      </c>
      <c r="AG3816" s="85">
        <v>7.6596000000000002</v>
      </c>
      <c r="AI3816" s="86">
        <v>8.75</v>
      </c>
      <c r="AK3816" s="81">
        <v>26.383400000000002</v>
      </c>
      <c r="AM3816" s="81">
        <v>36.747</v>
      </c>
      <c r="AO3816" s="85">
        <v>6.7618499999999999</v>
      </c>
    </row>
    <row r="3817" spans="2:41" x14ac:dyDescent="0.25">
      <c r="B3817" s="21">
        <f t="shared" si="10"/>
        <v>46058</v>
      </c>
      <c r="C3817" s="91">
        <v>17.2925</v>
      </c>
      <c r="E3817" s="83">
        <v>0.84793300000000005</v>
      </c>
      <c r="G3817" s="84">
        <v>1446.08</v>
      </c>
      <c r="I3817" s="85">
        <v>6.9176200000000003</v>
      </c>
      <c r="K3817" s="85">
        <v>5.2512999999999996</v>
      </c>
      <c r="M3817" s="84">
        <v>863.30399999999997</v>
      </c>
      <c r="O3817" s="86">
        <v>3660.38</v>
      </c>
      <c r="Q3817" s="86">
        <v>6615.58</v>
      </c>
      <c r="S3817" s="86">
        <v>1259.8</v>
      </c>
      <c r="U3817" s="85">
        <v>3.36307</v>
      </c>
      <c r="W3817" s="81">
        <v>38.596200000000003</v>
      </c>
      <c r="Y3817" s="81">
        <v>7.3498599999999996</v>
      </c>
      <c r="AA3817" s="84">
        <v>495.88400000000001</v>
      </c>
      <c r="AC3817" s="81">
        <v>63.0747</v>
      </c>
      <c r="AE3817" s="87">
        <v>1</v>
      </c>
      <c r="AG3817" s="85">
        <v>7.6720199999999998</v>
      </c>
      <c r="AI3817" s="86">
        <v>8.75</v>
      </c>
      <c r="AK3817" s="81">
        <v>26.424199999999999</v>
      </c>
      <c r="AM3817" s="81">
        <v>36.802300000000002</v>
      </c>
      <c r="AO3817" s="85">
        <v>6.7724599999999997</v>
      </c>
    </row>
    <row r="3818" spans="2:41" x14ac:dyDescent="0.25">
      <c r="B3818" s="21">
        <f t="shared" si="10"/>
        <v>46059</v>
      </c>
      <c r="C3818" s="91">
        <v>17.407</v>
      </c>
      <c r="E3818" s="83">
        <v>0.84730799999999995</v>
      </c>
      <c r="G3818" s="84">
        <v>1438.09</v>
      </c>
      <c r="I3818" s="85">
        <v>6.9132999999999996</v>
      </c>
      <c r="K3818" s="85">
        <v>5.2585800000000003</v>
      </c>
      <c r="M3818" s="84">
        <v>863.15700000000004</v>
      </c>
      <c r="O3818" s="86">
        <v>3692.2</v>
      </c>
      <c r="Q3818" s="86">
        <v>6605.75</v>
      </c>
      <c r="S3818" s="86">
        <v>1256.19</v>
      </c>
      <c r="U3818" s="85">
        <v>3.3645200000000002</v>
      </c>
      <c r="W3818" s="81">
        <v>38.633800000000001</v>
      </c>
      <c r="Y3818" s="81">
        <v>7.3468600000000004</v>
      </c>
      <c r="AA3818" s="84">
        <v>495.83600000000001</v>
      </c>
      <c r="AC3818" s="81">
        <v>63.094099999999997</v>
      </c>
      <c r="AE3818" s="87">
        <v>1</v>
      </c>
      <c r="AG3818" s="85">
        <v>7.67232</v>
      </c>
      <c r="AI3818" s="86">
        <v>8.75</v>
      </c>
      <c r="AK3818" s="81">
        <v>26.429200000000002</v>
      </c>
      <c r="AM3818" s="81">
        <v>36.790399999999998</v>
      </c>
      <c r="AO3818" s="85">
        <v>6.7731199999999996</v>
      </c>
    </row>
    <row r="3819" spans="2:41" x14ac:dyDescent="0.25">
      <c r="B3819" s="21">
        <f t="shared" si="10"/>
        <v>46060</v>
      </c>
      <c r="C3819" s="91">
        <v>17.407</v>
      </c>
      <c r="E3819" s="83">
        <v>0.84625300000000003</v>
      </c>
      <c r="G3819" s="84">
        <v>1431.96</v>
      </c>
      <c r="I3819" s="85">
        <v>6.9102699999999997</v>
      </c>
      <c r="K3819" s="85">
        <v>5.2178500000000003</v>
      </c>
      <c r="M3819" s="84">
        <v>858.36400000000003</v>
      </c>
      <c r="O3819" s="86">
        <v>3682.59</v>
      </c>
      <c r="Q3819" s="86">
        <v>6600.73</v>
      </c>
      <c r="S3819" s="86">
        <v>1265.04</v>
      </c>
      <c r="U3819" s="85">
        <v>3.3652500000000001</v>
      </c>
      <c r="W3819" s="81">
        <v>38.637599999999999</v>
      </c>
      <c r="Y3819" s="81">
        <v>7.40489</v>
      </c>
      <c r="AA3819" s="84">
        <v>495.23</v>
      </c>
      <c r="AC3819" s="81">
        <v>62.99</v>
      </c>
      <c r="AE3819" s="87">
        <v>1</v>
      </c>
      <c r="AG3819" s="85">
        <v>7.6705800000000002</v>
      </c>
      <c r="AI3819" s="86">
        <v>8.75</v>
      </c>
      <c r="AK3819" s="81">
        <v>26.445</v>
      </c>
      <c r="AM3819" s="81">
        <v>36.725000000000001</v>
      </c>
      <c r="AO3819" s="85">
        <v>6.7732999999999999</v>
      </c>
    </row>
    <row r="3820" spans="2:41" x14ac:dyDescent="0.25">
      <c r="B3820" s="21">
        <f t="shared" si="10"/>
        <v>46061</v>
      </c>
      <c r="C3820" s="91">
        <v>17.407</v>
      </c>
      <c r="E3820" s="83">
        <v>0.84625799999999995</v>
      </c>
      <c r="G3820" s="84">
        <v>1432.3</v>
      </c>
      <c r="I3820" s="85">
        <v>6.9102699999999997</v>
      </c>
      <c r="K3820" s="85">
        <v>5.2178500000000003</v>
      </c>
      <c r="M3820" s="84">
        <v>858.37</v>
      </c>
      <c r="O3820" s="86">
        <v>3682.91</v>
      </c>
      <c r="Q3820" s="86">
        <v>6600.73</v>
      </c>
      <c r="S3820" s="86">
        <v>1265.04</v>
      </c>
      <c r="U3820" s="85">
        <v>3.36496</v>
      </c>
      <c r="W3820" s="81">
        <v>38.637599999999999</v>
      </c>
      <c r="Y3820" s="81">
        <v>7.40489</v>
      </c>
      <c r="AA3820" s="84">
        <v>495.25599999999997</v>
      </c>
      <c r="AC3820" s="81">
        <v>62.988599999999998</v>
      </c>
      <c r="AE3820" s="87">
        <v>1</v>
      </c>
      <c r="AG3820" s="85">
        <v>7.6706000000000003</v>
      </c>
      <c r="AI3820" s="86">
        <v>8.75</v>
      </c>
      <c r="AK3820" s="81">
        <v>26.443200000000001</v>
      </c>
      <c r="AM3820" s="81">
        <v>36.725499999999997</v>
      </c>
      <c r="AO3820" s="85">
        <v>6.7728599999999997</v>
      </c>
    </row>
    <row r="3821" spans="2:41" x14ac:dyDescent="0.25">
      <c r="B3821" s="21">
        <f t="shared" si="10"/>
        <v>46062</v>
      </c>
      <c r="C3821" s="91">
        <v>17.2988</v>
      </c>
      <c r="E3821" s="83">
        <v>0.842136</v>
      </c>
      <c r="G3821" s="84">
        <v>1428.42</v>
      </c>
      <c r="I3821" s="85">
        <v>6.9102199999999998</v>
      </c>
      <c r="K3821" s="85">
        <v>5.2077200000000001</v>
      </c>
      <c r="M3821" s="84">
        <v>855.37400000000002</v>
      </c>
      <c r="O3821" s="86">
        <v>3682.32</v>
      </c>
      <c r="Q3821" s="86">
        <v>6587.29</v>
      </c>
      <c r="S3821" s="86">
        <v>1264.9100000000001</v>
      </c>
      <c r="U3821" s="85">
        <v>3.3570000000000002</v>
      </c>
      <c r="W3821" s="81">
        <v>38.453600000000002</v>
      </c>
      <c r="Y3821" s="81">
        <v>7.3839800000000002</v>
      </c>
      <c r="AA3821" s="84">
        <v>495.00299999999999</v>
      </c>
      <c r="AC3821" s="81">
        <v>62.883600000000001</v>
      </c>
      <c r="AE3821" s="87">
        <v>1</v>
      </c>
      <c r="AG3821" s="85">
        <v>7.6599399999999997</v>
      </c>
      <c r="AI3821" s="86">
        <v>8.75</v>
      </c>
      <c r="AK3821" s="81">
        <v>26.390699999999999</v>
      </c>
      <c r="AM3821" s="81">
        <v>36.744599999999998</v>
      </c>
      <c r="AO3821" s="85">
        <v>6.766</v>
      </c>
    </row>
    <row r="3822" spans="2:41" x14ac:dyDescent="0.25">
      <c r="B3822" s="21">
        <f t="shared" si="10"/>
        <v>46063</v>
      </c>
      <c r="C3822" s="91">
        <v>17.1907</v>
      </c>
      <c r="E3822" s="83">
        <v>0.84007200000000004</v>
      </c>
      <c r="G3822" s="84">
        <v>1411.74</v>
      </c>
      <c r="I3822" s="85">
        <v>6.9104099999999997</v>
      </c>
      <c r="K3822" s="85">
        <v>5.1972800000000001</v>
      </c>
      <c r="M3822" s="84">
        <v>854.29600000000005</v>
      </c>
      <c r="O3822" s="86">
        <v>3669.17</v>
      </c>
      <c r="Q3822" s="86">
        <v>6581.18</v>
      </c>
      <c r="S3822" s="86">
        <v>1266.28</v>
      </c>
      <c r="U3822" s="85">
        <v>3.3543599999999998</v>
      </c>
      <c r="W3822" s="81">
        <v>38.316000000000003</v>
      </c>
      <c r="Y3822" s="81">
        <v>7.3723200000000002</v>
      </c>
      <c r="AA3822" s="84">
        <v>494.56400000000002</v>
      </c>
      <c r="AC3822" s="81">
        <v>62.698399999999999</v>
      </c>
      <c r="AE3822" s="87">
        <v>1</v>
      </c>
      <c r="AG3822" s="85">
        <v>7.6606500000000004</v>
      </c>
      <c r="AI3822" s="86">
        <v>8.75</v>
      </c>
      <c r="AK3822" s="81">
        <v>26.4084</v>
      </c>
      <c r="AM3822" s="81">
        <v>36.755499999999998</v>
      </c>
      <c r="AO3822" s="85">
        <v>6.7723399999999998</v>
      </c>
    </row>
    <row r="3823" spans="2:41" x14ac:dyDescent="0.25">
      <c r="B3823" s="21">
        <f t="shared" si="10"/>
        <v>46064</v>
      </c>
      <c r="C3823" s="91">
        <v>17.2315</v>
      </c>
      <c r="E3823" s="83">
        <v>0.84077000000000002</v>
      </c>
      <c r="G3823" s="84">
        <v>1404.11</v>
      </c>
      <c r="I3823" s="85">
        <v>6.9158200000000001</v>
      </c>
      <c r="K3823" s="85">
        <v>5.1943799999999998</v>
      </c>
      <c r="M3823" s="84">
        <v>855.27599999999995</v>
      </c>
      <c r="O3823" s="86">
        <v>3668.87</v>
      </c>
      <c r="Q3823" s="86">
        <v>6594.06</v>
      </c>
      <c r="S3823" s="86">
        <v>1269.46</v>
      </c>
      <c r="U3823" s="85">
        <v>3.3575900000000001</v>
      </c>
      <c r="W3823" s="81">
        <v>38.354999999999997</v>
      </c>
      <c r="Y3823" s="81">
        <v>7.3839600000000001</v>
      </c>
      <c r="AA3823" s="84">
        <v>494.60599999999999</v>
      </c>
      <c r="AC3823" s="81">
        <v>62.667000000000002</v>
      </c>
      <c r="AE3823" s="87">
        <v>1</v>
      </c>
      <c r="AG3823" s="85">
        <v>7.6708299999999996</v>
      </c>
      <c r="AI3823" s="86">
        <v>8.75</v>
      </c>
      <c r="AK3823" s="81">
        <v>26.4559</v>
      </c>
      <c r="AM3823" s="81">
        <v>36.779800000000002</v>
      </c>
      <c r="AO3823" s="85">
        <v>6.7809999999999997</v>
      </c>
    </row>
    <row r="3824" spans="2:41" x14ac:dyDescent="0.25">
      <c r="B3824" s="21">
        <f t="shared" si="10"/>
        <v>46065</v>
      </c>
      <c r="C3824" s="91">
        <v>17.215499999999999</v>
      </c>
      <c r="E3824" s="83">
        <v>0.84222600000000003</v>
      </c>
      <c r="G3824" s="84">
        <v>1400.32</v>
      </c>
      <c r="I3824" s="85">
        <v>6.9209199999999997</v>
      </c>
      <c r="K3824" s="85">
        <v>5.1908599999999998</v>
      </c>
      <c r="M3824" s="84">
        <v>855.47199999999998</v>
      </c>
      <c r="O3824" s="86">
        <v>3671.88</v>
      </c>
      <c r="Q3824" s="86">
        <v>6597.77</v>
      </c>
      <c r="S3824" s="86">
        <v>1271.04</v>
      </c>
      <c r="U3824" s="85">
        <v>3.3585400000000001</v>
      </c>
      <c r="W3824" s="81">
        <v>38.402799999999999</v>
      </c>
      <c r="Y3824" s="81">
        <v>7.3981599999999998</v>
      </c>
      <c r="AA3824" s="84">
        <v>491.12400000000002</v>
      </c>
      <c r="AC3824" s="81">
        <v>62.625100000000003</v>
      </c>
      <c r="AE3824" s="87">
        <v>1</v>
      </c>
      <c r="AG3824" s="85">
        <v>7.6759599999999999</v>
      </c>
      <c r="AI3824" s="86">
        <v>8.75</v>
      </c>
      <c r="AK3824" s="81">
        <v>26.468399999999999</v>
      </c>
      <c r="AM3824" s="81">
        <v>36.793799999999997</v>
      </c>
      <c r="AO3824" s="85">
        <v>6.7834000000000003</v>
      </c>
    </row>
    <row r="3825" spans="2:41" x14ac:dyDescent="0.25">
      <c r="B3825" s="21">
        <f t="shared" si="10"/>
        <v>46066</v>
      </c>
      <c r="C3825" s="91">
        <v>17.2</v>
      </c>
      <c r="E3825" s="83">
        <v>0.84279400000000004</v>
      </c>
      <c r="G3825" s="84">
        <v>1398.06</v>
      </c>
      <c r="I3825" s="85">
        <v>6.9188799999999997</v>
      </c>
      <c r="K3825" s="85">
        <v>5.2170399999999999</v>
      </c>
      <c r="M3825" s="84">
        <v>859.74400000000003</v>
      </c>
      <c r="O3825" s="86">
        <v>3667.34</v>
      </c>
      <c r="Q3825" s="86">
        <v>6578.96</v>
      </c>
      <c r="S3825" s="86">
        <v>1261.06</v>
      </c>
      <c r="U3825" s="85">
        <v>3.3562799999999999</v>
      </c>
      <c r="W3825" s="81">
        <v>38.499299999999998</v>
      </c>
      <c r="Y3825" s="81">
        <v>7.3795400000000004</v>
      </c>
      <c r="AA3825" s="84">
        <v>486.53399999999999</v>
      </c>
      <c r="AC3825" s="81">
        <v>62.453299999999999</v>
      </c>
      <c r="AE3825" s="87">
        <v>1</v>
      </c>
      <c r="AG3825" s="85">
        <v>7.6738200000000001</v>
      </c>
      <c r="AI3825" s="86">
        <v>8.75</v>
      </c>
      <c r="AK3825" s="81">
        <v>26.4605</v>
      </c>
      <c r="AM3825" s="81">
        <v>36.784999999999997</v>
      </c>
      <c r="AO3825" s="85">
        <v>6.7853300000000001</v>
      </c>
    </row>
    <row r="3826" spans="2:41" x14ac:dyDescent="0.25">
      <c r="B3826" s="21">
        <f t="shared" si="10"/>
        <v>46067</v>
      </c>
      <c r="C3826" s="91">
        <v>17.2</v>
      </c>
      <c r="E3826" s="83">
        <v>0.84261200000000003</v>
      </c>
      <c r="G3826" s="84">
        <v>1399.16</v>
      </c>
      <c r="I3826" s="85">
        <v>6.9180000000000001</v>
      </c>
      <c r="K3826" s="85">
        <v>5.2209000000000003</v>
      </c>
      <c r="M3826" s="84">
        <v>862.9</v>
      </c>
      <c r="O3826" s="86">
        <v>3666.4</v>
      </c>
      <c r="Q3826" s="86">
        <v>6574.46</v>
      </c>
      <c r="S3826" s="86">
        <v>1259.26</v>
      </c>
      <c r="U3826" s="85">
        <v>3.3530000000000002</v>
      </c>
      <c r="W3826" s="81">
        <v>38.6496</v>
      </c>
      <c r="Y3826" s="81">
        <v>7.4028799999999997</v>
      </c>
      <c r="AA3826" s="84">
        <v>485.12599999999998</v>
      </c>
      <c r="AC3826" s="81">
        <v>62.2637</v>
      </c>
      <c r="AE3826" s="87">
        <v>1</v>
      </c>
      <c r="AG3826" s="85">
        <v>7.67028</v>
      </c>
      <c r="AI3826" s="86">
        <v>8.75</v>
      </c>
      <c r="AK3826" s="81">
        <v>26.4895</v>
      </c>
      <c r="AM3826" s="81">
        <v>36.71</v>
      </c>
      <c r="AO3826" s="85">
        <v>6.7847400000000002</v>
      </c>
    </row>
    <row r="3827" spans="2:41" x14ac:dyDescent="0.25">
      <c r="B3827" s="21">
        <f t="shared" si="10"/>
        <v>46068</v>
      </c>
      <c r="C3827" s="91">
        <v>17.2</v>
      </c>
      <c r="E3827" s="83">
        <v>0.84260999999999997</v>
      </c>
      <c r="G3827" s="84">
        <v>1399.03</v>
      </c>
      <c r="I3827" s="85">
        <v>6.9180000000000001</v>
      </c>
      <c r="K3827" s="85">
        <v>5.2209000000000003</v>
      </c>
      <c r="M3827" s="84">
        <v>862.88900000000001</v>
      </c>
      <c r="O3827" s="86">
        <v>3666.39</v>
      </c>
      <c r="Q3827" s="86">
        <v>6574.13</v>
      </c>
      <c r="S3827" s="86">
        <v>1259.2</v>
      </c>
      <c r="U3827" s="85">
        <v>3.3529800000000001</v>
      </c>
      <c r="W3827" s="81">
        <v>38.647599999999997</v>
      </c>
      <c r="Y3827" s="81">
        <v>7.4024900000000002</v>
      </c>
      <c r="AA3827" s="84">
        <v>485.12</v>
      </c>
      <c r="AC3827" s="81">
        <v>62.262999999999998</v>
      </c>
      <c r="AE3827" s="87">
        <v>1</v>
      </c>
      <c r="AG3827" s="85">
        <v>7.6701300000000003</v>
      </c>
      <c r="AI3827" s="86">
        <v>8.75</v>
      </c>
      <c r="AK3827" s="81">
        <v>26.487400000000001</v>
      </c>
      <c r="AM3827" s="81">
        <v>36.7104</v>
      </c>
      <c r="AO3827" s="85">
        <v>6.7847</v>
      </c>
    </row>
    <row r="3828" spans="2:41" x14ac:dyDescent="0.25">
      <c r="B3828" s="21">
        <f t="shared" si="10"/>
        <v>46069</v>
      </c>
      <c r="C3828" s="91">
        <v>17.1798</v>
      </c>
      <c r="E3828" s="83">
        <v>0.84325799999999995</v>
      </c>
      <c r="G3828" s="84">
        <v>1398.56</v>
      </c>
      <c r="I3828" s="85">
        <v>6.9177799999999996</v>
      </c>
      <c r="K3828" s="85">
        <v>5.2243700000000004</v>
      </c>
      <c r="M3828" s="84">
        <v>862.702</v>
      </c>
      <c r="O3828" s="86">
        <v>3664.14</v>
      </c>
      <c r="Q3828" s="86">
        <v>6546.84</v>
      </c>
      <c r="S3828" s="86">
        <v>1253.1400000000001</v>
      </c>
      <c r="U3828" s="85">
        <v>3.35311</v>
      </c>
      <c r="W3828" s="81">
        <v>38.658000000000001</v>
      </c>
      <c r="Y3828" s="81">
        <v>7.3995600000000001</v>
      </c>
      <c r="AA3828" s="84">
        <v>483.37099999999998</v>
      </c>
      <c r="AC3828" s="81">
        <v>62.205800000000004</v>
      </c>
      <c r="AE3828" s="87">
        <v>1</v>
      </c>
      <c r="AG3828" s="85">
        <v>7.6692999999999998</v>
      </c>
      <c r="AI3828" s="86">
        <v>8.75</v>
      </c>
      <c r="AK3828" s="81">
        <v>26.427600000000002</v>
      </c>
      <c r="AM3828" s="81">
        <v>36.7928</v>
      </c>
      <c r="AO3828" s="85">
        <v>6.7826599999999999</v>
      </c>
    </row>
    <row r="3829" spans="2:41" x14ac:dyDescent="0.25">
      <c r="B3829" s="21">
        <f t="shared" si="10"/>
        <v>46070</v>
      </c>
      <c r="C3829" s="91">
        <v>17.1723</v>
      </c>
      <c r="E3829" s="83">
        <v>0.84461200000000003</v>
      </c>
      <c r="G3829" s="84">
        <v>1397.08</v>
      </c>
      <c r="I3829" s="85">
        <v>6.9323199999999998</v>
      </c>
      <c r="K3829" s="85">
        <v>5.2237099999999996</v>
      </c>
      <c r="M3829" s="84">
        <v>864.62599999999998</v>
      </c>
      <c r="O3829" s="86">
        <v>3662.01</v>
      </c>
      <c r="Q3829" s="86">
        <v>6539.18</v>
      </c>
      <c r="S3829" s="86">
        <v>1251.83</v>
      </c>
      <c r="U3829" s="85">
        <v>3.35128</v>
      </c>
      <c r="W3829" s="81">
        <v>38.822499999999998</v>
      </c>
      <c r="Y3829" s="81">
        <v>7.43201</v>
      </c>
      <c r="AA3829" s="84">
        <v>481.565</v>
      </c>
      <c r="AC3829" s="81">
        <v>61.977499999999999</v>
      </c>
      <c r="AE3829" s="87">
        <v>1</v>
      </c>
      <c r="AG3829" s="85">
        <v>7.6725000000000003</v>
      </c>
      <c r="AI3829" s="86">
        <v>8.75</v>
      </c>
      <c r="AK3829" s="81">
        <v>26.467600000000001</v>
      </c>
      <c r="AM3829" s="81">
        <v>36.795400000000001</v>
      </c>
      <c r="AO3829" s="85">
        <v>6.7828900000000001</v>
      </c>
    </row>
    <row r="3830" spans="2:41" x14ac:dyDescent="0.25">
      <c r="B3830" s="21">
        <f t="shared" si="10"/>
        <v>46071</v>
      </c>
      <c r="C3830" s="91">
        <v>17.1753</v>
      </c>
      <c r="E3830" s="83">
        <v>0.84579000000000004</v>
      </c>
      <c r="G3830" s="84">
        <v>1396.22</v>
      </c>
      <c r="I3830" s="85">
        <v>6.9163800000000002</v>
      </c>
      <c r="K3830" s="85">
        <v>5.2256600000000004</v>
      </c>
      <c r="M3830" s="84">
        <v>864.70299999999997</v>
      </c>
      <c r="O3830" s="86">
        <v>3668.31</v>
      </c>
      <c r="Q3830" s="86">
        <v>6528.23</v>
      </c>
      <c r="S3830" s="86">
        <v>1249.26</v>
      </c>
      <c r="U3830" s="85">
        <v>3.3465400000000001</v>
      </c>
      <c r="W3830" s="81">
        <v>38.802799999999998</v>
      </c>
      <c r="Y3830" s="81">
        <v>7.4254600000000002</v>
      </c>
      <c r="AA3830" s="84">
        <v>481.17399999999998</v>
      </c>
      <c r="AC3830" s="81">
        <v>61.559199999999997</v>
      </c>
      <c r="AE3830" s="87">
        <v>1</v>
      </c>
      <c r="AG3830" s="85">
        <v>7.6655800000000003</v>
      </c>
      <c r="AI3830" s="86">
        <v>8.75</v>
      </c>
      <c r="AK3830" s="81">
        <v>26.459800000000001</v>
      </c>
      <c r="AM3830" s="81">
        <v>36.7729</v>
      </c>
      <c r="AO3830" s="85">
        <v>6.7737999999999996</v>
      </c>
    </row>
    <row r="3831" spans="2:41" x14ac:dyDescent="0.25">
      <c r="B3831" s="21">
        <f t="shared" si="10"/>
        <v>46072</v>
      </c>
      <c r="C3831" s="91">
        <v>17.139199999999999</v>
      </c>
      <c r="E3831" s="83">
        <v>0.84890600000000005</v>
      </c>
      <c r="G3831" s="84">
        <v>1394.68</v>
      </c>
      <c r="I3831" s="85">
        <v>6.9229399999999996</v>
      </c>
      <c r="K3831" s="85">
        <v>5.2300500000000003</v>
      </c>
      <c r="M3831" s="84">
        <v>863.59199999999998</v>
      </c>
      <c r="O3831" s="86">
        <v>3687.85</v>
      </c>
      <c r="Q3831" s="86">
        <v>6531.36</v>
      </c>
      <c r="S3831" s="86">
        <v>1248.82</v>
      </c>
      <c r="U3831" s="85">
        <v>3.35724</v>
      </c>
      <c r="W3831" s="81">
        <v>38.797199999999997</v>
      </c>
      <c r="Y3831" s="81">
        <v>7.4181600000000003</v>
      </c>
      <c r="AA3831" s="84">
        <v>481.815</v>
      </c>
      <c r="AC3831" s="81">
        <v>61.504399999999997</v>
      </c>
      <c r="AE3831" s="87">
        <v>1</v>
      </c>
      <c r="AG3831" s="85">
        <v>7.6814400000000003</v>
      </c>
      <c r="AI3831" s="86">
        <v>8.75</v>
      </c>
      <c r="AK3831" s="81">
        <v>26.500399999999999</v>
      </c>
      <c r="AM3831" s="81">
        <v>36.814399999999999</v>
      </c>
      <c r="AO3831" s="85">
        <v>6.7792399999999997</v>
      </c>
    </row>
    <row r="3832" spans="2:41" x14ac:dyDescent="0.25">
      <c r="B3832" s="21">
        <f t="shared" si="10"/>
        <v>46073</v>
      </c>
      <c r="C3832" s="91">
        <v>17.27</v>
      </c>
      <c r="E3832" s="83">
        <v>0.84966399999999997</v>
      </c>
      <c r="G3832" s="84">
        <v>1386.02</v>
      </c>
      <c r="I3832" s="85">
        <v>6.9169999999999998</v>
      </c>
      <c r="K3832" s="85">
        <v>5.2006399999999999</v>
      </c>
      <c r="M3832" s="84">
        <v>866.375</v>
      </c>
      <c r="O3832" s="86">
        <v>3699.34</v>
      </c>
      <c r="Q3832" s="86">
        <v>6484.97</v>
      </c>
      <c r="S3832" s="86">
        <v>1246.96</v>
      </c>
      <c r="U3832" s="85">
        <v>3.36</v>
      </c>
      <c r="W3832" s="81">
        <v>38.688600000000001</v>
      </c>
      <c r="Y3832" s="81">
        <v>7.4392100000000001</v>
      </c>
      <c r="AA3832" s="84">
        <v>479.08800000000002</v>
      </c>
      <c r="AC3832" s="81">
        <v>61.411200000000001</v>
      </c>
      <c r="AE3832" s="87">
        <v>1</v>
      </c>
      <c r="AG3832" s="85">
        <v>7.6779099999999998</v>
      </c>
      <c r="AI3832" s="86">
        <v>8.75</v>
      </c>
      <c r="AK3832" s="81">
        <v>26.488299999999999</v>
      </c>
      <c r="AM3832" s="81">
        <v>36.802599999999998</v>
      </c>
      <c r="AO3832" s="85">
        <v>6.7740999999999998</v>
      </c>
    </row>
    <row r="3833" spans="2:41" x14ac:dyDescent="0.25">
      <c r="B3833" s="21">
        <f t="shared" si="10"/>
        <v>46074</v>
      </c>
      <c r="C3833" s="91">
        <v>17.27</v>
      </c>
      <c r="E3833" s="83">
        <v>0.84876700000000005</v>
      </c>
      <c r="G3833" s="84">
        <v>1375.74</v>
      </c>
      <c r="I3833" s="85">
        <v>6.9107599999999998</v>
      </c>
      <c r="K3833" s="85">
        <v>5.1767200000000004</v>
      </c>
      <c r="M3833" s="84">
        <v>866.79100000000005</v>
      </c>
      <c r="O3833" s="86">
        <v>3703.83</v>
      </c>
      <c r="Q3833" s="86">
        <v>6466.29</v>
      </c>
      <c r="S3833" s="86">
        <v>1249.1099999999999</v>
      </c>
      <c r="U3833" s="85">
        <v>3.3615200000000001</v>
      </c>
      <c r="W3833" s="81">
        <v>38.767600000000002</v>
      </c>
      <c r="Y3833" s="81">
        <v>7.4888399999999997</v>
      </c>
      <c r="AA3833" s="84">
        <v>477.28800000000001</v>
      </c>
      <c r="AC3833" s="81">
        <v>61.164999999999999</v>
      </c>
      <c r="AE3833" s="87">
        <v>1</v>
      </c>
      <c r="AG3833" s="85">
        <v>7.6735600000000002</v>
      </c>
      <c r="AI3833" s="86">
        <v>8.75</v>
      </c>
      <c r="AK3833" s="81">
        <v>26.511500000000002</v>
      </c>
      <c r="AM3833" s="81">
        <v>36.755000000000003</v>
      </c>
      <c r="AO3833" s="85">
        <v>6.7756999999999996</v>
      </c>
    </row>
    <row r="3834" spans="2:41" x14ac:dyDescent="0.25">
      <c r="B3834" s="21">
        <f t="shared" si="10"/>
        <v>46075</v>
      </c>
      <c r="C3834" s="91">
        <v>17.27</v>
      </c>
      <c r="E3834" s="83">
        <v>0.84863</v>
      </c>
      <c r="G3834" s="84">
        <v>1375.63</v>
      </c>
      <c r="I3834" s="85">
        <v>6.9107599999999998</v>
      </c>
      <c r="K3834" s="85">
        <v>5.1767599999999998</v>
      </c>
      <c r="M3834" s="84">
        <v>866.65200000000004</v>
      </c>
      <c r="O3834" s="86">
        <v>3704.2</v>
      </c>
      <c r="Q3834" s="86">
        <v>6466.29</v>
      </c>
      <c r="S3834" s="86">
        <v>1249.0999999999999</v>
      </c>
      <c r="U3834" s="85">
        <v>3.3612500000000001</v>
      </c>
      <c r="W3834" s="81">
        <v>38.767600000000002</v>
      </c>
      <c r="Y3834" s="81">
        <v>7.4888000000000003</v>
      </c>
      <c r="AA3834" s="84">
        <v>477.267</v>
      </c>
      <c r="AC3834" s="81">
        <v>61.166600000000003</v>
      </c>
      <c r="AE3834" s="87">
        <v>1</v>
      </c>
      <c r="AG3834" s="85">
        <v>7.6734900000000001</v>
      </c>
      <c r="AI3834" s="86">
        <v>8.75</v>
      </c>
      <c r="AK3834" s="81">
        <v>26.508299999999998</v>
      </c>
      <c r="AM3834" s="81">
        <v>36.755600000000001</v>
      </c>
      <c r="AO3834" s="85">
        <v>6.7736299999999998</v>
      </c>
    </row>
    <row r="3835" spans="2:41" x14ac:dyDescent="0.25">
      <c r="B3835" s="21">
        <f t="shared" si="10"/>
        <v>46076</v>
      </c>
      <c r="C3835" s="91">
        <v>17.1722</v>
      </c>
      <c r="E3835" s="83">
        <v>0.84709400000000001</v>
      </c>
      <c r="G3835" s="84">
        <v>1371.96</v>
      </c>
      <c r="I3835" s="85">
        <v>6.8902999999999999</v>
      </c>
      <c r="K3835" s="85">
        <v>5.1722599999999996</v>
      </c>
      <c r="M3835" s="84">
        <v>865.61199999999997</v>
      </c>
      <c r="O3835" s="86">
        <v>3698.65</v>
      </c>
      <c r="Q3835" s="86">
        <v>6445.96</v>
      </c>
      <c r="S3835" s="86">
        <v>1246.26</v>
      </c>
      <c r="U3835" s="85">
        <v>3.3495400000000002</v>
      </c>
      <c r="W3835" s="81">
        <v>38.661999999999999</v>
      </c>
      <c r="Y3835" s="81">
        <v>7.4749100000000004</v>
      </c>
      <c r="AA3835" s="84">
        <v>475.524</v>
      </c>
      <c r="AC3835" s="81">
        <v>61.225999999999999</v>
      </c>
      <c r="AE3835" s="87">
        <v>1</v>
      </c>
      <c r="AG3835" s="85">
        <v>7.6551</v>
      </c>
      <c r="AI3835" s="86">
        <v>8.75</v>
      </c>
      <c r="AK3835" s="81">
        <v>26.3962</v>
      </c>
      <c r="AM3835" s="81">
        <v>36.731200000000001</v>
      </c>
      <c r="AO3835" s="85">
        <v>6.7549200000000003</v>
      </c>
    </row>
    <row r="3836" spans="2:41" x14ac:dyDescent="0.25">
      <c r="B3836" s="21">
        <f t="shared" si="10"/>
        <v>46077</v>
      </c>
      <c r="C3836" s="91">
        <v>17.216200000000001</v>
      </c>
      <c r="E3836" s="83">
        <v>0.84892999999999996</v>
      </c>
      <c r="G3836" s="84">
        <v>1372.91</v>
      </c>
      <c r="I3836" s="85">
        <v>6.9097400000000002</v>
      </c>
      <c r="K3836" s="85">
        <v>5.16486</v>
      </c>
      <c r="M3836" s="84">
        <v>865.01800000000003</v>
      </c>
      <c r="O3836" s="86">
        <v>3699.7</v>
      </c>
      <c r="Q3836" s="86">
        <v>6454.54</v>
      </c>
      <c r="S3836" s="86">
        <v>1249.7</v>
      </c>
      <c r="U3836" s="85">
        <v>3.35745</v>
      </c>
      <c r="W3836" s="81">
        <v>38.652999999999999</v>
      </c>
      <c r="Y3836" s="81">
        <v>7.48386</v>
      </c>
      <c r="AA3836" s="84">
        <v>475.22199999999998</v>
      </c>
      <c r="AC3836" s="81">
        <v>61.117699999999999</v>
      </c>
      <c r="AE3836" s="87">
        <v>1</v>
      </c>
      <c r="AG3836" s="85">
        <v>7.66906</v>
      </c>
      <c r="AI3836" s="86">
        <v>8.75</v>
      </c>
      <c r="AK3836" s="81">
        <v>26.457799999999999</v>
      </c>
      <c r="AM3836" s="81">
        <v>36.762</v>
      </c>
      <c r="AO3836" s="85">
        <v>6.7758799999999999</v>
      </c>
    </row>
    <row r="3837" spans="2:41" x14ac:dyDescent="0.25">
      <c r="B3837" s="21">
        <f t="shared" si="10"/>
        <v>46078</v>
      </c>
      <c r="C3837" s="91">
        <v>17.190999999999999</v>
      </c>
      <c r="E3837" s="83">
        <v>0.84783399999999998</v>
      </c>
      <c r="G3837" s="84">
        <v>1385.17</v>
      </c>
      <c r="I3837" s="85">
        <v>6.9133599999999999</v>
      </c>
      <c r="K3837" s="85">
        <v>5.1428799999999999</v>
      </c>
      <c r="M3837" s="84">
        <v>860.16200000000003</v>
      </c>
      <c r="O3837" s="86">
        <v>3708.02</v>
      </c>
      <c r="Q3837" s="86">
        <v>6447.88</v>
      </c>
      <c r="S3837" s="86">
        <v>1253.75</v>
      </c>
      <c r="U3837" s="85">
        <v>3.3579300000000001</v>
      </c>
      <c r="W3837" s="81">
        <v>38.484000000000002</v>
      </c>
      <c r="Y3837" s="81">
        <v>7.4829699999999999</v>
      </c>
      <c r="AA3837" s="84">
        <v>474.23599999999999</v>
      </c>
      <c r="AC3837" s="81">
        <v>60.779800000000002</v>
      </c>
      <c r="AE3837" s="87">
        <v>1</v>
      </c>
      <c r="AG3837" s="85">
        <v>7.6697499999999996</v>
      </c>
      <c r="AI3837" s="86">
        <v>8.75</v>
      </c>
      <c r="AK3837" s="81">
        <v>26.471800000000002</v>
      </c>
      <c r="AM3837" s="81">
        <v>36.771700000000003</v>
      </c>
      <c r="AO3837" s="85">
        <v>6.7847</v>
      </c>
    </row>
    <row r="3838" spans="2:41" x14ac:dyDescent="0.25">
      <c r="B3838" s="21">
        <f t="shared" si="10"/>
        <v>46079</v>
      </c>
      <c r="C3838" s="91">
        <v>17.170000000000002</v>
      </c>
      <c r="E3838" s="83">
        <v>0.84711700000000001</v>
      </c>
      <c r="G3838" s="84">
        <v>1401.95</v>
      </c>
      <c r="I3838" s="85">
        <v>6.9034500000000003</v>
      </c>
      <c r="K3838" s="85">
        <v>5.1336199999999996</v>
      </c>
      <c r="M3838" s="84">
        <v>860.03800000000001</v>
      </c>
      <c r="O3838" s="86">
        <v>3725.12</v>
      </c>
      <c r="Q3838" s="86">
        <v>6430.36</v>
      </c>
      <c r="S3838" s="86">
        <v>1252.5999999999999</v>
      </c>
      <c r="U3838" s="85">
        <v>3.3524400000000001</v>
      </c>
      <c r="W3838" s="81">
        <v>38.288400000000003</v>
      </c>
      <c r="Y3838" s="81">
        <v>7.45838</v>
      </c>
      <c r="AA3838" s="84">
        <v>473.35399999999998</v>
      </c>
      <c r="AC3838" s="81">
        <v>60.411299999999997</v>
      </c>
      <c r="AE3838" s="87">
        <v>1</v>
      </c>
      <c r="AG3838" s="85">
        <v>7.6604099999999997</v>
      </c>
      <c r="AI3838" s="86">
        <v>8.75</v>
      </c>
      <c r="AK3838" s="81">
        <v>26.449400000000001</v>
      </c>
      <c r="AM3838" s="81">
        <v>36.738300000000002</v>
      </c>
      <c r="AO3838" s="85">
        <v>6.7757100000000001</v>
      </c>
    </row>
    <row r="3839" spans="2:41" x14ac:dyDescent="0.25">
      <c r="B3839" s="21">
        <f t="shared" si="10"/>
        <v>46080</v>
      </c>
      <c r="C3839" s="91">
        <v>17.2563</v>
      </c>
      <c r="E3839" s="83">
        <v>0.84683699999999995</v>
      </c>
      <c r="G3839" s="84">
        <v>1406.04</v>
      </c>
      <c r="I3839" s="85">
        <v>6.9120400000000002</v>
      </c>
      <c r="K3839" s="85">
        <v>5.1391</v>
      </c>
      <c r="M3839" s="84">
        <v>868.46400000000006</v>
      </c>
      <c r="O3839" s="86">
        <v>3763.16</v>
      </c>
      <c r="Q3839" s="86">
        <v>6441.96</v>
      </c>
      <c r="S3839" s="86">
        <v>1253.52</v>
      </c>
      <c r="U3839" s="85">
        <v>3.3555600000000001</v>
      </c>
      <c r="W3839" s="81">
        <v>38.354199999999999</v>
      </c>
      <c r="Y3839" s="81">
        <v>7.4632199999999997</v>
      </c>
      <c r="AA3839" s="84">
        <v>472.774</v>
      </c>
      <c r="AC3839" s="81">
        <v>60.295200000000001</v>
      </c>
      <c r="AE3839" s="87">
        <v>1</v>
      </c>
      <c r="AG3839" s="85">
        <v>7.6718400000000004</v>
      </c>
      <c r="AI3839" s="86">
        <v>8.75</v>
      </c>
      <c r="AK3839" s="81">
        <v>26.4907</v>
      </c>
      <c r="AM3839" s="81">
        <v>36.784300000000002</v>
      </c>
      <c r="AO3839" s="85">
        <v>6.7850799999999998</v>
      </c>
    </row>
    <row r="3840" spans="2:41" x14ac:dyDescent="0.25">
      <c r="B3840" s="21">
        <f t="shared" si="10"/>
        <v>46081</v>
      </c>
      <c r="C3840" s="82">
        <v>17.2563</v>
      </c>
      <c r="D3840" s="92"/>
      <c r="E3840" s="93">
        <v>0.84623099999999996</v>
      </c>
      <c r="F3840" s="92"/>
      <c r="G3840" s="94">
        <v>1396.82</v>
      </c>
      <c r="H3840" s="92"/>
      <c r="I3840" s="95">
        <v>6.9066799999999997</v>
      </c>
      <c r="J3840" s="92"/>
      <c r="K3840" s="95">
        <v>5.1295400000000004</v>
      </c>
      <c r="L3840" s="92"/>
      <c r="M3840" s="94">
        <v>873.67200000000003</v>
      </c>
      <c r="N3840" s="92"/>
      <c r="O3840" s="96">
        <v>3758.07</v>
      </c>
      <c r="P3840" s="92"/>
      <c r="Q3840" s="96">
        <v>6438.24</v>
      </c>
      <c r="R3840" s="92"/>
      <c r="S3840" s="96">
        <v>1255.1400000000001</v>
      </c>
      <c r="T3840" s="92"/>
      <c r="U3840" s="95">
        <v>3.355</v>
      </c>
      <c r="V3840" s="92"/>
      <c r="W3840" s="91">
        <v>38.388399999999997</v>
      </c>
      <c r="X3840" s="92"/>
      <c r="Y3840" s="91">
        <v>7.4838199999999997</v>
      </c>
      <c r="Z3840" s="92"/>
      <c r="AA3840" s="94">
        <v>471.95600000000002</v>
      </c>
      <c r="AB3840" s="92"/>
      <c r="AC3840" s="91">
        <v>60.11</v>
      </c>
      <c r="AD3840" s="92"/>
      <c r="AE3840" s="97">
        <v>1</v>
      </c>
      <c r="AF3840" s="92"/>
      <c r="AG3840" s="95">
        <v>7.6673799999999996</v>
      </c>
      <c r="AH3840" s="92"/>
      <c r="AI3840" s="96">
        <v>8.75</v>
      </c>
      <c r="AJ3840" s="92"/>
      <c r="AK3840" s="91">
        <v>26.516999999999999</v>
      </c>
      <c r="AL3840" s="92"/>
      <c r="AM3840" s="91">
        <v>36.762500000000003</v>
      </c>
      <c r="AN3840" s="92"/>
      <c r="AO3840" s="95">
        <v>6.7804000000000002</v>
      </c>
    </row>
    <row r="3841" spans="2:41" ht="13" x14ac:dyDescent="0.3">
      <c r="B3841" s="25" t="str">
        <f>"PROM-"&amp;MONTH(B3840)&amp;YEAR(B3840)</f>
        <v>PROM-22026</v>
      </c>
      <c r="C3841" s="19">
        <f>AVERAGE(C3813:C3840)</f>
        <v>17.245035714285713</v>
      </c>
      <c r="E3841" s="19">
        <f>AVERAGE(E3813:E3840)</f>
        <v>0.84560171428571429</v>
      </c>
      <c r="G3841" s="19">
        <f>AVERAGE(G3813:G3840)</f>
        <v>1408.6314285714286</v>
      </c>
      <c r="I3841" s="19">
        <f>AVERAGE(I3813:I3840)</f>
        <v>6.916766428571429</v>
      </c>
      <c r="K3841" s="19">
        <f>AVERAGE(K3813:K3840)</f>
        <v>5.2050325000000015</v>
      </c>
      <c r="M3841" s="19">
        <f>AVERAGE(M3813:M3840)</f>
        <v>862.77775000000008</v>
      </c>
      <c r="O3841" s="19">
        <f>AVERAGE(O3813:O3840)</f>
        <v>3683.9557142857147</v>
      </c>
      <c r="Q3841" s="19">
        <f>AVERAGE(Q3813:Q3840)</f>
        <v>6554.9525000000003</v>
      </c>
      <c r="S3841" s="19">
        <f>AVERAGE(S3813:S3840)</f>
        <v>1259.3167857142855</v>
      </c>
      <c r="U3841" s="19">
        <f>AVERAGE(U3813:U3840)</f>
        <v>3.3582985714285711</v>
      </c>
      <c r="W3841" s="19">
        <f>AVERAGE(W3813:W3840)</f>
        <v>38.596560714285722</v>
      </c>
      <c r="Y3841" s="19">
        <f>AVERAGE(Y3813:Y3840)</f>
        <v>7.415531071428572</v>
      </c>
      <c r="AA3841" s="19">
        <f>AVERAGE(AA3813:AA3840)</f>
        <v>485.95539285714278</v>
      </c>
      <c r="AC3841" s="19">
        <f>AVERAGE(AC3813:AC3840)</f>
        <v>62.030510714285711</v>
      </c>
      <c r="AE3841" s="19">
        <f>AVERAGE(AE3813:AE3840)</f>
        <v>1</v>
      </c>
      <c r="AG3841" s="19">
        <f>AVERAGE(AG3813:AG3840)</f>
        <v>7.6723150000000029</v>
      </c>
      <c r="AI3841" s="19">
        <f>AVERAGE(AI3813:AI3840)</f>
        <v>8.75</v>
      </c>
      <c r="AK3841" s="19">
        <f>AVERAGE(AK3813:AK3840)</f>
        <v>26.457410714285711</v>
      </c>
      <c r="AM3841" s="19">
        <f>AVERAGE(AM3813:AM3840)</f>
        <v>36.76857857142857</v>
      </c>
      <c r="AO3841" s="19">
        <f>AVERAGE(AO3813:AO3840)</f>
        <v>6.7784721428571419</v>
      </c>
    </row>
    <row r="3842" spans="2:41" x14ac:dyDescent="0.25">
      <c r="B3842" s="21">
        <v>46082</v>
      </c>
      <c r="C3842" s="91">
        <f>VLOOKUP($B3842,'2026'!$A:$V,2,FALSE)</f>
        <v>17.2563</v>
      </c>
      <c r="E3842" s="83">
        <f>VLOOKUP($B3842,'2026'!$A:$V,3,FALSE)</f>
        <v>0.84650899999999996</v>
      </c>
      <c r="G3842" s="84">
        <f>VLOOKUP($B3842,'2026'!$A:$V,4,FALSE)</f>
        <v>1397.56</v>
      </c>
      <c r="I3842" s="85">
        <f>VLOOKUP($B3842,'2026'!$A:$V,5,FALSE)</f>
        <v>6.9066799999999997</v>
      </c>
      <c r="K3842" s="85">
        <f>VLOOKUP($B3842,'2026'!$A:$V,6,FALSE)</f>
        <v>5.1297199999999998</v>
      </c>
      <c r="M3842" s="84">
        <f>VLOOKUP($B3842,'2026'!$A:$V,7,FALSE)</f>
        <v>873.67399999999998</v>
      </c>
      <c r="O3842" s="86">
        <f>VLOOKUP($B3842,'2026'!$A:$V,8,FALSE)</f>
        <v>3758.62</v>
      </c>
      <c r="Q3842" s="86">
        <f>VLOOKUP($B3842,'2026'!$A:$V,9,FALSE)</f>
        <v>6438.39</v>
      </c>
      <c r="S3842" s="86">
        <f>VLOOKUP($B3842,'2026'!$A:$V,20,FALSE)</f>
        <v>1255.1199999999999</v>
      </c>
      <c r="U3842" s="85">
        <f>VLOOKUP($B3842,'2026'!$A:$V,10,FALSE)</f>
        <v>3.3550200000000001</v>
      </c>
      <c r="W3842" s="81">
        <f>VLOOKUP($B3842,'2026'!$A:$V,11,FALSE)</f>
        <v>38.389099999999999</v>
      </c>
      <c r="Y3842" s="81">
        <f>VLOOKUP($B3842,'2026'!$A:$V,21,FALSE)</f>
        <v>7.4836799999999997</v>
      </c>
      <c r="AA3842" s="84">
        <f>VLOOKUP($B3842,'2026'!$A:$V,12,FALSE)</f>
        <v>471.96699999999998</v>
      </c>
      <c r="AC3842" s="81">
        <f>VLOOKUP($B3842,'2026'!$A:$V,13,FALSE)</f>
        <v>60.110599999999998</v>
      </c>
      <c r="AE3842" s="87">
        <f>VLOOKUP($B3842,'2026'!$A:$V,14,FALSE)</f>
        <v>1</v>
      </c>
      <c r="AG3842" s="85">
        <f>VLOOKUP($B3842,'2026'!$A:$V,15,FALSE)</f>
        <v>7.6674600000000002</v>
      </c>
      <c r="AI3842" s="86">
        <f>VLOOKUP($B3842,'2026'!$A:$V,16,FALSE)</f>
        <v>8.75</v>
      </c>
      <c r="AK3842" s="81">
        <f>VLOOKUP($B3842,'2026'!$A:$V,17,FALSE)</f>
        <v>26.5154</v>
      </c>
      <c r="AM3842" s="81">
        <f>VLOOKUP($B3842,'2026'!$A:$V,18,FALSE)</f>
        <v>36.762599999999999</v>
      </c>
      <c r="AO3842" s="85">
        <f>VLOOKUP($B3842,'2026'!$A:$V,19,FALSE)</f>
        <v>6.7803599999999999</v>
      </c>
    </row>
    <row r="3843" spans="2:41" x14ac:dyDescent="0.25">
      <c r="B3843" s="21">
        <f t="shared" ref="B3843:B3872" si="11">B3842+1</f>
        <v>46083</v>
      </c>
      <c r="C3843" s="91">
        <f>VLOOKUP($B3843,'2026'!$A:$V,2,FALSE)</f>
        <v>17.2193</v>
      </c>
      <c r="E3843" s="83">
        <f>VLOOKUP($B3843,'2026'!$A:$V,3,FALSE)</f>
        <v>0.85268200000000005</v>
      </c>
      <c r="G3843" s="84">
        <f>VLOOKUP($B3843,'2026'!$A:$V,4,FALSE)</f>
        <v>1398.13</v>
      </c>
      <c r="I3843" s="85">
        <f>VLOOKUP($B3843,'2026'!$A:$V,5,FALSE)</f>
        <v>6.9227400000000001</v>
      </c>
      <c r="K3843" s="85">
        <f>VLOOKUP($B3843,'2026'!$A:$V,6,FALSE)</f>
        <v>5.1575600000000001</v>
      </c>
      <c r="M3843" s="84">
        <f>VLOOKUP($B3843,'2026'!$A:$V,7,FALSE)</f>
        <v>878.91200000000003</v>
      </c>
      <c r="O3843" s="86">
        <f>VLOOKUP($B3843,'2026'!$A:$V,8,FALSE)</f>
        <v>3771.6</v>
      </c>
      <c r="Q3843" s="86">
        <f>VLOOKUP($B3843,'2026'!$A:$V,9,FALSE)</f>
        <v>6450.72</v>
      </c>
      <c r="S3843" s="86">
        <f>VLOOKUP($B3843,'2026'!$A:$V,20,FALSE)</f>
        <v>1250.74</v>
      </c>
      <c r="U3843" s="85">
        <f>VLOOKUP($B3843,'2026'!$A:$V,10,FALSE)</f>
        <v>3.3596599999999999</v>
      </c>
      <c r="W3843" s="81">
        <f>VLOOKUP($B3843,'2026'!$A:$V,11,FALSE)</f>
        <v>38.461799999999997</v>
      </c>
      <c r="Y3843" s="81">
        <f>VLOOKUP($B3843,'2026'!$A:$V,21,FALSE)</f>
        <v>7.4573799999999997</v>
      </c>
      <c r="AA3843" s="84">
        <f>VLOOKUP($B3843,'2026'!$A:$V,12,FALSE)</f>
        <v>471.39800000000002</v>
      </c>
      <c r="AC3843" s="81">
        <f>VLOOKUP($B3843,'2026'!$A:$V,13,FALSE)</f>
        <v>60.039400000000001</v>
      </c>
      <c r="AE3843" s="87">
        <f>VLOOKUP($B3843,'2026'!$A:$V,14,FALSE)</f>
        <v>1</v>
      </c>
      <c r="AG3843" s="85">
        <f>VLOOKUP($B3843,'2026'!$A:$V,15,FALSE)</f>
        <v>7.6745400000000004</v>
      </c>
      <c r="AI3843" s="86">
        <f>VLOOKUP($B3843,'2026'!$A:$V,16,FALSE)</f>
        <v>8.75</v>
      </c>
      <c r="AK3843" s="81">
        <f>VLOOKUP($B3843,'2026'!$A:$V,17,FALSE)</f>
        <v>26.491800000000001</v>
      </c>
      <c r="AM3843" s="81">
        <f>VLOOKUP($B3843,'2026'!$A:$V,18,FALSE)</f>
        <v>36.792000000000002</v>
      </c>
      <c r="AO3843" s="85">
        <f>VLOOKUP($B3843,'2026'!$A:$V,19,FALSE)</f>
        <v>6.7834700000000003</v>
      </c>
    </row>
    <row r="3844" spans="2:41" x14ac:dyDescent="0.25">
      <c r="B3844" s="21">
        <f t="shared" si="11"/>
        <v>46084</v>
      </c>
      <c r="C3844" s="91">
        <f>VLOOKUP($B3844,'2026'!$A:$V,2,FALSE)</f>
        <v>17.348500000000001</v>
      </c>
      <c r="E3844" s="83">
        <f>VLOOKUP($B3844,'2026'!$A:$V,3,FALSE)</f>
        <v>0.85985400000000001</v>
      </c>
      <c r="G3844" s="84">
        <f>VLOOKUP($B3844,'2026'!$A:$V,4,FALSE)</f>
        <v>1402.32</v>
      </c>
      <c r="I3844" s="85">
        <f>VLOOKUP($B3844,'2026'!$A:$V,5,FALSE)</f>
        <v>6.9277199999999999</v>
      </c>
      <c r="K3844" s="85">
        <f>VLOOKUP($B3844,'2026'!$A:$V,6,FALSE)</f>
        <v>5.2262000000000004</v>
      </c>
      <c r="M3844" s="84">
        <f>VLOOKUP($B3844,'2026'!$A:$V,7,FALSE)</f>
        <v>892.84299999999996</v>
      </c>
      <c r="O3844" s="86">
        <f>VLOOKUP($B3844,'2026'!$A:$V,8,FALSE)</f>
        <v>3784.14</v>
      </c>
      <c r="Q3844" s="86">
        <f>VLOOKUP($B3844,'2026'!$A:$V,9,FALSE)</f>
        <v>6471.7</v>
      </c>
      <c r="S3844" s="86">
        <f>VLOOKUP($B3844,'2026'!$A:$V,20,FALSE)</f>
        <v>1238.32</v>
      </c>
      <c r="U3844" s="85">
        <f>VLOOKUP($B3844,'2026'!$A:$V,10,FALSE)</f>
        <v>3.3828200000000002</v>
      </c>
      <c r="W3844" s="81">
        <f>VLOOKUP($B3844,'2026'!$A:$V,11,FALSE)</f>
        <v>38.562800000000003</v>
      </c>
      <c r="Y3844" s="81">
        <f>VLOOKUP($B3844,'2026'!$A:$V,21,FALSE)</f>
        <v>7.3787799999999999</v>
      </c>
      <c r="AA3844" s="84">
        <f>VLOOKUP($B3844,'2026'!$A:$V,12,FALSE)</f>
        <v>470.71699999999998</v>
      </c>
      <c r="AC3844" s="81">
        <f>VLOOKUP($B3844,'2026'!$A:$V,13,FALSE)</f>
        <v>59.815600000000003</v>
      </c>
      <c r="AE3844" s="87">
        <f>VLOOKUP($B3844,'2026'!$A:$V,14,FALSE)</f>
        <v>1</v>
      </c>
      <c r="AG3844" s="85">
        <f>VLOOKUP($B3844,'2026'!$A:$V,15,FALSE)</f>
        <v>7.6769800000000004</v>
      </c>
      <c r="AI3844" s="86">
        <f>VLOOKUP($B3844,'2026'!$A:$V,16,FALSE)</f>
        <v>8.75</v>
      </c>
      <c r="AK3844" s="81">
        <f>VLOOKUP($B3844,'2026'!$A:$V,17,FALSE)</f>
        <v>26.504000000000001</v>
      </c>
      <c r="AM3844" s="81">
        <f>VLOOKUP($B3844,'2026'!$A:$V,18,FALSE)</f>
        <v>36.832299999999996</v>
      </c>
      <c r="AO3844" s="85">
        <f>VLOOKUP($B3844,'2026'!$A:$V,19,FALSE)</f>
        <v>6.7828200000000001</v>
      </c>
    </row>
    <row r="3845" spans="2:41" x14ac:dyDescent="0.25">
      <c r="B3845" s="21">
        <f t="shared" si="11"/>
        <v>46085</v>
      </c>
      <c r="C3845" s="91">
        <f>VLOOKUP($B3845,'2026'!$A:$V,2,FALSE)</f>
        <v>17.722799999999999</v>
      </c>
      <c r="E3845" s="83">
        <f>VLOOKUP($B3845,'2026'!$A:$V,3,FALSE)</f>
        <v>0.86048599999999997</v>
      </c>
      <c r="G3845" s="84">
        <f>VLOOKUP($B3845,'2026'!$A:$V,4,FALSE)</f>
        <v>1409.36</v>
      </c>
      <c r="I3845" s="85">
        <f>VLOOKUP($B3845,'2026'!$A:$V,5,FALSE)</f>
        <v>6.9129300000000002</v>
      </c>
      <c r="K3845" s="85">
        <f>VLOOKUP($B3845,'2026'!$A:$V,6,FALSE)</f>
        <v>5.2492299999999998</v>
      </c>
      <c r="M3845" s="84">
        <f>VLOOKUP($B3845,'2026'!$A:$V,7,FALSE)</f>
        <v>899.21900000000005</v>
      </c>
      <c r="O3845" s="86">
        <f>VLOOKUP($B3845,'2026'!$A:$V,8,FALSE)</f>
        <v>3785.44</v>
      </c>
      <c r="Q3845" s="86">
        <f>VLOOKUP($B3845,'2026'!$A:$V,9,FALSE)</f>
        <v>6486.51</v>
      </c>
      <c r="S3845" s="86">
        <f>VLOOKUP($B3845,'2026'!$A:$V,20,FALSE)</f>
        <v>1235.71</v>
      </c>
      <c r="U3845" s="85">
        <f>VLOOKUP($B3845,'2026'!$A:$V,10,FALSE)</f>
        <v>3.3990999999999998</v>
      </c>
      <c r="W3845" s="81">
        <f>VLOOKUP($B3845,'2026'!$A:$V,11,FALSE)</f>
        <v>38.715800000000002</v>
      </c>
      <c r="Y3845" s="81">
        <f>VLOOKUP($B3845,'2026'!$A:$V,21,FALSE)</f>
        <v>7.3755499999999996</v>
      </c>
      <c r="AA3845" s="84">
        <f>VLOOKUP($B3845,'2026'!$A:$V,12,FALSE)</f>
        <v>470.80599999999998</v>
      </c>
      <c r="AC3845" s="81">
        <f>VLOOKUP($B3845,'2026'!$A:$V,13,FALSE)</f>
        <v>59.5364</v>
      </c>
      <c r="AE3845" s="87">
        <f>VLOOKUP($B3845,'2026'!$A:$V,14,FALSE)</f>
        <v>1</v>
      </c>
      <c r="AG3845" s="85">
        <f>VLOOKUP($B3845,'2026'!$A:$V,15,FALSE)</f>
        <v>7.6676900000000003</v>
      </c>
      <c r="AI3845" s="86">
        <f>VLOOKUP($B3845,'2026'!$A:$V,16,FALSE)</f>
        <v>8.75</v>
      </c>
      <c r="AK3845" s="81">
        <f>VLOOKUP($B3845,'2026'!$A:$V,17,FALSE)</f>
        <v>26.4834</v>
      </c>
      <c r="AM3845" s="81">
        <f>VLOOKUP($B3845,'2026'!$A:$V,18,FALSE)</f>
        <v>36.779800000000002</v>
      </c>
      <c r="AO3845" s="85">
        <f>VLOOKUP($B3845,'2026'!$A:$V,19,FALSE)</f>
        <v>6.7727000000000004</v>
      </c>
    </row>
    <row r="3846" spans="2:41" x14ac:dyDescent="0.25">
      <c r="B3846" s="21">
        <f t="shared" si="11"/>
        <v>46086</v>
      </c>
      <c r="C3846" s="91">
        <f>VLOOKUP($B3846,'2026'!$A:$V,2,FALSE)</f>
        <v>17.544499999999999</v>
      </c>
      <c r="E3846" s="83">
        <f>VLOOKUP($B3846,'2026'!$A:$V,3,FALSE)</f>
        <v>0.86163199999999995</v>
      </c>
      <c r="G3846" s="84">
        <f>VLOOKUP($B3846,'2026'!$A:$V,4,FALSE)</f>
        <v>1403.62</v>
      </c>
      <c r="I3846" s="85">
        <f>VLOOKUP($B3846,'2026'!$A:$V,5,FALSE)</f>
        <v>6.91486</v>
      </c>
      <c r="K3846" s="85">
        <f>VLOOKUP($B3846,'2026'!$A:$V,6,FALSE)</f>
        <v>5.2471399999999999</v>
      </c>
      <c r="M3846" s="84">
        <f>VLOOKUP($B3846,'2026'!$A:$V,7,FALSE)</f>
        <v>900.45399999999995</v>
      </c>
      <c r="O3846" s="86">
        <f>VLOOKUP($B3846,'2026'!$A:$V,8,FALSE)</f>
        <v>3769.5</v>
      </c>
      <c r="Q3846" s="86">
        <f>VLOOKUP($B3846,'2026'!$A:$V,9,FALSE)</f>
        <v>6529.75</v>
      </c>
      <c r="S3846" s="86">
        <f>VLOOKUP($B3846,'2026'!$A:$V,20,FALSE)</f>
        <v>1244.44</v>
      </c>
      <c r="U3846" s="85">
        <f>VLOOKUP($B3846,'2026'!$A:$V,10,FALSE)</f>
        <v>3.41832</v>
      </c>
      <c r="W3846" s="81">
        <f>VLOOKUP($B3846,'2026'!$A:$V,11,FALSE)</f>
        <v>39.041800000000002</v>
      </c>
      <c r="Y3846" s="81">
        <f>VLOOKUP($B3846,'2026'!$A:$V,21,FALSE)</f>
        <v>7.4406299999999996</v>
      </c>
      <c r="AA3846" s="84">
        <f>VLOOKUP($B3846,'2026'!$A:$V,12,FALSE)</f>
        <v>471.89800000000002</v>
      </c>
      <c r="AC3846" s="81">
        <f>VLOOKUP($B3846,'2026'!$A:$V,13,FALSE)</f>
        <v>59.427199999999999</v>
      </c>
      <c r="AE3846" s="87">
        <f>VLOOKUP($B3846,'2026'!$A:$V,14,FALSE)</f>
        <v>1</v>
      </c>
      <c r="AG3846" s="85">
        <f>VLOOKUP($B3846,'2026'!$A:$V,15,FALSE)</f>
        <v>7.6710599999999998</v>
      </c>
      <c r="AI3846" s="86">
        <f>VLOOKUP($B3846,'2026'!$A:$V,16,FALSE)</f>
        <v>8.75</v>
      </c>
      <c r="AK3846" s="81">
        <f>VLOOKUP($B3846,'2026'!$A:$V,17,FALSE)</f>
        <v>26.476400000000002</v>
      </c>
      <c r="AM3846" s="81">
        <f>VLOOKUP($B3846,'2026'!$A:$V,18,FALSE)</f>
        <v>36.803800000000003</v>
      </c>
      <c r="AO3846" s="85">
        <f>VLOOKUP($B3846,'2026'!$A:$V,19,FALSE)</f>
        <v>6.7708500000000003</v>
      </c>
    </row>
    <row r="3847" spans="2:41" x14ac:dyDescent="0.25">
      <c r="B3847" s="21">
        <f t="shared" si="11"/>
        <v>46087</v>
      </c>
      <c r="C3847" s="91">
        <f>VLOOKUP($B3847,'2026'!$A:$V,2,FALSE)</f>
        <v>17.677</v>
      </c>
      <c r="E3847" s="83">
        <f>VLOOKUP($B3847,'2026'!$A:$V,3,FALSE)</f>
        <v>0.86211000000000004</v>
      </c>
      <c r="G3847" s="84">
        <f>VLOOKUP($B3847,'2026'!$A:$V,4,FALSE)</f>
        <v>1410.2</v>
      </c>
      <c r="I3847" s="85">
        <f>VLOOKUP($B3847,'2026'!$A:$V,5,FALSE)</f>
        <v>6.9134099999999998</v>
      </c>
      <c r="K3847" s="85">
        <f>VLOOKUP($B3847,'2026'!$A:$V,6,FALSE)</f>
        <v>5.2674799999999999</v>
      </c>
      <c r="M3847" s="84">
        <f>VLOOKUP($B3847,'2026'!$A:$V,7,FALSE)</f>
        <v>909.904</v>
      </c>
      <c r="O3847" s="86">
        <f>VLOOKUP($B3847,'2026'!$A:$V,8,FALSE)</f>
        <v>3791.23</v>
      </c>
      <c r="Q3847" s="86">
        <f>VLOOKUP($B3847,'2026'!$A:$V,9,FALSE)</f>
        <v>6528.25</v>
      </c>
      <c r="S3847" s="86">
        <f>VLOOKUP($B3847,'2026'!$A:$V,20,FALSE)</f>
        <v>1239.3599999999999</v>
      </c>
      <c r="U3847" s="85">
        <f>VLOOKUP($B3847,'2026'!$A:$V,10,FALSE)</f>
        <v>3.4380600000000001</v>
      </c>
      <c r="W3847" s="81">
        <f>VLOOKUP($B3847,'2026'!$A:$V,11,FALSE)</f>
        <v>39.473599999999998</v>
      </c>
      <c r="Y3847" s="81">
        <f>VLOOKUP($B3847,'2026'!$A:$V,21,FALSE)</f>
        <v>7.4938599999999997</v>
      </c>
      <c r="AA3847" s="84">
        <f>VLOOKUP($B3847,'2026'!$A:$V,12,FALSE)</f>
        <v>475.072</v>
      </c>
      <c r="AC3847" s="81">
        <f>VLOOKUP($B3847,'2026'!$A:$V,13,FALSE)</f>
        <v>59.624000000000002</v>
      </c>
      <c r="AE3847" s="87">
        <f>VLOOKUP($B3847,'2026'!$A:$V,14,FALSE)</f>
        <v>1</v>
      </c>
      <c r="AG3847" s="85">
        <f>VLOOKUP($B3847,'2026'!$A:$V,15,FALSE)</f>
        <v>7.6707099999999997</v>
      </c>
      <c r="AI3847" s="86">
        <f>VLOOKUP($B3847,'2026'!$A:$V,16,FALSE)</f>
        <v>8.75</v>
      </c>
      <c r="AK3847" s="81">
        <f>VLOOKUP($B3847,'2026'!$A:$V,17,FALSE)</f>
        <v>26.467600000000001</v>
      </c>
      <c r="AM3847" s="81">
        <f>VLOOKUP($B3847,'2026'!$A:$V,18,FALSE)</f>
        <v>36.799700000000001</v>
      </c>
      <c r="AO3847" s="85">
        <f>VLOOKUP($B3847,'2026'!$A:$V,19,FALSE)</f>
        <v>6.7715500000000004</v>
      </c>
    </row>
    <row r="3848" spans="2:41" x14ac:dyDescent="0.25">
      <c r="B3848" s="21">
        <f t="shared" si="11"/>
        <v>46088</v>
      </c>
      <c r="C3848" s="91">
        <f>VLOOKUP($B3848,'2026'!$A:$V,2,FALSE)</f>
        <v>17.677</v>
      </c>
      <c r="E3848" s="83">
        <f>VLOOKUP($B3848,'2026'!$A:$V,3,FALSE)</f>
        <v>0.86081799999999997</v>
      </c>
      <c r="G3848" s="84">
        <f>VLOOKUP($B3848,'2026'!$A:$V,4,FALSE)</f>
        <v>1415.6</v>
      </c>
      <c r="I3848" s="85">
        <f>VLOOKUP($B3848,'2026'!$A:$V,5,FALSE)</f>
        <v>6.9206300000000001</v>
      </c>
      <c r="K3848" s="85">
        <f>VLOOKUP($B3848,'2026'!$A:$V,6,FALSE)</f>
        <v>5.25108</v>
      </c>
      <c r="M3848" s="84">
        <f>VLOOKUP($B3848,'2026'!$A:$V,7,FALSE)</f>
        <v>911.822</v>
      </c>
      <c r="O3848" s="86">
        <f>VLOOKUP($B3848,'2026'!$A:$V,8,FALSE)</f>
        <v>3783.66</v>
      </c>
      <c r="Q3848" s="86">
        <f>VLOOKUP($B3848,'2026'!$A:$V,9,FALSE)</f>
        <v>6489.34</v>
      </c>
      <c r="S3848" s="86">
        <f>VLOOKUP($B3848,'2026'!$A:$V,20,FALSE)</f>
        <v>1235.81</v>
      </c>
      <c r="U3848" s="85">
        <f>VLOOKUP($B3848,'2026'!$A:$V,10,FALSE)</f>
        <v>3.4639000000000002</v>
      </c>
      <c r="W3848" s="81">
        <f>VLOOKUP($B3848,'2026'!$A:$V,11,FALSE)</f>
        <v>39.780999999999999</v>
      </c>
      <c r="Y3848" s="81">
        <f>VLOOKUP($B3848,'2026'!$A:$V,21,FALSE)</f>
        <v>7.5758000000000001</v>
      </c>
      <c r="AA3848" s="84">
        <f>VLOOKUP($B3848,'2026'!$A:$V,12,FALSE)</f>
        <v>477.72800000000001</v>
      </c>
      <c r="AC3848" s="81">
        <f>VLOOKUP($B3848,'2026'!$A:$V,13,FALSE)</f>
        <v>60.29</v>
      </c>
      <c r="AE3848" s="87">
        <f>VLOOKUP($B3848,'2026'!$A:$V,14,FALSE)</f>
        <v>1</v>
      </c>
      <c r="AG3848" s="85">
        <f>VLOOKUP($B3848,'2026'!$A:$V,15,FALSE)</f>
        <v>7.6725199999999996</v>
      </c>
      <c r="AI3848" s="86">
        <f>VLOOKUP($B3848,'2026'!$A:$V,16,FALSE)</f>
        <v>8.75</v>
      </c>
      <c r="AK3848" s="81">
        <f>VLOOKUP($B3848,'2026'!$A:$V,17,FALSE)</f>
        <v>26.471</v>
      </c>
      <c r="AM3848" s="81">
        <f>VLOOKUP($B3848,'2026'!$A:$V,18,FALSE)</f>
        <v>36.802799999999998</v>
      </c>
      <c r="AO3848" s="85">
        <f>VLOOKUP($B3848,'2026'!$A:$V,19,FALSE)</f>
        <v>6.7763600000000004</v>
      </c>
    </row>
    <row r="3849" spans="2:41" x14ac:dyDescent="0.25">
      <c r="B3849" s="21">
        <f t="shared" si="11"/>
        <v>46089</v>
      </c>
      <c r="C3849" s="91">
        <f>VLOOKUP($B3849,'2026'!$A:$V,2,FALSE)</f>
        <v>17.677</v>
      </c>
      <c r="E3849" s="83">
        <f>VLOOKUP($B3849,'2026'!$A:$V,3,FALSE)</f>
        <v>0.86150899999999997</v>
      </c>
      <c r="G3849" s="84">
        <f>VLOOKUP($B3849,'2026'!$A:$V,4,FALSE)</f>
        <v>1416.64</v>
      </c>
      <c r="I3849" s="85">
        <f>VLOOKUP($B3849,'2026'!$A:$V,5,FALSE)</f>
        <v>6.9206300000000001</v>
      </c>
      <c r="K3849" s="85">
        <f>VLOOKUP($B3849,'2026'!$A:$V,6,FALSE)</f>
        <v>5.2511299999999999</v>
      </c>
      <c r="M3849" s="84">
        <f>VLOOKUP($B3849,'2026'!$A:$V,7,FALSE)</f>
        <v>912.25099999999998</v>
      </c>
      <c r="O3849" s="86">
        <f>VLOOKUP($B3849,'2026'!$A:$V,8,FALSE)</f>
        <v>3783.07</v>
      </c>
      <c r="Q3849" s="86">
        <f>VLOOKUP($B3849,'2026'!$A:$V,9,FALSE)</f>
        <v>6489.34</v>
      </c>
      <c r="S3849" s="86">
        <f>VLOOKUP($B3849,'2026'!$A:$V,20,FALSE)</f>
        <v>1235.8</v>
      </c>
      <c r="U3849" s="85">
        <f>VLOOKUP($B3849,'2026'!$A:$V,10,FALSE)</f>
        <v>3.4624600000000001</v>
      </c>
      <c r="W3849" s="81">
        <f>VLOOKUP($B3849,'2026'!$A:$V,11,FALSE)</f>
        <v>39.772199999999998</v>
      </c>
      <c r="Y3849" s="81">
        <f>VLOOKUP($B3849,'2026'!$A:$V,21,FALSE)</f>
        <v>7.5740400000000001</v>
      </c>
      <c r="AA3849" s="84">
        <f>VLOOKUP($B3849,'2026'!$A:$V,12,FALSE)</f>
        <v>477.745</v>
      </c>
      <c r="AC3849" s="81">
        <f>VLOOKUP($B3849,'2026'!$A:$V,13,FALSE)</f>
        <v>60.2761</v>
      </c>
      <c r="AE3849" s="87">
        <f>VLOOKUP($B3849,'2026'!$A:$V,14,FALSE)</f>
        <v>1</v>
      </c>
      <c r="AG3849" s="85">
        <f>VLOOKUP($B3849,'2026'!$A:$V,15,FALSE)</f>
        <v>7.6724199999999998</v>
      </c>
      <c r="AI3849" s="86">
        <f>VLOOKUP($B3849,'2026'!$A:$V,16,FALSE)</f>
        <v>8.75</v>
      </c>
      <c r="AK3849" s="81">
        <f>VLOOKUP($B3849,'2026'!$A:$V,17,FALSE)</f>
        <v>26.467400000000001</v>
      </c>
      <c r="AM3849" s="81">
        <f>VLOOKUP($B3849,'2026'!$A:$V,18,FALSE)</f>
        <v>36.802599999999998</v>
      </c>
      <c r="AO3849" s="85">
        <f>VLOOKUP($B3849,'2026'!$A:$V,19,FALSE)</f>
        <v>6.7732200000000002</v>
      </c>
    </row>
    <row r="3850" spans="2:41" x14ac:dyDescent="0.25">
      <c r="B3850" s="21">
        <f t="shared" si="11"/>
        <v>46090</v>
      </c>
      <c r="C3850" s="91">
        <f>VLOOKUP($B3850,'2026'!$A:$V,2,FALSE)</f>
        <v>17.796199999999999</v>
      </c>
      <c r="E3850" s="83">
        <f>VLOOKUP($B3850,'2026'!$A:$V,3,FALSE)</f>
        <v>0.86448499999999995</v>
      </c>
      <c r="G3850" s="84">
        <f>VLOOKUP($B3850,'2026'!$A:$V,4,FALSE)</f>
        <v>1417.76</v>
      </c>
      <c r="I3850" s="85">
        <f>VLOOKUP($B3850,'2026'!$A:$V,5,FALSE)</f>
        <v>6.9125800000000002</v>
      </c>
      <c r="K3850" s="85">
        <f>VLOOKUP($B3850,'2026'!$A:$V,6,FALSE)</f>
        <v>5.2392200000000004</v>
      </c>
      <c r="M3850" s="84">
        <f>VLOOKUP($B3850,'2026'!$A:$V,7,FALSE)</f>
        <v>917.87599999999998</v>
      </c>
      <c r="O3850" s="86">
        <f>VLOOKUP($B3850,'2026'!$A:$V,8,FALSE)</f>
        <v>3766.78</v>
      </c>
      <c r="Q3850" s="86">
        <f>VLOOKUP($B3850,'2026'!$A:$V,9,FALSE)</f>
        <v>6511.44</v>
      </c>
      <c r="S3850" s="86">
        <f>VLOOKUP($B3850,'2026'!$A:$V,20,FALSE)</f>
        <v>1242.83</v>
      </c>
      <c r="U3850" s="85">
        <f>VLOOKUP($B3850,'2026'!$A:$V,10,FALSE)</f>
        <v>3.4605600000000001</v>
      </c>
      <c r="W3850" s="81">
        <f>VLOOKUP($B3850,'2026'!$A:$V,11,FALSE)</f>
        <v>39.979799999999997</v>
      </c>
      <c r="Y3850" s="81">
        <f>VLOOKUP($B3850,'2026'!$A:$V,21,FALSE)</f>
        <v>7.6308999999999996</v>
      </c>
      <c r="AA3850" s="84">
        <f>VLOOKUP($B3850,'2026'!$A:$V,12,FALSE)</f>
        <v>477.51799999999997</v>
      </c>
      <c r="AC3850" s="81">
        <f>VLOOKUP($B3850,'2026'!$A:$V,13,FALSE)</f>
        <v>60.042700000000004</v>
      </c>
      <c r="AE3850" s="87">
        <f>VLOOKUP($B3850,'2026'!$A:$V,14,FALSE)</f>
        <v>1</v>
      </c>
      <c r="AG3850" s="85">
        <f>VLOOKUP($B3850,'2026'!$A:$V,15,FALSE)</f>
        <v>7.6705699999999997</v>
      </c>
      <c r="AI3850" s="86">
        <f>VLOOKUP($B3850,'2026'!$A:$V,16,FALSE)</f>
        <v>8.75</v>
      </c>
      <c r="AK3850" s="81">
        <f>VLOOKUP($B3850,'2026'!$A:$V,17,FALSE)</f>
        <v>26.521999999999998</v>
      </c>
      <c r="AM3850" s="81">
        <f>VLOOKUP($B3850,'2026'!$A:$V,18,FALSE)</f>
        <v>36.858800000000002</v>
      </c>
      <c r="AO3850" s="85">
        <f>VLOOKUP($B3850,'2026'!$A:$V,19,FALSE)</f>
        <v>6.7788199999999996</v>
      </c>
    </row>
    <row r="3851" spans="2:41" x14ac:dyDescent="0.25">
      <c r="B3851" s="21">
        <f t="shared" si="11"/>
        <v>46091</v>
      </c>
      <c r="C3851" s="91">
        <f>VLOOKUP($B3851,'2026'!$A:$V,2,FALSE)</f>
        <v>17.768699999999999</v>
      </c>
      <c r="E3851" s="83">
        <f>VLOOKUP($B3851,'2026'!$A:$V,3,FALSE)</f>
        <v>0.85987800000000003</v>
      </c>
      <c r="G3851" s="84">
        <f>VLOOKUP($B3851,'2026'!$A:$V,4,FALSE)</f>
        <v>1409.51</v>
      </c>
      <c r="I3851" s="85">
        <f>VLOOKUP($B3851,'2026'!$A:$V,5,FALSE)</f>
        <v>6.9175199999999997</v>
      </c>
      <c r="K3851" s="85">
        <f>VLOOKUP($B3851,'2026'!$A:$V,6,FALSE)</f>
        <v>5.1741200000000003</v>
      </c>
      <c r="M3851" s="84">
        <f>VLOOKUP($B3851,'2026'!$A:$V,7,FALSE)</f>
        <v>904.15</v>
      </c>
      <c r="O3851" s="86">
        <f>VLOOKUP($B3851,'2026'!$A:$V,8,FALSE)</f>
        <v>3740.44</v>
      </c>
      <c r="Q3851" s="86">
        <f>VLOOKUP($B3851,'2026'!$A:$V,9,FALSE)</f>
        <v>6456.56</v>
      </c>
      <c r="S3851" s="86">
        <f>VLOOKUP($B3851,'2026'!$A:$V,20,FALSE)</f>
        <v>1247.8599999999999</v>
      </c>
      <c r="U3851" s="85">
        <f>VLOOKUP($B3851,'2026'!$A:$V,10,FALSE)</f>
        <v>3.4627300000000001</v>
      </c>
      <c r="W3851" s="81">
        <f>VLOOKUP($B3851,'2026'!$A:$V,11,FALSE)</f>
        <v>40.099800000000002</v>
      </c>
      <c r="Y3851" s="81">
        <f>VLOOKUP($B3851,'2026'!$A:$V,21,FALSE)</f>
        <v>7.7500999999999998</v>
      </c>
      <c r="AA3851" s="84">
        <f>VLOOKUP($B3851,'2026'!$A:$V,12,FALSE)</f>
        <v>472.96699999999998</v>
      </c>
      <c r="AC3851" s="81">
        <f>VLOOKUP($B3851,'2026'!$A:$V,13,FALSE)</f>
        <v>60.1006</v>
      </c>
      <c r="AE3851" s="87">
        <f>VLOOKUP($B3851,'2026'!$A:$V,14,FALSE)</f>
        <v>1</v>
      </c>
      <c r="AG3851" s="85">
        <f>VLOOKUP($B3851,'2026'!$A:$V,15,FALSE)</f>
        <v>7.6580199999999996</v>
      </c>
      <c r="AI3851" s="86">
        <f>VLOOKUP($B3851,'2026'!$A:$V,16,FALSE)</f>
        <v>8.75</v>
      </c>
      <c r="AK3851" s="81">
        <f>VLOOKUP($B3851,'2026'!$A:$V,17,FALSE)</f>
        <v>26.457799999999999</v>
      </c>
      <c r="AM3851" s="81">
        <f>VLOOKUP($B3851,'2026'!$A:$V,18,FALSE)</f>
        <v>36.741399999999999</v>
      </c>
      <c r="AO3851" s="85">
        <f>VLOOKUP($B3851,'2026'!$A:$V,19,FALSE)</f>
        <v>6.7767200000000001</v>
      </c>
    </row>
    <row r="3852" spans="2:41" x14ac:dyDescent="0.25">
      <c r="B3852" s="21">
        <f t="shared" si="11"/>
        <v>46092</v>
      </c>
      <c r="C3852" s="91">
        <f>VLOOKUP($B3852,'2026'!$A:$V,2,FALSE)</f>
        <v>17.503699999999998</v>
      </c>
      <c r="E3852" s="83">
        <f>VLOOKUP($B3852,'2026'!$A:$V,3,FALSE)</f>
        <v>0.86236199999999996</v>
      </c>
      <c r="G3852" s="84">
        <f>VLOOKUP($B3852,'2026'!$A:$V,4,FALSE)</f>
        <v>1398.16</v>
      </c>
      <c r="I3852" s="85">
        <f>VLOOKUP($B3852,'2026'!$A:$V,5,FALSE)</f>
        <v>6.9139200000000001</v>
      </c>
      <c r="K3852" s="85">
        <f>VLOOKUP($B3852,'2026'!$A:$V,6,FALSE)</f>
        <v>5.1677400000000002</v>
      </c>
      <c r="M3852" s="84">
        <f>VLOOKUP($B3852,'2026'!$A:$V,7,FALSE)</f>
        <v>893.4</v>
      </c>
      <c r="O3852" s="86">
        <f>VLOOKUP($B3852,'2026'!$A:$V,8,FALSE)</f>
        <v>3706.5</v>
      </c>
      <c r="Q3852" s="86">
        <f>VLOOKUP($B3852,'2026'!$A:$V,9,FALSE)</f>
        <v>6497.5</v>
      </c>
      <c r="S3852" s="86">
        <f>VLOOKUP($B3852,'2026'!$A:$V,20,FALSE)</f>
        <v>1257.32</v>
      </c>
      <c r="U3852" s="85">
        <f>VLOOKUP($B3852,'2026'!$A:$V,10,FALSE)</f>
        <v>3.4430999999999998</v>
      </c>
      <c r="W3852" s="81">
        <f>VLOOKUP($B3852,'2026'!$A:$V,11,FALSE)</f>
        <v>40.214300000000001</v>
      </c>
      <c r="Y3852" s="81">
        <f>VLOOKUP($B3852,'2026'!$A:$V,21,FALSE)</f>
        <v>7.7818199999999997</v>
      </c>
      <c r="AA3852" s="84">
        <f>VLOOKUP($B3852,'2026'!$A:$V,12,FALSE)</f>
        <v>471.80399999999997</v>
      </c>
      <c r="AC3852" s="81">
        <f>VLOOKUP($B3852,'2026'!$A:$V,13,FALSE)</f>
        <v>60.593400000000003</v>
      </c>
      <c r="AE3852" s="87">
        <f>VLOOKUP($B3852,'2026'!$A:$V,14,FALSE)</f>
        <v>1</v>
      </c>
      <c r="AG3852" s="85">
        <f>VLOOKUP($B3852,'2026'!$A:$V,15,FALSE)</f>
        <v>7.6694599999999999</v>
      </c>
      <c r="AI3852" s="86">
        <f>VLOOKUP($B3852,'2026'!$A:$V,16,FALSE)</f>
        <v>8.75</v>
      </c>
      <c r="AK3852" s="81">
        <f>VLOOKUP($B3852,'2026'!$A:$V,17,FALSE)</f>
        <v>26.5092</v>
      </c>
      <c r="AM3852" s="81">
        <f>VLOOKUP($B3852,'2026'!$A:$V,18,FALSE)</f>
        <v>36.787700000000001</v>
      </c>
      <c r="AO3852" s="85">
        <f>VLOOKUP($B3852,'2026'!$A:$V,19,FALSE)</f>
        <v>6.78735</v>
      </c>
    </row>
    <row r="3853" spans="2:41" x14ac:dyDescent="0.25">
      <c r="B3853" s="21">
        <f t="shared" si="11"/>
        <v>46093</v>
      </c>
      <c r="C3853" s="91">
        <f>VLOOKUP($B3853,'2026'!$A:$V,2,FALSE)</f>
        <v>17.654299999999999</v>
      </c>
      <c r="E3853" s="83">
        <f>VLOOKUP($B3853,'2026'!$A:$V,3,FALSE)</f>
        <v>0.86698500000000001</v>
      </c>
      <c r="G3853" s="84">
        <f>VLOOKUP($B3853,'2026'!$A:$V,4,FALSE)</f>
        <v>1396.23</v>
      </c>
      <c r="I3853" s="85">
        <f>VLOOKUP($B3853,'2026'!$A:$V,5,FALSE)</f>
        <v>6.9225399999999997</v>
      </c>
      <c r="K3853" s="85">
        <f>VLOOKUP($B3853,'2026'!$A:$V,6,FALSE)</f>
        <v>5.1891800000000003</v>
      </c>
      <c r="M3853" s="84">
        <f>VLOOKUP($B3853,'2026'!$A:$V,7,FALSE)</f>
        <v>904.42899999999997</v>
      </c>
      <c r="O3853" s="86">
        <f>VLOOKUP($B3853,'2026'!$A:$V,8,FALSE)</f>
        <v>3701.39</v>
      </c>
      <c r="Q3853" s="86">
        <f>VLOOKUP($B3853,'2026'!$A:$V,9,FALSE)</f>
        <v>6493.66</v>
      </c>
      <c r="S3853" s="86">
        <f>VLOOKUP($B3853,'2026'!$A:$V,20,FALSE)</f>
        <v>1251.3900000000001</v>
      </c>
      <c r="U3853" s="85">
        <f>VLOOKUP($B3853,'2026'!$A:$V,10,FALSE)</f>
        <v>3.4340000000000002</v>
      </c>
      <c r="W3853" s="81">
        <f>VLOOKUP($B3853,'2026'!$A:$V,11,FALSE)</f>
        <v>40.193399999999997</v>
      </c>
      <c r="Y3853" s="81">
        <f>VLOOKUP($B3853,'2026'!$A:$V,21,FALSE)</f>
        <v>7.7456300000000002</v>
      </c>
      <c r="AA3853" s="84">
        <f>VLOOKUP($B3853,'2026'!$A:$V,12,FALSE)</f>
        <v>472.22899999999998</v>
      </c>
      <c r="AC3853" s="81">
        <f>VLOOKUP($B3853,'2026'!$A:$V,13,FALSE)</f>
        <v>61.088900000000002</v>
      </c>
      <c r="AE3853" s="87">
        <f>VLOOKUP($B3853,'2026'!$A:$V,14,FALSE)</f>
        <v>1</v>
      </c>
      <c r="AG3853" s="85">
        <f>VLOOKUP($B3853,'2026'!$A:$V,15,FALSE)</f>
        <v>7.68154</v>
      </c>
      <c r="AI3853" s="86">
        <f>VLOOKUP($B3853,'2026'!$A:$V,16,FALSE)</f>
        <v>8.75</v>
      </c>
      <c r="AK3853" s="81">
        <f>VLOOKUP($B3853,'2026'!$A:$V,17,FALSE)</f>
        <v>26.5352</v>
      </c>
      <c r="AM3853" s="81">
        <f>VLOOKUP($B3853,'2026'!$A:$V,18,FALSE)</f>
        <v>36.843200000000003</v>
      </c>
      <c r="AO3853" s="85">
        <f>VLOOKUP($B3853,'2026'!$A:$V,19,FALSE)</f>
        <v>6.79711</v>
      </c>
    </row>
    <row r="3854" spans="2:41" x14ac:dyDescent="0.25">
      <c r="B3854" s="21">
        <f t="shared" si="11"/>
        <v>46094</v>
      </c>
      <c r="C3854" s="91">
        <f>VLOOKUP($B3854,'2026'!$A:$V,2,FALSE)</f>
        <v>17.8368</v>
      </c>
      <c r="E3854" s="83">
        <f>VLOOKUP($B3854,'2026'!$A:$V,3,FALSE)</f>
        <v>0.87223600000000001</v>
      </c>
      <c r="G3854" s="84">
        <f>VLOOKUP($B3854,'2026'!$A:$V,4,FALSE)</f>
        <v>1395.83</v>
      </c>
      <c r="I3854" s="85">
        <f>VLOOKUP($B3854,'2026'!$A:$V,5,FALSE)</f>
        <v>6.9223999999999997</v>
      </c>
      <c r="K3854" s="85">
        <f>VLOOKUP($B3854,'2026'!$A:$V,6,FALSE)</f>
        <v>5.2668900000000001</v>
      </c>
      <c r="M3854" s="84">
        <f>VLOOKUP($B3854,'2026'!$A:$V,7,FALSE)</f>
        <v>914.92</v>
      </c>
      <c r="O3854" s="86">
        <f>VLOOKUP($B3854,'2026'!$A:$V,8,FALSE)</f>
        <v>3700.95</v>
      </c>
      <c r="Q3854" s="86">
        <f>VLOOKUP($B3854,'2026'!$A:$V,9,FALSE)</f>
        <v>6479.6</v>
      </c>
      <c r="S3854" s="86">
        <f>VLOOKUP($B3854,'2026'!$A:$V,20,FALSE)</f>
        <v>1230.26</v>
      </c>
      <c r="U3854" s="85">
        <f>VLOOKUP($B3854,'2026'!$A:$V,10,FALSE)</f>
        <v>3.44408</v>
      </c>
      <c r="W3854" s="81">
        <f>VLOOKUP($B3854,'2026'!$A:$V,11,FALSE)</f>
        <v>40.230600000000003</v>
      </c>
      <c r="Y3854" s="81">
        <f>VLOOKUP($B3854,'2026'!$A:$V,21,FALSE)</f>
        <v>7.63842</v>
      </c>
      <c r="AA3854" s="84">
        <f>VLOOKUP($B3854,'2026'!$A:$V,12,FALSE)</f>
        <v>471.64</v>
      </c>
      <c r="AC3854" s="81">
        <f>VLOOKUP($B3854,'2026'!$A:$V,13,FALSE)</f>
        <v>61.448</v>
      </c>
      <c r="AE3854" s="87">
        <f>VLOOKUP($B3854,'2026'!$A:$V,14,FALSE)</f>
        <v>1</v>
      </c>
      <c r="AG3854" s="85">
        <f>VLOOKUP($B3854,'2026'!$A:$V,15,FALSE)</f>
        <v>7.6786399999999997</v>
      </c>
      <c r="AI3854" s="86">
        <f>VLOOKUP($B3854,'2026'!$A:$V,16,FALSE)</f>
        <v>8.75</v>
      </c>
      <c r="AK3854" s="81">
        <f>VLOOKUP($B3854,'2026'!$A:$V,17,FALSE)</f>
        <v>26.5305</v>
      </c>
      <c r="AM3854" s="81">
        <f>VLOOKUP($B3854,'2026'!$A:$V,18,FALSE)</f>
        <v>36.823399999999999</v>
      </c>
      <c r="AO3854" s="85">
        <f>VLOOKUP($B3854,'2026'!$A:$V,19,FALSE)</f>
        <v>6.7926399999999996</v>
      </c>
    </row>
    <row r="3855" spans="2:41" x14ac:dyDescent="0.25">
      <c r="B3855" s="21">
        <f t="shared" si="11"/>
        <v>46095</v>
      </c>
      <c r="C3855" s="91">
        <f>VLOOKUP($B3855,'2026'!$A:$V,2,FALSE)</f>
        <v>17.8368</v>
      </c>
      <c r="E3855" s="83">
        <f>VLOOKUP($B3855,'2026'!$A:$V,3,FALSE)</f>
        <v>0.87592899999999996</v>
      </c>
      <c r="G3855" s="84">
        <f>VLOOKUP($B3855,'2026'!$A:$V,4,FALSE)</f>
        <v>1398.28</v>
      </c>
      <c r="I3855" s="85">
        <f>VLOOKUP($B3855,'2026'!$A:$V,5,FALSE)</f>
        <v>6.9139600000000003</v>
      </c>
      <c r="K3855" s="85">
        <f>VLOOKUP($B3855,'2026'!$A:$V,6,FALSE)</f>
        <v>5.3233199999999998</v>
      </c>
      <c r="M3855" s="84">
        <f>VLOOKUP($B3855,'2026'!$A:$V,7,FALSE)</f>
        <v>917.94799999999998</v>
      </c>
      <c r="O3855" s="86">
        <f>VLOOKUP($B3855,'2026'!$A:$V,8,FALSE)</f>
        <v>3702.72</v>
      </c>
      <c r="Q3855" s="86">
        <f>VLOOKUP($B3855,'2026'!$A:$V,9,FALSE)</f>
        <v>6461.09</v>
      </c>
      <c r="S3855" s="86">
        <f>VLOOKUP($B3855,'2026'!$A:$V,20,FALSE)</f>
        <v>1213.74</v>
      </c>
      <c r="U3855" s="85">
        <f>VLOOKUP($B3855,'2026'!$A:$V,10,FALSE)</f>
        <v>3.4525000000000001</v>
      </c>
      <c r="W3855" s="81">
        <f>VLOOKUP($B3855,'2026'!$A:$V,11,FALSE)</f>
        <v>40.371299999999998</v>
      </c>
      <c r="Y3855" s="81">
        <f>VLOOKUP($B3855,'2026'!$A:$V,21,FALSE)</f>
        <v>7.5838599999999996</v>
      </c>
      <c r="AA3855" s="84">
        <f>VLOOKUP($B3855,'2026'!$A:$V,12,FALSE)</f>
        <v>470.62700000000001</v>
      </c>
      <c r="AC3855" s="81">
        <f>VLOOKUP($B3855,'2026'!$A:$V,13,FALSE)</f>
        <v>61.713000000000001</v>
      </c>
      <c r="AE3855" s="87">
        <f>VLOOKUP($B3855,'2026'!$A:$V,14,FALSE)</f>
        <v>1</v>
      </c>
      <c r="AG3855" s="85">
        <f>VLOOKUP($B3855,'2026'!$A:$V,15,FALSE)</f>
        <v>7.6693699999999998</v>
      </c>
      <c r="AI3855" s="86">
        <f>VLOOKUP($B3855,'2026'!$A:$V,16,FALSE)</f>
        <v>8.75</v>
      </c>
      <c r="AK3855" s="81">
        <f>VLOOKUP($B3855,'2026'!$A:$V,17,FALSE)</f>
        <v>26.545999999999999</v>
      </c>
      <c r="AM3855" s="81">
        <f>VLOOKUP($B3855,'2026'!$A:$V,18,FALSE)</f>
        <v>36.76</v>
      </c>
      <c r="AO3855" s="85">
        <f>VLOOKUP($B3855,'2026'!$A:$V,19,FALSE)</f>
        <v>6.78329</v>
      </c>
    </row>
    <row r="3856" spans="2:41" x14ac:dyDescent="0.25">
      <c r="B3856" s="21">
        <f t="shared" si="11"/>
        <v>46096</v>
      </c>
      <c r="C3856" s="91">
        <f>VLOOKUP($B3856,'2026'!$A:$V,2,FALSE)</f>
        <v>17.8368</v>
      </c>
      <c r="E3856" s="83">
        <f>VLOOKUP($B3856,'2026'!$A:$V,3,FALSE)</f>
        <v>0.87582599999999999</v>
      </c>
      <c r="G3856" s="84">
        <f>VLOOKUP($B3856,'2026'!$A:$V,4,FALSE)</f>
        <v>1398.4</v>
      </c>
      <c r="I3856" s="85">
        <f>VLOOKUP($B3856,'2026'!$A:$V,5,FALSE)</f>
        <v>6.9139600000000003</v>
      </c>
      <c r="K3856" s="85">
        <f>VLOOKUP($B3856,'2026'!$A:$V,6,FALSE)</f>
        <v>5.3233600000000001</v>
      </c>
      <c r="M3856" s="84">
        <f>VLOOKUP($B3856,'2026'!$A:$V,7,FALSE)</f>
        <v>917.97799999999995</v>
      </c>
      <c r="O3856" s="86">
        <f>VLOOKUP($B3856,'2026'!$A:$V,8,FALSE)</f>
        <v>3702.63</v>
      </c>
      <c r="Q3856" s="86">
        <f>VLOOKUP($B3856,'2026'!$A:$V,9,FALSE)</f>
        <v>6461.09</v>
      </c>
      <c r="S3856" s="86">
        <f>VLOOKUP($B3856,'2026'!$A:$V,20,FALSE)</f>
        <v>1213.72</v>
      </c>
      <c r="U3856" s="85">
        <f>VLOOKUP($B3856,'2026'!$A:$V,10,FALSE)</f>
        <v>3.4521500000000001</v>
      </c>
      <c r="W3856" s="81">
        <f>VLOOKUP($B3856,'2026'!$A:$V,11,FALSE)</f>
        <v>40.3551</v>
      </c>
      <c r="Y3856" s="81">
        <f>VLOOKUP($B3856,'2026'!$A:$V,21,FALSE)</f>
        <v>7.5807700000000002</v>
      </c>
      <c r="AA3856" s="84">
        <f>VLOOKUP($B3856,'2026'!$A:$V,12,FALSE)</f>
        <v>470.62700000000001</v>
      </c>
      <c r="AC3856" s="81">
        <f>VLOOKUP($B3856,'2026'!$A:$V,13,FALSE)</f>
        <v>61.708799999999997</v>
      </c>
      <c r="AE3856" s="87">
        <f>VLOOKUP($B3856,'2026'!$A:$V,14,FALSE)</f>
        <v>1</v>
      </c>
      <c r="AG3856" s="85">
        <f>VLOOKUP($B3856,'2026'!$A:$V,15,FALSE)</f>
        <v>7.6693699999999998</v>
      </c>
      <c r="AI3856" s="86">
        <f>VLOOKUP($B3856,'2026'!$A:$V,16,FALSE)</f>
        <v>8.75</v>
      </c>
      <c r="AK3856" s="81">
        <f>VLOOKUP($B3856,'2026'!$A:$V,17,FALSE)</f>
        <v>26.5428</v>
      </c>
      <c r="AM3856" s="81">
        <f>VLOOKUP($B3856,'2026'!$A:$V,18,FALSE)</f>
        <v>36.76</v>
      </c>
      <c r="AO3856" s="85">
        <f>VLOOKUP($B3856,'2026'!$A:$V,19,FALSE)</f>
        <v>6.78329</v>
      </c>
    </row>
    <row r="3857" spans="2:41" x14ac:dyDescent="0.25">
      <c r="B3857" s="21">
        <f t="shared" si="11"/>
        <v>46097</v>
      </c>
      <c r="C3857" s="91">
        <f>VLOOKUP($B3857,'2026'!$A:$V,2,FALSE)</f>
        <v>17.8368</v>
      </c>
      <c r="E3857" s="83">
        <f>VLOOKUP($B3857,'2026'!$A:$V,3,FALSE)</f>
        <v>0.87164200000000003</v>
      </c>
      <c r="G3857" s="84">
        <f>VLOOKUP($B3857,'2026'!$A:$V,4,FALSE)</f>
        <v>1396.89</v>
      </c>
      <c r="I3857" s="85">
        <f>VLOOKUP($B3857,'2026'!$A:$V,5,FALSE)</f>
        <v>6.9242600000000003</v>
      </c>
      <c r="K3857" s="85">
        <f>VLOOKUP($B3857,'2026'!$A:$V,6,FALSE)</f>
        <v>5.2916600000000003</v>
      </c>
      <c r="M3857" s="84">
        <f>VLOOKUP($B3857,'2026'!$A:$V,7,FALSE)</f>
        <v>914.99800000000005</v>
      </c>
      <c r="O3857" s="86">
        <f>VLOOKUP($B3857,'2026'!$A:$V,8,FALSE)</f>
        <v>3697.36</v>
      </c>
      <c r="Q3857" s="86">
        <f>VLOOKUP($B3857,'2026'!$A:$V,9,FALSE)</f>
        <v>6474.1</v>
      </c>
      <c r="S3857" s="86">
        <f>VLOOKUP($B3857,'2026'!$A:$V,20,FALSE)</f>
        <v>1223.46</v>
      </c>
      <c r="U3857" s="85">
        <f>VLOOKUP($B3857,'2026'!$A:$V,10,FALSE)</f>
        <v>3.4429799999999999</v>
      </c>
      <c r="W3857" s="81">
        <f>VLOOKUP($B3857,'2026'!$A:$V,11,FALSE)</f>
        <v>40.436199999999999</v>
      </c>
      <c r="Y3857" s="81">
        <f>VLOOKUP($B3857,'2026'!$A:$V,21,FALSE)</f>
        <v>7.6414999999999997</v>
      </c>
      <c r="AA3857" s="84">
        <f>VLOOKUP($B3857,'2026'!$A:$V,12,FALSE)</f>
        <v>470.3</v>
      </c>
      <c r="AC3857" s="81">
        <f>VLOOKUP($B3857,'2026'!$A:$V,13,FALSE)</f>
        <v>61.417999999999999</v>
      </c>
      <c r="AE3857" s="87">
        <f>VLOOKUP($B3857,'2026'!$A:$V,14,FALSE)</f>
        <v>1</v>
      </c>
      <c r="AG3857" s="85">
        <f>VLOOKUP($B3857,'2026'!$A:$V,15,FALSE)</f>
        <v>7.6698300000000001</v>
      </c>
      <c r="AI3857" s="86">
        <f>VLOOKUP($B3857,'2026'!$A:$V,16,FALSE)</f>
        <v>8.75</v>
      </c>
      <c r="AK3857" s="81">
        <f>VLOOKUP($B3857,'2026'!$A:$V,17,FALSE)</f>
        <v>26.5137</v>
      </c>
      <c r="AM3857" s="81">
        <f>VLOOKUP($B3857,'2026'!$A:$V,18,FALSE)</f>
        <v>36.797499999999999</v>
      </c>
      <c r="AO3857" s="85">
        <f>VLOOKUP($B3857,'2026'!$A:$V,19,FALSE)</f>
        <v>6.7853700000000003</v>
      </c>
    </row>
    <row r="3858" spans="2:41" x14ac:dyDescent="0.25">
      <c r="B3858" s="21">
        <f t="shared" si="11"/>
        <v>46098</v>
      </c>
      <c r="C3858" s="91">
        <f>VLOOKUP($B3858,'2026'!$A:$V,2,FALSE)</f>
        <v>17.921800000000001</v>
      </c>
      <c r="E3858" s="83">
        <f>VLOOKUP($B3858,'2026'!$A:$V,3,FALSE)</f>
        <v>0.86839900000000003</v>
      </c>
      <c r="G3858" s="84">
        <f>VLOOKUP($B3858,'2026'!$A:$V,4,FALSE)</f>
        <v>1396.2</v>
      </c>
      <c r="I3858" s="85">
        <f>VLOOKUP($B3858,'2026'!$A:$V,5,FALSE)</f>
        <v>6.9188299999999998</v>
      </c>
      <c r="K3858" s="85">
        <f>VLOOKUP($B3858,'2026'!$A:$V,6,FALSE)</f>
        <v>5.2166800000000002</v>
      </c>
      <c r="M3858" s="84">
        <f>VLOOKUP($B3858,'2026'!$A:$V,7,FALSE)</f>
        <v>908.46400000000006</v>
      </c>
      <c r="O3858" s="86">
        <f>VLOOKUP($B3858,'2026'!$A:$V,8,FALSE)</f>
        <v>3701.77</v>
      </c>
      <c r="Q3858" s="86">
        <f>VLOOKUP($B3858,'2026'!$A:$V,9,FALSE)</f>
        <v>6477.13</v>
      </c>
      <c r="S3858" s="86">
        <f>VLOOKUP($B3858,'2026'!$A:$V,20,FALSE)</f>
        <v>1241.6199999999999</v>
      </c>
      <c r="U3858" s="85">
        <f>VLOOKUP($B3858,'2026'!$A:$V,10,FALSE)</f>
        <v>3.4281199999999998</v>
      </c>
      <c r="W3858" s="81">
        <f>VLOOKUP($B3858,'2026'!$A:$V,11,FALSE)</f>
        <v>40.582799999999999</v>
      </c>
      <c r="Y3858" s="81">
        <f>VLOOKUP($B3858,'2026'!$A:$V,21,FALSE)</f>
        <v>7.7794600000000003</v>
      </c>
      <c r="AA3858" s="84">
        <f>VLOOKUP($B3858,'2026'!$A:$V,12,FALSE)</f>
        <v>468.678</v>
      </c>
      <c r="AC3858" s="81">
        <f>VLOOKUP($B3858,'2026'!$A:$V,13,FALSE)</f>
        <v>60.889600000000002</v>
      </c>
      <c r="AE3858" s="87">
        <f>VLOOKUP($B3858,'2026'!$A:$V,14,FALSE)</f>
        <v>1</v>
      </c>
      <c r="AG3858" s="85">
        <f>VLOOKUP($B3858,'2026'!$A:$V,15,FALSE)</f>
        <v>7.6565200000000004</v>
      </c>
      <c r="AI3858" s="86">
        <f>VLOOKUP($B3858,'2026'!$A:$V,16,FALSE)</f>
        <v>8.75</v>
      </c>
      <c r="AK3858" s="81">
        <f>VLOOKUP($B3858,'2026'!$A:$V,17,FALSE)</f>
        <v>26.484400000000001</v>
      </c>
      <c r="AM3858" s="81">
        <f>VLOOKUP($B3858,'2026'!$A:$V,18,FALSE)</f>
        <v>36.753599999999999</v>
      </c>
      <c r="AO3858" s="85">
        <f>VLOOKUP($B3858,'2026'!$A:$V,19,FALSE)</f>
        <v>6.7758900000000004</v>
      </c>
    </row>
    <row r="3859" spans="2:41" x14ac:dyDescent="0.25">
      <c r="B3859" s="21">
        <f t="shared" si="11"/>
        <v>46099</v>
      </c>
      <c r="C3859" s="91">
        <f>VLOOKUP($B3859,'2026'!$A:$V,2,FALSE)</f>
        <v>17.6922</v>
      </c>
      <c r="E3859" s="83">
        <f>VLOOKUP($B3859,'2026'!$A:$V,3,FALSE)</f>
        <v>0.868452</v>
      </c>
      <c r="G3859" s="84">
        <f>VLOOKUP($B3859,'2026'!$A:$V,4,FALSE)</f>
        <v>1396.5</v>
      </c>
      <c r="I3859" s="85">
        <f>VLOOKUP($B3859,'2026'!$A:$V,5,FALSE)</f>
        <v>6.9080300000000001</v>
      </c>
      <c r="K3859" s="85">
        <f>VLOOKUP($B3859,'2026'!$A:$V,6,FALSE)</f>
        <v>5.2105800000000002</v>
      </c>
      <c r="M3859" s="84">
        <f>VLOOKUP($B3859,'2026'!$A:$V,7,FALSE)</f>
        <v>910.61800000000005</v>
      </c>
      <c r="O3859" s="86">
        <f>VLOOKUP($B3859,'2026'!$A:$V,8,FALSE)</f>
        <v>3702.24</v>
      </c>
      <c r="Q3859" s="86">
        <f>VLOOKUP($B3859,'2026'!$A:$V,9,FALSE)</f>
        <v>6471.09</v>
      </c>
      <c r="S3859" s="86">
        <f>VLOOKUP($B3859,'2026'!$A:$V,20,FALSE)</f>
        <v>1241.92</v>
      </c>
      <c r="U3859" s="85">
        <f>VLOOKUP($B3859,'2026'!$A:$V,10,FALSE)</f>
        <v>3.41988</v>
      </c>
      <c r="W3859" s="81">
        <f>VLOOKUP($B3859,'2026'!$A:$V,11,FALSE)</f>
        <v>40.540599999999998</v>
      </c>
      <c r="Y3859" s="81">
        <f>VLOOKUP($B3859,'2026'!$A:$V,21,FALSE)</f>
        <v>7.7804799999999998</v>
      </c>
      <c r="AA3859" s="84">
        <f>VLOOKUP($B3859,'2026'!$A:$V,12,FALSE)</f>
        <v>467.51100000000002</v>
      </c>
      <c r="AC3859" s="81">
        <f>VLOOKUP($B3859,'2026'!$A:$V,13,FALSE)</f>
        <v>60.4131</v>
      </c>
      <c r="AE3859" s="87">
        <f>VLOOKUP($B3859,'2026'!$A:$V,14,FALSE)</f>
        <v>1</v>
      </c>
      <c r="AG3859" s="85">
        <f>VLOOKUP($B3859,'2026'!$A:$V,15,FALSE)</f>
        <v>7.6523500000000002</v>
      </c>
      <c r="AI3859" s="86">
        <f>VLOOKUP($B3859,'2026'!$A:$V,16,FALSE)</f>
        <v>8.75</v>
      </c>
      <c r="AK3859" s="81">
        <f>VLOOKUP($B3859,'2026'!$A:$V,17,FALSE)</f>
        <v>26.485199999999999</v>
      </c>
      <c r="AM3859" s="81">
        <f>VLOOKUP($B3859,'2026'!$A:$V,18,FALSE)</f>
        <v>36.743600000000001</v>
      </c>
      <c r="AO3859" s="85">
        <f>VLOOKUP($B3859,'2026'!$A:$V,19,FALSE)</f>
        <v>6.7775100000000004</v>
      </c>
    </row>
    <row r="3860" spans="2:41" x14ac:dyDescent="0.25">
      <c r="B3860" s="21">
        <f t="shared" si="11"/>
        <v>46100</v>
      </c>
      <c r="C3860" s="91">
        <f>VLOOKUP($B3860,'2026'!$A:$V,2,FALSE)</f>
        <v>17.669</v>
      </c>
      <c r="E3860" s="83">
        <f>VLOOKUP($B3860,'2026'!$A:$V,3,FALSE)</f>
        <v>0.86889799999999995</v>
      </c>
      <c r="G3860" s="84">
        <f>VLOOKUP($B3860,'2026'!$A:$V,4,FALSE)</f>
        <v>1394.98</v>
      </c>
      <c r="I3860" s="85">
        <f>VLOOKUP($B3860,'2026'!$A:$V,5,FALSE)</f>
        <v>6.9315600000000002</v>
      </c>
      <c r="K3860" s="85">
        <f>VLOOKUP($B3860,'2026'!$A:$V,6,FALSE)</f>
        <v>5.2484999999999999</v>
      </c>
      <c r="M3860" s="84">
        <f>VLOOKUP($B3860,'2026'!$A:$V,7,FALSE)</f>
        <v>915.64800000000002</v>
      </c>
      <c r="O3860" s="86">
        <f>VLOOKUP($B3860,'2026'!$A:$V,8,FALSE)</f>
        <v>3701.09</v>
      </c>
      <c r="Q3860" s="86">
        <f>VLOOKUP($B3860,'2026'!$A:$V,9,FALSE)</f>
        <v>6500.56</v>
      </c>
      <c r="S3860" s="86">
        <f>VLOOKUP($B3860,'2026'!$A:$V,20,FALSE)</f>
        <v>1238.56</v>
      </c>
      <c r="U3860" s="85">
        <f>VLOOKUP($B3860,'2026'!$A:$V,10,FALSE)</f>
        <v>3.4422299999999999</v>
      </c>
      <c r="W3860" s="81">
        <f>VLOOKUP($B3860,'2026'!$A:$V,11,FALSE)</f>
        <v>40.622599999999998</v>
      </c>
      <c r="Y3860" s="81">
        <f>VLOOKUP($B3860,'2026'!$A:$V,21,FALSE)</f>
        <v>7.7398699999999998</v>
      </c>
      <c r="AA3860" s="84">
        <f>VLOOKUP($B3860,'2026'!$A:$V,12,FALSE)</f>
        <v>468.69</v>
      </c>
      <c r="AC3860" s="81">
        <f>VLOOKUP($B3860,'2026'!$A:$V,13,FALSE)</f>
        <v>59.990400000000001</v>
      </c>
      <c r="AE3860" s="87">
        <f>VLOOKUP($B3860,'2026'!$A:$V,14,FALSE)</f>
        <v>1</v>
      </c>
      <c r="AG3860" s="85">
        <f>VLOOKUP($B3860,'2026'!$A:$V,15,FALSE)</f>
        <v>7.6707799999999997</v>
      </c>
      <c r="AI3860" s="86">
        <f>VLOOKUP($B3860,'2026'!$A:$V,16,FALSE)</f>
        <v>8.75</v>
      </c>
      <c r="AK3860" s="81">
        <f>VLOOKUP($B3860,'2026'!$A:$V,17,FALSE)</f>
        <v>26.556799999999999</v>
      </c>
      <c r="AM3860" s="81">
        <f>VLOOKUP($B3860,'2026'!$A:$V,18,FALSE)</f>
        <v>36.857300000000002</v>
      </c>
      <c r="AO3860" s="85">
        <f>VLOOKUP($B3860,'2026'!$A:$V,19,FALSE)</f>
        <v>6.7929599999999999</v>
      </c>
    </row>
    <row r="3861" spans="2:41" x14ac:dyDescent="0.25">
      <c r="B3861" s="21">
        <f t="shared" si="11"/>
        <v>46101</v>
      </c>
      <c r="C3861" s="91">
        <f>VLOOKUP($B3861,'2026'!$A:$V,2,FALSE)</f>
        <v>17.811699999999998</v>
      </c>
      <c r="E3861" s="83">
        <f>VLOOKUP($B3861,'2026'!$A:$V,3,FALSE)</f>
        <v>0.86491300000000004</v>
      </c>
      <c r="G3861" s="84">
        <f>VLOOKUP($B3861,'2026'!$A:$V,4,FALSE)</f>
        <v>1393.95</v>
      </c>
      <c r="I3861" s="85">
        <f>VLOOKUP($B3861,'2026'!$A:$V,5,FALSE)</f>
        <v>6.9034700000000004</v>
      </c>
      <c r="K3861" s="85">
        <f>VLOOKUP($B3861,'2026'!$A:$V,6,FALSE)</f>
        <v>5.2596499999999997</v>
      </c>
      <c r="M3861" s="84">
        <f>VLOOKUP($B3861,'2026'!$A:$V,7,FALSE)</f>
        <v>919.13699999999994</v>
      </c>
      <c r="O3861" s="86">
        <f>VLOOKUP($B3861,'2026'!$A:$V,8,FALSE)</f>
        <v>3699.62</v>
      </c>
      <c r="Q3861" s="86">
        <f>VLOOKUP($B3861,'2026'!$A:$V,9,FALSE)</f>
        <v>6496.05</v>
      </c>
      <c r="S3861" s="86">
        <f>VLOOKUP($B3861,'2026'!$A:$V,20,FALSE)</f>
        <v>1235.08</v>
      </c>
      <c r="U3861" s="85">
        <f>VLOOKUP($B3861,'2026'!$A:$V,10,FALSE)</f>
        <v>3.4521099999999998</v>
      </c>
      <c r="W3861" s="81">
        <f>VLOOKUP($B3861,'2026'!$A:$V,11,FALSE)</f>
        <v>40.432400000000001</v>
      </c>
      <c r="Y3861" s="81">
        <f>VLOOKUP($B3861,'2026'!$A:$V,21,FALSE)</f>
        <v>7.6872800000000003</v>
      </c>
      <c r="AA3861" s="84">
        <f>VLOOKUP($B3861,'2026'!$A:$V,12,FALSE)</f>
        <v>466.524</v>
      </c>
      <c r="AC3861" s="81">
        <f>VLOOKUP($B3861,'2026'!$A:$V,13,FALSE)</f>
        <v>59.352200000000003</v>
      </c>
      <c r="AE3861" s="87">
        <f>VLOOKUP($B3861,'2026'!$A:$V,14,FALSE)</f>
        <v>1</v>
      </c>
      <c r="AG3861" s="85">
        <f>VLOOKUP($B3861,'2026'!$A:$V,15,FALSE)</f>
        <v>7.6389800000000001</v>
      </c>
      <c r="AI3861" s="86">
        <f>VLOOKUP($B3861,'2026'!$A:$V,16,FALSE)</f>
        <v>8.75</v>
      </c>
      <c r="AK3861" s="81">
        <f>VLOOKUP($B3861,'2026'!$A:$V,17,FALSE)</f>
        <v>26.440999999999999</v>
      </c>
      <c r="AM3861" s="81">
        <f>VLOOKUP($B3861,'2026'!$A:$V,18,FALSE)</f>
        <v>36.683399999999999</v>
      </c>
      <c r="AO3861" s="85">
        <f>VLOOKUP($B3861,'2026'!$A:$V,19,FALSE)</f>
        <v>6.7668299999999997</v>
      </c>
    </row>
    <row r="3862" spans="2:41" x14ac:dyDescent="0.25">
      <c r="B3862" s="21">
        <f t="shared" si="11"/>
        <v>46102</v>
      </c>
      <c r="C3862" s="91">
        <f>VLOOKUP($B3862,'2026'!$A:$V,2,FALSE)</f>
        <v>17.811699999999998</v>
      </c>
      <c r="E3862" s="83">
        <f>VLOOKUP($B3862,'2026'!$A:$V,3,FALSE)</f>
        <v>0.86420799999999998</v>
      </c>
      <c r="G3862" s="84">
        <f>VLOOKUP($B3862,'2026'!$A:$V,4,FALSE)</f>
        <v>1391.48</v>
      </c>
      <c r="I3862" s="85">
        <f>VLOOKUP($B3862,'2026'!$A:$V,5,FALSE)</f>
        <v>6.9191399999999996</v>
      </c>
      <c r="K3862" s="85">
        <f>VLOOKUP($B3862,'2026'!$A:$V,6,FALSE)</f>
        <v>5.3137999999999996</v>
      </c>
      <c r="M3862" s="84">
        <f>VLOOKUP($B3862,'2026'!$A:$V,7,FALSE)</f>
        <v>927.63800000000003</v>
      </c>
      <c r="O3862" s="86">
        <f>VLOOKUP($B3862,'2026'!$A:$V,8,FALSE)</f>
        <v>3712.59</v>
      </c>
      <c r="Q3862" s="86">
        <f>VLOOKUP($B3862,'2026'!$A:$V,9,FALSE)</f>
        <v>6532.38</v>
      </c>
      <c r="S3862" s="86">
        <f>VLOOKUP($B3862,'2026'!$A:$V,20,FALSE)</f>
        <v>1229.33</v>
      </c>
      <c r="U3862" s="85">
        <f>VLOOKUP($B3862,'2026'!$A:$V,10,FALSE)</f>
        <v>3.4789500000000002</v>
      </c>
      <c r="W3862" s="81">
        <f>VLOOKUP($B3862,'2026'!$A:$V,11,FALSE)</f>
        <v>40.5092</v>
      </c>
      <c r="Y3862" s="81">
        <f>VLOOKUP($B3862,'2026'!$A:$V,21,FALSE)</f>
        <v>7.6234200000000003</v>
      </c>
      <c r="AA3862" s="84">
        <f>VLOOKUP($B3862,'2026'!$A:$V,12,FALSE)</f>
        <v>467.12799999999999</v>
      </c>
      <c r="AC3862" s="81">
        <f>VLOOKUP($B3862,'2026'!$A:$V,13,FALSE)</f>
        <v>59.0075</v>
      </c>
      <c r="AE3862" s="87">
        <f>VLOOKUP($B3862,'2026'!$A:$V,14,FALSE)</f>
        <v>1</v>
      </c>
      <c r="AG3862" s="85">
        <f>VLOOKUP($B3862,'2026'!$A:$V,15,FALSE)</f>
        <v>7.6585999999999999</v>
      </c>
      <c r="AI3862" s="86">
        <f>VLOOKUP($B3862,'2026'!$A:$V,16,FALSE)</f>
        <v>8.75</v>
      </c>
      <c r="AK3862" s="81">
        <f>VLOOKUP($B3862,'2026'!$A:$V,17,FALSE)</f>
        <v>26.536999999999999</v>
      </c>
      <c r="AM3862" s="81">
        <f>VLOOKUP($B3862,'2026'!$A:$V,18,FALSE)</f>
        <v>36.76</v>
      </c>
      <c r="AO3862" s="85">
        <f>VLOOKUP($B3862,'2026'!$A:$V,19,FALSE)</f>
        <v>6.7839</v>
      </c>
    </row>
    <row r="3863" spans="2:41" x14ac:dyDescent="0.25">
      <c r="B3863" s="21">
        <f t="shared" si="11"/>
        <v>46103</v>
      </c>
      <c r="C3863" s="91">
        <f>VLOOKUP($B3863,'2026'!$A:$V,2,FALSE)</f>
        <v>17.811699999999998</v>
      </c>
      <c r="E3863" s="83">
        <f>VLOOKUP($B3863,'2026'!$A:$V,3,FALSE)</f>
        <v>0.86438099999999995</v>
      </c>
      <c r="G3863" s="84">
        <f>VLOOKUP($B3863,'2026'!$A:$V,4,FALSE)</f>
        <v>1390.9</v>
      </c>
      <c r="I3863" s="85">
        <f>VLOOKUP($B3863,'2026'!$A:$V,5,FALSE)</f>
        <v>6.9191399999999996</v>
      </c>
      <c r="K3863" s="85">
        <f>VLOOKUP($B3863,'2026'!$A:$V,6,FALSE)</f>
        <v>5.3141800000000003</v>
      </c>
      <c r="M3863" s="84">
        <f>VLOOKUP($B3863,'2026'!$A:$V,7,FALSE)</f>
        <v>927.63800000000003</v>
      </c>
      <c r="O3863" s="86">
        <f>VLOOKUP($B3863,'2026'!$A:$V,8,FALSE)</f>
        <v>3712.28</v>
      </c>
      <c r="Q3863" s="86">
        <f>VLOOKUP($B3863,'2026'!$A:$V,9,FALSE)</f>
        <v>6532.38</v>
      </c>
      <c r="S3863" s="86">
        <f>VLOOKUP($B3863,'2026'!$A:$V,20,FALSE)</f>
        <v>1229.24</v>
      </c>
      <c r="U3863" s="85">
        <f>VLOOKUP($B3863,'2026'!$A:$V,10,FALSE)</f>
        <v>3.4781599999999999</v>
      </c>
      <c r="W3863" s="81">
        <f>VLOOKUP($B3863,'2026'!$A:$V,11,FALSE)</f>
        <v>40.505200000000002</v>
      </c>
      <c r="Y3863" s="81">
        <f>VLOOKUP($B3863,'2026'!$A:$V,21,FALSE)</f>
        <v>7.6221199999999998</v>
      </c>
      <c r="AA3863" s="84">
        <f>VLOOKUP($B3863,'2026'!$A:$V,12,FALSE)</f>
        <v>467.12900000000002</v>
      </c>
      <c r="AC3863" s="81">
        <f>VLOOKUP($B3863,'2026'!$A:$V,13,FALSE)</f>
        <v>59.013199999999998</v>
      </c>
      <c r="AE3863" s="87">
        <f>VLOOKUP($B3863,'2026'!$A:$V,14,FALSE)</f>
        <v>1</v>
      </c>
      <c r="AG3863" s="85">
        <f>VLOOKUP($B3863,'2026'!$A:$V,15,FALSE)</f>
        <v>7.6585900000000002</v>
      </c>
      <c r="AI3863" s="86">
        <f>VLOOKUP($B3863,'2026'!$A:$V,16,FALSE)</f>
        <v>8.75</v>
      </c>
      <c r="AK3863" s="81">
        <f>VLOOKUP($B3863,'2026'!$A:$V,17,FALSE)</f>
        <v>26.531700000000001</v>
      </c>
      <c r="AM3863" s="81">
        <f>VLOOKUP($B3863,'2026'!$A:$V,18,FALSE)</f>
        <v>36.76</v>
      </c>
      <c r="AO3863" s="85">
        <f>VLOOKUP($B3863,'2026'!$A:$V,19,FALSE)</f>
        <v>6.7839</v>
      </c>
    </row>
    <row r="3864" spans="2:41" x14ac:dyDescent="0.25">
      <c r="B3864" s="21">
        <f t="shared" si="11"/>
        <v>46104</v>
      </c>
      <c r="C3864" s="91">
        <f>VLOOKUP($B3864,'2026'!$A:$V,2,FALSE)</f>
        <v>17.899799999999999</v>
      </c>
      <c r="E3864" s="83">
        <f>VLOOKUP($B3864,'2026'!$A:$V,3,FALSE)</f>
        <v>0.86414800000000003</v>
      </c>
      <c r="G3864" s="84">
        <f>VLOOKUP($B3864,'2026'!$A:$V,4,FALSE)</f>
        <v>1393.68</v>
      </c>
      <c r="I3864" s="85">
        <f>VLOOKUP($B3864,'2026'!$A:$V,5,FALSE)</f>
        <v>6.9130599999999998</v>
      </c>
      <c r="K3864" s="85">
        <f>VLOOKUP($B3864,'2026'!$A:$V,6,FALSE)</f>
        <v>5.28573</v>
      </c>
      <c r="M3864" s="84">
        <f>VLOOKUP($B3864,'2026'!$A:$V,7,FALSE)</f>
        <v>918.60199999999998</v>
      </c>
      <c r="O3864" s="86">
        <f>VLOOKUP($B3864,'2026'!$A:$V,8,FALSE)</f>
        <v>3706.79</v>
      </c>
      <c r="Q3864" s="86">
        <f>VLOOKUP($B3864,'2026'!$A:$V,9,FALSE)</f>
        <v>6531.76</v>
      </c>
      <c r="S3864" s="86">
        <f>VLOOKUP($B3864,'2026'!$A:$V,20,FALSE)</f>
        <v>1235.74</v>
      </c>
      <c r="U3864" s="85">
        <f>VLOOKUP($B3864,'2026'!$A:$V,10,FALSE)</f>
        <v>3.4668100000000002</v>
      </c>
      <c r="W3864" s="81">
        <f>VLOOKUP($B3864,'2026'!$A:$V,11,FALSE)</f>
        <v>40.502899999999997</v>
      </c>
      <c r="Y3864" s="81">
        <f>VLOOKUP($B3864,'2026'!$A:$V,21,FALSE)</f>
        <v>7.6627200000000002</v>
      </c>
      <c r="AA3864" s="84">
        <f>VLOOKUP($B3864,'2026'!$A:$V,12,FALSE)</f>
        <v>466.68599999999998</v>
      </c>
      <c r="AC3864" s="81">
        <f>VLOOKUP($B3864,'2026'!$A:$V,13,FALSE)</f>
        <v>59.498800000000003</v>
      </c>
      <c r="AE3864" s="87">
        <f>VLOOKUP($B3864,'2026'!$A:$V,14,FALSE)</f>
        <v>1</v>
      </c>
      <c r="AG3864" s="85">
        <f>VLOOKUP($B3864,'2026'!$A:$V,15,FALSE)</f>
        <v>7.6590199999999999</v>
      </c>
      <c r="AI3864" s="86">
        <f>VLOOKUP($B3864,'2026'!$A:$V,16,FALSE)</f>
        <v>8.75</v>
      </c>
      <c r="AK3864" s="81">
        <f>VLOOKUP($B3864,'2026'!$A:$V,17,FALSE)</f>
        <v>26.488199999999999</v>
      </c>
      <c r="AM3864" s="81">
        <f>VLOOKUP($B3864,'2026'!$A:$V,18,FALSE)</f>
        <v>36.800899999999999</v>
      </c>
      <c r="AO3864" s="85">
        <f>VLOOKUP($B3864,'2026'!$A:$V,19,FALSE)</f>
        <v>6.7868599999999999</v>
      </c>
    </row>
    <row r="3865" spans="2:41" x14ac:dyDescent="0.25">
      <c r="B3865" s="21">
        <f t="shared" si="11"/>
        <v>46105</v>
      </c>
      <c r="C3865" s="91">
        <f>VLOOKUP($B3865,'2026'!$A:$V,2,FALSE)</f>
        <v>17.777999999999999</v>
      </c>
      <c r="E3865" s="83">
        <f>VLOOKUP($B3865,'2026'!$A:$V,3,FALSE)</f>
        <v>0.86279399999999995</v>
      </c>
      <c r="G3865" s="84">
        <f>VLOOKUP($B3865,'2026'!$A:$V,4,FALSE)</f>
        <v>1396.7</v>
      </c>
      <c r="I3865" s="85">
        <f>VLOOKUP($B3865,'2026'!$A:$V,5,FALSE)</f>
        <v>6.9104400000000004</v>
      </c>
      <c r="K3865" s="85">
        <f>VLOOKUP($B3865,'2026'!$A:$V,6,FALSE)</f>
        <v>5.2453900000000004</v>
      </c>
      <c r="M3865" s="84">
        <f>VLOOKUP($B3865,'2026'!$A:$V,7,FALSE)</f>
        <v>913.22799999999995</v>
      </c>
      <c r="O3865" s="86">
        <f>VLOOKUP($B3865,'2026'!$A:$V,8,FALSE)</f>
        <v>3710.95</v>
      </c>
      <c r="Q3865" s="86">
        <f>VLOOKUP($B3865,'2026'!$A:$V,9,FALSE)</f>
        <v>6520.61</v>
      </c>
      <c r="S3865" s="86">
        <f>VLOOKUP($B3865,'2026'!$A:$V,20,FALSE)</f>
        <v>1243.1199999999999</v>
      </c>
      <c r="U3865" s="85">
        <f>VLOOKUP($B3865,'2026'!$A:$V,10,FALSE)</f>
        <v>3.4651999999999998</v>
      </c>
      <c r="W3865" s="81">
        <f>VLOOKUP($B3865,'2026'!$A:$V,11,FALSE)</f>
        <v>40.649799999999999</v>
      </c>
      <c r="Y3865" s="81">
        <f>VLOOKUP($B3865,'2026'!$A:$V,21,FALSE)</f>
        <v>7.7496600000000004</v>
      </c>
      <c r="AA3865" s="84">
        <f>VLOOKUP($B3865,'2026'!$A:$V,12,FALSE)</f>
        <v>465.81799999999998</v>
      </c>
      <c r="AC3865" s="81">
        <f>VLOOKUP($B3865,'2026'!$A:$V,13,FALSE)</f>
        <v>59.696800000000003</v>
      </c>
      <c r="AE3865" s="87">
        <f>VLOOKUP($B3865,'2026'!$A:$V,14,FALSE)</f>
        <v>1</v>
      </c>
      <c r="AG3865" s="85">
        <f>VLOOKUP($B3865,'2026'!$A:$V,15,FALSE)</f>
        <v>7.6514899999999999</v>
      </c>
      <c r="AI3865" s="86">
        <f>VLOOKUP($B3865,'2026'!$A:$V,16,FALSE)</f>
        <v>8.75</v>
      </c>
      <c r="AK3865" s="81">
        <f>VLOOKUP($B3865,'2026'!$A:$V,17,FALSE)</f>
        <v>26.465800000000002</v>
      </c>
      <c r="AM3865" s="81">
        <f>VLOOKUP($B3865,'2026'!$A:$V,18,FALSE)</f>
        <v>36.755600000000001</v>
      </c>
      <c r="AO3865" s="85">
        <f>VLOOKUP($B3865,'2026'!$A:$V,19,FALSE)</f>
        <v>6.7858599999999996</v>
      </c>
    </row>
    <row r="3866" spans="2:41" x14ac:dyDescent="0.25">
      <c r="B3866" s="21">
        <f t="shared" si="11"/>
        <v>46106</v>
      </c>
      <c r="C3866" s="91">
        <f>VLOOKUP($B3866,'2026'!$A:$V,2,FALSE)</f>
        <v>17.8047</v>
      </c>
      <c r="E3866" s="83">
        <f>VLOOKUP($B3866,'2026'!$A:$V,3,FALSE)</f>
        <v>0.86297000000000001</v>
      </c>
      <c r="G3866" s="84">
        <f>VLOOKUP($B3866,'2026'!$A:$V,4,FALSE)</f>
        <v>1388.73</v>
      </c>
      <c r="I3866" s="85">
        <f>VLOOKUP($B3866,'2026'!$A:$V,5,FALSE)</f>
        <v>6.9157999999999999</v>
      </c>
      <c r="K3866" s="85">
        <f>VLOOKUP($B3866,'2026'!$A:$V,6,FALSE)</f>
        <v>5.2329400000000001</v>
      </c>
      <c r="M3866" s="84">
        <f>VLOOKUP($B3866,'2026'!$A:$V,7,FALSE)</f>
        <v>916.47400000000005</v>
      </c>
      <c r="O3866" s="86">
        <f>VLOOKUP($B3866,'2026'!$A:$V,8,FALSE)</f>
        <v>3703.93</v>
      </c>
      <c r="Q3866" s="86">
        <f>VLOOKUP($B3866,'2026'!$A:$V,9,FALSE)</f>
        <v>6516.53</v>
      </c>
      <c r="S3866" s="86">
        <f>VLOOKUP($B3866,'2026'!$A:$V,20,FALSE)</f>
        <v>1245.3</v>
      </c>
      <c r="U3866" s="85">
        <f>VLOOKUP($B3866,'2026'!$A:$V,10,FALSE)</f>
        <v>3.4565399999999999</v>
      </c>
      <c r="W3866" s="81">
        <f>VLOOKUP($B3866,'2026'!$A:$V,11,FALSE)</f>
        <v>40.584000000000003</v>
      </c>
      <c r="Y3866" s="81">
        <f>VLOOKUP($B3866,'2026'!$A:$V,21,FALSE)</f>
        <v>7.7555199999999997</v>
      </c>
      <c r="AA3866" s="84">
        <f>VLOOKUP($B3866,'2026'!$A:$V,12,FALSE)</f>
        <v>465.35700000000003</v>
      </c>
      <c r="AC3866" s="81">
        <f>VLOOKUP($B3866,'2026'!$A:$V,13,FALSE)</f>
        <v>60.091999999999999</v>
      </c>
      <c r="AE3866" s="87">
        <f>VLOOKUP($B3866,'2026'!$A:$V,14,FALSE)</f>
        <v>1</v>
      </c>
      <c r="AG3866" s="85">
        <f>VLOOKUP($B3866,'2026'!$A:$V,15,FALSE)</f>
        <v>7.6504799999999999</v>
      </c>
      <c r="AI3866" s="86">
        <f>VLOOKUP($B3866,'2026'!$A:$V,16,FALSE)</f>
        <v>8.75</v>
      </c>
      <c r="AK3866" s="81">
        <f>VLOOKUP($B3866,'2026'!$A:$V,17,FALSE)</f>
        <v>26.475100000000001</v>
      </c>
      <c r="AM3866" s="81">
        <f>VLOOKUP($B3866,'2026'!$A:$V,18,FALSE)</f>
        <v>36.764200000000002</v>
      </c>
      <c r="AO3866" s="85">
        <f>VLOOKUP($B3866,'2026'!$A:$V,19,FALSE)</f>
        <v>6.7923799999999996</v>
      </c>
    </row>
    <row r="3867" spans="2:41" x14ac:dyDescent="0.25">
      <c r="B3867" s="21">
        <f t="shared" si="11"/>
        <v>46107</v>
      </c>
      <c r="C3867" s="91">
        <f>VLOOKUP($B3867,'2026'!$A:$V,2,FALSE)</f>
        <v>17.754799999999999</v>
      </c>
      <c r="E3867" s="83">
        <f>VLOOKUP($B3867,'2026'!$A:$V,3,FALSE)</f>
        <v>0.86596799999999996</v>
      </c>
      <c r="G3867" s="84">
        <f>VLOOKUP($B3867,'2026'!$A:$V,4,FALSE)</f>
        <v>1373.67</v>
      </c>
      <c r="I3867" s="85">
        <f>VLOOKUP($B3867,'2026'!$A:$V,5,FALSE)</f>
        <v>6.9267200000000004</v>
      </c>
      <c r="K3867" s="85">
        <f>VLOOKUP($B3867,'2026'!$A:$V,6,FALSE)</f>
        <v>5.2340200000000001</v>
      </c>
      <c r="M3867" s="84">
        <f>VLOOKUP($B3867,'2026'!$A:$V,7,FALSE)</f>
        <v>921.63599999999997</v>
      </c>
      <c r="O3867" s="86">
        <f>VLOOKUP($B3867,'2026'!$A:$V,8,FALSE)</f>
        <v>3695.78</v>
      </c>
      <c r="Q3867" s="86">
        <f>VLOOKUP($B3867,'2026'!$A:$V,9,FALSE)</f>
        <v>6532.82</v>
      </c>
      <c r="S3867" s="86">
        <f>VLOOKUP($B3867,'2026'!$A:$V,20,FALSE)</f>
        <v>1248.1500000000001</v>
      </c>
      <c r="U3867" s="85">
        <f>VLOOKUP($B3867,'2026'!$A:$V,10,FALSE)</f>
        <v>3.4632399999999999</v>
      </c>
      <c r="W3867" s="81">
        <f>VLOOKUP($B3867,'2026'!$A:$V,11,FALSE)</f>
        <v>40.510899999999999</v>
      </c>
      <c r="Y3867" s="81">
        <f>VLOOKUP($B3867,'2026'!$A:$V,21,FALSE)</f>
        <v>7.7399399999999998</v>
      </c>
      <c r="AA3867" s="84">
        <f>VLOOKUP($B3867,'2026'!$A:$V,12,FALSE)</f>
        <v>464.77</v>
      </c>
      <c r="AC3867" s="81">
        <f>VLOOKUP($B3867,'2026'!$A:$V,13,FALSE)</f>
        <v>60.171399999999998</v>
      </c>
      <c r="AE3867" s="87">
        <f>VLOOKUP($B3867,'2026'!$A:$V,14,FALSE)</f>
        <v>1</v>
      </c>
      <c r="AG3867" s="85">
        <f>VLOOKUP($B3867,'2026'!$A:$V,15,FALSE)</f>
        <v>7.6585299999999998</v>
      </c>
      <c r="AI3867" s="86">
        <f>VLOOKUP($B3867,'2026'!$A:$V,16,FALSE)</f>
        <v>8.75</v>
      </c>
      <c r="AK3867" s="81">
        <f>VLOOKUP($B3867,'2026'!$A:$V,17,FALSE)</f>
        <v>26.5472</v>
      </c>
      <c r="AM3867" s="81">
        <f>VLOOKUP($B3867,'2026'!$A:$V,18,FALSE)</f>
        <v>36.807899999999997</v>
      </c>
      <c r="AO3867" s="85">
        <f>VLOOKUP($B3867,'2026'!$A:$V,19,FALSE)</f>
        <v>6.7986199999999997</v>
      </c>
    </row>
    <row r="3868" spans="2:41" x14ac:dyDescent="0.25">
      <c r="B3868" s="21">
        <f t="shared" si="11"/>
        <v>46108</v>
      </c>
      <c r="C3868" s="91">
        <f>VLOOKUP($B3868,'2026'!$A:$V,2,FALSE)</f>
        <v>17.7957</v>
      </c>
      <c r="E3868" s="83">
        <f>VLOOKUP($B3868,'2026'!$A:$V,3,FALSE)</f>
        <v>0.86779200000000001</v>
      </c>
      <c r="G3868" s="84">
        <f>VLOOKUP($B3868,'2026'!$A:$V,4,FALSE)</f>
        <v>1373.61</v>
      </c>
      <c r="I3868" s="85">
        <f>VLOOKUP($B3868,'2026'!$A:$V,5,FALSE)</f>
        <v>6.9250600000000002</v>
      </c>
      <c r="K3868" s="85">
        <f>VLOOKUP($B3868,'2026'!$A:$V,6,FALSE)</f>
        <v>5.2435200000000002</v>
      </c>
      <c r="M3868" s="84">
        <f>VLOOKUP($B3868,'2026'!$A:$V,7,FALSE)</f>
        <v>927.54899999999998</v>
      </c>
      <c r="O3868" s="86">
        <f>VLOOKUP($B3868,'2026'!$A:$V,8,FALSE)</f>
        <v>3684.47</v>
      </c>
      <c r="Q3868" s="86">
        <f>VLOOKUP($B3868,'2026'!$A:$V,9,FALSE)</f>
        <v>6536.68</v>
      </c>
      <c r="S3868" s="86">
        <f>VLOOKUP($B3868,'2026'!$A:$V,20,FALSE)</f>
        <v>1246.6300000000001</v>
      </c>
      <c r="U3868" s="85">
        <f>VLOOKUP($B3868,'2026'!$A:$V,10,FALSE)</f>
        <v>3.4679799999999998</v>
      </c>
      <c r="W3868" s="81">
        <f>VLOOKUP($B3868,'2026'!$A:$V,11,FALSE)</f>
        <v>40.497100000000003</v>
      </c>
      <c r="Y3868" s="81">
        <f>VLOOKUP($B3868,'2026'!$A:$V,21,FALSE)</f>
        <v>7.7233000000000001</v>
      </c>
      <c r="AA3868" s="84">
        <f>VLOOKUP($B3868,'2026'!$A:$V,12,FALSE)</f>
        <v>463.88099999999997</v>
      </c>
      <c r="AC3868" s="81">
        <f>VLOOKUP($B3868,'2026'!$A:$V,13,FALSE)</f>
        <v>59.845100000000002</v>
      </c>
      <c r="AE3868" s="87">
        <f>VLOOKUP($B3868,'2026'!$A:$V,14,FALSE)</f>
        <v>1</v>
      </c>
      <c r="AG3868" s="85">
        <f>VLOOKUP($B3868,'2026'!$A:$V,15,FALSE)</f>
        <v>7.6486499999999999</v>
      </c>
      <c r="AI3868" s="86">
        <f>VLOOKUP($B3868,'2026'!$A:$V,16,FALSE)</f>
        <v>8.75</v>
      </c>
      <c r="AK3868" s="81">
        <f>VLOOKUP($B3868,'2026'!$A:$V,17,FALSE)</f>
        <v>26.5289</v>
      </c>
      <c r="AM3868" s="81">
        <f>VLOOKUP($B3868,'2026'!$A:$V,18,FALSE)</f>
        <v>36.760599999999997</v>
      </c>
      <c r="AO3868" s="85">
        <f>VLOOKUP($B3868,'2026'!$A:$V,19,FALSE)</f>
        <v>6.7876200000000004</v>
      </c>
    </row>
    <row r="3869" spans="2:41" x14ac:dyDescent="0.25">
      <c r="B3869" s="21">
        <f t="shared" si="11"/>
        <v>46109</v>
      </c>
      <c r="C3869" s="91">
        <f>VLOOKUP($B3869,'2026'!$A:$V,2,FALSE)</f>
        <v>17.7957</v>
      </c>
      <c r="E3869" s="83">
        <f>VLOOKUP($B3869,'2026'!$A:$V,3,FALSE)</f>
        <v>0.86870000000000003</v>
      </c>
      <c r="G3869" s="84">
        <f>VLOOKUP($B3869,'2026'!$A:$V,4,FALSE)</f>
        <v>1385.58</v>
      </c>
      <c r="I3869" s="85">
        <f>VLOOKUP($B3869,'2026'!$A:$V,5,FALSE)</f>
        <v>6.9360200000000001</v>
      </c>
      <c r="K3869" s="85">
        <f>VLOOKUP($B3869,'2026'!$A:$V,6,FALSE)</f>
        <v>5.2470800000000004</v>
      </c>
      <c r="M3869" s="84">
        <f>VLOOKUP($B3869,'2026'!$A:$V,7,FALSE)</f>
        <v>925.21500000000003</v>
      </c>
      <c r="O3869" s="86">
        <f>VLOOKUP($B3869,'2026'!$A:$V,8,FALSE)</f>
        <v>3676.94</v>
      </c>
      <c r="Q3869" s="86">
        <f>VLOOKUP($B3869,'2026'!$A:$V,9,FALSE)</f>
        <v>6538.86</v>
      </c>
      <c r="S3869" s="86">
        <f>VLOOKUP($B3869,'2026'!$A:$V,20,FALSE)</f>
        <v>1246.2</v>
      </c>
      <c r="U3869" s="85">
        <f>VLOOKUP($B3869,'2026'!$A:$V,10,FALSE)</f>
        <v>3.4664000000000001</v>
      </c>
      <c r="W3869" s="81">
        <f>VLOOKUP($B3869,'2026'!$A:$V,11,FALSE)</f>
        <v>40.481299999999997</v>
      </c>
      <c r="Y3869" s="81">
        <f>VLOOKUP($B3869,'2026'!$A:$V,21,FALSE)</f>
        <v>7.7150400000000001</v>
      </c>
      <c r="AA3869" s="84">
        <f>VLOOKUP($B3869,'2026'!$A:$V,12,FALSE)</f>
        <v>464.57799999999997</v>
      </c>
      <c r="AC3869" s="81">
        <f>VLOOKUP($B3869,'2026'!$A:$V,13,FALSE)</f>
        <v>59.72</v>
      </c>
      <c r="AE3869" s="87">
        <f>VLOOKUP($B3869,'2026'!$A:$V,14,FALSE)</f>
        <v>1</v>
      </c>
      <c r="AG3869" s="85">
        <f>VLOOKUP($B3869,'2026'!$A:$V,15,FALSE)</f>
        <v>7.6549500000000004</v>
      </c>
      <c r="AI3869" s="86">
        <f>VLOOKUP($B3869,'2026'!$A:$V,16,FALSE)</f>
        <v>8.75</v>
      </c>
      <c r="AK3869" s="81">
        <f>VLOOKUP($B3869,'2026'!$A:$V,17,FALSE)</f>
        <v>26.520499999999998</v>
      </c>
      <c r="AM3869" s="81">
        <f>VLOOKUP($B3869,'2026'!$A:$V,18,FALSE)</f>
        <v>36.719799999999999</v>
      </c>
      <c r="AO3869" s="85">
        <f>VLOOKUP($B3869,'2026'!$A:$V,19,FALSE)</f>
        <v>6.7946999999999997</v>
      </c>
    </row>
    <row r="3870" spans="2:41" x14ac:dyDescent="0.25">
      <c r="B3870" s="21">
        <f t="shared" si="11"/>
        <v>46110</v>
      </c>
      <c r="C3870" s="91">
        <f>VLOOKUP($B3870,'2026'!$A:$V,2,FALSE)</f>
        <v>17.7957</v>
      </c>
      <c r="E3870" s="83">
        <f>VLOOKUP($B3870,'2026'!$A:$V,3,FALSE)</f>
        <v>0.86884799999999995</v>
      </c>
      <c r="G3870" s="84">
        <f>VLOOKUP($B3870,'2026'!$A:$V,4,FALSE)</f>
        <v>1385.94</v>
      </c>
      <c r="I3870" s="85">
        <f>VLOOKUP($B3870,'2026'!$A:$V,5,FALSE)</f>
        <v>6.9355399999999996</v>
      </c>
      <c r="K3870" s="85">
        <f>VLOOKUP($B3870,'2026'!$A:$V,6,FALSE)</f>
        <v>5.24702</v>
      </c>
      <c r="M3870" s="84">
        <f>VLOOKUP($B3870,'2026'!$A:$V,7,FALSE)</f>
        <v>925.18100000000004</v>
      </c>
      <c r="O3870" s="86">
        <f>VLOOKUP($B3870,'2026'!$A:$V,8,FALSE)</f>
        <v>3676.88</v>
      </c>
      <c r="Q3870" s="86">
        <f>VLOOKUP($B3870,'2026'!$A:$V,9,FALSE)</f>
        <v>6538.44</v>
      </c>
      <c r="S3870" s="86">
        <f>VLOOKUP($B3870,'2026'!$A:$V,20,FALSE)</f>
        <v>1246.1199999999999</v>
      </c>
      <c r="U3870" s="85">
        <f>VLOOKUP($B3870,'2026'!$A:$V,10,FALSE)</f>
        <v>3.4665300000000001</v>
      </c>
      <c r="W3870" s="81">
        <f>VLOOKUP($B3870,'2026'!$A:$V,11,FALSE)</f>
        <v>40.475499999999997</v>
      </c>
      <c r="Y3870" s="81">
        <f>VLOOKUP($B3870,'2026'!$A:$V,21,FALSE)</f>
        <v>7.71401</v>
      </c>
      <c r="AA3870" s="84">
        <f>VLOOKUP($B3870,'2026'!$A:$V,12,FALSE)</f>
        <v>464.58100000000002</v>
      </c>
      <c r="AC3870" s="81">
        <f>VLOOKUP($B3870,'2026'!$A:$V,13,FALSE)</f>
        <v>59.72</v>
      </c>
      <c r="AE3870" s="87">
        <f>VLOOKUP($B3870,'2026'!$A:$V,14,FALSE)</f>
        <v>1</v>
      </c>
      <c r="AG3870" s="85">
        <f>VLOOKUP($B3870,'2026'!$A:$V,15,FALSE)</f>
        <v>7.6549699999999996</v>
      </c>
      <c r="AI3870" s="86">
        <f>VLOOKUP($B3870,'2026'!$A:$V,16,FALSE)</f>
        <v>8.75</v>
      </c>
      <c r="AK3870" s="81">
        <f>VLOOKUP($B3870,'2026'!$A:$V,17,FALSE)</f>
        <v>26.520600000000002</v>
      </c>
      <c r="AM3870" s="81">
        <f>VLOOKUP($B3870,'2026'!$A:$V,18,FALSE)</f>
        <v>36.719900000000003</v>
      </c>
      <c r="AO3870" s="85">
        <f>VLOOKUP($B3870,'2026'!$A:$V,19,FALSE)</f>
        <v>6.7946999999999997</v>
      </c>
    </row>
    <row r="3871" spans="2:41" x14ac:dyDescent="0.25">
      <c r="B3871" s="21">
        <f t="shared" si="11"/>
        <v>46111</v>
      </c>
      <c r="C3871" s="91">
        <f>VLOOKUP($B3871,'2026'!$A:$V,2,FALSE)</f>
        <v>18.066700000000001</v>
      </c>
      <c r="E3871" s="83">
        <f>VLOOKUP($B3871,'2026'!$A:$V,3,FALSE)</f>
        <v>0.87082400000000004</v>
      </c>
      <c r="G3871" s="84">
        <f>VLOOKUP($B3871,'2026'!$A:$V,4,FALSE)</f>
        <v>1390.62</v>
      </c>
      <c r="I3871" s="85">
        <f>VLOOKUP($B3871,'2026'!$A:$V,5,FALSE)</f>
        <v>6.9323199999999998</v>
      </c>
      <c r="K3871" s="85">
        <f>VLOOKUP($B3871,'2026'!$A:$V,6,FALSE)</f>
        <v>5.24716</v>
      </c>
      <c r="M3871" s="84">
        <f>VLOOKUP($B3871,'2026'!$A:$V,7,FALSE)</f>
        <v>927.25400000000002</v>
      </c>
      <c r="O3871" s="86">
        <f>VLOOKUP($B3871,'2026'!$A:$V,8,FALSE)</f>
        <v>3674.42</v>
      </c>
      <c r="Q3871" s="86">
        <f>VLOOKUP($B3871,'2026'!$A:$V,9,FALSE)</f>
        <v>6532.8</v>
      </c>
      <c r="S3871" s="86">
        <f>VLOOKUP($B3871,'2026'!$A:$V,20,FALSE)</f>
        <v>1245.02</v>
      </c>
      <c r="U3871" s="85">
        <f>VLOOKUP($B3871,'2026'!$A:$V,10,FALSE)</f>
        <v>3.4883700000000002</v>
      </c>
      <c r="W3871" s="81">
        <f>VLOOKUP($B3871,'2026'!$A:$V,11,FALSE)</f>
        <v>40.585000000000001</v>
      </c>
      <c r="Y3871" s="81">
        <f>VLOOKUP($B3871,'2026'!$A:$V,21,FALSE)</f>
        <v>7.7346700000000004</v>
      </c>
      <c r="AA3871" s="84">
        <f>VLOOKUP($B3871,'2026'!$A:$V,12,FALSE)</f>
        <v>464.86</v>
      </c>
      <c r="AC3871" s="81">
        <f>VLOOKUP($B3871,'2026'!$A:$V,13,FALSE)</f>
        <v>59.678600000000003</v>
      </c>
      <c r="AE3871" s="87">
        <f>VLOOKUP($B3871,'2026'!$A:$V,14,FALSE)</f>
        <v>1</v>
      </c>
      <c r="AG3871" s="85">
        <f>VLOOKUP($B3871,'2026'!$A:$V,15,FALSE)</f>
        <v>7.6605400000000001</v>
      </c>
      <c r="AI3871" s="86">
        <f>VLOOKUP($B3871,'2026'!$A:$V,16,FALSE)</f>
        <v>8.75</v>
      </c>
      <c r="AK3871" s="81">
        <f>VLOOKUP($B3871,'2026'!$A:$V,17,FALSE)</f>
        <v>26.567599999999999</v>
      </c>
      <c r="AM3871" s="81">
        <f>VLOOKUP($B3871,'2026'!$A:$V,18,FALSE)</f>
        <v>36.804900000000004</v>
      </c>
      <c r="AO3871" s="85">
        <f>VLOOKUP($B3871,'2026'!$A:$V,19,FALSE)</f>
        <v>6.7977800000000004</v>
      </c>
    </row>
    <row r="3872" spans="2:41" x14ac:dyDescent="0.25">
      <c r="B3872" s="21">
        <f t="shared" si="11"/>
        <v>46112</v>
      </c>
      <c r="C3872" s="82">
        <f>VLOOKUP($B3872,'2026'!$A:$V,2,FALSE)</f>
        <v>18.103300000000001</v>
      </c>
      <c r="D3872" s="92"/>
      <c r="E3872" s="93">
        <f>VLOOKUP($B3872,'2026'!$A:$V,3,FALSE)</f>
        <v>0.869228</v>
      </c>
      <c r="F3872" s="92"/>
      <c r="G3872" s="94">
        <f>VLOOKUP($B3872,'2026'!$A:$V,4,FALSE)</f>
        <v>1391.52</v>
      </c>
      <c r="H3872" s="92"/>
      <c r="I3872" s="95">
        <f>VLOOKUP($B3872,'2026'!$A:$V,5,FALSE)</f>
        <v>6.9230700000000001</v>
      </c>
      <c r="J3872" s="92"/>
      <c r="K3872" s="95">
        <f>VLOOKUP($B3872,'2026'!$A:$V,6,FALSE)</f>
        <v>5.2297000000000002</v>
      </c>
      <c r="L3872" s="92"/>
      <c r="M3872" s="94">
        <f>VLOOKUP($B3872,'2026'!$A:$V,7,FALSE)</f>
        <v>929.09</v>
      </c>
      <c r="N3872" s="92"/>
      <c r="O3872" s="96">
        <f>VLOOKUP($B3872,'2026'!$A:$V,8,FALSE)</f>
        <v>3674.74</v>
      </c>
      <c r="P3872" s="92"/>
      <c r="Q3872" s="96">
        <f>VLOOKUP($B3872,'2026'!$A:$V,9,FALSE)</f>
        <v>6506.32</v>
      </c>
      <c r="R3872" s="92"/>
      <c r="S3872" s="96">
        <f>VLOOKUP($B3872,'2026'!$A:$V,20,FALSE)</f>
        <v>1244.1199999999999</v>
      </c>
      <c r="T3872" s="92"/>
      <c r="U3872" s="95">
        <f>VLOOKUP($B3872,'2026'!$A:$V,10,FALSE)</f>
        <v>3.4929999999999999</v>
      </c>
      <c r="V3872" s="92"/>
      <c r="W3872" s="91">
        <f>VLOOKUP($B3872,'2026'!$A:$V,11,FALSE)</f>
        <v>40.623399999999997</v>
      </c>
      <c r="X3872" s="92"/>
      <c r="Y3872" s="91">
        <f>VLOOKUP($B3872,'2026'!$A:$V,21,FALSE)</f>
        <v>7.7678700000000003</v>
      </c>
      <c r="Z3872" s="92"/>
      <c r="AA3872" s="94">
        <f>VLOOKUP($B3872,'2026'!$A:$V,12,FALSE)</f>
        <v>464.95600000000002</v>
      </c>
      <c r="AB3872" s="92"/>
      <c r="AC3872" s="91">
        <f>VLOOKUP($B3872,'2026'!$A:$V,13,FALSE)</f>
        <v>59.908900000000003</v>
      </c>
      <c r="AD3872" s="92"/>
      <c r="AE3872" s="97">
        <f>VLOOKUP($B3872,'2026'!$A:$V,14,FALSE)</f>
        <v>1</v>
      </c>
      <c r="AF3872" s="92"/>
      <c r="AG3872" s="95">
        <f>VLOOKUP($B3872,'2026'!$A:$V,15,FALSE)</f>
        <v>7.6555900000000001</v>
      </c>
      <c r="AH3872" s="92"/>
      <c r="AI3872" s="96">
        <f>VLOOKUP($B3872,'2026'!$A:$V,16,FALSE)</f>
        <v>8.75</v>
      </c>
      <c r="AJ3872" s="92"/>
      <c r="AK3872" s="91">
        <f>VLOOKUP($B3872,'2026'!$A:$V,17,FALSE)</f>
        <v>26.575199999999999</v>
      </c>
      <c r="AL3872" s="92"/>
      <c r="AM3872" s="91">
        <f>VLOOKUP($B3872,'2026'!$A:$V,18,FALSE)</f>
        <v>36.799599999999998</v>
      </c>
      <c r="AN3872" s="92"/>
      <c r="AO3872" s="95">
        <f>VLOOKUP($B3872,'2026'!$A:$V,19,FALSE)</f>
        <v>6.7932499999999996</v>
      </c>
    </row>
    <row r="3873" spans="2:41" ht="13" x14ac:dyDescent="0.3">
      <c r="B3873" s="25" t="str">
        <f>"PROM-"&amp;MONTH(B3872)&amp;YEAR(B3872)</f>
        <v>PROM-32026</v>
      </c>
      <c r="C3873" s="19">
        <f>AVERAGE(C3842:C3872)</f>
        <v>17.732419354838708</v>
      </c>
      <c r="E3873" s="19">
        <f>AVERAGE(E3842:E3872)</f>
        <v>0.86501503225806464</v>
      </c>
      <c r="G3873" s="19">
        <f>AVERAGE(G3842:G3872)</f>
        <v>1397.0500000000002</v>
      </c>
      <c r="I3873" s="19">
        <f>AVERAGE(I3842:I3872)</f>
        <v>6.9193206451612905</v>
      </c>
      <c r="K3873" s="19">
        <f>AVERAGE(K3842:K3872)</f>
        <v>5.2429348387096777</v>
      </c>
      <c r="M3873" s="19">
        <f>AVERAGE(M3842:M3872)</f>
        <v>912.1983870967739</v>
      </c>
      <c r="O3873" s="19">
        <f>AVERAGE(O3842:O3872)</f>
        <v>3721.9522580645153</v>
      </c>
      <c r="Q3873" s="19">
        <f>AVERAGE(Q3842:Q3872)</f>
        <v>6499.4661290322574</v>
      </c>
      <c r="S3873" s="19">
        <f>AVERAGE(S3842:S3872)</f>
        <v>1239.7429032258065</v>
      </c>
      <c r="U3873" s="19">
        <f>AVERAGE(U3842:U3872)</f>
        <v>3.4453212903225805</v>
      </c>
      <c r="W3873" s="19">
        <f>AVERAGE(W3842:W3872)</f>
        <v>40.070364516129032</v>
      </c>
      <c r="Y3873" s="19">
        <f>AVERAGE(Y3842:Y3872)</f>
        <v>7.6428412903225782</v>
      </c>
      <c r="AA3873" s="19">
        <f>AVERAGE(AA3842:AA3872)</f>
        <v>469.55451612903232</v>
      </c>
      <c r="AC3873" s="19">
        <f>AVERAGE(AC3842:AC3872)</f>
        <v>60.136461290322579</v>
      </c>
      <c r="AE3873" s="19">
        <f>AVERAGE(AE3842:AE3872)</f>
        <v>1</v>
      </c>
      <c r="AG3873" s="19">
        <f>AVERAGE(AG3842:AG3872)</f>
        <v>7.6635554838709687</v>
      </c>
      <c r="AI3873" s="19">
        <f>AVERAGE(AI3842:AI3872)</f>
        <v>8.75</v>
      </c>
      <c r="AK3873" s="19">
        <f>AVERAGE(AK3842:AK3872)</f>
        <v>26.508367741935484</v>
      </c>
      <c r="AM3873" s="19">
        <f>AVERAGE(AM3842:AM3872)</f>
        <v>36.7819</v>
      </c>
      <c r="AO3873" s="19">
        <f>AVERAGE(AO3842:AO3872)</f>
        <v>6.7841509677419349</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1"/>
  <dimension ref="A1:BV218"/>
  <sheetViews>
    <sheetView showGridLines="0" zoomScale="89" zoomScaleNormal="89" workbookViewId="0">
      <selection activeCell="F4" sqref="F4"/>
    </sheetView>
  </sheetViews>
  <sheetFormatPr baseColWidth="10" defaultRowHeight="13" x14ac:dyDescent="0.3"/>
  <cols>
    <col min="1" max="1" width="18.33203125" style="75" bestFit="1" customWidth="1"/>
    <col min="2" max="2" width="11.33203125" style="75" customWidth="1"/>
    <col min="3" max="12" width="9.109375" customWidth="1"/>
    <col min="13" max="13" width="13.109375" bestFit="1" customWidth="1"/>
    <col min="14" max="14" width="4.77734375" bestFit="1" customWidth="1"/>
    <col min="15" max="15" width="8.109375" bestFit="1" customWidth="1"/>
    <col min="16" max="16" width="5.109375" bestFit="1" customWidth="1"/>
    <col min="17" max="19" width="8.109375" bestFit="1" customWidth="1"/>
    <col min="20" max="20" width="10.109375" bestFit="1" customWidth="1"/>
    <col min="21" max="21" width="10.33203125" bestFit="1" customWidth="1"/>
    <col min="22" max="22" width="17.33203125" bestFit="1" customWidth="1"/>
    <col min="23" max="23" width="22.77734375" customWidth="1"/>
    <col min="24" max="24" width="10.77734375" customWidth="1"/>
    <col min="25" max="27" width="14.77734375" customWidth="1"/>
    <col min="32" max="32" width="14" bestFit="1" customWidth="1"/>
    <col min="35" max="35" width="12.6640625" bestFit="1" customWidth="1"/>
    <col min="36" max="74" width="0" hidden="1" customWidth="1"/>
  </cols>
  <sheetData>
    <row r="1" spans="1:74" ht="35" x14ac:dyDescent="0.3">
      <c r="A1" s="76" t="s">
        <v>132</v>
      </c>
      <c r="B1" s="77" t="s">
        <v>138</v>
      </c>
      <c r="H1" s="182"/>
      <c r="I1" s="76" t="s">
        <v>135</v>
      </c>
      <c r="J1" s="77" t="s">
        <v>134</v>
      </c>
      <c r="AJ1" s="158" t="s">
        <v>419</v>
      </c>
    </row>
    <row r="2" spans="1:74" x14ac:dyDescent="0.3">
      <c r="A2" s="63"/>
      <c r="B2" s="78" t="s">
        <v>91</v>
      </c>
      <c r="C2" s="64" t="s">
        <v>92</v>
      </c>
      <c r="D2" s="65" t="s">
        <v>93</v>
      </c>
      <c r="E2" s="66" t="s">
        <v>94</v>
      </c>
      <c r="F2" s="67" t="s">
        <v>95</v>
      </c>
      <c r="G2" s="68" t="s">
        <v>96</v>
      </c>
      <c r="H2" s="69" t="s">
        <v>97</v>
      </c>
      <c r="I2" s="70" t="s">
        <v>98</v>
      </c>
      <c r="J2" s="71" t="s">
        <v>99</v>
      </c>
      <c r="K2" s="72" t="s">
        <v>100</v>
      </c>
      <c r="L2" s="73" t="s">
        <v>101</v>
      </c>
      <c r="M2" s="64" t="s">
        <v>102</v>
      </c>
      <c r="N2" s="64" t="s">
        <v>133</v>
      </c>
      <c r="O2" s="65" t="s">
        <v>103</v>
      </c>
      <c r="P2" s="66" t="s">
        <v>104</v>
      </c>
      <c r="Q2" s="68" t="s">
        <v>105</v>
      </c>
      <c r="R2" s="67" t="s">
        <v>106</v>
      </c>
      <c r="S2" s="69" t="s">
        <v>107</v>
      </c>
      <c r="T2" s="64" t="s">
        <v>136</v>
      </c>
      <c r="U2" s="65" t="s">
        <v>137</v>
      </c>
      <c r="W2" s="63"/>
      <c r="X2" s="64"/>
      <c r="Y2" s="65"/>
      <c r="Z2" s="66"/>
      <c r="AA2" s="67"/>
      <c r="AB2" s="68"/>
      <c r="AC2" s="69"/>
      <c r="AD2" s="70"/>
      <c r="AE2" s="71"/>
      <c r="AF2" s="72"/>
      <c r="AG2" s="73"/>
      <c r="AH2" s="64"/>
      <c r="AI2" s="65"/>
      <c r="AJ2" s="159"/>
      <c r="AK2" s="160" t="s">
        <v>92</v>
      </c>
      <c r="AL2" s="161" t="s">
        <v>93</v>
      </c>
      <c r="AM2" s="162" t="s">
        <v>94</v>
      </c>
      <c r="AN2" s="163" t="s">
        <v>95</v>
      </c>
      <c r="AO2" s="164" t="s">
        <v>96</v>
      </c>
      <c r="AP2" s="165" t="s">
        <v>97</v>
      </c>
      <c r="AQ2" s="166" t="s">
        <v>98</v>
      </c>
      <c r="AR2" s="167" t="s">
        <v>99</v>
      </c>
      <c r="AS2" s="168" t="s">
        <v>100</v>
      </c>
      <c r="AT2" s="169" t="s">
        <v>101</v>
      </c>
      <c r="AU2" s="160" t="s">
        <v>102</v>
      </c>
      <c r="AV2" s="161" t="s">
        <v>133</v>
      </c>
      <c r="AW2" s="162" t="s">
        <v>103</v>
      </c>
      <c r="AX2" s="163" t="s">
        <v>104</v>
      </c>
      <c r="AY2" s="164" t="s">
        <v>105</v>
      </c>
      <c r="AZ2" s="165" t="s">
        <v>106</v>
      </c>
      <c r="BA2" s="166" t="s">
        <v>107</v>
      </c>
      <c r="BB2" s="160" t="s">
        <v>98</v>
      </c>
      <c r="BC2" s="161" t="s">
        <v>100</v>
      </c>
    </row>
    <row r="3" spans="1:74" ht="18" x14ac:dyDescent="0.3">
      <c r="B3" s="76">
        <f>COLUMN()</f>
        <v>2</v>
      </c>
      <c r="C3" s="76">
        <f>COLUMN()</f>
        <v>3</v>
      </c>
      <c r="D3" s="76">
        <f>COLUMN()</f>
        <v>4</v>
      </c>
      <c r="E3" s="76">
        <f>COLUMN()</f>
        <v>5</v>
      </c>
      <c r="F3" s="76">
        <f>COLUMN()</f>
        <v>6</v>
      </c>
      <c r="G3" s="76">
        <f>COLUMN()</f>
        <v>7</v>
      </c>
      <c r="H3" s="76">
        <f>COLUMN()</f>
        <v>8</v>
      </c>
      <c r="I3" s="76">
        <f>COLUMN()</f>
        <v>9</v>
      </c>
      <c r="J3" s="76">
        <f>COLUMN()</f>
        <v>10</v>
      </c>
      <c r="K3" s="76">
        <f>COLUMN()</f>
        <v>11</v>
      </c>
      <c r="L3" s="76">
        <f>COLUMN()</f>
        <v>12</v>
      </c>
      <c r="M3" s="76">
        <f>COLUMN()</f>
        <v>13</v>
      </c>
      <c r="N3" s="76">
        <f>COLUMN()</f>
        <v>14</v>
      </c>
      <c r="O3" s="76">
        <f>COLUMN()</f>
        <v>15</v>
      </c>
      <c r="P3" s="76">
        <f>COLUMN()</f>
        <v>16</v>
      </c>
      <c r="Q3" s="76">
        <f>COLUMN()</f>
        <v>17</v>
      </c>
      <c r="R3" s="76">
        <f>COLUMN()</f>
        <v>18</v>
      </c>
      <c r="S3" s="76">
        <f>COLUMN()</f>
        <v>19</v>
      </c>
      <c r="T3" s="76">
        <f>COLUMN()</f>
        <v>20</v>
      </c>
      <c r="U3" s="76">
        <f>COLUMN()</f>
        <v>21</v>
      </c>
      <c r="W3" s="62"/>
      <c r="X3" s="62"/>
      <c r="Y3" s="62"/>
      <c r="Z3" s="62"/>
      <c r="AA3" s="62"/>
      <c r="AB3" s="62"/>
      <c r="AC3" s="62"/>
      <c r="AD3" s="62"/>
      <c r="AE3" s="62"/>
      <c r="AF3" s="62"/>
      <c r="AG3" s="62"/>
      <c r="AH3" s="62"/>
      <c r="AI3" s="62"/>
      <c r="AJ3" s="170" t="s">
        <v>129</v>
      </c>
      <c r="AK3" s="171">
        <v>0.91752199999999995</v>
      </c>
      <c r="AL3" s="171">
        <v>978.98699999999997</v>
      </c>
      <c r="AM3" s="171">
        <v>6.91873</v>
      </c>
      <c r="AN3" s="171">
        <v>5.6166700000000001</v>
      </c>
      <c r="AO3" s="171">
        <v>936.94299999999998</v>
      </c>
      <c r="AP3" s="171">
        <v>4255.66</v>
      </c>
      <c r="AQ3" s="171">
        <v>7864.68</v>
      </c>
      <c r="AR3" s="171">
        <v>3.7497099999999999</v>
      </c>
      <c r="AS3" s="171">
        <v>41.682200000000002</v>
      </c>
      <c r="AT3" s="171">
        <v>516.51300000000003</v>
      </c>
      <c r="AU3" s="171">
        <v>60.343600000000002</v>
      </c>
      <c r="AV3" s="171">
        <v>1</v>
      </c>
      <c r="AW3" s="171">
        <v>7.7374900000000002</v>
      </c>
      <c r="AX3" s="171">
        <v>8.75</v>
      </c>
      <c r="AY3" s="171">
        <v>25.017600000000002</v>
      </c>
      <c r="AZ3" s="171">
        <v>36.8065</v>
      </c>
      <c r="BA3" s="171">
        <v>6.78979</v>
      </c>
      <c r="BB3" s="171">
        <v>1400.53</v>
      </c>
      <c r="BC3" s="171">
        <v>7.4239499999999996</v>
      </c>
    </row>
    <row r="4" spans="1:74" ht="18" x14ac:dyDescent="0.3">
      <c r="A4" s="100" t="s">
        <v>129</v>
      </c>
      <c r="B4" s="104">
        <f>ROUND(AVERAGE(B7:B37),4)</f>
        <v>17.732399999999998</v>
      </c>
      <c r="C4" s="102">
        <v>0.86501499999999998</v>
      </c>
      <c r="D4" s="102">
        <v>1397.05</v>
      </c>
      <c r="E4" s="102">
        <v>6.9193199999999999</v>
      </c>
      <c r="F4" s="102">
        <v>5.2429300000000003</v>
      </c>
      <c r="G4" s="102">
        <v>912.19799999999998</v>
      </c>
      <c r="H4" s="102">
        <v>3721.95</v>
      </c>
      <c r="I4" s="102">
        <v>6499.47</v>
      </c>
      <c r="J4" s="102">
        <v>3.4453200000000002</v>
      </c>
      <c r="K4" s="102">
        <v>40.070399999999999</v>
      </c>
      <c r="L4" s="103">
        <v>469.55500000000001</v>
      </c>
      <c r="M4" s="102">
        <v>60.136499999999998</v>
      </c>
      <c r="N4" s="102">
        <v>1</v>
      </c>
      <c r="O4" s="102">
        <v>7.6635600000000004</v>
      </c>
      <c r="P4" s="102">
        <v>8.75</v>
      </c>
      <c r="Q4" s="102">
        <v>26.508400000000002</v>
      </c>
      <c r="R4" s="102">
        <v>36.7819</v>
      </c>
      <c r="S4" s="102">
        <v>6.7841500000000003</v>
      </c>
      <c r="T4" s="102">
        <v>1239.74</v>
      </c>
      <c r="U4" s="102">
        <v>7.6428399999999996</v>
      </c>
      <c r="W4" s="62"/>
      <c r="X4" s="62"/>
      <c r="Y4" s="62"/>
      <c r="Z4" s="62"/>
      <c r="AA4" s="62"/>
      <c r="AB4" s="62"/>
      <c r="AC4" s="62"/>
      <c r="AD4" s="62"/>
      <c r="AE4" s="62"/>
      <c r="AF4" s="62"/>
      <c r="AG4" s="62"/>
      <c r="AH4" s="62"/>
      <c r="AI4" s="62"/>
      <c r="AJ4" s="170" t="s">
        <v>130</v>
      </c>
      <c r="AK4" s="171">
        <v>0.92720000000000002</v>
      </c>
      <c r="AL4" s="171">
        <v>989.34</v>
      </c>
      <c r="AM4" s="171">
        <v>6.9341999999999997</v>
      </c>
      <c r="AN4" s="171">
        <v>5.7732400000000004</v>
      </c>
      <c r="AO4" s="171">
        <v>961.7</v>
      </c>
      <c r="AP4" s="171">
        <v>4415.5200000000004</v>
      </c>
      <c r="AQ4" s="171">
        <v>7998.08</v>
      </c>
      <c r="AR4" s="171">
        <v>3.7724799999999998</v>
      </c>
      <c r="AS4" s="171">
        <v>41.900399999999998</v>
      </c>
      <c r="AT4" s="171">
        <v>520.16999999999996</v>
      </c>
      <c r="AU4" s="171">
        <v>60.531300000000002</v>
      </c>
      <c r="AV4" s="171">
        <v>1</v>
      </c>
      <c r="AW4" s="171">
        <v>7.7557400000000003</v>
      </c>
      <c r="AX4" s="171">
        <v>8.75</v>
      </c>
      <c r="AY4" s="171">
        <v>25.25</v>
      </c>
      <c r="AZ4" s="171">
        <v>36.866300000000003</v>
      </c>
      <c r="BA4" s="171">
        <v>6.80328</v>
      </c>
      <c r="BB4" s="171">
        <v>1435.28</v>
      </c>
      <c r="BC4" s="171">
        <v>7.6752799999999999</v>
      </c>
    </row>
    <row r="5" spans="1:74" ht="18.5" thickBot="1" x14ac:dyDescent="0.35">
      <c r="A5" s="100" t="s">
        <v>130</v>
      </c>
      <c r="B5" s="101"/>
      <c r="C5" s="102">
        <v>0.87592899999999996</v>
      </c>
      <c r="D5" s="102">
        <v>1417.76</v>
      </c>
      <c r="E5" s="102">
        <v>6.9360200000000001</v>
      </c>
      <c r="F5" s="102">
        <v>5.3233600000000001</v>
      </c>
      <c r="G5" s="102">
        <v>929.09</v>
      </c>
      <c r="H5" s="102">
        <v>3791.23</v>
      </c>
      <c r="I5" s="102">
        <v>6538.86</v>
      </c>
      <c r="J5" s="102">
        <v>3.4929999999999999</v>
      </c>
      <c r="K5" s="102">
        <v>40.649799999999999</v>
      </c>
      <c r="L5" s="103">
        <v>477.745</v>
      </c>
      <c r="M5" s="102">
        <v>61.713000000000001</v>
      </c>
      <c r="N5" s="102">
        <v>1</v>
      </c>
      <c r="O5" s="102">
        <v>7.68154</v>
      </c>
      <c r="P5" s="102">
        <v>8.75</v>
      </c>
      <c r="Q5" s="102">
        <v>26.575199999999999</v>
      </c>
      <c r="R5" s="102">
        <v>36.858800000000002</v>
      </c>
      <c r="S5" s="102">
        <v>6.7986199999999997</v>
      </c>
      <c r="T5" s="102">
        <v>1257.32</v>
      </c>
      <c r="U5" s="102">
        <v>7.7818199999999997</v>
      </c>
      <c r="W5" s="62"/>
      <c r="X5" s="62"/>
      <c r="Y5" s="62"/>
      <c r="Z5" s="62"/>
      <c r="AA5" s="62"/>
      <c r="AB5" s="62"/>
      <c r="AC5" s="62"/>
      <c r="AD5" s="62"/>
      <c r="AE5" s="62"/>
      <c r="AF5" s="62"/>
      <c r="AG5" s="62"/>
      <c r="AH5" s="62"/>
      <c r="AI5" s="62"/>
      <c r="AJ5" s="172" t="s">
        <v>131</v>
      </c>
      <c r="AK5" s="173">
        <v>0.90125999999999995</v>
      </c>
      <c r="AL5" s="173">
        <v>969.26599999999996</v>
      </c>
      <c r="AM5" s="173">
        <v>6.9039799999999998</v>
      </c>
      <c r="AN5" s="173">
        <v>5.4317200000000003</v>
      </c>
      <c r="AO5" s="173">
        <v>901.80499999999995</v>
      </c>
      <c r="AP5" s="173">
        <v>4169.46</v>
      </c>
      <c r="AQ5" s="173">
        <v>7795.74</v>
      </c>
      <c r="AR5" s="173">
        <v>3.7166800000000002</v>
      </c>
      <c r="AS5" s="173">
        <v>41.134399999999999</v>
      </c>
      <c r="AT5" s="173">
        <v>512.43799999999999</v>
      </c>
      <c r="AU5" s="173">
        <v>60.200499999999998</v>
      </c>
      <c r="AV5" s="173">
        <v>1</v>
      </c>
      <c r="AW5" s="173">
        <v>7.7223300000000004</v>
      </c>
      <c r="AX5" s="173">
        <v>8.75</v>
      </c>
      <c r="AY5" s="173">
        <v>24.844799999999999</v>
      </c>
      <c r="AZ5" s="173">
        <v>36.738399999999999</v>
      </c>
      <c r="BA5" s="173">
        <v>6.7762799999999999</v>
      </c>
      <c r="BB5" s="173">
        <v>1377.88</v>
      </c>
      <c r="BC5" s="173">
        <v>7.1250400000000003</v>
      </c>
    </row>
    <row r="6" spans="1:74" x14ac:dyDescent="0.3">
      <c r="A6" s="100" t="s">
        <v>131</v>
      </c>
      <c r="B6" s="101"/>
      <c r="C6" s="102">
        <v>0.84650899999999996</v>
      </c>
      <c r="D6" s="102">
        <v>1373.61</v>
      </c>
      <c r="E6" s="102">
        <v>6.9034700000000004</v>
      </c>
      <c r="F6" s="102">
        <v>5.1297199999999998</v>
      </c>
      <c r="G6" s="102">
        <v>873.67399999999998</v>
      </c>
      <c r="H6" s="102">
        <v>3674.42</v>
      </c>
      <c r="I6" s="102">
        <v>6438.39</v>
      </c>
      <c r="J6" s="102">
        <v>3.3550200000000001</v>
      </c>
      <c r="K6" s="102">
        <v>38.389099999999999</v>
      </c>
      <c r="L6" s="103">
        <v>463.88099999999997</v>
      </c>
      <c r="M6" s="102">
        <v>59.0075</v>
      </c>
      <c r="N6" s="102">
        <v>1</v>
      </c>
      <c r="O6" s="102">
        <v>7.6389800000000001</v>
      </c>
      <c r="P6" s="102">
        <v>8.75</v>
      </c>
      <c r="Q6" s="102">
        <v>26.440999999999999</v>
      </c>
      <c r="R6" s="102">
        <v>36.683399999999999</v>
      </c>
      <c r="S6" s="102">
        <v>6.7668299999999997</v>
      </c>
      <c r="T6" s="102">
        <v>1213.72</v>
      </c>
      <c r="U6" s="102">
        <v>7.3755499999999996</v>
      </c>
      <c r="W6" s="62"/>
      <c r="X6" s="62"/>
      <c r="Y6" s="62"/>
      <c r="Z6" s="62"/>
      <c r="AA6" s="62"/>
      <c r="AB6" s="62"/>
      <c r="AC6" s="62"/>
      <c r="AD6" s="62"/>
      <c r="AE6" s="62"/>
      <c r="AF6" s="62"/>
      <c r="AG6" s="62"/>
      <c r="AH6" s="62"/>
      <c r="AI6" s="62"/>
      <c r="AJ6" s="170"/>
      <c r="AK6" s="171"/>
      <c r="AL6" s="171"/>
      <c r="AM6" s="171"/>
      <c r="AN6" s="171"/>
      <c r="AO6" s="171"/>
      <c r="AP6" s="171"/>
      <c r="AQ6" s="171"/>
      <c r="AR6" s="171"/>
      <c r="AS6" s="171"/>
      <c r="AT6" s="171"/>
      <c r="AU6" s="171"/>
      <c r="AV6" s="171"/>
      <c r="AW6" s="171"/>
      <c r="AX6" s="171"/>
      <c r="AY6" s="171"/>
      <c r="AZ6" s="171"/>
      <c r="BA6" s="171"/>
      <c r="BB6" s="171"/>
      <c r="BC6" s="171"/>
    </row>
    <row r="7" spans="1:74" x14ac:dyDescent="0.3">
      <c r="A7" s="74">
        <v>46112</v>
      </c>
      <c r="B7" s="99">
        <f t="shared" ref="B7:B9" si="0">VLOOKUP(A7,W:X,2,FALSE)</f>
        <v>18.103300000000001</v>
      </c>
      <c r="C7">
        <v>0.869228</v>
      </c>
      <c r="D7">
        <v>1391.52</v>
      </c>
      <c r="E7">
        <v>6.9230700000000001</v>
      </c>
      <c r="F7">
        <v>5.2297000000000002</v>
      </c>
      <c r="G7">
        <v>929.09</v>
      </c>
      <c r="H7">
        <v>3674.74</v>
      </c>
      <c r="I7">
        <v>6506.32</v>
      </c>
      <c r="J7">
        <v>3.4929999999999999</v>
      </c>
      <c r="K7">
        <v>40.623399999999997</v>
      </c>
      <c r="L7" s="62">
        <v>464.95600000000002</v>
      </c>
      <c r="M7">
        <v>59.908900000000003</v>
      </c>
      <c r="N7">
        <v>1</v>
      </c>
      <c r="O7">
        <v>7.6555900000000001</v>
      </c>
      <c r="P7">
        <v>8.75</v>
      </c>
      <c r="Q7">
        <v>26.575199999999999</v>
      </c>
      <c r="R7">
        <v>36.799599999999998</v>
      </c>
      <c r="S7">
        <v>6.7932499999999996</v>
      </c>
      <c r="T7">
        <v>1244.1199999999999</v>
      </c>
      <c r="U7">
        <v>7.7678700000000003</v>
      </c>
      <c r="W7" s="62"/>
      <c r="X7" s="62"/>
      <c r="Y7" s="62"/>
      <c r="Z7" s="62"/>
      <c r="AA7" s="62"/>
      <c r="AB7" s="62"/>
      <c r="AC7" s="62"/>
      <c r="AD7" s="62"/>
      <c r="AE7" s="62"/>
      <c r="AF7" s="62"/>
      <c r="AG7" s="62"/>
      <c r="AH7" s="62"/>
      <c r="AI7" s="62"/>
      <c r="AJ7" s="174"/>
      <c r="AK7" s="175"/>
      <c r="AL7" s="175"/>
      <c r="AM7" s="175"/>
      <c r="AN7" s="175"/>
      <c r="AO7" s="175"/>
      <c r="AP7" s="175"/>
      <c r="AQ7" s="175"/>
      <c r="AR7" s="175"/>
      <c r="AS7" s="175"/>
      <c r="AT7" s="175"/>
      <c r="AU7" s="175"/>
      <c r="AV7" s="175"/>
      <c r="AW7" s="175"/>
      <c r="AX7" s="175"/>
      <c r="AY7" s="175"/>
      <c r="AZ7" s="175"/>
      <c r="BA7" s="175"/>
      <c r="BB7" s="175"/>
      <c r="BC7" s="175"/>
    </row>
    <row r="8" spans="1:74" x14ac:dyDescent="0.3">
      <c r="A8" s="74">
        <f t="shared" ref="A8:A37" si="1">A7-1</f>
        <v>46111</v>
      </c>
      <c r="B8" s="99">
        <f t="shared" si="0"/>
        <v>18.066700000000001</v>
      </c>
      <c r="C8">
        <v>0.87082400000000004</v>
      </c>
      <c r="D8">
        <v>1390.62</v>
      </c>
      <c r="E8">
        <v>6.9323199999999998</v>
      </c>
      <c r="F8">
        <v>5.24716</v>
      </c>
      <c r="G8">
        <v>927.25400000000002</v>
      </c>
      <c r="H8">
        <v>3674.42</v>
      </c>
      <c r="I8">
        <v>6532.8</v>
      </c>
      <c r="J8">
        <v>3.4883700000000002</v>
      </c>
      <c r="K8">
        <v>40.585000000000001</v>
      </c>
      <c r="L8" s="62">
        <v>464.86</v>
      </c>
      <c r="M8">
        <v>59.678600000000003</v>
      </c>
      <c r="N8">
        <v>1</v>
      </c>
      <c r="O8">
        <v>7.6605400000000001</v>
      </c>
      <c r="P8">
        <v>8.75</v>
      </c>
      <c r="Q8">
        <v>26.567599999999999</v>
      </c>
      <c r="R8">
        <v>36.804900000000004</v>
      </c>
      <c r="S8">
        <v>6.7977800000000004</v>
      </c>
      <c r="T8">
        <v>1245.02</v>
      </c>
      <c r="U8">
        <v>7.7346700000000004</v>
      </c>
      <c r="W8" s="62"/>
      <c r="X8" s="62"/>
      <c r="Y8" s="62"/>
      <c r="Z8" s="62"/>
      <c r="AA8" s="62"/>
      <c r="AB8" s="62"/>
      <c r="AC8" s="62"/>
      <c r="AD8" s="62"/>
      <c r="AE8" s="62"/>
      <c r="AF8" s="62"/>
      <c r="AG8" s="62"/>
      <c r="AH8" s="62"/>
      <c r="AI8" s="62"/>
      <c r="AJ8" s="174"/>
      <c r="AK8" s="175"/>
      <c r="AL8" s="175"/>
      <c r="AM8" s="175"/>
      <c r="AN8" s="175"/>
      <c r="AO8" s="175"/>
      <c r="AP8" s="175"/>
      <c r="AQ8" s="175"/>
      <c r="AR8" s="175"/>
      <c r="AS8" s="175"/>
      <c r="AT8" s="175"/>
      <c r="AU8" s="175"/>
      <c r="AV8" s="175"/>
      <c r="AW8" s="175"/>
      <c r="AX8" s="175"/>
      <c r="AY8" s="175"/>
      <c r="AZ8" s="175"/>
      <c r="BA8" s="175"/>
      <c r="BB8" s="175"/>
      <c r="BC8" s="175"/>
    </row>
    <row r="9" spans="1:74" x14ac:dyDescent="0.3">
      <c r="A9" s="74">
        <f t="shared" si="1"/>
        <v>46110</v>
      </c>
      <c r="B9" s="99">
        <f t="shared" si="0"/>
        <v>17.7957</v>
      </c>
      <c r="C9">
        <v>0.86884799999999995</v>
      </c>
      <c r="D9">
        <v>1385.94</v>
      </c>
      <c r="E9">
        <v>6.9355399999999996</v>
      </c>
      <c r="F9">
        <v>5.24702</v>
      </c>
      <c r="G9">
        <v>925.18100000000004</v>
      </c>
      <c r="H9">
        <v>3676.88</v>
      </c>
      <c r="I9">
        <v>6538.44</v>
      </c>
      <c r="J9">
        <v>3.4665300000000001</v>
      </c>
      <c r="K9">
        <v>40.475499999999997</v>
      </c>
      <c r="L9" s="62">
        <v>464.58100000000002</v>
      </c>
      <c r="M9">
        <v>59.72</v>
      </c>
      <c r="N9">
        <v>1</v>
      </c>
      <c r="O9">
        <v>7.6549699999999996</v>
      </c>
      <c r="P9">
        <v>8.75</v>
      </c>
      <c r="Q9">
        <v>26.520600000000002</v>
      </c>
      <c r="R9">
        <v>36.719900000000003</v>
      </c>
      <c r="S9">
        <v>6.7946999999999997</v>
      </c>
      <c r="T9">
        <v>1246.1199999999999</v>
      </c>
      <c r="U9">
        <v>7.71401</v>
      </c>
      <c r="W9" s="62"/>
      <c r="X9" s="62"/>
      <c r="Y9" s="62"/>
      <c r="Z9" s="62"/>
      <c r="AA9" s="62"/>
      <c r="AB9" s="62"/>
      <c r="AC9" s="62"/>
      <c r="AD9" s="62"/>
      <c r="AE9" s="62"/>
      <c r="AF9" s="62"/>
      <c r="AG9" s="62"/>
      <c r="AH9" s="62"/>
      <c r="AI9" s="62"/>
      <c r="AJ9" s="174"/>
      <c r="AK9" s="175"/>
      <c r="AL9" s="175"/>
      <c r="AM9" s="175"/>
      <c r="AN9" s="175"/>
      <c r="AO9" s="175"/>
      <c r="AP9" s="175"/>
      <c r="AQ9" s="175"/>
      <c r="AR9" s="175"/>
      <c r="AS9" s="175"/>
      <c r="AT9" s="175"/>
      <c r="AU9" s="175"/>
      <c r="AV9" s="175"/>
      <c r="AW9" s="175"/>
      <c r="AX9" s="175"/>
      <c r="AY9" s="175"/>
      <c r="AZ9" s="175"/>
      <c r="BA9" s="175"/>
      <c r="BB9" s="175"/>
      <c r="BC9" s="175"/>
    </row>
    <row r="10" spans="1:74" ht="18" x14ac:dyDescent="0.3">
      <c r="A10" s="74">
        <f t="shared" si="1"/>
        <v>46109</v>
      </c>
      <c r="B10" s="99">
        <f t="shared" ref="B10:B34" si="2">VLOOKUP(A10,W:X,2,FALSE)</f>
        <v>17.7957</v>
      </c>
      <c r="C10">
        <v>0.86870000000000003</v>
      </c>
      <c r="D10">
        <v>1385.58</v>
      </c>
      <c r="E10">
        <v>6.9360200000000001</v>
      </c>
      <c r="F10">
        <v>5.2470800000000004</v>
      </c>
      <c r="G10">
        <v>925.21500000000003</v>
      </c>
      <c r="H10">
        <v>3676.94</v>
      </c>
      <c r="I10">
        <v>6538.86</v>
      </c>
      <c r="J10">
        <v>3.4664000000000001</v>
      </c>
      <c r="K10">
        <v>40.481299999999997</v>
      </c>
      <c r="L10" s="62">
        <v>464.57799999999997</v>
      </c>
      <c r="M10">
        <v>59.72</v>
      </c>
      <c r="N10">
        <v>1</v>
      </c>
      <c r="O10">
        <v>7.6549500000000004</v>
      </c>
      <c r="P10">
        <v>8.75</v>
      </c>
      <c r="Q10">
        <v>26.520499999999998</v>
      </c>
      <c r="R10">
        <v>36.719799999999999</v>
      </c>
      <c r="S10">
        <v>6.7946999999999997</v>
      </c>
      <c r="T10">
        <v>1246.2</v>
      </c>
      <c r="U10">
        <v>7.7150400000000001</v>
      </c>
      <c r="W10" s="62"/>
      <c r="X10" s="62"/>
      <c r="Y10" s="62"/>
      <c r="Z10" s="62"/>
      <c r="AA10" s="62"/>
      <c r="AB10" s="62"/>
      <c r="AC10" s="62"/>
      <c r="AD10" s="62"/>
      <c r="AE10" s="62"/>
      <c r="AF10" s="62"/>
      <c r="AG10" s="62"/>
      <c r="AH10" s="62"/>
      <c r="AI10" s="62"/>
      <c r="AJ10" s="174" t="s">
        <v>420</v>
      </c>
      <c r="AK10" s="175">
        <v>0.92525900000000005</v>
      </c>
      <c r="AL10" s="175">
        <v>987.06200000000001</v>
      </c>
      <c r="AM10" s="175">
        <v>6.9133199999999997</v>
      </c>
      <c r="AN10" s="175">
        <v>5.7072200000000004</v>
      </c>
      <c r="AO10" s="175">
        <v>947.67100000000005</v>
      </c>
      <c r="AP10" s="175">
        <v>4337.4799999999996</v>
      </c>
      <c r="AQ10" s="175">
        <v>7998.08</v>
      </c>
      <c r="AR10" s="175">
        <v>3.7617600000000002</v>
      </c>
      <c r="AS10" s="175">
        <v>41.617600000000003</v>
      </c>
      <c r="AT10" s="175">
        <v>515.15200000000004</v>
      </c>
      <c r="AU10" s="175">
        <v>60.346600000000002</v>
      </c>
      <c r="AV10" s="175">
        <v>1</v>
      </c>
      <c r="AW10" s="175">
        <v>7.7375499999999997</v>
      </c>
      <c r="AX10" s="175">
        <v>8.75</v>
      </c>
      <c r="AY10" s="175">
        <v>25.216999999999999</v>
      </c>
      <c r="AZ10" s="175">
        <v>36.838500000000003</v>
      </c>
      <c r="BA10" s="175">
        <v>6.7903599999999997</v>
      </c>
      <c r="BB10" s="175">
        <v>1401.44</v>
      </c>
      <c r="BC10" s="175">
        <v>7.2922700000000003</v>
      </c>
      <c r="BD10">
        <f t="shared" ref="BD10:BD37" si="3">+C10-AK10</f>
        <v>-5.6559000000000026E-2</v>
      </c>
      <c r="BE10">
        <f t="shared" ref="BE10:BE37" si="4">+D10-AL10</f>
        <v>398.51799999999992</v>
      </c>
      <c r="BF10">
        <f t="shared" ref="BF10:BF37" si="5">+E10-AM10</f>
        <v>2.2700000000000387E-2</v>
      </c>
      <c r="BG10">
        <f t="shared" ref="BG10:BG37" si="6">+F10-AN10</f>
        <v>-0.46013999999999999</v>
      </c>
      <c r="BH10">
        <f t="shared" ref="BH10:BH37" si="7">+G10-AO10</f>
        <v>-22.456000000000017</v>
      </c>
      <c r="BI10">
        <f t="shared" ref="BI10:BI37" si="8">+H10-AP10</f>
        <v>-660.53999999999951</v>
      </c>
      <c r="BJ10">
        <f t="shared" ref="BJ10:BJ37" si="9">+I10-AQ10</f>
        <v>-1459.2200000000003</v>
      </c>
      <c r="BK10">
        <f t="shared" ref="BK10:BK37" si="10">+J10-AR10</f>
        <v>-0.29536000000000007</v>
      </c>
      <c r="BL10">
        <f t="shared" ref="BL10:BL37" si="11">+K10-AS10</f>
        <v>-1.1363000000000056</v>
      </c>
      <c r="BM10">
        <f t="shared" ref="BM10:BM37" si="12">+L10-AT10</f>
        <v>-50.574000000000069</v>
      </c>
      <c r="BN10">
        <f t="shared" ref="BN10:BN37" si="13">+M10-AU10</f>
        <v>-0.62660000000000338</v>
      </c>
      <c r="BO10">
        <f t="shared" ref="BO10:BO37" si="14">+N10-AV10</f>
        <v>0</v>
      </c>
      <c r="BP10">
        <f t="shared" ref="BP10:BP37" si="15">+O10-AW10</f>
        <v>-8.2599999999999341E-2</v>
      </c>
      <c r="BQ10">
        <f t="shared" ref="BQ10:BQ37" si="16">+P10-AX10</f>
        <v>0</v>
      </c>
      <c r="BR10">
        <f t="shared" ref="BR10:BR37" si="17">+Q10-AY10</f>
        <v>1.3034999999999997</v>
      </c>
      <c r="BS10">
        <f t="shared" ref="BS10:BS37" si="18">+R10-AZ10</f>
        <v>-0.11870000000000402</v>
      </c>
      <c r="BT10">
        <f t="shared" ref="BT10:BT37" si="19">+S10-BA10</f>
        <v>4.3400000000000105E-3</v>
      </c>
      <c r="BU10">
        <f t="shared" ref="BU10:BU37" si="20">+T10-BB10</f>
        <v>-155.24</v>
      </c>
      <c r="BV10">
        <f t="shared" ref="BV10:BV37" si="21">+U10-BC10</f>
        <v>0.42276999999999987</v>
      </c>
    </row>
    <row r="11" spans="1:74" ht="18" x14ac:dyDescent="0.3">
      <c r="A11" s="74">
        <f t="shared" ref="A11" si="22">A10-1</f>
        <v>46108</v>
      </c>
      <c r="B11" s="99">
        <f t="shared" si="2"/>
        <v>17.7957</v>
      </c>
      <c r="C11">
        <v>0.86779200000000001</v>
      </c>
      <c r="D11">
        <v>1373.61</v>
      </c>
      <c r="E11">
        <v>6.9250600000000002</v>
      </c>
      <c r="F11">
        <v>5.2435200000000002</v>
      </c>
      <c r="G11">
        <v>927.54899999999998</v>
      </c>
      <c r="H11">
        <v>3684.47</v>
      </c>
      <c r="I11">
        <v>6536.68</v>
      </c>
      <c r="J11">
        <v>3.4679799999999998</v>
      </c>
      <c r="K11">
        <v>40.497100000000003</v>
      </c>
      <c r="L11" s="62">
        <v>463.88099999999997</v>
      </c>
      <c r="M11">
        <v>59.845100000000002</v>
      </c>
      <c r="N11">
        <v>1</v>
      </c>
      <c r="O11">
        <v>7.6486499999999999</v>
      </c>
      <c r="P11">
        <v>8.75</v>
      </c>
      <c r="Q11">
        <v>26.5289</v>
      </c>
      <c r="R11">
        <v>36.760599999999997</v>
      </c>
      <c r="S11">
        <v>6.7876200000000004</v>
      </c>
      <c r="T11">
        <v>1246.6300000000001</v>
      </c>
      <c r="U11">
        <v>7.7233000000000001</v>
      </c>
      <c r="W11" s="62"/>
      <c r="X11" s="62"/>
      <c r="Y11" s="62"/>
      <c r="Z11" s="62"/>
      <c r="AA11" s="62"/>
      <c r="AB11" s="62"/>
      <c r="AC11" s="62"/>
      <c r="AD11" s="62"/>
      <c r="AE11" s="62"/>
      <c r="AF11" s="62"/>
      <c r="AG11" s="62"/>
      <c r="AH11" s="62"/>
      <c r="AI11" s="62"/>
      <c r="AJ11" s="174" t="s">
        <v>421</v>
      </c>
      <c r="AK11" s="175">
        <v>0.92626600000000003</v>
      </c>
      <c r="AL11" s="175">
        <v>985.36599999999999</v>
      </c>
      <c r="AM11" s="175">
        <v>6.92096</v>
      </c>
      <c r="AN11" s="175">
        <v>5.7076099999999999</v>
      </c>
      <c r="AO11" s="175">
        <v>947.9</v>
      </c>
      <c r="AP11" s="175">
        <v>4326.18</v>
      </c>
      <c r="AQ11" s="175">
        <v>7975.63</v>
      </c>
      <c r="AR11" s="175">
        <v>3.7608600000000001</v>
      </c>
      <c r="AS11" s="175">
        <v>41.643799999999999</v>
      </c>
      <c r="AT11" s="175">
        <v>515.85500000000002</v>
      </c>
      <c r="AU11" s="175">
        <v>60.299399999999999</v>
      </c>
      <c r="AV11" s="175">
        <v>1</v>
      </c>
      <c r="AW11" s="175">
        <v>7.7457000000000003</v>
      </c>
      <c r="AX11" s="175">
        <v>8.75</v>
      </c>
      <c r="AY11" s="175">
        <v>25.25</v>
      </c>
      <c r="AZ11" s="175">
        <v>36.835999999999999</v>
      </c>
      <c r="BA11" s="175">
        <v>6.80328</v>
      </c>
      <c r="BB11" s="175">
        <v>1397.38</v>
      </c>
      <c r="BC11" s="175">
        <v>7.2962199999999999</v>
      </c>
      <c r="BD11">
        <f t="shared" si="3"/>
        <v>-5.8474000000000026E-2</v>
      </c>
      <c r="BE11">
        <f t="shared" si="4"/>
        <v>388.24399999999991</v>
      </c>
      <c r="BF11">
        <f t="shared" si="5"/>
        <v>4.1000000000002146E-3</v>
      </c>
      <c r="BG11">
        <f t="shared" si="6"/>
        <v>-0.46408999999999967</v>
      </c>
      <c r="BH11">
        <f t="shared" si="7"/>
        <v>-20.350999999999999</v>
      </c>
      <c r="BI11">
        <f t="shared" si="8"/>
        <v>-641.71000000000049</v>
      </c>
      <c r="BJ11">
        <f t="shared" si="9"/>
        <v>-1438.9499999999998</v>
      </c>
      <c r="BK11">
        <f t="shared" si="10"/>
        <v>-0.29288000000000025</v>
      </c>
      <c r="BL11">
        <f t="shared" si="11"/>
        <v>-1.1466999999999956</v>
      </c>
      <c r="BM11">
        <f t="shared" si="12"/>
        <v>-51.974000000000046</v>
      </c>
      <c r="BN11">
        <f t="shared" si="13"/>
        <v>-0.45429999999999637</v>
      </c>
      <c r="BO11">
        <f t="shared" si="14"/>
        <v>0</v>
      </c>
      <c r="BP11">
        <f t="shared" si="15"/>
        <v>-9.7050000000000303E-2</v>
      </c>
      <c r="BQ11">
        <f t="shared" si="16"/>
        <v>0</v>
      </c>
      <c r="BR11">
        <f t="shared" si="17"/>
        <v>1.2789000000000001</v>
      </c>
      <c r="BS11">
        <f t="shared" si="18"/>
        <v>-7.540000000000191E-2</v>
      </c>
      <c r="BT11">
        <f t="shared" si="19"/>
        <v>-1.5659999999999563E-2</v>
      </c>
      <c r="BU11">
        <f t="shared" si="20"/>
        <v>-150.75</v>
      </c>
      <c r="BV11">
        <f t="shared" si="21"/>
        <v>0.42708000000000013</v>
      </c>
    </row>
    <row r="12" spans="1:74" ht="18" x14ac:dyDescent="0.3">
      <c r="A12" s="74">
        <f t="shared" si="1"/>
        <v>46107</v>
      </c>
      <c r="B12" s="99">
        <f t="shared" si="2"/>
        <v>17.754799999999999</v>
      </c>
      <c r="C12">
        <v>0.86596799999999996</v>
      </c>
      <c r="D12">
        <v>1373.67</v>
      </c>
      <c r="E12">
        <v>6.9267200000000004</v>
      </c>
      <c r="F12">
        <v>5.2340200000000001</v>
      </c>
      <c r="G12">
        <v>921.63599999999997</v>
      </c>
      <c r="H12">
        <v>3695.78</v>
      </c>
      <c r="I12">
        <v>6532.82</v>
      </c>
      <c r="J12">
        <v>3.4632399999999999</v>
      </c>
      <c r="K12">
        <v>40.510899999999999</v>
      </c>
      <c r="L12" s="62">
        <v>464.77</v>
      </c>
      <c r="M12">
        <v>60.171399999999998</v>
      </c>
      <c r="N12">
        <v>1</v>
      </c>
      <c r="O12">
        <v>7.6585299999999998</v>
      </c>
      <c r="P12">
        <v>8.75</v>
      </c>
      <c r="Q12">
        <v>26.5472</v>
      </c>
      <c r="R12">
        <v>36.807899999999997</v>
      </c>
      <c r="S12">
        <v>6.7986199999999997</v>
      </c>
      <c r="T12">
        <v>1248.1500000000001</v>
      </c>
      <c r="U12">
        <v>7.7399399999999998</v>
      </c>
      <c r="W12" s="62"/>
      <c r="X12" s="62"/>
      <c r="Y12" s="62"/>
      <c r="Z12" s="62"/>
      <c r="AA12" s="62"/>
      <c r="AB12" s="62"/>
      <c r="AC12" s="62"/>
      <c r="AD12" s="62"/>
      <c r="AE12" s="62"/>
      <c r="AF12" s="62"/>
      <c r="AG12" s="62"/>
      <c r="AH12" s="62"/>
      <c r="AI12" s="62"/>
      <c r="AJ12" s="174" t="s">
        <v>422</v>
      </c>
      <c r="AK12" s="175">
        <v>0.92625599999999997</v>
      </c>
      <c r="AL12" s="175">
        <v>985.00400000000002</v>
      </c>
      <c r="AM12" s="175">
        <v>6.92096</v>
      </c>
      <c r="AN12" s="175">
        <v>5.7076000000000002</v>
      </c>
      <c r="AO12" s="175">
        <v>947.9</v>
      </c>
      <c r="AP12" s="175">
        <v>4326.18</v>
      </c>
      <c r="AQ12" s="175">
        <v>7975.63</v>
      </c>
      <c r="AR12" s="175">
        <v>3.7608600000000001</v>
      </c>
      <c r="AS12" s="175">
        <v>41.643799999999999</v>
      </c>
      <c r="AT12" s="175">
        <v>515.85500000000002</v>
      </c>
      <c r="AU12" s="175">
        <v>60.299399999999999</v>
      </c>
      <c r="AV12" s="175">
        <v>1</v>
      </c>
      <c r="AW12" s="175">
        <v>7.7457000000000003</v>
      </c>
      <c r="AX12" s="175">
        <v>8.75</v>
      </c>
      <c r="AY12" s="175">
        <v>25.25</v>
      </c>
      <c r="AZ12" s="175">
        <v>36.835999999999999</v>
      </c>
      <c r="BA12" s="175">
        <v>6.80328</v>
      </c>
      <c r="BB12" s="175">
        <v>1397.38</v>
      </c>
      <c r="BC12" s="175">
        <v>7.2962199999999999</v>
      </c>
      <c r="BD12">
        <f t="shared" si="3"/>
        <v>-6.0288000000000008E-2</v>
      </c>
      <c r="BE12">
        <f t="shared" si="4"/>
        <v>388.66600000000005</v>
      </c>
      <c r="BF12">
        <f t="shared" si="5"/>
        <v>5.7600000000004314E-3</v>
      </c>
      <c r="BG12">
        <f t="shared" si="6"/>
        <v>-0.47358000000000011</v>
      </c>
      <c r="BH12">
        <f t="shared" si="7"/>
        <v>-26.26400000000001</v>
      </c>
      <c r="BI12">
        <f t="shared" si="8"/>
        <v>-630.40000000000009</v>
      </c>
      <c r="BJ12">
        <f t="shared" si="9"/>
        <v>-1442.8100000000004</v>
      </c>
      <c r="BK12">
        <f t="shared" si="10"/>
        <v>-0.29762000000000022</v>
      </c>
      <c r="BL12">
        <f t="shared" si="11"/>
        <v>-1.1328999999999994</v>
      </c>
      <c r="BM12">
        <f t="shared" si="12"/>
        <v>-51.085000000000036</v>
      </c>
      <c r="BN12">
        <f t="shared" si="13"/>
        <v>-0.12800000000000011</v>
      </c>
      <c r="BO12">
        <f t="shared" si="14"/>
        <v>0</v>
      </c>
      <c r="BP12">
        <f t="shared" si="15"/>
        <v>-8.7170000000000414E-2</v>
      </c>
      <c r="BQ12">
        <f t="shared" si="16"/>
        <v>0</v>
      </c>
      <c r="BR12">
        <f t="shared" si="17"/>
        <v>1.2972000000000001</v>
      </c>
      <c r="BS12">
        <f t="shared" si="18"/>
        <v>-2.8100000000002012E-2</v>
      </c>
      <c r="BT12">
        <f t="shared" si="19"/>
        <v>-4.6600000000003305E-3</v>
      </c>
      <c r="BU12">
        <f t="shared" si="20"/>
        <v>-149.23000000000002</v>
      </c>
      <c r="BV12">
        <f t="shared" si="21"/>
        <v>0.44371999999999989</v>
      </c>
    </row>
    <row r="13" spans="1:74" ht="18" x14ac:dyDescent="0.3">
      <c r="A13" s="74">
        <f t="shared" si="1"/>
        <v>46106</v>
      </c>
      <c r="B13" s="99">
        <f t="shared" si="2"/>
        <v>17.8047</v>
      </c>
      <c r="C13">
        <v>0.86297000000000001</v>
      </c>
      <c r="D13">
        <v>1388.73</v>
      </c>
      <c r="E13">
        <v>6.9157999999999999</v>
      </c>
      <c r="F13">
        <v>5.2329400000000001</v>
      </c>
      <c r="G13">
        <v>916.47400000000005</v>
      </c>
      <c r="H13">
        <v>3703.93</v>
      </c>
      <c r="I13">
        <v>6516.53</v>
      </c>
      <c r="J13">
        <v>3.4565399999999999</v>
      </c>
      <c r="K13">
        <v>40.584000000000003</v>
      </c>
      <c r="L13" s="62">
        <v>465.35700000000003</v>
      </c>
      <c r="M13">
        <v>60.091999999999999</v>
      </c>
      <c r="N13">
        <v>1</v>
      </c>
      <c r="O13">
        <v>7.6504799999999999</v>
      </c>
      <c r="P13">
        <v>8.75</v>
      </c>
      <c r="Q13">
        <v>26.475100000000001</v>
      </c>
      <c r="R13">
        <v>36.764200000000002</v>
      </c>
      <c r="S13">
        <v>6.7923799999999996</v>
      </c>
      <c r="T13">
        <v>1245.3</v>
      </c>
      <c r="U13">
        <v>7.7555199999999997</v>
      </c>
      <c r="W13" s="62"/>
      <c r="X13" s="62"/>
      <c r="Y13" s="62"/>
      <c r="Z13" s="62"/>
      <c r="AA13" s="62"/>
      <c r="AB13" s="62"/>
      <c r="AC13" s="62"/>
      <c r="AD13" s="62"/>
      <c r="AE13" s="62"/>
      <c r="AF13" s="62"/>
      <c r="AG13" s="62"/>
      <c r="AH13" s="62"/>
      <c r="AI13" s="62"/>
      <c r="AJ13" s="174" t="s">
        <v>423</v>
      </c>
      <c r="AK13" s="175">
        <v>0.92453600000000002</v>
      </c>
      <c r="AL13" s="175">
        <v>985.18700000000001</v>
      </c>
      <c r="AM13" s="175">
        <v>6.9114100000000001</v>
      </c>
      <c r="AN13" s="175">
        <v>5.6834800000000003</v>
      </c>
      <c r="AO13" s="175">
        <v>947.44399999999996</v>
      </c>
      <c r="AP13" s="175">
        <v>4309.28</v>
      </c>
      <c r="AQ13" s="175">
        <v>7954.58</v>
      </c>
      <c r="AR13" s="175">
        <v>3.7528199999999998</v>
      </c>
      <c r="AS13" s="175">
        <v>41.5794</v>
      </c>
      <c r="AT13" s="175">
        <v>515.11199999999997</v>
      </c>
      <c r="AU13" s="175">
        <v>60.200499999999998</v>
      </c>
      <c r="AV13" s="175">
        <v>1</v>
      </c>
      <c r="AW13" s="175">
        <v>7.7343799999999998</v>
      </c>
      <c r="AX13" s="175">
        <v>8.75</v>
      </c>
      <c r="AY13" s="175">
        <v>25.187000000000001</v>
      </c>
      <c r="AZ13" s="175">
        <v>36.778700000000001</v>
      </c>
      <c r="BA13" s="175">
        <v>6.7931400000000002</v>
      </c>
      <c r="BB13" s="175">
        <v>1399.6</v>
      </c>
      <c r="BC13" s="175">
        <v>7.3158599999999998</v>
      </c>
      <c r="BD13">
        <f t="shared" si="3"/>
        <v>-6.156600000000001E-2</v>
      </c>
      <c r="BE13">
        <f t="shared" si="4"/>
        <v>403.54300000000001</v>
      </c>
      <c r="BF13">
        <f t="shared" si="5"/>
        <v>4.389999999999894E-3</v>
      </c>
      <c r="BG13">
        <f t="shared" si="6"/>
        <v>-0.45054000000000016</v>
      </c>
      <c r="BH13">
        <f t="shared" si="7"/>
        <v>-30.969999999999914</v>
      </c>
      <c r="BI13">
        <f t="shared" si="8"/>
        <v>-605.34999999999991</v>
      </c>
      <c r="BJ13">
        <f t="shared" si="9"/>
        <v>-1438.0500000000002</v>
      </c>
      <c r="BK13">
        <f t="shared" si="10"/>
        <v>-0.29627999999999988</v>
      </c>
      <c r="BL13">
        <f t="shared" si="11"/>
        <v>-0.99539999999999651</v>
      </c>
      <c r="BM13">
        <f t="shared" si="12"/>
        <v>-49.754999999999939</v>
      </c>
      <c r="BN13">
        <f t="shared" si="13"/>
        <v>-0.10849999999999937</v>
      </c>
      <c r="BO13">
        <f t="shared" si="14"/>
        <v>0</v>
      </c>
      <c r="BP13">
        <f t="shared" si="15"/>
        <v>-8.3899999999999864E-2</v>
      </c>
      <c r="BQ13">
        <f t="shared" si="16"/>
        <v>0</v>
      </c>
      <c r="BR13">
        <f t="shared" si="17"/>
        <v>1.2881</v>
      </c>
      <c r="BS13">
        <f t="shared" si="18"/>
        <v>-1.4499999999998181E-2</v>
      </c>
      <c r="BT13">
        <f t="shared" si="19"/>
        <v>-7.6000000000053802E-4</v>
      </c>
      <c r="BU13">
        <f t="shared" si="20"/>
        <v>-154.29999999999995</v>
      </c>
      <c r="BV13">
        <f t="shared" si="21"/>
        <v>0.43965999999999994</v>
      </c>
    </row>
    <row r="14" spans="1:74" ht="18" x14ac:dyDescent="0.3">
      <c r="A14" s="74">
        <f t="shared" si="1"/>
        <v>46105</v>
      </c>
      <c r="B14" s="99">
        <f t="shared" si="2"/>
        <v>17.777999999999999</v>
      </c>
      <c r="C14">
        <v>0.86279399999999995</v>
      </c>
      <c r="D14">
        <v>1396.7</v>
      </c>
      <c r="E14">
        <v>6.9104400000000004</v>
      </c>
      <c r="F14">
        <v>5.2453900000000004</v>
      </c>
      <c r="G14">
        <v>913.22799999999995</v>
      </c>
      <c r="H14">
        <v>3710.95</v>
      </c>
      <c r="I14">
        <v>6520.61</v>
      </c>
      <c r="J14">
        <v>3.4651999999999998</v>
      </c>
      <c r="K14">
        <v>40.649799999999999</v>
      </c>
      <c r="L14" s="62">
        <v>465.81799999999998</v>
      </c>
      <c r="M14">
        <v>59.696800000000003</v>
      </c>
      <c r="N14">
        <v>1</v>
      </c>
      <c r="O14">
        <v>7.6514899999999999</v>
      </c>
      <c r="P14">
        <v>8.75</v>
      </c>
      <c r="Q14">
        <v>26.465800000000002</v>
      </c>
      <c r="R14">
        <v>36.755600000000001</v>
      </c>
      <c r="S14">
        <v>6.7858599999999996</v>
      </c>
      <c r="T14">
        <v>1243.1199999999999</v>
      </c>
      <c r="U14">
        <v>7.7496600000000004</v>
      </c>
      <c r="W14" s="62"/>
      <c r="X14" s="62"/>
      <c r="Y14" s="62"/>
      <c r="Z14" s="62"/>
      <c r="AA14" s="62"/>
      <c r="AB14" s="62"/>
      <c r="AC14" s="62"/>
      <c r="AD14" s="62"/>
      <c r="AE14" s="62"/>
      <c r="AF14" s="62"/>
      <c r="AG14" s="62"/>
      <c r="AH14" s="62"/>
      <c r="AI14" s="62"/>
      <c r="AJ14" s="174" t="s">
        <v>424</v>
      </c>
      <c r="AK14" s="175">
        <v>0.92564400000000002</v>
      </c>
      <c r="AL14" s="175">
        <v>984.56</v>
      </c>
      <c r="AM14" s="175">
        <v>6.91038</v>
      </c>
      <c r="AN14" s="175">
        <v>5.6887400000000001</v>
      </c>
      <c r="AO14" s="175">
        <v>945.73599999999999</v>
      </c>
      <c r="AP14" s="175">
        <v>4304.4399999999996</v>
      </c>
      <c r="AQ14" s="175">
        <v>7931.74</v>
      </c>
      <c r="AR14" s="175">
        <v>3.7524600000000001</v>
      </c>
      <c r="AS14" s="175">
        <v>41.551900000000003</v>
      </c>
      <c r="AT14" s="175">
        <v>515.03099999999995</v>
      </c>
      <c r="AU14" s="175">
        <v>60.283200000000001</v>
      </c>
      <c r="AV14" s="175">
        <v>1</v>
      </c>
      <c r="AW14" s="175">
        <v>7.7321400000000002</v>
      </c>
      <c r="AX14" s="175">
        <v>8.75</v>
      </c>
      <c r="AY14" s="175">
        <v>25.159199999999998</v>
      </c>
      <c r="AZ14" s="175">
        <v>36.7864</v>
      </c>
      <c r="BA14" s="175">
        <v>6.7911599999999996</v>
      </c>
      <c r="BB14" s="175">
        <v>1394.29</v>
      </c>
      <c r="BC14" s="175">
        <v>7.3042600000000002</v>
      </c>
      <c r="BD14">
        <f t="shared" si="3"/>
        <v>-6.2850000000000072E-2</v>
      </c>
      <c r="BE14">
        <f t="shared" si="4"/>
        <v>412.1400000000001</v>
      </c>
      <c r="BF14">
        <f t="shared" si="5"/>
        <v>6.0000000000393072E-5</v>
      </c>
      <c r="BG14">
        <f t="shared" si="6"/>
        <v>-0.44334999999999969</v>
      </c>
      <c r="BH14">
        <f t="shared" si="7"/>
        <v>-32.508000000000038</v>
      </c>
      <c r="BI14">
        <f t="shared" si="8"/>
        <v>-593.48999999999978</v>
      </c>
      <c r="BJ14">
        <f t="shared" si="9"/>
        <v>-1411.13</v>
      </c>
      <c r="BK14">
        <f t="shared" si="10"/>
        <v>-0.28726000000000029</v>
      </c>
      <c r="BL14">
        <f t="shared" si="11"/>
        <v>-0.90210000000000434</v>
      </c>
      <c r="BM14">
        <f t="shared" si="12"/>
        <v>-49.212999999999965</v>
      </c>
      <c r="BN14">
        <f t="shared" si="13"/>
        <v>-0.58639999999999759</v>
      </c>
      <c r="BO14">
        <f t="shared" si="14"/>
        <v>0</v>
      </c>
      <c r="BP14">
        <f t="shared" si="15"/>
        <v>-8.0650000000000333E-2</v>
      </c>
      <c r="BQ14">
        <f t="shared" si="16"/>
        <v>0</v>
      </c>
      <c r="BR14">
        <f t="shared" si="17"/>
        <v>1.3066000000000031</v>
      </c>
      <c r="BS14">
        <f t="shared" si="18"/>
        <v>-3.0799999999999272E-2</v>
      </c>
      <c r="BT14">
        <f t="shared" si="19"/>
        <v>-5.3000000000000824E-3</v>
      </c>
      <c r="BU14">
        <f t="shared" si="20"/>
        <v>-151.17000000000007</v>
      </c>
      <c r="BV14">
        <f t="shared" si="21"/>
        <v>0.44540000000000024</v>
      </c>
    </row>
    <row r="15" spans="1:74" ht="18" x14ac:dyDescent="0.3">
      <c r="A15" s="74">
        <f t="shared" si="1"/>
        <v>46104</v>
      </c>
      <c r="B15" s="99">
        <f t="shared" si="2"/>
        <v>17.899799999999999</v>
      </c>
      <c r="C15">
        <v>0.86414800000000003</v>
      </c>
      <c r="D15">
        <v>1393.68</v>
      </c>
      <c r="E15">
        <v>6.9130599999999998</v>
      </c>
      <c r="F15">
        <v>5.28573</v>
      </c>
      <c r="G15">
        <v>918.60199999999998</v>
      </c>
      <c r="H15">
        <v>3706.79</v>
      </c>
      <c r="I15">
        <v>6531.76</v>
      </c>
      <c r="J15">
        <v>3.4668100000000002</v>
      </c>
      <c r="K15">
        <v>40.502899999999997</v>
      </c>
      <c r="L15" s="62">
        <v>466.68599999999998</v>
      </c>
      <c r="M15">
        <v>59.498800000000003</v>
      </c>
      <c r="N15">
        <v>1</v>
      </c>
      <c r="O15">
        <v>7.6590199999999999</v>
      </c>
      <c r="P15">
        <v>8.75</v>
      </c>
      <c r="Q15">
        <v>26.488199999999999</v>
      </c>
      <c r="R15">
        <v>36.800899999999999</v>
      </c>
      <c r="S15">
        <v>6.7868599999999999</v>
      </c>
      <c r="T15">
        <v>1235.74</v>
      </c>
      <c r="U15">
        <v>7.6627200000000002</v>
      </c>
      <c r="W15" s="62"/>
      <c r="X15" s="62"/>
      <c r="Y15" s="62"/>
      <c r="Z15" s="62"/>
      <c r="AA15" s="62"/>
      <c r="AB15" s="62"/>
      <c r="AC15" s="62"/>
      <c r="AD15" s="62"/>
      <c r="AE15" s="62"/>
      <c r="AF15" s="62"/>
      <c r="AG15" s="62"/>
      <c r="AH15" s="62"/>
      <c r="AI15" s="62"/>
      <c r="AJ15" s="174" t="s">
        <v>425</v>
      </c>
      <c r="AK15" s="175">
        <v>0.92720000000000002</v>
      </c>
      <c r="AL15" s="175">
        <v>984.13099999999997</v>
      </c>
      <c r="AM15" s="175">
        <v>6.9137399999999998</v>
      </c>
      <c r="AN15" s="175">
        <v>5.6963999999999997</v>
      </c>
      <c r="AO15" s="175">
        <v>949.27499999999998</v>
      </c>
      <c r="AP15" s="175">
        <v>4283.46</v>
      </c>
      <c r="AQ15" s="175">
        <v>7922.86</v>
      </c>
      <c r="AR15" s="175">
        <v>3.7658800000000001</v>
      </c>
      <c r="AS15" s="175">
        <v>41.598199999999999</v>
      </c>
      <c r="AT15" s="175">
        <v>515.072</v>
      </c>
      <c r="AU15" s="175">
        <v>60.384099999999997</v>
      </c>
      <c r="AV15" s="175">
        <v>1</v>
      </c>
      <c r="AW15" s="175">
        <v>7.7350500000000002</v>
      </c>
      <c r="AX15" s="175">
        <v>8.75</v>
      </c>
      <c r="AY15" s="175">
        <v>25.043500000000002</v>
      </c>
      <c r="AZ15" s="175">
        <v>36.817999999999998</v>
      </c>
      <c r="BA15" s="175">
        <v>6.7930400000000004</v>
      </c>
      <c r="BB15" s="175">
        <v>1390.86</v>
      </c>
      <c r="BC15" s="175">
        <v>7.3025799999999998</v>
      </c>
      <c r="BD15">
        <f t="shared" si="3"/>
        <v>-6.3051999999999997E-2</v>
      </c>
      <c r="BE15">
        <f t="shared" si="4"/>
        <v>409.54900000000009</v>
      </c>
      <c r="BF15">
        <f t="shared" si="5"/>
        <v>-6.8000000000001393E-4</v>
      </c>
      <c r="BG15">
        <f t="shared" si="6"/>
        <v>-0.41066999999999965</v>
      </c>
      <c r="BH15">
        <f t="shared" si="7"/>
        <v>-30.673000000000002</v>
      </c>
      <c r="BI15">
        <f t="shared" si="8"/>
        <v>-576.67000000000007</v>
      </c>
      <c r="BJ15">
        <f t="shared" si="9"/>
        <v>-1391.0999999999995</v>
      </c>
      <c r="BK15">
        <f t="shared" si="10"/>
        <v>-0.29906999999999995</v>
      </c>
      <c r="BL15">
        <f t="shared" si="11"/>
        <v>-1.0953000000000017</v>
      </c>
      <c r="BM15">
        <f t="shared" si="12"/>
        <v>-48.386000000000024</v>
      </c>
      <c r="BN15">
        <f t="shared" si="13"/>
        <v>-0.88529999999999376</v>
      </c>
      <c r="BO15">
        <f t="shared" si="14"/>
        <v>0</v>
      </c>
      <c r="BP15">
        <f t="shared" si="15"/>
        <v>-7.6030000000000264E-2</v>
      </c>
      <c r="BQ15">
        <f t="shared" si="16"/>
        <v>0</v>
      </c>
      <c r="BR15">
        <f t="shared" si="17"/>
        <v>1.4446999999999974</v>
      </c>
      <c r="BS15">
        <f t="shared" si="18"/>
        <v>-1.7099999999999227E-2</v>
      </c>
      <c r="BT15">
        <f t="shared" si="19"/>
        <v>-6.1800000000005184E-3</v>
      </c>
      <c r="BU15">
        <f t="shared" si="20"/>
        <v>-155.11999999999989</v>
      </c>
      <c r="BV15">
        <f t="shared" si="21"/>
        <v>0.36014000000000035</v>
      </c>
    </row>
    <row r="16" spans="1:74" ht="18" x14ac:dyDescent="0.3">
      <c r="A16" s="74">
        <f t="shared" si="1"/>
        <v>46103</v>
      </c>
      <c r="B16" s="99">
        <f t="shared" si="2"/>
        <v>17.811699999999998</v>
      </c>
      <c r="C16">
        <v>0.86438099999999995</v>
      </c>
      <c r="D16">
        <v>1390.9</v>
      </c>
      <c r="E16">
        <v>6.9191399999999996</v>
      </c>
      <c r="F16">
        <v>5.3141800000000003</v>
      </c>
      <c r="G16">
        <v>927.63800000000003</v>
      </c>
      <c r="H16">
        <v>3712.28</v>
      </c>
      <c r="I16">
        <v>6532.38</v>
      </c>
      <c r="J16">
        <v>3.4781599999999999</v>
      </c>
      <c r="K16">
        <v>40.505200000000002</v>
      </c>
      <c r="L16" s="62">
        <v>467.12900000000002</v>
      </c>
      <c r="M16">
        <v>59.013199999999998</v>
      </c>
      <c r="N16">
        <v>1</v>
      </c>
      <c r="O16">
        <v>7.6585900000000002</v>
      </c>
      <c r="P16">
        <v>8.75</v>
      </c>
      <c r="Q16">
        <v>26.531700000000001</v>
      </c>
      <c r="R16">
        <v>36.76</v>
      </c>
      <c r="S16">
        <v>6.7839</v>
      </c>
      <c r="T16">
        <v>1229.24</v>
      </c>
      <c r="U16">
        <v>7.6221199999999998</v>
      </c>
      <c r="W16" s="62"/>
      <c r="X16" s="62"/>
      <c r="Y16" s="62"/>
      <c r="Z16" s="62"/>
      <c r="AA16" s="62"/>
      <c r="AB16" s="62"/>
      <c r="AC16" s="62"/>
      <c r="AD16" s="62"/>
      <c r="AE16" s="62"/>
      <c r="AF16" s="62"/>
      <c r="AG16" s="62"/>
      <c r="AH16" s="62"/>
      <c r="AI16" s="62"/>
      <c r="AJ16" s="174" t="s">
        <v>426</v>
      </c>
      <c r="AK16" s="175">
        <v>0.92479199999999995</v>
      </c>
      <c r="AL16" s="175">
        <v>983.447</v>
      </c>
      <c r="AM16" s="175">
        <v>6.9166600000000003</v>
      </c>
      <c r="AN16" s="175">
        <v>5.6928200000000002</v>
      </c>
      <c r="AO16" s="175">
        <v>950.77</v>
      </c>
      <c r="AP16" s="175">
        <v>4272.49</v>
      </c>
      <c r="AQ16" s="175">
        <v>7910.79</v>
      </c>
      <c r="AR16" s="175">
        <v>3.7644799999999998</v>
      </c>
      <c r="AS16" s="175">
        <v>41.663400000000003</v>
      </c>
      <c r="AT16" s="175">
        <v>514.59900000000005</v>
      </c>
      <c r="AU16" s="175">
        <v>60.344700000000003</v>
      </c>
      <c r="AV16" s="175">
        <v>1</v>
      </c>
      <c r="AW16" s="175">
        <v>7.73454</v>
      </c>
      <c r="AX16" s="175">
        <v>8.75</v>
      </c>
      <c r="AY16" s="175">
        <v>24.994299999999999</v>
      </c>
      <c r="AZ16" s="175">
        <v>36.802999999999997</v>
      </c>
      <c r="BA16" s="175">
        <v>6.7902500000000003</v>
      </c>
      <c r="BB16" s="175">
        <v>1389.62</v>
      </c>
      <c r="BC16" s="175">
        <v>7.3186200000000001</v>
      </c>
      <c r="BD16">
        <f t="shared" si="3"/>
        <v>-6.0410999999999992E-2</v>
      </c>
      <c r="BE16">
        <f t="shared" si="4"/>
        <v>407.45300000000009</v>
      </c>
      <c r="BF16">
        <f t="shared" si="5"/>
        <v>2.4799999999993716E-3</v>
      </c>
      <c r="BG16">
        <f t="shared" si="6"/>
        <v>-0.37863999999999987</v>
      </c>
      <c r="BH16">
        <f t="shared" si="7"/>
        <v>-23.131999999999948</v>
      </c>
      <c r="BI16">
        <f t="shared" si="8"/>
        <v>-560.20999999999958</v>
      </c>
      <c r="BJ16">
        <f t="shared" si="9"/>
        <v>-1378.4099999999999</v>
      </c>
      <c r="BK16">
        <f t="shared" si="10"/>
        <v>-0.28631999999999991</v>
      </c>
      <c r="BL16">
        <f t="shared" si="11"/>
        <v>-1.1582000000000008</v>
      </c>
      <c r="BM16">
        <f t="shared" si="12"/>
        <v>-47.470000000000027</v>
      </c>
      <c r="BN16">
        <f t="shared" si="13"/>
        <v>-1.3315000000000055</v>
      </c>
      <c r="BO16">
        <f t="shared" si="14"/>
        <v>0</v>
      </c>
      <c r="BP16">
        <f t="shared" si="15"/>
        <v>-7.594999999999974E-2</v>
      </c>
      <c r="BQ16">
        <f t="shared" si="16"/>
        <v>0</v>
      </c>
      <c r="BR16">
        <f t="shared" si="17"/>
        <v>1.5374000000000017</v>
      </c>
      <c r="BS16">
        <f t="shared" si="18"/>
        <v>-4.2999999999999261E-2</v>
      </c>
      <c r="BT16">
        <f t="shared" si="19"/>
        <v>-6.3500000000002998E-3</v>
      </c>
      <c r="BU16">
        <f t="shared" si="20"/>
        <v>-160.37999999999988</v>
      </c>
      <c r="BV16">
        <f t="shared" si="21"/>
        <v>0.30349999999999966</v>
      </c>
    </row>
    <row r="17" spans="1:74" ht="18" x14ac:dyDescent="0.3">
      <c r="A17" s="74">
        <f t="shared" si="1"/>
        <v>46102</v>
      </c>
      <c r="B17" s="99">
        <f t="shared" si="2"/>
        <v>17.811699999999998</v>
      </c>
      <c r="C17">
        <v>0.86420799999999998</v>
      </c>
      <c r="D17">
        <v>1391.48</v>
      </c>
      <c r="E17">
        <v>6.9191399999999996</v>
      </c>
      <c r="F17">
        <v>5.3137999999999996</v>
      </c>
      <c r="G17">
        <v>927.63800000000003</v>
      </c>
      <c r="H17">
        <v>3712.59</v>
      </c>
      <c r="I17">
        <v>6532.38</v>
      </c>
      <c r="J17">
        <v>3.4789500000000002</v>
      </c>
      <c r="K17">
        <v>40.5092</v>
      </c>
      <c r="L17" s="62">
        <v>467.12799999999999</v>
      </c>
      <c r="M17">
        <v>59.0075</v>
      </c>
      <c r="N17">
        <v>1</v>
      </c>
      <c r="O17">
        <v>7.6585999999999999</v>
      </c>
      <c r="P17">
        <v>8.75</v>
      </c>
      <c r="Q17">
        <v>26.536999999999999</v>
      </c>
      <c r="R17">
        <v>36.76</v>
      </c>
      <c r="S17">
        <v>6.7839</v>
      </c>
      <c r="T17">
        <v>1229.33</v>
      </c>
      <c r="U17">
        <v>7.6234200000000003</v>
      </c>
      <c r="W17" s="62"/>
      <c r="X17" s="62"/>
      <c r="Y17" s="62"/>
      <c r="Z17" s="62"/>
      <c r="AA17" s="62"/>
      <c r="AB17" s="62"/>
      <c r="AC17" s="62"/>
      <c r="AD17" s="62"/>
      <c r="AE17" s="62"/>
      <c r="AF17" s="62"/>
      <c r="AG17" s="62"/>
      <c r="AH17" s="62"/>
      <c r="AI17" s="62"/>
      <c r="AJ17" s="174" t="s">
        <v>427</v>
      </c>
      <c r="AK17" s="175">
        <v>0.92234799999999995</v>
      </c>
      <c r="AL17" s="175">
        <v>981.46400000000006</v>
      </c>
      <c r="AM17" s="175">
        <v>6.9091399999999998</v>
      </c>
      <c r="AN17" s="175">
        <v>5.6800100000000002</v>
      </c>
      <c r="AO17" s="175">
        <v>950.95799999999997</v>
      </c>
      <c r="AP17" s="175">
        <v>4260.74</v>
      </c>
      <c r="AQ17" s="175">
        <v>7897.42</v>
      </c>
      <c r="AR17" s="175">
        <v>3.7603</v>
      </c>
      <c r="AS17" s="175">
        <v>41.705599999999997</v>
      </c>
      <c r="AT17" s="175">
        <v>513.76199999999994</v>
      </c>
      <c r="AU17" s="175">
        <v>60.219900000000003</v>
      </c>
      <c r="AV17" s="175">
        <v>1</v>
      </c>
      <c r="AW17" s="175">
        <v>7.7258199999999997</v>
      </c>
      <c r="AX17" s="175">
        <v>8.75</v>
      </c>
      <c r="AY17" s="175">
        <v>24.959</v>
      </c>
      <c r="AZ17" s="175">
        <v>36.738399999999999</v>
      </c>
      <c r="BA17" s="175">
        <v>6.7809600000000003</v>
      </c>
      <c r="BB17" s="175">
        <v>1390.39</v>
      </c>
      <c r="BC17" s="175">
        <v>7.3425399999999996</v>
      </c>
      <c r="BD17">
        <f t="shared" si="3"/>
        <v>-5.8139999999999969E-2</v>
      </c>
      <c r="BE17">
        <f t="shared" si="4"/>
        <v>410.01599999999996</v>
      </c>
      <c r="BF17">
        <f t="shared" si="5"/>
        <v>9.9999999999997868E-3</v>
      </c>
      <c r="BG17">
        <f t="shared" si="6"/>
        <v>-0.36621000000000059</v>
      </c>
      <c r="BH17">
        <f t="shared" si="7"/>
        <v>-23.319999999999936</v>
      </c>
      <c r="BI17">
        <f t="shared" si="8"/>
        <v>-548.14999999999964</v>
      </c>
      <c r="BJ17">
        <f t="shared" si="9"/>
        <v>-1365.04</v>
      </c>
      <c r="BK17">
        <f t="shared" si="10"/>
        <v>-0.28134999999999977</v>
      </c>
      <c r="BL17">
        <f t="shared" si="11"/>
        <v>-1.196399999999997</v>
      </c>
      <c r="BM17">
        <f t="shared" si="12"/>
        <v>-46.633999999999958</v>
      </c>
      <c r="BN17">
        <f t="shared" si="13"/>
        <v>-1.2124000000000024</v>
      </c>
      <c r="BO17">
        <f t="shared" si="14"/>
        <v>0</v>
      </c>
      <c r="BP17">
        <f t="shared" si="15"/>
        <v>-6.7219999999999835E-2</v>
      </c>
      <c r="BQ17">
        <f t="shared" si="16"/>
        <v>0</v>
      </c>
      <c r="BR17">
        <f t="shared" si="17"/>
        <v>1.5779999999999994</v>
      </c>
      <c r="BS17">
        <f t="shared" si="18"/>
        <v>2.1599999999999397E-2</v>
      </c>
      <c r="BT17">
        <f t="shared" si="19"/>
        <v>2.9399999999997206E-3</v>
      </c>
      <c r="BU17">
        <f t="shared" si="20"/>
        <v>-161.06000000000017</v>
      </c>
      <c r="BV17">
        <f t="shared" si="21"/>
        <v>0.28088000000000068</v>
      </c>
    </row>
    <row r="18" spans="1:74" ht="18" x14ac:dyDescent="0.3">
      <c r="A18" s="74">
        <f t="shared" si="1"/>
        <v>46101</v>
      </c>
      <c r="B18" s="99">
        <f t="shared" si="2"/>
        <v>17.811699999999998</v>
      </c>
      <c r="C18">
        <v>0.86491300000000004</v>
      </c>
      <c r="D18">
        <v>1393.95</v>
      </c>
      <c r="E18">
        <v>6.9034700000000004</v>
      </c>
      <c r="F18">
        <v>5.2596499999999997</v>
      </c>
      <c r="G18">
        <v>919.13699999999994</v>
      </c>
      <c r="H18">
        <v>3699.62</v>
      </c>
      <c r="I18">
        <v>6496.05</v>
      </c>
      <c r="J18">
        <v>3.4521099999999998</v>
      </c>
      <c r="K18">
        <v>40.432400000000001</v>
      </c>
      <c r="L18" s="62">
        <v>466.524</v>
      </c>
      <c r="M18">
        <v>59.352200000000003</v>
      </c>
      <c r="N18">
        <v>1</v>
      </c>
      <c r="O18">
        <v>7.6389800000000001</v>
      </c>
      <c r="P18">
        <v>8.75</v>
      </c>
      <c r="Q18">
        <v>26.440999999999999</v>
      </c>
      <c r="R18">
        <v>36.683399999999999</v>
      </c>
      <c r="S18">
        <v>6.7668299999999997</v>
      </c>
      <c r="T18">
        <v>1235.08</v>
      </c>
      <c r="U18">
        <v>7.6872800000000003</v>
      </c>
      <c r="W18" s="62"/>
      <c r="X18" s="62"/>
      <c r="Y18" s="62"/>
      <c r="Z18" s="62"/>
      <c r="AA18" s="62"/>
      <c r="AB18" s="62"/>
      <c r="AC18" s="62"/>
      <c r="AD18" s="62"/>
      <c r="AE18" s="62"/>
      <c r="AF18" s="62"/>
      <c r="AG18" s="62"/>
      <c r="AH18" s="62"/>
      <c r="AI18" s="62"/>
      <c r="AJ18" s="174" t="s">
        <v>428</v>
      </c>
      <c r="AK18" s="175">
        <v>0.92018200000000006</v>
      </c>
      <c r="AL18" s="175">
        <v>980.50300000000004</v>
      </c>
      <c r="AM18" s="175">
        <v>6.9191700000000003</v>
      </c>
      <c r="AN18" s="175">
        <v>5.6917400000000002</v>
      </c>
      <c r="AO18" s="175">
        <v>953.46</v>
      </c>
      <c r="AP18" s="175">
        <v>4266.9799999999996</v>
      </c>
      <c r="AQ18" s="175">
        <v>7868.6</v>
      </c>
      <c r="AR18" s="175">
        <v>3.7647900000000001</v>
      </c>
      <c r="AS18" s="175">
        <v>41.793199999999999</v>
      </c>
      <c r="AT18" s="175">
        <v>514.73</v>
      </c>
      <c r="AU18" s="175">
        <v>60.415999999999997</v>
      </c>
      <c r="AV18" s="175">
        <v>1</v>
      </c>
      <c r="AW18" s="175">
        <v>7.73604</v>
      </c>
      <c r="AX18" s="175">
        <v>8.75</v>
      </c>
      <c r="AY18" s="175">
        <v>25.082100000000001</v>
      </c>
      <c r="AZ18" s="175">
        <v>36.778599999999997</v>
      </c>
      <c r="BA18" s="175">
        <v>6.7907200000000003</v>
      </c>
      <c r="BB18" s="175">
        <v>1382.46</v>
      </c>
      <c r="BC18" s="175">
        <v>7.3428199999999997</v>
      </c>
      <c r="BD18">
        <f t="shared" si="3"/>
        <v>-5.5269000000000013E-2</v>
      </c>
      <c r="BE18">
        <f t="shared" si="4"/>
        <v>413.447</v>
      </c>
      <c r="BF18">
        <f t="shared" si="5"/>
        <v>-1.5699999999999825E-2</v>
      </c>
      <c r="BG18">
        <f t="shared" si="6"/>
        <v>-0.43209000000000053</v>
      </c>
      <c r="BH18">
        <f t="shared" si="7"/>
        <v>-34.323000000000093</v>
      </c>
      <c r="BI18">
        <f t="shared" si="8"/>
        <v>-567.35999999999967</v>
      </c>
      <c r="BJ18">
        <f t="shared" si="9"/>
        <v>-1372.5500000000002</v>
      </c>
      <c r="BK18">
        <f t="shared" si="10"/>
        <v>-0.31268000000000029</v>
      </c>
      <c r="BL18">
        <f t="shared" si="11"/>
        <v>-1.3607999999999976</v>
      </c>
      <c r="BM18">
        <f t="shared" si="12"/>
        <v>-48.206000000000017</v>
      </c>
      <c r="BN18">
        <f t="shared" si="13"/>
        <v>-1.0637999999999934</v>
      </c>
      <c r="BO18">
        <f t="shared" si="14"/>
        <v>0</v>
      </c>
      <c r="BP18">
        <f t="shared" si="15"/>
        <v>-9.7059999999999924E-2</v>
      </c>
      <c r="BQ18">
        <f t="shared" si="16"/>
        <v>0</v>
      </c>
      <c r="BR18">
        <f t="shared" si="17"/>
        <v>1.3588999999999984</v>
      </c>
      <c r="BS18">
        <f t="shared" si="18"/>
        <v>-9.5199999999998397E-2</v>
      </c>
      <c r="BT18">
        <f t="shared" si="19"/>
        <v>-2.3890000000000633E-2</v>
      </c>
      <c r="BU18">
        <f t="shared" si="20"/>
        <v>-147.38000000000011</v>
      </c>
      <c r="BV18">
        <f t="shared" si="21"/>
        <v>0.34446000000000065</v>
      </c>
    </row>
    <row r="19" spans="1:74" ht="18" x14ac:dyDescent="0.3">
      <c r="A19" s="74">
        <f t="shared" si="1"/>
        <v>46100</v>
      </c>
      <c r="B19" s="99">
        <f t="shared" si="2"/>
        <v>17.669</v>
      </c>
      <c r="C19">
        <v>0.86889799999999995</v>
      </c>
      <c r="D19">
        <v>1394.98</v>
      </c>
      <c r="E19">
        <v>6.9315600000000002</v>
      </c>
      <c r="F19">
        <v>5.2484999999999999</v>
      </c>
      <c r="G19">
        <v>915.64800000000002</v>
      </c>
      <c r="H19">
        <v>3701.09</v>
      </c>
      <c r="I19">
        <v>6500.56</v>
      </c>
      <c r="J19">
        <v>3.4422299999999999</v>
      </c>
      <c r="K19">
        <v>40.622599999999998</v>
      </c>
      <c r="L19" s="62">
        <v>468.69</v>
      </c>
      <c r="M19">
        <v>59.990400000000001</v>
      </c>
      <c r="N19">
        <v>1</v>
      </c>
      <c r="O19">
        <v>7.6707799999999997</v>
      </c>
      <c r="P19">
        <v>8.75</v>
      </c>
      <c r="Q19">
        <v>26.556799999999999</v>
      </c>
      <c r="R19">
        <v>36.857300000000002</v>
      </c>
      <c r="S19">
        <v>6.7929599999999999</v>
      </c>
      <c r="T19">
        <v>1238.56</v>
      </c>
      <c r="U19">
        <v>7.7398699999999998</v>
      </c>
      <c r="W19" s="62"/>
      <c r="X19" s="62"/>
      <c r="Y19" s="62"/>
      <c r="Z19" s="62"/>
      <c r="AA19" s="62"/>
      <c r="AB19" s="62"/>
      <c r="AC19" s="62"/>
      <c r="AD19" s="62"/>
      <c r="AE19" s="62"/>
      <c r="AF19" s="62"/>
      <c r="AG19" s="62"/>
      <c r="AH19" s="62"/>
      <c r="AI19" s="62"/>
      <c r="AJ19" s="174" t="s">
        <v>429</v>
      </c>
      <c r="AK19" s="175">
        <v>0.92018299999999997</v>
      </c>
      <c r="AL19" s="175">
        <v>980.75400000000002</v>
      </c>
      <c r="AM19" s="175">
        <v>6.9191200000000004</v>
      </c>
      <c r="AN19" s="175">
        <v>5.6928999999999998</v>
      </c>
      <c r="AO19" s="175">
        <v>953.46</v>
      </c>
      <c r="AP19" s="175">
        <v>4267.62</v>
      </c>
      <c r="AQ19" s="175">
        <v>7867.64</v>
      </c>
      <c r="AR19" s="175">
        <v>3.7646999999999999</v>
      </c>
      <c r="AS19" s="175">
        <v>41.793100000000003</v>
      </c>
      <c r="AT19" s="175">
        <v>514.726</v>
      </c>
      <c r="AU19" s="175">
        <v>60.422499999999999</v>
      </c>
      <c r="AV19" s="175">
        <v>1</v>
      </c>
      <c r="AW19" s="175">
        <v>7.7362700000000002</v>
      </c>
      <c r="AX19" s="175">
        <v>8.75</v>
      </c>
      <c r="AY19" s="175">
        <v>25.085000000000001</v>
      </c>
      <c r="AZ19" s="175">
        <v>36.779800000000002</v>
      </c>
      <c r="BA19" s="175">
        <v>6.7907000000000002</v>
      </c>
      <c r="BB19" s="175">
        <v>1382.01</v>
      </c>
      <c r="BC19" s="175">
        <v>7.3413000000000004</v>
      </c>
      <c r="BD19">
        <f t="shared" si="3"/>
        <v>-5.1285000000000025E-2</v>
      </c>
      <c r="BE19">
        <f t="shared" si="4"/>
        <v>414.226</v>
      </c>
      <c r="BF19">
        <f t="shared" si="5"/>
        <v>1.2439999999999785E-2</v>
      </c>
      <c r="BG19">
        <f t="shared" si="6"/>
        <v>-0.44439999999999991</v>
      </c>
      <c r="BH19">
        <f t="shared" si="7"/>
        <v>-37.812000000000012</v>
      </c>
      <c r="BI19">
        <f t="shared" si="8"/>
        <v>-566.52999999999975</v>
      </c>
      <c r="BJ19">
        <f t="shared" si="9"/>
        <v>-1367.08</v>
      </c>
      <c r="BK19">
        <f t="shared" si="10"/>
        <v>-0.32247000000000003</v>
      </c>
      <c r="BL19">
        <f t="shared" si="11"/>
        <v>-1.1705000000000041</v>
      </c>
      <c r="BM19">
        <f t="shared" si="12"/>
        <v>-46.036000000000001</v>
      </c>
      <c r="BN19">
        <f t="shared" si="13"/>
        <v>-0.43209999999999837</v>
      </c>
      <c r="BO19">
        <f t="shared" si="14"/>
        <v>0</v>
      </c>
      <c r="BP19">
        <f t="shared" si="15"/>
        <v>-6.5490000000000492E-2</v>
      </c>
      <c r="BQ19">
        <f t="shared" si="16"/>
        <v>0</v>
      </c>
      <c r="BR19">
        <f t="shared" si="17"/>
        <v>1.4717999999999982</v>
      </c>
      <c r="BS19">
        <f t="shared" si="18"/>
        <v>7.7500000000000568E-2</v>
      </c>
      <c r="BT19">
        <f t="shared" si="19"/>
        <v>2.2599999999997067E-3</v>
      </c>
      <c r="BU19">
        <f t="shared" si="20"/>
        <v>-143.45000000000005</v>
      </c>
      <c r="BV19">
        <f t="shared" si="21"/>
        <v>0.39856999999999942</v>
      </c>
    </row>
    <row r="20" spans="1:74" ht="18" x14ac:dyDescent="0.3">
      <c r="A20" s="74">
        <f t="shared" si="1"/>
        <v>46099</v>
      </c>
      <c r="B20" s="99">
        <f t="shared" si="2"/>
        <v>17.6922</v>
      </c>
      <c r="C20">
        <v>0.868452</v>
      </c>
      <c r="D20">
        <v>1396.5</v>
      </c>
      <c r="E20">
        <v>6.9080300000000001</v>
      </c>
      <c r="F20">
        <v>5.2105800000000002</v>
      </c>
      <c r="G20">
        <v>910.61800000000005</v>
      </c>
      <c r="H20">
        <v>3702.24</v>
      </c>
      <c r="I20">
        <v>6471.09</v>
      </c>
      <c r="J20">
        <v>3.41988</v>
      </c>
      <c r="K20">
        <v>40.540599999999998</v>
      </c>
      <c r="L20" s="62">
        <v>467.51100000000002</v>
      </c>
      <c r="M20">
        <v>60.4131</v>
      </c>
      <c r="N20">
        <v>1</v>
      </c>
      <c r="O20">
        <v>7.6523500000000002</v>
      </c>
      <c r="P20">
        <v>8.75</v>
      </c>
      <c r="Q20">
        <v>26.485199999999999</v>
      </c>
      <c r="R20">
        <v>36.743600000000001</v>
      </c>
      <c r="S20">
        <v>6.7775100000000004</v>
      </c>
      <c r="T20">
        <v>1241.92</v>
      </c>
      <c r="U20">
        <v>7.7804799999999998</v>
      </c>
      <c r="W20" s="62"/>
      <c r="X20" s="62"/>
      <c r="Y20" s="62"/>
      <c r="Z20" s="62"/>
      <c r="AA20" s="62"/>
      <c r="AB20" s="62"/>
      <c r="AC20" s="62"/>
      <c r="AD20" s="62"/>
      <c r="AE20" s="62"/>
      <c r="AF20" s="62"/>
      <c r="AG20" s="62"/>
      <c r="AH20" s="62"/>
      <c r="AI20" s="62"/>
      <c r="AJ20" s="174" t="s">
        <v>430</v>
      </c>
      <c r="AK20" s="175">
        <v>0.92158399999999996</v>
      </c>
      <c r="AL20" s="175">
        <v>980.76</v>
      </c>
      <c r="AM20" s="175">
        <v>6.9241200000000003</v>
      </c>
      <c r="AN20" s="175">
        <v>5.66744</v>
      </c>
      <c r="AO20" s="175">
        <v>948.24599999999998</v>
      </c>
      <c r="AP20" s="175">
        <v>4257.04</v>
      </c>
      <c r="AQ20" s="175">
        <v>7858.5</v>
      </c>
      <c r="AR20" s="175">
        <v>3.7702800000000001</v>
      </c>
      <c r="AS20" s="175">
        <v>41.814999999999998</v>
      </c>
      <c r="AT20" s="175">
        <v>515.22199999999998</v>
      </c>
      <c r="AU20" s="175">
        <v>60.343600000000002</v>
      </c>
      <c r="AV20" s="175">
        <v>1</v>
      </c>
      <c r="AW20" s="175">
        <v>7.7412000000000001</v>
      </c>
      <c r="AX20" s="175">
        <v>8.75</v>
      </c>
      <c r="AY20" s="175">
        <v>25.021599999999999</v>
      </c>
      <c r="AZ20" s="175">
        <v>36.839199999999998</v>
      </c>
      <c r="BA20" s="175">
        <v>6.79589</v>
      </c>
      <c r="BB20" s="175">
        <v>1386.61</v>
      </c>
      <c r="BC20" s="175">
        <v>7.3781400000000001</v>
      </c>
      <c r="BD20">
        <f t="shared" si="3"/>
        <v>-5.3131999999999957E-2</v>
      </c>
      <c r="BE20">
        <f t="shared" si="4"/>
        <v>415.74</v>
      </c>
      <c r="BF20">
        <f t="shared" si="5"/>
        <v>-1.609000000000016E-2</v>
      </c>
      <c r="BG20">
        <f t="shared" si="6"/>
        <v>-0.45685999999999982</v>
      </c>
      <c r="BH20">
        <f t="shared" si="7"/>
        <v>-37.627999999999929</v>
      </c>
      <c r="BI20">
        <f t="shared" si="8"/>
        <v>-554.80000000000018</v>
      </c>
      <c r="BJ20">
        <f t="shared" si="9"/>
        <v>-1387.4099999999999</v>
      </c>
      <c r="BK20">
        <f t="shared" si="10"/>
        <v>-0.35040000000000004</v>
      </c>
      <c r="BL20">
        <f t="shared" si="11"/>
        <v>-1.2744</v>
      </c>
      <c r="BM20">
        <f t="shared" si="12"/>
        <v>-47.710999999999956</v>
      </c>
      <c r="BN20">
        <f t="shared" si="13"/>
        <v>6.9499999999997897E-2</v>
      </c>
      <c r="BO20">
        <f t="shared" si="14"/>
        <v>0</v>
      </c>
      <c r="BP20">
        <f t="shared" si="15"/>
        <v>-8.8849999999999874E-2</v>
      </c>
      <c r="BQ20">
        <f t="shared" si="16"/>
        <v>0</v>
      </c>
      <c r="BR20">
        <f t="shared" si="17"/>
        <v>1.4635999999999996</v>
      </c>
      <c r="BS20">
        <f t="shared" si="18"/>
        <v>-9.5599999999997465E-2</v>
      </c>
      <c r="BT20">
        <f t="shared" si="19"/>
        <v>-1.8379999999999619E-2</v>
      </c>
      <c r="BU20">
        <f t="shared" si="20"/>
        <v>-144.68999999999983</v>
      </c>
      <c r="BV20">
        <f t="shared" si="21"/>
        <v>0.4023399999999997</v>
      </c>
    </row>
    <row r="21" spans="1:74" ht="18" x14ac:dyDescent="0.3">
      <c r="A21" s="74">
        <f t="shared" si="1"/>
        <v>46098</v>
      </c>
      <c r="B21" s="99">
        <f t="shared" si="2"/>
        <v>17.921800000000001</v>
      </c>
      <c r="C21">
        <v>0.86839900000000003</v>
      </c>
      <c r="D21">
        <v>1396.2</v>
      </c>
      <c r="E21">
        <v>6.9188299999999998</v>
      </c>
      <c r="F21">
        <v>5.2166800000000002</v>
      </c>
      <c r="G21">
        <v>908.46400000000006</v>
      </c>
      <c r="H21">
        <v>3701.77</v>
      </c>
      <c r="I21">
        <v>6477.13</v>
      </c>
      <c r="J21">
        <v>3.4281199999999998</v>
      </c>
      <c r="K21">
        <v>40.582799999999999</v>
      </c>
      <c r="L21" s="62">
        <v>468.678</v>
      </c>
      <c r="M21">
        <v>60.889600000000002</v>
      </c>
      <c r="N21">
        <v>1</v>
      </c>
      <c r="O21">
        <v>7.6565200000000004</v>
      </c>
      <c r="P21">
        <v>8.75</v>
      </c>
      <c r="Q21">
        <v>26.484400000000001</v>
      </c>
      <c r="R21">
        <v>36.753599999999999</v>
      </c>
      <c r="S21">
        <v>6.7758900000000004</v>
      </c>
      <c r="T21">
        <v>1241.6199999999999</v>
      </c>
      <c r="U21">
        <v>7.7794600000000003</v>
      </c>
      <c r="W21" s="62"/>
      <c r="X21" s="62"/>
      <c r="Y21" s="62"/>
      <c r="Z21" s="62"/>
      <c r="AA21" s="62"/>
      <c r="AB21" s="62"/>
      <c r="AC21" s="62"/>
      <c r="AD21" s="62"/>
      <c r="AE21" s="62"/>
      <c r="AF21" s="62"/>
      <c r="AG21" s="62"/>
      <c r="AH21" s="62"/>
      <c r="AI21" s="62"/>
      <c r="AJ21" s="174" t="s">
        <v>431</v>
      </c>
      <c r="AK21" s="175">
        <v>0.92218699999999998</v>
      </c>
      <c r="AL21" s="175">
        <v>980.46400000000006</v>
      </c>
      <c r="AM21" s="175">
        <v>6.9233900000000004</v>
      </c>
      <c r="AN21" s="175">
        <v>5.6683599999999998</v>
      </c>
      <c r="AO21" s="175">
        <v>941.55899999999997</v>
      </c>
      <c r="AP21" s="175">
        <v>4257.16</v>
      </c>
      <c r="AQ21" s="175">
        <v>7835.75</v>
      </c>
      <c r="AR21" s="175">
        <v>3.7724799999999998</v>
      </c>
      <c r="AS21" s="175">
        <v>41.678600000000003</v>
      </c>
      <c r="AT21" s="175">
        <v>515.28</v>
      </c>
      <c r="AU21" s="175">
        <v>60.312800000000003</v>
      </c>
      <c r="AV21" s="175">
        <v>1</v>
      </c>
      <c r="AW21" s="175">
        <v>7.73712</v>
      </c>
      <c r="AX21" s="175">
        <v>8.75</v>
      </c>
      <c r="AY21" s="175">
        <v>25.0824</v>
      </c>
      <c r="AZ21" s="175">
        <v>36.840200000000003</v>
      </c>
      <c r="BA21" s="175">
        <v>6.7926000000000002</v>
      </c>
      <c r="BB21" s="175">
        <v>1382.37</v>
      </c>
      <c r="BC21" s="175">
        <v>7.3528799999999999</v>
      </c>
      <c r="BD21">
        <f t="shared" si="3"/>
        <v>-5.3787999999999947E-2</v>
      </c>
      <c r="BE21">
        <f t="shared" si="4"/>
        <v>415.73599999999999</v>
      </c>
      <c r="BF21">
        <f t="shared" si="5"/>
        <v>-4.5600000000005636E-3</v>
      </c>
      <c r="BG21">
        <f t="shared" si="6"/>
        <v>-0.45167999999999964</v>
      </c>
      <c r="BH21">
        <f t="shared" si="7"/>
        <v>-33.094999999999914</v>
      </c>
      <c r="BI21">
        <f t="shared" si="8"/>
        <v>-555.38999999999987</v>
      </c>
      <c r="BJ21">
        <f t="shared" si="9"/>
        <v>-1358.62</v>
      </c>
      <c r="BK21">
        <f t="shared" si="10"/>
        <v>-0.34436</v>
      </c>
      <c r="BL21">
        <f t="shared" si="11"/>
        <v>-1.0958000000000041</v>
      </c>
      <c r="BM21">
        <f t="shared" si="12"/>
        <v>-46.601999999999975</v>
      </c>
      <c r="BN21">
        <f t="shared" si="13"/>
        <v>0.57679999999999865</v>
      </c>
      <c r="BO21">
        <f t="shared" si="14"/>
        <v>0</v>
      </c>
      <c r="BP21">
        <f t="shared" si="15"/>
        <v>-8.0599999999999561E-2</v>
      </c>
      <c r="BQ21">
        <f t="shared" si="16"/>
        <v>0</v>
      </c>
      <c r="BR21">
        <f t="shared" si="17"/>
        <v>1.402000000000001</v>
      </c>
      <c r="BS21">
        <f t="shared" si="18"/>
        <v>-8.6600000000004229E-2</v>
      </c>
      <c r="BT21">
        <f t="shared" si="19"/>
        <v>-1.6709999999999781E-2</v>
      </c>
      <c r="BU21">
        <f t="shared" si="20"/>
        <v>-140.75</v>
      </c>
      <c r="BV21">
        <f t="shared" si="21"/>
        <v>0.4265800000000004</v>
      </c>
    </row>
    <row r="22" spans="1:74" ht="18" x14ac:dyDescent="0.3">
      <c r="A22" s="74">
        <f t="shared" si="1"/>
        <v>46097</v>
      </c>
      <c r="B22" s="99">
        <f t="shared" si="2"/>
        <v>17.8368</v>
      </c>
      <c r="C22">
        <v>0.87164200000000003</v>
      </c>
      <c r="D22">
        <v>1396.89</v>
      </c>
      <c r="E22">
        <v>6.9242600000000003</v>
      </c>
      <c r="F22">
        <v>5.2916600000000003</v>
      </c>
      <c r="G22">
        <v>914.99800000000005</v>
      </c>
      <c r="H22">
        <v>3697.36</v>
      </c>
      <c r="I22">
        <v>6474.1</v>
      </c>
      <c r="J22">
        <v>3.4429799999999999</v>
      </c>
      <c r="K22">
        <v>40.436199999999999</v>
      </c>
      <c r="L22" s="62">
        <v>470.3</v>
      </c>
      <c r="M22">
        <v>61.417999999999999</v>
      </c>
      <c r="N22">
        <v>1</v>
      </c>
      <c r="O22">
        <v>7.6698300000000001</v>
      </c>
      <c r="P22">
        <v>8.75</v>
      </c>
      <c r="Q22">
        <v>26.5137</v>
      </c>
      <c r="R22">
        <v>36.797499999999999</v>
      </c>
      <c r="S22">
        <v>6.7853700000000003</v>
      </c>
      <c r="T22">
        <v>1223.46</v>
      </c>
      <c r="U22">
        <v>7.6414999999999997</v>
      </c>
      <c r="W22" s="62"/>
      <c r="X22" s="62"/>
      <c r="Y22" s="62"/>
      <c r="Z22" s="62"/>
      <c r="AA22" s="62"/>
      <c r="AB22" s="62"/>
      <c r="AC22" s="62"/>
      <c r="AD22" s="62"/>
      <c r="AE22" s="62"/>
      <c r="AF22" s="62"/>
      <c r="AG22" s="62"/>
      <c r="AH22" s="62"/>
      <c r="AI22" s="62"/>
      <c r="AJ22" s="174" t="s">
        <v>432</v>
      </c>
      <c r="AK22" s="175">
        <v>0.91923200000000005</v>
      </c>
      <c r="AL22" s="175">
        <v>979.928</v>
      </c>
      <c r="AM22" s="175">
        <v>6.9295200000000001</v>
      </c>
      <c r="AN22" s="175">
        <v>5.65944</v>
      </c>
      <c r="AO22" s="175">
        <v>939.351</v>
      </c>
      <c r="AP22" s="175">
        <v>4251.0200000000004</v>
      </c>
      <c r="AQ22" s="175">
        <v>7824.6</v>
      </c>
      <c r="AR22" s="175">
        <v>3.7681900000000002</v>
      </c>
      <c r="AS22" s="175">
        <v>41.633600000000001</v>
      </c>
      <c r="AT22" s="175">
        <v>515.26199999999994</v>
      </c>
      <c r="AU22" s="175">
        <v>60.278599999999997</v>
      </c>
      <c r="AV22" s="175">
        <v>1</v>
      </c>
      <c r="AW22" s="175">
        <v>7.7346000000000004</v>
      </c>
      <c r="AX22" s="175">
        <v>8.75</v>
      </c>
      <c r="AY22" s="175">
        <v>25.0458</v>
      </c>
      <c r="AZ22" s="175">
        <v>36.823399999999999</v>
      </c>
      <c r="BA22" s="175">
        <v>6.7901199999999999</v>
      </c>
      <c r="BB22" s="175">
        <v>1382.58</v>
      </c>
      <c r="BC22" s="175">
        <v>7.3565199999999997</v>
      </c>
      <c r="BD22">
        <f t="shared" si="3"/>
        <v>-4.7590000000000021E-2</v>
      </c>
      <c r="BE22">
        <f t="shared" si="4"/>
        <v>416.9620000000001</v>
      </c>
      <c r="BF22">
        <f t="shared" si="5"/>
        <v>-5.2599999999998204E-3</v>
      </c>
      <c r="BG22">
        <f t="shared" si="6"/>
        <v>-0.36777999999999977</v>
      </c>
      <c r="BH22">
        <f t="shared" si="7"/>
        <v>-24.352999999999952</v>
      </c>
      <c r="BI22">
        <f t="shared" si="8"/>
        <v>-553.66000000000031</v>
      </c>
      <c r="BJ22">
        <f t="shared" si="9"/>
        <v>-1350.5</v>
      </c>
      <c r="BK22">
        <f t="shared" si="10"/>
        <v>-0.32521000000000022</v>
      </c>
      <c r="BL22">
        <f t="shared" si="11"/>
        <v>-1.1974000000000018</v>
      </c>
      <c r="BM22">
        <f t="shared" si="12"/>
        <v>-44.961999999999932</v>
      </c>
      <c r="BN22">
        <f t="shared" si="13"/>
        <v>1.139400000000002</v>
      </c>
      <c r="BO22">
        <f t="shared" si="14"/>
        <v>0</v>
      </c>
      <c r="BP22">
        <f t="shared" si="15"/>
        <v>-6.4770000000000216E-2</v>
      </c>
      <c r="BQ22">
        <f t="shared" si="16"/>
        <v>0</v>
      </c>
      <c r="BR22">
        <f t="shared" si="17"/>
        <v>1.4679000000000002</v>
      </c>
      <c r="BS22">
        <f t="shared" si="18"/>
        <v>-2.5900000000000034E-2</v>
      </c>
      <c r="BT22">
        <f t="shared" si="19"/>
        <v>-4.7499999999995879E-3</v>
      </c>
      <c r="BU22">
        <f t="shared" si="20"/>
        <v>-159.11999999999989</v>
      </c>
      <c r="BV22">
        <f t="shared" si="21"/>
        <v>0.28498000000000001</v>
      </c>
    </row>
    <row r="23" spans="1:74" ht="18" x14ac:dyDescent="0.3">
      <c r="A23" s="74">
        <f t="shared" si="1"/>
        <v>46096</v>
      </c>
      <c r="B23" s="99">
        <f t="shared" si="2"/>
        <v>17.8368</v>
      </c>
      <c r="C23">
        <v>0.87582599999999999</v>
      </c>
      <c r="D23">
        <v>1398.4</v>
      </c>
      <c r="E23">
        <v>6.9139600000000003</v>
      </c>
      <c r="F23">
        <v>5.3233600000000001</v>
      </c>
      <c r="G23">
        <v>917.97799999999995</v>
      </c>
      <c r="H23">
        <v>3702.63</v>
      </c>
      <c r="I23">
        <v>6461.09</v>
      </c>
      <c r="J23">
        <v>3.4521500000000001</v>
      </c>
      <c r="K23">
        <v>40.3551</v>
      </c>
      <c r="L23" s="62">
        <v>470.62700000000001</v>
      </c>
      <c r="M23">
        <v>61.708799999999997</v>
      </c>
      <c r="N23">
        <v>1</v>
      </c>
      <c r="O23">
        <v>7.6693699999999998</v>
      </c>
      <c r="P23">
        <v>8.75</v>
      </c>
      <c r="Q23">
        <v>26.5428</v>
      </c>
      <c r="R23">
        <v>36.76</v>
      </c>
      <c r="S23">
        <v>6.78329</v>
      </c>
      <c r="T23">
        <v>1213.72</v>
      </c>
      <c r="U23">
        <v>7.5807700000000002</v>
      </c>
      <c r="W23" s="62"/>
      <c r="X23" s="62"/>
      <c r="Y23" s="62"/>
      <c r="Z23" s="62"/>
      <c r="AA23" s="62"/>
      <c r="AB23" s="62"/>
      <c r="AC23" s="62"/>
      <c r="AD23" s="62"/>
      <c r="AE23" s="62"/>
      <c r="AF23" s="62"/>
      <c r="AG23" s="62"/>
      <c r="AH23" s="62"/>
      <c r="AI23" s="62"/>
      <c r="AJ23" s="174" t="s">
        <v>433</v>
      </c>
      <c r="AK23" s="175">
        <v>0.91758700000000004</v>
      </c>
      <c r="AL23" s="175">
        <v>979.75699999999995</v>
      </c>
      <c r="AM23" s="175">
        <v>6.9320300000000001</v>
      </c>
      <c r="AN23" s="175">
        <v>5.62148</v>
      </c>
      <c r="AO23" s="175">
        <v>932.11400000000003</v>
      </c>
      <c r="AP23" s="175">
        <v>4223.08</v>
      </c>
      <c r="AQ23" s="175">
        <v>7818.05</v>
      </c>
      <c r="AR23" s="175">
        <v>3.7459600000000002</v>
      </c>
      <c r="AS23" s="175">
        <v>41.712699999999998</v>
      </c>
      <c r="AT23" s="175">
        <v>516.36</v>
      </c>
      <c r="AU23" s="175">
        <v>60.259599999999999</v>
      </c>
      <c r="AV23" s="175">
        <v>1</v>
      </c>
      <c r="AW23" s="175">
        <v>7.7350599999999998</v>
      </c>
      <c r="AX23" s="175">
        <v>8.75</v>
      </c>
      <c r="AY23" s="175">
        <v>24.948399999999999</v>
      </c>
      <c r="AZ23" s="175">
        <v>36.808799999999998</v>
      </c>
      <c r="BA23" s="175">
        <v>6.7906599999999999</v>
      </c>
      <c r="BB23" s="175">
        <v>1390.75</v>
      </c>
      <c r="BC23" s="175">
        <v>7.4202700000000004</v>
      </c>
      <c r="BD23">
        <f t="shared" si="3"/>
        <v>-4.1761000000000048E-2</v>
      </c>
      <c r="BE23">
        <f t="shared" si="4"/>
        <v>418.64300000000014</v>
      </c>
      <c r="BF23">
        <f t="shared" si="5"/>
        <v>-1.8069999999999808E-2</v>
      </c>
      <c r="BG23">
        <f t="shared" si="6"/>
        <v>-0.29811999999999994</v>
      </c>
      <c r="BH23">
        <f t="shared" si="7"/>
        <v>-14.136000000000081</v>
      </c>
      <c r="BI23">
        <f t="shared" si="8"/>
        <v>-520.44999999999982</v>
      </c>
      <c r="BJ23">
        <f t="shared" si="9"/>
        <v>-1356.96</v>
      </c>
      <c r="BK23">
        <f t="shared" si="10"/>
        <v>-0.29381000000000013</v>
      </c>
      <c r="BL23">
        <f t="shared" si="11"/>
        <v>-1.3575999999999979</v>
      </c>
      <c r="BM23">
        <f t="shared" si="12"/>
        <v>-45.733000000000004</v>
      </c>
      <c r="BN23">
        <f t="shared" si="13"/>
        <v>1.4491999999999976</v>
      </c>
      <c r="BO23">
        <f t="shared" si="14"/>
        <v>0</v>
      </c>
      <c r="BP23">
        <f t="shared" si="15"/>
        <v>-6.5690000000000026E-2</v>
      </c>
      <c r="BQ23">
        <f t="shared" si="16"/>
        <v>0</v>
      </c>
      <c r="BR23">
        <f t="shared" si="17"/>
        <v>1.5944000000000003</v>
      </c>
      <c r="BS23">
        <f t="shared" si="18"/>
        <v>-4.8799999999999955E-2</v>
      </c>
      <c r="BT23">
        <f t="shared" si="19"/>
        <v>-7.3699999999998766E-3</v>
      </c>
      <c r="BU23">
        <f t="shared" si="20"/>
        <v>-177.02999999999997</v>
      </c>
      <c r="BV23">
        <f t="shared" si="21"/>
        <v>0.16049999999999986</v>
      </c>
    </row>
    <row r="24" spans="1:74" ht="18" x14ac:dyDescent="0.3">
      <c r="A24" s="74">
        <f t="shared" si="1"/>
        <v>46095</v>
      </c>
      <c r="B24" s="99">
        <f t="shared" si="2"/>
        <v>17.8368</v>
      </c>
      <c r="C24">
        <v>0.87592899999999996</v>
      </c>
      <c r="D24">
        <v>1398.28</v>
      </c>
      <c r="E24">
        <v>6.9139600000000003</v>
      </c>
      <c r="F24">
        <v>5.3233199999999998</v>
      </c>
      <c r="G24">
        <v>917.94799999999998</v>
      </c>
      <c r="H24">
        <v>3702.72</v>
      </c>
      <c r="I24">
        <v>6461.09</v>
      </c>
      <c r="J24">
        <v>3.4525000000000001</v>
      </c>
      <c r="K24">
        <v>40.371299999999998</v>
      </c>
      <c r="L24" s="62">
        <v>470.62700000000001</v>
      </c>
      <c r="M24">
        <v>61.713000000000001</v>
      </c>
      <c r="N24">
        <v>1</v>
      </c>
      <c r="O24">
        <v>7.6693699999999998</v>
      </c>
      <c r="P24">
        <v>8.75</v>
      </c>
      <c r="Q24">
        <v>26.545999999999999</v>
      </c>
      <c r="R24">
        <v>36.76</v>
      </c>
      <c r="S24">
        <v>6.78329</v>
      </c>
      <c r="T24">
        <v>1213.74</v>
      </c>
      <c r="U24">
        <v>7.5838599999999996</v>
      </c>
      <c r="W24" s="62"/>
      <c r="X24" s="62"/>
      <c r="Y24" s="62"/>
      <c r="Z24" s="62"/>
      <c r="AA24" s="62"/>
      <c r="AB24" s="62"/>
      <c r="AC24" s="62"/>
      <c r="AD24" s="62"/>
      <c r="AE24" s="62"/>
      <c r="AF24" s="62"/>
      <c r="AG24" s="62"/>
      <c r="AH24" s="62"/>
      <c r="AI24" s="62"/>
      <c r="AJ24" s="174" t="s">
        <v>434</v>
      </c>
      <c r="AK24" s="175">
        <v>0.91606200000000004</v>
      </c>
      <c r="AL24" s="175">
        <v>977.24199999999996</v>
      </c>
      <c r="AM24" s="175">
        <v>6.9341999999999997</v>
      </c>
      <c r="AN24" s="175">
        <v>5.6039599999999998</v>
      </c>
      <c r="AO24" s="175">
        <v>927.62699999999995</v>
      </c>
      <c r="AP24" s="175">
        <v>4204.28</v>
      </c>
      <c r="AQ24" s="175">
        <v>7808.28</v>
      </c>
      <c r="AR24" s="175">
        <v>3.7335799999999999</v>
      </c>
      <c r="AS24" s="175">
        <v>41.817599999999999</v>
      </c>
      <c r="AT24" s="175">
        <v>516.95000000000005</v>
      </c>
      <c r="AU24" s="175">
        <v>60.246000000000002</v>
      </c>
      <c r="AV24" s="175">
        <v>1</v>
      </c>
      <c r="AW24" s="175">
        <v>7.7376800000000001</v>
      </c>
      <c r="AX24" s="175">
        <v>8.75</v>
      </c>
      <c r="AY24" s="175">
        <v>24.882100000000001</v>
      </c>
      <c r="AZ24" s="175">
        <v>36.814799999999998</v>
      </c>
      <c r="BA24" s="175">
        <v>6.7917800000000002</v>
      </c>
      <c r="BB24" s="175">
        <v>1393.36</v>
      </c>
      <c r="BC24" s="175">
        <v>7.4622000000000002</v>
      </c>
      <c r="BD24">
        <f t="shared" si="3"/>
        <v>-4.0133000000000085E-2</v>
      </c>
      <c r="BE24">
        <f t="shared" si="4"/>
        <v>421.03800000000001</v>
      </c>
      <c r="BF24">
        <f t="shared" si="5"/>
        <v>-2.023999999999937E-2</v>
      </c>
      <c r="BG24">
        <f t="shared" si="6"/>
        <v>-0.28064</v>
      </c>
      <c r="BH24">
        <f t="shared" si="7"/>
        <v>-9.6789999999999736</v>
      </c>
      <c r="BI24">
        <f t="shared" si="8"/>
        <v>-501.55999999999995</v>
      </c>
      <c r="BJ24">
        <f t="shared" si="9"/>
        <v>-1347.1899999999996</v>
      </c>
      <c r="BK24">
        <f t="shared" si="10"/>
        <v>-0.28107999999999977</v>
      </c>
      <c r="BL24">
        <f t="shared" si="11"/>
        <v>-1.4463000000000008</v>
      </c>
      <c r="BM24">
        <f t="shared" si="12"/>
        <v>-46.323000000000036</v>
      </c>
      <c r="BN24">
        <f t="shared" si="13"/>
        <v>1.4669999999999987</v>
      </c>
      <c r="BO24">
        <f t="shared" si="14"/>
        <v>0</v>
      </c>
      <c r="BP24">
        <f t="shared" si="15"/>
        <v>-6.8310000000000315E-2</v>
      </c>
      <c r="BQ24">
        <f t="shared" si="16"/>
        <v>0</v>
      </c>
      <c r="BR24">
        <f t="shared" si="17"/>
        <v>1.6638999999999982</v>
      </c>
      <c r="BS24">
        <f t="shared" si="18"/>
        <v>-5.4800000000000182E-2</v>
      </c>
      <c r="BT24">
        <f t="shared" si="19"/>
        <v>-8.4900000000001086E-3</v>
      </c>
      <c r="BU24">
        <f t="shared" si="20"/>
        <v>-179.61999999999989</v>
      </c>
      <c r="BV24">
        <f t="shared" si="21"/>
        <v>0.12165999999999944</v>
      </c>
    </row>
    <row r="25" spans="1:74" ht="18" x14ac:dyDescent="0.3">
      <c r="A25" s="74">
        <f t="shared" si="1"/>
        <v>46094</v>
      </c>
      <c r="B25" s="99">
        <f t="shared" si="2"/>
        <v>17.8368</v>
      </c>
      <c r="C25">
        <v>0.87223600000000001</v>
      </c>
      <c r="D25">
        <v>1395.83</v>
      </c>
      <c r="E25">
        <v>6.9223999999999997</v>
      </c>
      <c r="F25">
        <v>5.2668900000000001</v>
      </c>
      <c r="G25">
        <v>914.92</v>
      </c>
      <c r="H25">
        <v>3700.95</v>
      </c>
      <c r="I25">
        <v>6479.6</v>
      </c>
      <c r="J25">
        <v>3.44408</v>
      </c>
      <c r="K25">
        <v>40.230600000000003</v>
      </c>
      <c r="L25" s="62">
        <v>471.64</v>
      </c>
      <c r="M25">
        <v>61.448</v>
      </c>
      <c r="N25">
        <v>1</v>
      </c>
      <c r="O25">
        <v>7.6786399999999997</v>
      </c>
      <c r="P25">
        <v>8.75</v>
      </c>
      <c r="Q25">
        <v>26.5305</v>
      </c>
      <c r="R25">
        <v>36.823399999999999</v>
      </c>
      <c r="S25">
        <v>6.7926399999999996</v>
      </c>
      <c r="T25">
        <v>1230.26</v>
      </c>
      <c r="U25">
        <v>7.63842</v>
      </c>
      <c r="W25" s="62"/>
      <c r="X25" s="62"/>
      <c r="Y25" s="62"/>
      <c r="Z25" s="62"/>
      <c r="AA25" s="62"/>
      <c r="AB25" s="62"/>
      <c r="AC25" s="62"/>
      <c r="AD25" s="62"/>
      <c r="AE25" s="62"/>
      <c r="AF25" s="62"/>
      <c r="AG25" s="62"/>
      <c r="AH25" s="62"/>
      <c r="AI25" s="62"/>
      <c r="AJ25" s="174" t="s">
        <v>435</v>
      </c>
      <c r="AK25" s="175">
        <v>0.91440999999999995</v>
      </c>
      <c r="AL25" s="175">
        <v>974.94200000000001</v>
      </c>
      <c r="AM25" s="175">
        <v>6.9300600000000001</v>
      </c>
      <c r="AN25" s="175">
        <v>5.6112500000000001</v>
      </c>
      <c r="AO25" s="175">
        <v>926.71400000000006</v>
      </c>
      <c r="AP25" s="175">
        <v>4209.4799999999996</v>
      </c>
      <c r="AQ25" s="175">
        <v>7806.31</v>
      </c>
      <c r="AR25" s="175">
        <v>3.7584</v>
      </c>
      <c r="AS25" s="175">
        <v>41.897100000000002</v>
      </c>
      <c r="AT25" s="175">
        <v>518.47400000000005</v>
      </c>
      <c r="AU25" s="175">
        <v>60.391199999999998</v>
      </c>
      <c r="AV25" s="175">
        <v>1</v>
      </c>
      <c r="AW25" s="175">
        <v>7.7389900000000003</v>
      </c>
      <c r="AX25" s="175">
        <v>8.75</v>
      </c>
      <c r="AY25" s="175">
        <v>24.844799999999999</v>
      </c>
      <c r="AZ25" s="175">
        <v>36.828499999999998</v>
      </c>
      <c r="BA25" s="175">
        <v>6.7899399999999996</v>
      </c>
      <c r="BB25" s="175">
        <v>1391.2</v>
      </c>
      <c r="BC25" s="175">
        <v>7.4666399999999999</v>
      </c>
      <c r="BD25">
        <f t="shared" si="3"/>
        <v>-4.2173999999999934E-2</v>
      </c>
      <c r="BE25">
        <f t="shared" si="4"/>
        <v>420.88799999999992</v>
      </c>
      <c r="BF25">
        <f t="shared" si="5"/>
        <v>-7.6600000000004442E-3</v>
      </c>
      <c r="BG25">
        <f t="shared" si="6"/>
        <v>-0.34436</v>
      </c>
      <c r="BH25">
        <f t="shared" si="7"/>
        <v>-11.794000000000096</v>
      </c>
      <c r="BI25">
        <f t="shared" si="8"/>
        <v>-508.52999999999975</v>
      </c>
      <c r="BJ25">
        <f t="shared" si="9"/>
        <v>-1326.71</v>
      </c>
      <c r="BK25">
        <f t="shared" si="10"/>
        <v>-0.31431999999999993</v>
      </c>
      <c r="BL25">
        <f t="shared" si="11"/>
        <v>-1.6664999999999992</v>
      </c>
      <c r="BM25">
        <f t="shared" si="12"/>
        <v>-46.83400000000006</v>
      </c>
      <c r="BN25">
        <f t="shared" si="13"/>
        <v>1.0568000000000026</v>
      </c>
      <c r="BO25">
        <f t="shared" si="14"/>
        <v>0</v>
      </c>
      <c r="BP25">
        <f t="shared" si="15"/>
        <v>-6.035000000000057E-2</v>
      </c>
      <c r="BQ25">
        <f t="shared" si="16"/>
        <v>0</v>
      </c>
      <c r="BR25">
        <f t="shared" si="17"/>
        <v>1.6857000000000006</v>
      </c>
      <c r="BS25">
        <f t="shared" si="18"/>
        <v>-5.0999999999987722E-3</v>
      </c>
      <c r="BT25">
        <f t="shared" si="19"/>
        <v>2.6999999999999247E-3</v>
      </c>
      <c r="BU25">
        <f t="shared" si="20"/>
        <v>-160.94000000000005</v>
      </c>
      <c r="BV25">
        <f t="shared" si="21"/>
        <v>0.17178000000000004</v>
      </c>
    </row>
    <row r="26" spans="1:74" ht="18" x14ac:dyDescent="0.3">
      <c r="A26" s="74">
        <f t="shared" si="1"/>
        <v>46093</v>
      </c>
      <c r="B26" s="99">
        <f t="shared" si="2"/>
        <v>17.654299999999999</v>
      </c>
      <c r="C26">
        <v>0.86698500000000001</v>
      </c>
      <c r="D26">
        <v>1396.23</v>
      </c>
      <c r="E26">
        <v>6.9225399999999997</v>
      </c>
      <c r="F26">
        <v>5.1891800000000003</v>
      </c>
      <c r="G26">
        <v>904.42899999999997</v>
      </c>
      <c r="H26">
        <v>3701.39</v>
      </c>
      <c r="I26">
        <v>6493.66</v>
      </c>
      <c r="J26">
        <v>3.4340000000000002</v>
      </c>
      <c r="K26">
        <v>40.193399999999997</v>
      </c>
      <c r="L26" s="62">
        <v>472.22899999999998</v>
      </c>
      <c r="M26">
        <v>61.088900000000002</v>
      </c>
      <c r="N26">
        <v>1</v>
      </c>
      <c r="O26">
        <v>7.68154</v>
      </c>
      <c r="P26">
        <v>8.75</v>
      </c>
      <c r="Q26">
        <v>26.5352</v>
      </c>
      <c r="R26">
        <v>36.843200000000003</v>
      </c>
      <c r="S26">
        <v>6.79711</v>
      </c>
      <c r="T26">
        <v>1251.3900000000001</v>
      </c>
      <c r="U26">
        <v>7.7456300000000002</v>
      </c>
      <c r="W26" s="62"/>
      <c r="X26" s="62"/>
      <c r="Y26" s="62"/>
      <c r="Z26" s="62"/>
      <c r="AA26" s="62"/>
      <c r="AB26" s="62"/>
      <c r="AC26" s="62"/>
      <c r="AD26" s="62"/>
      <c r="AE26" s="62"/>
      <c r="AF26" s="62"/>
      <c r="AG26" s="62"/>
      <c r="AH26" s="62"/>
      <c r="AI26" s="62"/>
      <c r="AJ26" s="174" t="s">
        <v>436</v>
      </c>
      <c r="AK26" s="175">
        <v>0.91433200000000003</v>
      </c>
      <c r="AL26" s="175">
        <v>974.89700000000005</v>
      </c>
      <c r="AM26" s="175">
        <v>6.9300800000000002</v>
      </c>
      <c r="AN26" s="175">
        <v>5.6113</v>
      </c>
      <c r="AO26" s="175">
        <v>926.68</v>
      </c>
      <c r="AP26" s="175">
        <v>4209.68</v>
      </c>
      <c r="AQ26" s="175">
        <v>7806.39</v>
      </c>
      <c r="AR26" s="175">
        <v>3.7584</v>
      </c>
      <c r="AS26" s="175">
        <v>41.900399999999998</v>
      </c>
      <c r="AT26" s="175">
        <v>518.53399999999999</v>
      </c>
      <c r="AU26" s="175">
        <v>60.395000000000003</v>
      </c>
      <c r="AV26" s="175">
        <v>1</v>
      </c>
      <c r="AW26" s="175">
        <v>7.73916</v>
      </c>
      <c r="AX26" s="175">
        <v>8.75</v>
      </c>
      <c r="AY26" s="175">
        <v>24.844999999999999</v>
      </c>
      <c r="AZ26" s="175">
        <v>36.829799999999999</v>
      </c>
      <c r="BA26" s="175">
        <v>6.7900200000000002</v>
      </c>
      <c r="BB26" s="175">
        <v>1391.2</v>
      </c>
      <c r="BC26" s="175">
        <v>7.4671799999999999</v>
      </c>
      <c r="BD26">
        <f t="shared" si="3"/>
        <v>-4.7347000000000028E-2</v>
      </c>
      <c r="BE26">
        <f t="shared" si="4"/>
        <v>421.33299999999997</v>
      </c>
      <c r="BF26">
        <f t="shared" si="5"/>
        <v>-7.5400000000005463E-3</v>
      </c>
      <c r="BG26">
        <f t="shared" si="6"/>
        <v>-0.42211999999999961</v>
      </c>
      <c r="BH26">
        <f t="shared" si="7"/>
        <v>-22.250999999999976</v>
      </c>
      <c r="BI26">
        <f t="shared" si="8"/>
        <v>-508.29000000000042</v>
      </c>
      <c r="BJ26">
        <f t="shared" si="9"/>
        <v>-1312.7300000000005</v>
      </c>
      <c r="BK26">
        <f t="shared" si="10"/>
        <v>-0.3243999999999998</v>
      </c>
      <c r="BL26">
        <f t="shared" si="11"/>
        <v>-1.7070000000000007</v>
      </c>
      <c r="BM26">
        <f t="shared" si="12"/>
        <v>-46.305000000000007</v>
      </c>
      <c r="BN26">
        <f t="shared" si="13"/>
        <v>0.6938999999999993</v>
      </c>
      <c r="BO26">
        <f t="shared" si="14"/>
        <v>0</v>
      </c>
      <c r="BP26">
        <f t="shared" si="15"/>
        <v>-5.7620000000000005E-2</v>
      </c>
      <c r="BQ26">
        <f t="shared" si="16"/>
        <v>0</v>
      </c>
      <c r="BR26">
        <f t="shared" si="17"/>
        <v>1.6902000000000008</v>
      </c>
      <c r="BS26">
        <f t="shared" si="18"/>
        <v>1.3400000000004297E-2</v>
      </c>
      <c r="BT26">
        <f t="shared" si="19"/>
        <v>7.0899999999998187E-3</v>
      </c>
      <c r="BU26">
        <f t="shared" si="20"/>
        <v>-139.80999999999995</v>
      </c>
      <c r="BV26">
        <f t="shared" si="21"/>
        <v>0.27845000000000031</v>
      </c>
    </row>
    <row r="27" spans="1:74" ht="18" x14ac:dyDescent="0.3">
      <c r="A27" s="74">
        <f t="shared" si="1"/>
        <v>46092</v>
      </c>
      <c r="B27" s="99">
        <f t="shared" si="2"/>
        <v>17.503699999999998</v>
      </c>
      <c r="C27">
        <v>0.86236199999999996</v>
      </c>
      <c r="D27">
        <v>1398.16</v>
      </c>
      <c r="E27">
        <v>6.9139200000000001</v>
      </c>
      <c r="F27">
        <v>5.1677400000000002</v>
      </c>
      <c r="G27">
        <v>893.4</v>
      </c>
      <c r="H27">
        <v>3706.5</v>
      </c>
      <c r="I27">
        <v>6497.5</v>
      </c>
      <c r="J27">
        <v>3.4430999999999998</v>
      </c>
      <c r="K27">
        <v>40.214300000000001</v>
      </c>
      <c r="L27" s="62">
        <v>471.80399999999997</v>
      </c>
      <c r="M27">
        <v>60.593400000000003</v>
      </c>
      <c r="N27">
        <v>1</v>
      </c>
      <c r="O27">
        <v>7.6694599999999999</v>
      </c>
      <c r="P27">
        <v>8.75</v>
      </c>
      <c r="Q27">
        <v>26.5092</v>
      </c>
      <c r="R27">
        <v>36.787700000000001</v>
      </c>
      <c r="S27">
        <v>6.78735</v>
      </c>
      <c r="T27">
        <v>1257.32</v>
      </c>
      <c r="U27">
        <v>7.7818199999999997</v>
      </c>
      <c r="W27" s="62"/>
      <c r="X27" s="62"/>
      <c r="Y27" s="62"/>
      <c r="Z27" s="62"/>
      <c r="AA27" s="62"/>
      <c r="AB27" s="62"/>
      <c r="AC27" s="62"/>
      <c r="AD27" s="62"/>
      <c r="AE27" s="62"/>
      <c r="AF27" s="62"/>
      <c r="AG27" s="62"/>
      <c r="AH27" s="62"/>
      <c r="AI27" s="62"/>
      <c r="AJ27" s="174" t="s">
        <v>437</v>
      </c>
      <c r="AK27" s="175">
        <v>0.914192</v>
      </c>
      <c r="AL27" s="175">
        <v>974.76199999999994</v>
      </c>
      <c r="AM27" s="175">
        <v>6.9234999999999998</v>
      </c>
      <c r="AN27" s="175">
        <v>5.6013000000000002</v>
      </c>
      <c r="AO27" s="175">
        <v>928.45399999999995</v>
      </c>
      <c r="AP27" s="175">
        <v>4209.75</v>
      </c>
      <c r="AQ27" s="175">
        <v>7804.64</v>
      </c>
      <c r="AR27" s="175">
        <v>3.7408199999999998</v>
      </c>
      <c r="AS27" s="175">
        <v>41.82</v>
      </c>
      <c r="AT27" s="175">
        <v>518.44500000000005</v>
      </c>
      <c r="AU27" s="175">
        <v>60.314999999999998</v>
      </c>
      <c r="AV27" s="175">
        <v>1</v>
      </c>
      <c r="AW27" s="175">
        <v>7.7395199999999997</v>
      </c>
      <c r="AX27" s="175">
        <v>8.75</v>
      </c>
      <c r="AY27" s="175">
        <v>24.856100000000001</v>
      </c>
      <c r="AZ27" s="175">
        <v>36.819600000000001</v>
      </c>
      <c r="BA27" s="175">
        <v>6.7901400000000001</v>
      </c>
      <c r="BB27" s="175">
        <v>1393.37</v>
      </c>
      <c r="BC27" s="175">
        <v>7.4661499999999998</v>
      </c>
      <c r="BD27">
        <f t="shared" si="3"/>
        <v>-5.1830000000000043E-2</v>
      </c>
      <c r="BE27">
        <f t="shared" si="4"/>
        <v>423.39800000000014</v>
      </c>
      <c r="BF27">
        <f t="shared" si="5"/>
        <v>-9.5799999999996999E-3</v>
      </c>
      <c r="BG27">
        <f t="shared" si="6"/>
        <v>-0.43355999999999995</v>
      </c>
      <c r="BH27">
        <f t="shared" si="7"/>
        <v>-35.053999999999974</v>
      </c>
      <c r="BI27">
        <f t="shared" si="8"/>
        <v>-503.25</v>
      </c>
      <c r="BJ27">
        <f t="shared" si="9"/>
        <v>-1307.1400000000003</v>
      </c>
      <c r="BK27">
        <f t="shared" si="10"/>
        <v>-0.29771999999999998</v>
      </c>
      <c r="BL27">
        <f t="shared" si="11"/>
        <v>-1.6056999999999988</v>
      </c>
      <c r="BM27">
        <f t="shared" si="12"/>
        <v>-46.641000000000076</v>
      </c>
      <c r="BN27">
        <f t="shared" si="13"/>
        <v>0.27840000000000487</v>
      </c>
      <c r="BO27">
        <f t="shared" si="14"/>
        <v>0</v>
      </c>
      <c r="BP27">
        <f t="shared" si="15"/>
        <v>-7.0059999999999789E-2</v>
      </c>
      <c r="BQ27">
        <f t="shared" si="16"/>
        <v>0</v>
      </c>
      <c r="BR27">
        <f t="shared" si="17"/>
        <v>1.6530999999999985</v>
      </c>
      <c r="BS27">
        <f t="shared" si="18"/>
        <v>-3.1900000000000261E-2</v>
      </c>
      <c r="BT27">
        <f t="shared" si="19"/>
        <v>-2.7900000000000702E-3</v>
      </c>
      <c r="BU27">
        <f t="shared" si="20"/>
        <v>-136.04999999999995</v>
      </c>
      <c r="BV27">
        <f t="shared" si="21"/>
        <v>0.3156699999999999</v>
      </c>
    </row>
    <row r="28" spans="1:74" ht="18" x14ac:dyDescent="0.3">
      <c r="A28" s="74">
        <f t="shared" si="1"/>
        <v>46091</v>
      </c>
      <c r="B28" s="99">
        <f t="shared" si="2"/>
        <v>17.768699999999999</v>
      </c>
      <c r="C28">
        <v>0.85987800000000003</v>
      </c>
      <c r="D28">
        <v>1409.51</v>
      </c>
      <c r="E28">
        <v>6.9175199999999997</v>
      </c>
      <c r="F28">
        <v>5.1741200000000003</v>
      </c>
      <c r="G28">
        <v>904.15</v>
      </c>
      <c r="H28">
        <v>3740.44</v>
      </c>
      <c r="I28">
        <v>6456.56</v>
      </c>
      <c r="J28">
        <v>3.4627300000000001</v>
      </c>
      <c r="K28">
        <v>40.099800000000002</v>
      </c>
      <c r="L28" s="62">
        <v>472.96699999999998</v>
      </c>
      <c r="M28">
        <v>60.1006</v>
      </c>
      <c r="N28">
        <v>1</v>
      </c>
      <c r="O28">
        <v>7.6580199999999996</v>
      </c>
      <c r="P28">
        <v>8.75</v>
      </c>
      <c r="Q28">
        <v>26.457799999999999</v>
      </c>
      <c r="R28">
        <v>36.741399999999999</v>
      </c>
      <c r="S28">
        <v>6.7767200000000001</v>
      </c>
      <c r="T28">
        <v>1247.8599999999999</v>
      </c>
      <c r="U28">
        <v>7.7500999999999998</v>
      </c>
      <c r="W28" s="62"/>
      <c r="X28" s="62"/>
      <c r="Y28" s="62"/>
      <c r="Z28" s="62"/>
      <c r="AA28" s="62"/>
      <c r="AB28" s="62"/>
      <c r="AC28" s="62"/>
      <c r="AD28" s="62"/>
      <c r="AE28" s="62"/>
      <c r="AF28" s="62"/>
      <c r="AG28" s="62"/>
      <c r="AH28" s="62"/>
      <c r="AI28" s="62"/>
      <c r="AJ28" s="174" t="s">
        <v>438</v>
      </c>
      <c r="AK28" s="175">
        <v>0.914578</v>
      </c>
      <c r="AL28" s="175">
        <v>974.79499999999996</v>
      </c>
      <c r="AM28" s="175">
        <v>6.9214700000000002</v>
      </c>
      <c r="AN28" s="175">
        <v>5.5900499999999997</v>
      </c>
      <c r="AO28" s="175">
        <v>931.86400000000003</v>
      </c>
      <c r="AP28" s="175">
        <v>4226.08</v>
      </c>
      <c r="AQ28" s="175">
        <v>7807.74</v>
      </c>
      <c r="AR28" s="175">
        <v>3.7401800000000001</v>
      </c>
      <c r="AS28" s="175">
        <v>41.643799999999999</v>
      </c>
      <c r="AT28" s="175">
        <v>518.59</v>
      </c>
      <c r="AU28" s="175">
        <v>60.325000000000003</v>
      </c>
      <c r="AV28" s="175">
        <v>1</v>
      </c>
      <c r="AW28" s="175">
        <v>7.7464399999999998</v>
      </c>
      <c r="AX28" s="175">
        <v>8.75</v>
      </c>
      <c r="AY28" s="175">
        <v>24.865400000000001</v>
      </c>
      <c r="AZ28" s="175">
        <v>36.810600000000001</v>
      </c>
      <c r="BA28" s="175">
        <v>6.79277</v>
      </c>
      <c r="BB28" s="175">
        <v>1396.72</v>
      </c>
      <c r="BC28" s="175">
        <v>7.4496799999999999</v>
      </c>
      <c r="BD28">
        <f t="shared" si="3"/>
        <v>-5.4699999999999971E-2</v>
      </c>
      <c r="BE28">
        <f t="shared" si="4"/>
        <v>434.71500000000003</v>
      </c>
      <c r="BF28">
        <f t="shared" si="5"/>
        <v>-3.9500000000005642E-3</v>
      </c>
      <c r="BG28">
        <f t="shared" si="6"/>
        <v>-0.41592999999999947</v>
      </c>
      <c r="BH28">
        <f t="shared" si="7"/>
        <v>-27.714000000000055</v>
      </c>
      <c r="BI28">
        <f t="shared" si="8"/>
        <v>-485.63999999999987</v>
      </c>
      <c r="BJ28">
        <f t="shared" si="9"/>
        <v>-1351.1799999999994</v>
      </c>
      <c r="BK28">
        <f t="shared" si="10"/>
        <v>-0.27744999999999997</v>
      </c>
      <c r="BL28">
        <f t="shared" si="11"/>
        <v>-1.5439999999999969</v>
      </c>
      <c r="BM28">
        <f t="shared" si="12"/>
        <v>-45.623000000000047</v>
      </c>
      <c r="BN28">
        <f t="shared" si="13"/>
        <v>-0.22440000000000282</v>
      </c>
      <c r="BO28">
        <f t="shared" si="14"/>
        <v>0</v>
      </c>
      <c r="BP28">
        <f t="shared" si="15"/>
        <v>-8.8420000000000165E-2</v>
      </c>
      <c r="BQ28">
        <f t="shared" si="16"/>
        <v>0</v>
      </c>
      <c r="BR28">
        <f t="shared" si="17"/>
        <v>1.5923999999999978</v>
      </c>
      <c r="BS28">
        <f t="shared" si="18"/>
        <v>-6.9200000000002149E-2</v>
      </c>
      <c r="BT28">
        <f t="shared" si="19"/>
        <v>-1.6049999999999898E-2</v>
      </c>
      <c r="BU28">
        <f t="shared" si="20"/>
        <v>-148.86000000000013</v>
      </c>
      <c r="BV28">
        <f t="shared" si="21"/>
        <v>0.30041999999999991</v>
      </c>
    </row>
    <row r="29" spans="1:74" ht="18" x14ac:dyDescent="0.3">
      <c r="A29" s="74">
        <f t="shared" si="1"/>
        <v>46090</v>
      </c>
      <c r="B29" s="99">
        <f t="shared" si="2"/>
        <v>17.796199999999999</v>
      </c>
      <c r="C29">
        <v>0.86448499999999995</v>
      </c>
      <c r="D29">
        <v>1417.76</v>
      </c>
      <c r="E29">
        <v>6.9125800000000002</v>
      </c>
      <c r="F29">
        <v>5.2392200000000004</v>
      </c>
      <c r="G29">
        <v>917.87599999999998</v>
      </c>
      <c r="H29">
        <v>3766.78</v>
      </c>
      <c r="I29">
        <v>6511.44</v>
      </c>
      <c r="J29">
        <v>3.4605600000000001</v>
      </c>
      <c r="K29">
        <v>39.979799999999997</v>
      </c>
      <c r="L29" s="62">
        <v>477.51799999999997</v>
      </c>
      <c r="M29">
        <v>60.042700000000004</v>
      </c>
      <c r="N29">
        <v>1</v>
      </c>
      <c r="O29">
        <v>7.6705699999999997</v>
      </c>
      <c r="P29">
        <v>8.75</v>
      </c>
      <c r="Q29">
        <v>26.521999999999998</v>
      </c>
      <c r="R29">
        <v>36.858800000000002</v>
      </c>
      <c r="S29">
        <v>6.7788199999999996</v>
      </c>
      <c r="T29">
        <v>1242.83</v>
      </c>
      <c r="U29">
        <v>7.6308999999999996</v>
      </c>
      <c r="W29" s="62"/>
      <c r="X29" s="62"/>
      <c r="Y29" s="62"/>
      <c r="Z29" s="62"/>
      <c r="AA29" s="62"/>
      <c r="AB29" s="62"/>
      <c r="AC29" s="62"/>
      <c r="AD29" s="62"/>
      <c r="AE29" s="62"/>
      <c r="AF29" s="62"/>
      <c r="AG29" s="62"/>
      <c r="AH29" s="62"/>
      <c r="AI29" s="62"/>
      <c r="AJ29" s="174" t="s">
        <v>439</v>
      </c>
      <c r="AK29" s="175">
        <v>0.91276199999999996</v>
      </c>
      <c r="AL29" s="175">
        <v>974.56200000000001</v>
      </c>
      <c r="AM29" s="175">
        <v>6.9209800000000001</v>
      </c>
      <c r="AN29" s="175">
        <v>5.5602799999999997</v>
      </c>
      <c r="AO29" s="175">
        <v>933.81100000000004</v>
      </c>
      <c r="AP29" s="175">
        <v>4232.22</v>
      </c>
      <c r="AQ29" s="175">
        <v>7806.3</v>
      </c>
      <c r="AR29" s="175">
        <v>3.7313800000000001</v>
      </c>
      <c r="AS29" s="175">
        <v>41.504600000000003</v>
      </c>
      <c r="AT29" s="175">
        <v>518.85400000000004</v>
      </c>
      <c r="AU29" s="175">
        <v>60.281100000000002</v>
      </c>
      <c r="AV29" s="175">
        <v>1</v>
      </c>
      <c r="AW29" s="175">
        <v>7.7465700000000002</v>
      </c>
      <c r="AX29" s="175">
        <v>8.75</v>
      </c>
      <c r="AY29" s="175">
        <v>24.9678</v>
      </c>
      <c r="AZ29" s="175">
        <v>36.807499999999997</v>
      </c>
      <c r="BA29" s="175">
        <v>6.7896000000000001</v>
      </c>
      <c r="BB29" s="175">
        <v>1403.94</v>
      </c>
      <c r="BC29" s="175">
        <v>7.4645200000000003</v>
      </c>
      <c r="BD29">
        <f t="shared" si="3"/>
        <v>-4.8277000000000014E-2</v>
      </c>
      <c r="BE29">
        <f t="shared" si="4"/>
        <v>443.19799999999998</v>
      </c>
      <c r="BF29">
        <f t="shared" si="5"/>
        <v>-8.3999999999999631E-3</v>
      </c>
      <c r="BG29">
        <f t="shared" si="6"/>
        <v>-0.32105999999999923</v>
      </c>
      <c r="BH29">
        <f t="shared" si="7"/>
        <v>-15.935000000000059</v>
      </c>
      <c r="BI29">
        <f t="shared" si="8"/>
        <v>-465.44000000000005</v>
      </c>
      <c r="BJ29">
        <f t="shared" si="9"/>
        <v>-1294.8600000000006</v>
      </c>
      <c r="BK29">
        <f t="shared" si="10"/>
        <v>-0.27082000000000006</v>
      </c>
      <c r="BL29">
        <f t="shared" si="11"/>
        <v>-1.5248000000000062</v>
      </c>
      <c r="BM29">
        <f t="shared" si="12"/>
        <v>-41.33600000000007</v>
      </c>
      <c r="BN29">
        <f t="shared" si="13"/>
        <v>-0.23839999999999861</v>
      </c>
      <c r="BO29">
        <f t="shared" si="14"/>
        <v>0</v>
      </c>
      <c r="BP29">
        <f t="shared" si="15"/>
        <v>-7.6000000000000512E-2</v>
      </c>
      <c r="BQ29">
        <f t="shared" si="16"/>
        <v>0</v>
      </c>
      <c r="BR29">
        <f t="shared" si="17"/>
        <v>1.554199999999998</v>
      </c>
      <c r="BS29">
        <f t="shared" si="18"/>
        <v>5.1300000000004786E-2</v>
      </c>
      <c r="BT29">
        <f t="shared" si="19"/>
        <v>-1.0780000000000456E-2</v>
      </c>
      <c r="BU29">
        <f t="shared" si="20"/>
        <v>-161.11000000000013</v>
      </c>
      <c r="BV29">
        <f t="shared" si="21"/>
        <v>0.16637999999999931</v>
      </c>
    </row>
    <row r="30" spans="1:74" ht="18" x14ac:dyDescent="0.3">
      <c r="A30" s="74">
        <f t="shared" si="1"/>
        <v>46089</v>
      </c>
      <c r="B30" s="99">
        <f t="shared" si="2"/>
        <v>17.677</v>
      </c>
      <c r="C30">
        <v>0.86150899999999997</v>
      </c>
      <c r="D30">
        <v>1416.64</v>
      </c>
      <c r="E30">
        <v>6.9206300000000001</v>
      </c>
      <c r="F30">
        <v>5.2511299999999999</v>
      </c>
      <c r="G30">
        <v>912.25099999999998</v>
      </c>
      <c r="H30">
        <v>3783.07</v>
      </c>
      <c r="I30">
        <v>6489.34</v>
      </c>
      <c r="J30">
        <v>3.4624600000000001</v>
      </c>
      <c r="K30">
        <v>39.772199999999998</v>
      </c>
      <c r="L30" s="62">
        <v>477.745</v>
      </c>
      <c r="M30">
        <v>60.2761</v>
      </c>
      <c r="N30">
        <v>1</v>
      </c>
      <c r="O30">
        <v>7.6724199999999998</v>
      </c>
      <c r="P30">
        <v>8.75</v>
      </c>
      <c r="Q30">
        <v>26.467400000000001</v>
      </c>
      <c r="R30">
        <v>36.802599999999998</v>
      </c>
      <c r="S30">
        <v>6.7732200000000002</v>
      </c>
      <c r="T30">
        <v>1235.8</v>
      </c>
      <c r="U30">
        <v>7.5740400000000001</v>
      </c>
      <c r="W30" s="62"/>
      <c r="X30" s="62"/>
      <c r="Y30" s="62"/>
      <c r="Z30" s="62"/>
      <c r="AA30" s="62"/>
      <c r="AB30" s="62"/>
      <c r="AC30" s="62"/>
      <c r="AD30" s="62"/>
      <c r="AE30" s="62"/>
      <c r="AF30" s="62"/>
      <c r="AG30" s="62"/>
      <c r="AH30" s="62"/>
      <c r="AI30" s="62"/>
      <c r="AJ30" s="174" t="s">
        <v>440</v>
      </c>
      <c r="AK30" s="175">
        <v>0.91073999999999999</v>
      </c>
      <c r="AL30" s="175">
        <v>974.649</v>
      </c>
      <c r="AM30" s="175">
        <v>6.9213800000000001</v>
      </c>
      <c r="AN30" s="175">
        <v>5.5117399999999996</v>
      </c>
      <c r="AO30" s="175">
        <v>929.96600000000001</v>
      </c>
      <c r="AP30" s="175">
        <v>4222.28</v>
      </c>
      <c r="AQ30" s="175">
        <v>7803.74</v>
      </c>
      <c r="AR30" s="175">
        <v>3.7295600000000002</v>
      </c>
      <c r="AS30" s="175">
        <v>41.670999999999999</v>
      </c>
      <c r="AT30" s="175">
        <v>519.51499999999999</v>
      </c>
      <c r="AU30" s="175">
        <v>60.317100000000003</v>
      </c>
      <c r="AV30" s="175">
        <v>1</v>
      </c>
      <c r="AW30" s="175">
        <v>7.7446999999999999</v>
      </c>
      <c r="AX30" s="175">
        <v>8.75</v>
      </c>
      <c r="AY30" s="175">
        <v>24.887799999999999</v>
      </c>
      <c r="AZ30" s="175">
        <v>36.796999999999997</v>
      </c>
      <c r="BA30" s="175">
        <v>6.7878999999999996</v>
      </c>
      <c r="BB30" s="175">
        <v>1415.84</v>
      </c>
      <c r="BC30" s="175">
        <v>7.5604399999999998</v>
      </c>
      <c r="BD30">
        <f t="shared" si="3"/>
        <v>-4.9231000000000025E-2</v>
      </c>
      <c r="BE30">
        <f t="shared" si="4"/>
        <v>441.9910000000001</v>
      </c>
      <c r="BF30">
        <f t="shared" si="5"/>
        <v>-7.5000000000002842E-4</v>
      </c>
      <c r="BG30">
        <f t="shared" si="6"/>
        <v>-0.26060999999999979</v>
      </c>
      <c r="BH30">
        <f t="shared" si="7"/>
        <v>-17.715000000000032</v>
      </c>
      <c r="BI30">
        <f t="shared" si="8"/>
        <v>-439.20999999999958</v>
      </c>
      <c r="BJ30">
        <f t="shared" si="9"/>
        <v>-1314.3999999999996</v>
      </c>
      <c r="BK30">
        <f t="shared" si="10"/>
        <v>-0.26710000000000012</v>
      </c>
      <c r="BL30">
        <f t="shared" si="11"/>
        <v>-1.8988000000000014</v>
      </c>
      <c r="BM30">
        <f t="shared" si="12"/>
        <v>-41.769999999999982</v>
      </c>
      <c r="BN30">
        <f t="shared" si="13"/>
        <v>-4.1000000000003922E-2</v>
      </c>
      <c r="BO30">
        <f t="shared" si="14"/>
        <v>0</v>
      </c>
      <c r="BP30">
        <f t="shared" si="15"/>
        <v>-7.2280000000000122E-2</v>
      </c>
      <c r="BQ30">
        <f t="shared" si="16"/>
        <v>0</v>
      </c>
      <c r="BR30">
        <f t="shared" si="17"/>
        <v>1.5796000000000028</v>
      </c>
      <c r="BS30">
        <f t="shared" si="18"/>
        <v>5.6000000000011596E-3</v>
      </c>
      <c r="BT30">
        <f t="shared" si="19"/>
        <v>-1.467999999999936E-2</v>
      </c>
      <c r="BU30">
        <f t="shared" si="20"/>
        <v>-180.03999999999996</v>
      </c>
      <c r="BV30">
        <f t="shared" si="21"/>
        <v>1.3600000000000279E-2</v>
      </c>
    </row>
    <row r="31" spans="1:74" ht="18" x14ac:dyDescent="0.3">
      <c r="A31" s="74">
        <f t="shared" si="1"/>
        <v>46088</v>
      </c>
      <c r="B31" s="99">
        <f t="shared" si="2"/>
        <v>17.677</v>
      </c>
      <c r="C31">
        <v>0.86081799999999997</v>
      </c>
      <c r="D31">
        <v>1415.6</v>
      </c>
      <c r="E31">
        <v>6.9206300000000001</v>
      </c>
      <c r="F31">
        <v>5.25108</v>
      </c>
      <c r="G31">
        <v>911.822</v>
      </c>
      <c r="H31">
        <v>3783.66</v>
      </c>
      <c r="I31">
        <v>6489.34</v>
      </c>
      <c r="J31">
        <v>3.4639000000000002</v>
      </c>
      <c r="K31">
        <v>39.780999999999999</v>
      </c>
      <c r="L31" s="62">
        <v>477.72800000000001</v>
      </c>
      <c r="M31">
        <v>60.29</v>
      </c>
      <c r="N31">
        <v>1</v>
      </c>
      <c r="O31">
        <v>7.6725199999999996</v>
      </c>
      <c r="P31">
        <v>8.75</v>
      </c>
      <c r="Q31">
        <v>26.471</v>
      </c>
      <c r="R31">
        <v>36.802799999999998</v>
      </c>
      <c r="S31">
        <v>6.7763600000000004</v>
      </c>
      <c r="T31">
        <v>1235.81</v>
      </c>
      <c r="U31">
        <v>7.5758000000000001</v>
      </c>
      <c r="W31" s="62"/>
      <c r="X31" s="62"/>
      <c r="Y31" s="62"/>
      <c r="Z31" s="62"/>
      <c r="AA31" s="62"/>
      <c r="AB31" s="62"/>
      <c r="AC31" s="62"/>
      <c r="AD31" s="62"/>
      <c r="AE31" s="62"/>
      <c r="AF31" s="62"/>
      <c r="AG31" s="62"/>
      <c r="AH31" s="62"/>
      <c r="AI31" s="62"/>
      <c r="AJ31" s="174" t="s">
        <v>441</v>
      </c>
      <c r="AK31" s="175">
        <v>0.91130599999999995</v>
      </c>
      <c r="AL31" s="175">
        <v>973.98800000000006</v>
      </c>
      <c r="AM31" s="175">
        <v>6.9303400000000002</v>
      </c>
      <c r="AN31" s="175">
        <v>5.4670699999999997</v>
      </c>
      <c r="AO31" s="175">
        <v>925.32399999999996</v>
      </c>
      <c r="AP31" s="175">
        <v>4184.5600000000004</v>
      </c>
      <c r="AQ31" s="175">
        <v>7814.03</v>
      </c>
      <c r="AR31" s="175">
        <v>3.7351100000000002</v>
      </c>
      <c r="AS31" s="175">
        <v>41.798999999999999</v>
      </c>
      <c r="AT31" s="175">
        <v>520.16999999999996</v>
      </c>
      <c r="AU31" s="175">
        <v>60.4024</v>
      </c>
      <c r="AV31" s="175">
        <v>1</v>
      </c>
      <c r="AW31" s="175">
        <v>7.7557400000000003</v>
      </c>
      <c r="AX31" s="175">
        <v>8.75</v>
      </c>
      <c r="AY31" s="175">
        <v>24.979600000000001</v>
      </c>
      <c r="AZ31" s="175">
        <v>36.866300000000003</v>
      </c>
      <c r="BA31" s="175">
        <v>6.7978300000000003</v>
      </c>
      <c r="BB31" s="175">
        <v>1429.3</v>
      </c>
      <c r="BC31" s="175">
        <v>7.6456299999999997</v>
      </c>
      <c r="BD31">
        <f t="shared" si="3"/>
        <v>-5.0487999999999977E-2</v>
      </c>
      <c r="BE31">
        <f t="shared" si="4"/>
        <v>441.61199999999985</v>
      </c>
      <c r="BF31">
        <f t="shared" si="5"/>
        <v>-9.7100000000001074E-3</v>
      </c>
      <c r="BG31">
        <f t="shared" si="6"/>
        <v>-0.21598999999999968</v>
      </c>
      <c r="BH31">
        <f t="shared" si="7"/>
        <v>-13.501999999999953</v>
      </c>
      <c r="BI31">
        <f t="shared" si="8"/>
        <v>-400.90000000000055</v>
      </c>
      <c r="BJ31">
        <f t="shared" si="9"/>
        <v>-1324.6899999999996</v>
      </c>
      <c r="BK31">
        <f t="shared" si="10"/>
        <v>-0.27120999999999995</v>
      </c>
      <c r="BL31">
        <f t="shared" si="11"/>
        <v>-2.0180000000000007</v>
      </c>
      <c r="BM31">
        <f t="shared" si="12"/>
        <v>-42.44199999999995</v>
      </c>
      <c r="BN31">
        <f t="shared" si="13"/>
        <v>-0.11240000000000094</v>
      </c>
      <c r="BO31">
        <f t="shared" si="14"/>
        <v>0</v>
      </c>
      <c r="BP31">
        <f t="shared" si="15"/>
        <v>-8.3220000000000738E-2</v>
      </c>
      <c r="BQ31">
        <f t="shared" si="16"/>
        <v>0</v>
      </c>
      <c r="BR31">
        <f t="shared" si="17"/>
        <v>1.4913999999999987</v>
      </c>
      <c r="BS31">
        <f t="shared" si="18"/>
        <v>-6.3500000000004775E-2</v>
      </c>
      <c r="BT31">
        <f t="shared" si="19"/>
        <v>-2.1469999999999878E-2</v>
      </c>
      <c r="BU31">
        <f t="shared" si="20"/>
        <v>-193.49</v>
      </c>
      <c r="BV31">
        <f t="shared" si="21"/>
        <v>-6.9829999999999615E-2</v>
      </c>
    </row>
    <row r="32" spans="1:74" ht="18" x14ac:dyDescent="0.3">
      <c r="A32" s="74">
        <f t="shared" si="1"/>
        <v>46087</v>
      </c>
      <c r="B32" s="99">
        <f t="shared" si="2"/>
        <v>17.677</v>
      </c>
      <c r="C32">
        <v>0.86211000000000004</v>
      </c>
      <c r="D32">
        <v>1410.2</v>
      </c>
      <c r="E32">
        <v>6.9134099999999998</v>
      </c>
      <c r="F32">
        <v>5.2674799999999999</v>
      </c>
      <c r="G32">
        <v>909.904</v>
      </c>
      <c r="H32">
        <v>3791.23</v>
      </c>
      <c r="I32">
        <v>6528.25</v>
      </c>
      <c r="J32">
        <v>3.4380600000000001</v>
      </c>
      <c r="K32">
        <v>39.473599999999998</v>
      </c>
      <c r="L32" s="62">
        <v>475.072</v>
      </c>
      <c r="M32">
        <v>59.624000000000002</v>
      </c>
      <c r="N32">
        <v>1</v>
      </c>
      <c r="O32">
        <v>7.6707099999999997</v>
      </c>
      <c r="P32">
        <v>8.75</v>
      </c>
      <c r="Q32">
        <v>26.467600000000001</v>
      </c>
      <c r="R32">
        <v>36.799700000000001</v>
      </c>
      <c r="S32">
        <v>6.7715500000000004</v>
      </c>
      <c r="T32">
        <v>1239.3599999999999</v>
      </c>
      <c r="U32">
        <v>7.4938599999999997</v>
      </c>
      <c r="W32" s="62"/>
      <c r="X32" s="62"/>
      <c r="Y32" s="62"/>
      <c r="Z32" s="62"/>
      <c r="AA32" s="62"/>
      <c r="AB32" s="62"/>
      <c r="AC32" s="62"/>
      <c r="AD32" s="62"/>
      <c r="AE32" s="62"/>
      <c r="AF32" s="62"/>
      <c r="AG32" s="62"/>
      <c r="AH32" s="62"/>
      <c r="AI32" s="62"/>
      <c r="AJ32" s="174" t="s">
        <v>442</v>
      </c>
      <c r="AK32" s="175">
        <v>0.91122000000000003</v>
      </c>
      <c r="AL32" s="175">
        <v>972.02499999999998</v>
      </c>
      <c r="AM32" s="175">
        <v>6.9111799999999999</v>
      </c>
      <c r="AN32" s="175">
        <v>5.4571899999999998</v>
      </c>
      <c r="AO32" s="175">
        <v>924.74599999999998</v>
      </c>
      <c r="AP32" s="175">
        <v>4169.7</v>
      </c>
      <c r="AQ32" s="175">
        <v>7796.08</v>
      </c>
      <c r="AR32" s="175">
        <v>3.7301199999999999</v>
      </c>
      <c r="AS32" s="175">
        <v>41.792000000000002</v>
      </c>
      <c r="AT32" s="175">
        <v>518.452</v>
      </c>
      <c r="AU32" s="175">
        <v>60.4786</v>
      </c>
      <c r="AV32" s="175">
        <v>1</v>
      </c>
      <c r="AW32" s="175">
        <v>7.7368300000000003</v>
      </c>
      <c r="AX32" s="175">
        <v>8.75</v>
      </c>
      <c r="AY32" s="175">
        <v>24.975300000000001</v>
      </c>
      <c r="AZ32" s="175">
        <v>36.777200000000001</v>
      </c>
      <c r="BA32" s="175">
        <v>6.7835999999999999</v>
      </c>
      <c r="BB32" s="175">
        <v>1428.6</v>
      </c>
      <c r="BC32" s="175">
        <v>7.6581999999999999</v>
      </c>
      <c r="BD32">
        <f t="shared" si="3"/>
        <v>-4.9109999999999987E-2</v>
      </c>
      <c r="BE32">
        <f t="shared" si="4"/>
        <v>438.17500000000007</v>
      </c>
      <c r="BF32">
        <f t="shared" si="5"/>
        <v>2.2299999999999542E-3</v>
      </c>
      <c r="BG32">
        <f t="shared" si="6"/>
        <v>-0.18970999999999982</v>
      </c>
      <c r="BH32">
        <f t="shared" si="7"/>
        <v>-14.841999999999985</v>
      </c>
      <c r="BI32">
        <f t="shared" si="8"/>
        <v>-378.4699999999998</v>
      </c>
      <c r="BJ32">
        <f t="shared" si="9"/>
        <v>-1267.83</v>
      </c>
      <c r="BK32">
        <f t="shared" si="10"/>
        <v>-0.29205999999999976</v>
      </c>
      <c r="BL32">
        <f t="shared" si="11"/>
        <v>-2.318400000000004</v>
      </c>
      <c r="BM32">
        <f t="shared" si="12"/>
        <v>-43.379999999999995</v>
      </c>
      <c r="BN32">
        <f t="shared" si="13"/>
        <v>-0.85459999999999781</v>
      </c>
      <c r="BO32">
        <f t="shared" si="14"/>
        <v>0</v>
      </c>
      <c r="BP32">
        <f t="shared" si="15"/>
        <v>-6.6120000000000623E-2</v>
      </c>
      <c r="BQ32">
        <f t="shared" si="16"/>
        <v>0</v>
      </c>
      <c r="BR32">
        <f t="shared" si="17"/>
        <v>1.4923000000000002</v>
      </c>
      <c r="BS32">
        <f t="shared" si="18"/>
        <v>2.2500000000000853E-2</v>
      </c>
      <c r="BT32">
        <f t="shared" si="19"/>
        <v>-1.204999999999945E-2</v>
      </c>
      <c r="BU32">
        <f t="shared" si="20"/>
        <v>-189.24</v>
      </c>
      <c r="BV32">
        <f t="shared" si="21"/>
        <v>-0.16434000000000015</v>
      </c>
    </row>
    <row r="33" spans="1:74" ht="12.75" customHeight="1" x14ac:dyDescent="0.3">
      <c r="A33" s="74">
        <f t="shared" si="1"/>
        <v>46086</v>
      </c>
      <c r="B33" s="99">
        <f t="shared" si="2"/>
        <v>17.544499999999999</v>
      </c>
      <c r="C33">
        <v>0.86163199999999995</v>
      </c>
      <c r="D33">
        <v>1403.62</v>
      </c>
      <c r="E33">
        <v>6.91486</v>
      </c>
      <c r="F33">
        <v>5.2471399999999999</v>
      </c>
      <c r="G33">
        <v>900.45399999999995</v>
      </c>
      <c r="H33">
        <v>3769.5</v>
      </c>
      <c r="I33">
        <v>6529.75</v>
      </c>
      <c r="J33">
        <v>3.41832</v>
      </c>
      <c r="K33">
        <v>39.041800000000002</v>
      </c>
      <c r="L33" s="62">
        <v>471.89800000000002</v>
      </c>
      <c r="M33">
        <v>59.427199999999999</v>
      </c>
      <c r="N33">
        <v>1</v>
      </c>
      <c r="O33">
        <v>7.6710599999999998</v>
      </c>
      <c r="P33">
        <v>8.75</v>
      </c>
      <c r="Q33">
        <v>26.476400000000002</v>
      </c>
      <c r="R33">
        <v>36.803800000000003</v>
      </c>
      <c r="S33">
        <v>6.7708500000000003</v>
      </c>
      <c r="T33">
        <v>1244.44</v>
      </c>
      <c r="U33">
        <v>7.4406299999999996</v>
      </c>
      <c r="W33" s="62"/>
      <c r="X33" s="62"/>
      <c r="Y33" s="62"/>
      <c r="Z33" s="62"/>
      <c r="AA33" s="62"/>
      <c r="AB33" s="62"/>
      <c r="AC33" s="62"/>
      <c r="AD33" s="62"/>
      <c r="AE33" s="62"/>
      <c r="AF33" s="62"/>
      <c r="AG33" s="62"/>
      <c r="AH33" s="62"/>
      <c r="AI33" s="62"/>
      <c r="AJ33" s="174" t="s">
        <v>443</v>
      </c>
      <c r="AK33" s="175">
        <v>0.91116200000000003</v>
      </c>
      <c r="AL33" s="175">
        <v>971.32100000000003</v>
      </c>
      <c r="AM33" s="175">
        <v>6.9108999999999998</v>
      </c>
      <c r="AN33" s="175">
        <v>5.4570999999999996</v>
      </c>
      <c r="AO33" s="175">
        <v>924.75</v>
      </c>
      <c r="AP33" s="175">
        <v>4169.46</v>
      </c>
      <c r="AQ33" s="175">
        <v>7795.74</v>
      </c>
      <c r="AR33" s="175">
        <v>3.7299500000000001</v>
      </c>
      <c r="AS33" s="175">
        <v>41.788800000000002</v>
      </c>
      <c r="AT33" s="175">
        <v>518.42399999999998</v>
      </c>
      <c r="AU33" s="175">
        <v>60.48</v>
      </c>
      <c r="AV33" s="175">
        <v>1</v>
      </c>
      <c r="AW33" s="175">
        <v>7.7364600000000001</v>
      </c>
      <c r="AX33" s="175">
        <v>8.75</v>
      </c>
      <c r="AY33" s="175">
        <v>24.975000000000001</v>
      </c>
      <c r="AZ33" s="175">
        <v>36.774799999999999</v>
      </c>
      <c r="BA33" s="175">
        <v>6.7833199999999998</v>
      </c>
      <c r="BB33" s="175">
        <v>1428.56</v>
      </c>
      <c r="BC33" s="175">
        <v>7.6577200000000003</v>
      </c>
      <c r="BD33">
        <f t="shared" si="3"/>
        <v>-4.9530000000000074E-2</v>
      </c>
      <c r="BE33">
        <f t="shared" si="4"/>
        <v>432.29899999999986</v>
      </c>
      <c r="BF33">
        <f t="shared" si="5"/>
        <v>3.9600000000001856E-3</v>
      </c>
      <c r="BG33">
        <f t="shared" si="6"/>
        <v>-0.2099599999999997</v>
      </c>
      <c r="BH33">
        <f t="shared" si="7"/>
        <v>-24.296000000000049</v>
      </c>
      <c r="BI33">
        <f t="shared" si="8"/>
        <v>-399.96000000000004</v>
      </c>
      <c r="BJ33">
        <f t="shared" si="9"/>
        <v>-1265.9899999999998</v>
      </c>
      <c r="BK33">
        <f t="shared" si="10"/>
        <v>-0.31163000000000007</v>
      </c>
      <c r="BL33">
        <f t="shared" si="11"/>
        <v>-2.7469999999999999</v>
      </c>
      <c r="BM33">
        <f t="shared" si="12"/>
        <v>-46.525999999999954</v>
      </c>
      <c r="BN33">
        <f t="shared" si="13"/>
        <v>-1.0527999999999977</v>
      </c>
      <c r="BO33">
        <f t="shared" si="14"/>
        <v>0</v>
      </c>
      <c r="BP33">
        <f t="shared" si="15"/>
        <v>-6.5400000000000347E-2</v>
      </c>
      <c r="BQ33">
        <f t="shared" si="16"/>
        <v>0</v>
      </c>
      <c r="BR33">
        <f t="shared" si="17"/>
        <v>1.5014000000000003</v>
      </c>
      <c r="BS33">
        <f t="shared" si="18"/>
        <v>2.9000000000003467E-2</v>
      </c>
      <c r="BT33">
        <f t="shared" si="19"/>
        <v>-1.2469999999999537E-2</v>
      </c>
      <c r="BU33">
        <f t="shared" si="20"/>
        <v>-184.11999999999989</v>
      </c>
      <c r="BV33">
        <f t="shared" si="21"/>
        <v>-0.21709000000000067</v>
      </c>
    </row>
    <row r="34" spans="1:74" ht="18" x14ac:dyDescent="0.3">
      <c r="A34" s="74">
        <f t="shared" si="1"/>
        <v>46085</v>
      </c>
      <c r="B34" s="99">
        <f t="shared" si="2"/>
        <v>17.722799999999999</v>
      </c>
      <c r="C34">
        <v>0.86048599999999997</v>
      </c>
      <c r="D34">
        <v>1409.36</v>
      </c>
      <c r="E34">
        <v>6.9129300000000002</v>
      </c>
      <c r="F34">
        <v>5.2492299999999998</v>
      </c>
      <c r="G34">
        <v>899.21900000000005</v>
      </c>
      <c r="H34">
        <v>3785.44</v>
      </c>
      <c r="I34">
        <v>6486.51</v>
      </c>
      <c r="J34">
        <v>3.3990999999999998</v>
      </c>
      <c r="K34">
        <v>38.715800000000002</v>
      </c>
      <c r="L34">
        <v>470.80599999999998</v>
      </c>
      <c r="M34">
        <v>59.5364</v>
      </c>
      <c r="N34">
        <v>1</v>
      </c>
      <c r="O34">
        <v>7.6676900000000003</v>
      </c>
      <c r="P34">
        <v>8.75</v>
      </c>
      <c r="Q34">
        <v>26.4834</v>
      </c>
      <c r="R34">
        <v>36.779800000000002</v>
      </c>
      <c r="S34">
        <v>6.7727000000000004</v>
      </c>
      <c r="T34">
        <v>1235.71</v>
      </c>
      <c r="U34">
        <v>7.3755499999999996</v>
      </c>
      <c r="W34" s="62"/>
      <c r="X34" s="62"/>
      <c r="Y34" s="62"/>
      <c r="Z34" s="62"/>
      <c r="AA34" s="62"/>
      <c r="AB34" s="62"/>
      <c r="AC34" s="62"/>
      <c r="AD34" s="62"/>
      <c r="AE34" s="62"/>
      <c r="AF34" s="62"/>
      <c r="AG34" s="62"/>
      <c r="AH34" s="62"/>
      <c r="AI34" s="62"/>
      <c r="AJ34" s="174" t="s">
        <v>444</v>
      </c>
      <c r="AK34" s="175">
        <v>0.90897399999999995</v>
      </c>
      <c r="AL34" s="175">
        <v>971.60500000000002</v>
      </c>
      <c r="AM34" s="175">
        <v>6.9129800000000001</v>
      </c>
      <c r="AN34" s="175">
        <v>5.4715600000000002</v>
      </c>
      <c r="AO34" s="175">
        <v>920.65099999999995</v>
      </c>
      <c r="AP34" s="175">
        <v>4180.99</v>
      </c>
      <c r="AQ34" s="175">
        <v>7798.43</v>
      </c>
      <c r="AR34" s="175">
        <v>3.7280600000000002</v>
      </c>
      <c r="AS34" s="175">
        <v>41.8294</v>
      </c>
      <c r="AT34" s="175">
        <v>518.48400000000004</v>
      </c>
      <c r="AU34" s="175">
        <v>60.273600000000002</v>
      </c>
      <c r="AV34" s="175">
        <v>1</v>
      </c>
      <c r="AW34" s="175">
        <v>7.7378999999999998</v>
      </c>
      <c r="AX34" s="175">
        <v>8.75</v>
      </c>
      <c r="AY34" s="175">
        <v>24.959700000000002</v>
      </c>
      <c r="AZ34" s="175">
        <v>36.800400000000003</v>
      </c>
      <c r="BA34" s="175">
        <v>6.7854400000000004</v>
      </c>
      <c r="BB34" s="175">
        <v>1425.28</v>
      </c>
      <c r="BC34" s="175">
        <v>7.6449199999999999</v>
      </c>
      <c r="BD34">
        <f t="shared" si="3"/>
        <v>-4.8487999999999976E-2</v>
      </c>
      <c r="BE34">
        <f t="shared" si="4"/>
        <v>437.75499999999988</v>
      </c>
      <c r="BF34">
        <f t="shared" si="5"/>
        <v>-4.9999999999883471E-5</v>
      </c>
      <c r="BG34">
        <f t="shared" si="6"/>
        <v>-0.22233000000000036</v>
      </c>
      <c r="BH34">
        <f t="shared" si="7"/>
        <v>-21.431999999999903</v>
      </c>
      <c r="BI34">
        <f t="shared" si="8"/>
        <v>-395.54999999999973</v>
      </c>
      <c r="BJ34">
        <f t="shared" si="9"/>
        <v>-1311.92</v>
      </c>
      <c r="BK34">
        <f t="shared" si="10"/>
        <v>-0.32896000000000036</v>
      </c>
      <c r="BL34">
        <f t="shared" si="11"/>
        <v>-3.1135999999999981</v>
      </c>
      <c r="BM34">
        <f t="shared" si="12"/>
        <v>-47.678000000000054</v>
      </c>
      <c r="BN34">
        <f t="shared" si="13"/>
        <v>-0.73720000000000141</v>
      </c>
      <c r="BO34">
        <f t="shared" si="14"/>
        <v>0</v>
      </c>
      <c r="BP34">
        <f t="shared" si="15"/>
        <v>-7.020999999999944E-2</v>
      </c>
      <c r="BQ34">
        <f t="shared" si="16"/>
        <v>0</v>
      </c>
      <c r="BR34">
        <f t="shared" si="17"/>
        <v>1.5236999999999981</v>
      </c>
      <c r="BS34">
        <f t="shared" si="18"/>
        <v>-2.0600000000001728E-2</v>
      </c>
      <c r="BT34">
        <f t="shared" si="19"/>
        <v>-1.2739999999999974E-2</v>
      </c>
      <c r="BU34">
        <f t="shared" si="20"/>
        <v>-189.56999999999994</v>
      </c>
      <c r="BV34">
        <f t="shared" si="21"/>
        <v>-0.26937000000000033</v>
      </c>
    </row>
    <row r="35" spans="1:74" ht="12.75" customHeight="1" x14ac:dyDescent="0.3">
      <c r="A35" s="74">
        <f t="shared" si="1"/>
        <v>46084</v>
      </c>
      <c r="B35" s="99">
        <f t="shared" ref="B35:B37" si="23">VLOOKUP(A35,W:X,2,FALSE)</f>
        <v>17.348500000000001</v>
      </c>
      <c r="C35">
        <v>0.85985400000000001</v>
      </c>
      <c r="D35">
        <v>1402.32</v>
      </c>
      <c r="E35">
        <v>6.9277199999999999</v>
      </c>
      <c r="F35">
        <v>5.2262000000000004</v>
      </c>
      <c r="G35">
        <v>892.84299999999996</v>
      </c>
      <c r="H35">
        <v>3784.14</v>
      </c>
      <c r="I35">
        <v>6471.7</v>
      </c>
      <c r="J35">
        <v>3.3828200000000002</v>
      </c>
      <c r="K35">
        <v>38.562800000000003</v>
      </c>
      <c r="L35">
        <v>470.71699999999998</v>
      </c>
      <c r="M35">
        <v>59.815600000000003</v>
      </c>
      <c r="N35">
        <v>1</v>
      </c>
      <c r="O35">
        <v>7.6769800000000004</v>
      </c>
      <c r="P35">
        <v>8.75</v>
      </c>
      <c r="Q35">
        <v>26.504000000000001</v>
      </c>
      <c r="R35">
        <v>36.832299999999996</v>
      </c>
      <c r="S35">
        <v>6.7828200000000001</v>
      </c>
      <c r="T35">
        <v>1238.32</v>
      </c>
      <c r="U35">
        <v>7.3787799999999999</v>
      </c>
      <c r="W35" s="62"/>
      <c r="X35" s="62"/>
      <c r="Y35" s="62"/>
      <c r="Z35" s="62"/>
      <c r="AA35" s="62"/>
      <c r="AB35" s="62"/>
      <c r="AC35" s="62"/>
      <c r="AD35" s="62"/>
      <c r="AE35" s="62"/>
      <c r="AF35" s="62"/>
      <c r="AG35" s="62"/>
      <c r="AH35" s="62"/>
      <c r="AI35" s="62"/>
      <c r="AJ35" s="174" t="s">
        <v>445</v>
      </c>
      <c r="AK35" s="175">
        <v>0.90633600000000003</v>
      </c>
      <c r="AL35" s="175">
        <v>970.91899999999998</v>
      </c>
      <c r="AM35" s="175">
        <v>6.9170800000000003</v>
      </c>
      <c r="AN35" s="175">
        <v>5.4602700000000004</v>
      </c>
      <c r="AO35" s="175">
        <v>915.30600000000004</v>
      </c>
      <c r="AP35" s="175">
        <v>4186.72</v>
      </c>
      <c r="AQ35" s="175">
        <v>7801.67</v>
      </c>
      <c r="AR35" s="175">
        <v>3.7241300000000002</v>
      </c>
      <c r="AS35" s="175">
        <v>41.809600000000003</v>
      </c>
      <c r="AT35" s="175">
        <v>518.16200000000003</v>
      </c>
      <c r="AU35" s="175">
        <v>60.526400000000002</v>
      </c>
      <c r="AV35" s="175">
        <v>1</v>
      </c>
      <c r="AW35" s="175">
        <v>7.7397200000000002</v>
      </c>
      <c r="AX35" s="175">
        <v>8.75</v>
      </c>
      <c r="AY35" s="175">
        <v>24.945699999999999</v>
      </c>
      <c r="AZ35" s="175">
        <v>36.784599999999998</v>
      </c>
      <c r="BA35" s="175">
        <v>6.7897299999999996</v>
      </c>
      <c r="BB35" s="175">
        <v>1428.82</v>
      </c>
      <c r="BC35" s="175">
        <v>7.6570799999999997</v>
      </c>
      <c r="BD35">
        <f t="shared" si="3"/>
        <v>-4.6482000000000023E-2</v>
      </c>
      <c r="BE35">
        <f t="shared" si="4"/>
        <v>431.40099999999995</v>
      </c>
      <c r="BF35">
        <f t="shared" si="5"/>
        <v>1.0639999999999539E-2</v>
      </c>
      <c r="BG35">
        <f t="shared" si="6"/>
        <v>-0.23407</v>
      </c>
      <c r="BH35">
        <f t="shared" si="7"/>
        <v>-22.463000000000079</v>
      </c>
      <c r="BI35">
        <f t="shared" si="8"/>
        <v>-402.58000000000038</v>
      </c>
      <c r="BJ35">
        <f t="shared" si="9"/>
        <v>-1329.9700000000003</v>
      </c>
      <c r="BK35">
        <f t="shared" si="10"/>
        <v>-0.34131</v>
      </c>
      <c r="BL35">
        <f t="shared" si="11"/>
        <v>-3.2468000000000004</v>
      </c>
      <c r="BM35">
        <f t="shared" si="12"/>
        <v>-47.44500000000005</v>
      </c>
      <c r="BN35">
        <f t="shared" si="13"/>
        <v>-0.71079999999999899</v>
      </c>
      <c r="BO35">
        <f t="shared" si="14"/>
        <v>0</v>
      </c>
      <c r="BP35">
        <f t="shared" si="15"/>
        <v>-6.2739999999999796E-2</v>
      </c>
      <c r="BQ35">
        <f t="shared" si="16"/>
        <v>0</v>
      </c>
      <c r="BR35">
        <f t="shared" si="17"/>
        <v>1.5583000000000027</v>
      </c>
      <c r="BS35">
        <f t="shared" si="18"/>
        <v>4.7699999999998965E-2</v>
      </c>
      <c r="BT35">
        <f t="shared" si="19"/>
        <v>-6.9099999999995276E-3</v>
      </c>
      <c r="BU35">
        <f t="shared" si="20"/>
        <v>-190.5</v>
      </c>
      <c r="BV35">
        <f t="shared" si="21"/>
        <v>-0.27829999999999977</v>
      </c>
    </row>
    <row r="36" spans="1:74" ht="18" x14ac:dyDescent="0.3">
      <c r="A36" s="74">
        <f t="shared" si="1"/>
        <v>46083</v>
      </c>
      <c r="B36" s="99">
        <f t="shared" si="23"/>
        <v>17.2193</v>
      </c>
      <c r="C36">
        <v>0.85268200000000005</v>
      </c>
      <c r="D36">
        <v>1398.13</v>
      </c>
      <c r="E36">
        <v>6.9227400000000001</v>
      </c>
      <c r="F36">
        <v>5.1575600000000001</v>
      </c>
      <c r="G36">
        <v>878.91200000000003</v>
      </c>
      <c r="H36">
        <v>3771.6</v>
      </c>
      <c r="I36">
        <v>6450.72</v>
      </c>
      <c r="J36">
        <v>3.3596599999999999</v>
      </c>
      <c r="K36">
        <v>38.461799999999997</v>
      </c>
      <c r="L36">
        <v>471.39800000000002</v>
      </c>
      <c r="M36">
        <v>60.039400000000001</v>
      </c>
      <c r="N36">
        <v>1</v>
      </c>
      <c r="O36">
        <v>7.6745400000000004</v>
      </c>
      <c r="P36">
        <v>8.75</v>
      </c>
      <c r="Q36">
        <v>26.491800000000001</v>
      </c>
      <c r="R36">
        <v>36.792000000000002</v>
      </c>
      <c r="S36">
        <v>6.7834700000000003</v>
      </c>
      <c r="T36">
        <v>1250.74</v>
      </c>
      <c r="U36">
        <v>7.4573799999999997</v>
      </c>
      <c r="AJ36" s="174" t="s">
        <v>446</v>
      </c>
      <c r="AK36" s="175">
        <v>0.90431300000000003</v>
      </c>
      <c r="AL36" s="175">
        <v>970.03800000000001</v>
      </c>
      <c r="AM36" s="175">
        <v>6.9129899999999997</v>
      </c>
      <c r="AN36" s="175">
        <v>5.4317200000000003</v>
      </c>
      <c r="AO36" s="175">
        <v>906.49400000000003</v>
      </c>
      <c r="AP36" s="175">
        <v>4210.51</v>
      </c>
      <c r="AQ36" s="175">
        <v>7796.01</v>
      </c>
      <c r="AR36" s="175">
        <v>3.7166800000000002</v>
      </c>
      <c r="AS36" s="175">
        <v>41.689799999999998</v>
      </c>
      <c r="AT36" s="175">
        <v>518.19000000000005</v>
      </c>
      <c r="AU36" s="175">
        <v>60.531300000000002</v>
      </c>
      <c r="AV36" s="175">
        <v>1</v>
      </c>
      <c r="AW36" s="175">
        <v>7.7335099999999999</v>
      </c>
      <c r="AX36" s="175">
        <v>8.75</v>
      </c>
      <c r="AY36" s="175">
        <v>24.895</v>
      </c>
      <c r="AZ36" s="175">
        <v>36.820500000000003</v>
      </c>
      <c r="BA36" s="175">
        <v>6.7862400000000003</v>
      </c>
      <c r="BB36" s="175">
        <v>1435.28</v>
      </c>
      <c r="BC36" s="175">
        <v>7.6752799999999999</v>
      </c>
      <c r="BD36">
        <f t="shared" si="3"/>
        <v>-5.1630999999999982E-2</v>
      </c>
      <c r="BE36">
        <f t="shared" si="4"/>
        <v>428.0920000000001</v>
      </c>
      <c r="BF36">
        <f t="shared" si="5"/>
        <v>9.7500000000003695E-3</v>
      </c>
      <c r="BG36">
        <f t="shared" si="6"/>
        <v>-0.27416000000000018</v>
      </c>
      <c r="BH36">
        <f t="shared" si="7"/>
        <v>-27.581999999999994</v>
      </c>
      <c r="BI36">
        <f t="shared" si="8"/>
        <v>-438.91000000000031</v>
      </c>
      <c r="BJ36">
        <f t="shared" si="9"/>
        <v>-1345.29</v>
      </c>
      <c r="BK36">
        <f t="shared" si="10"/>
        <v>-0.35702000000000034</v>
      </c>
      <c r="BL36">
        <f t="shared" si="11"/>
        <v>-3.2280000000000015</v>
      </c>
      <c r="BM36">
        <f t="shared" si="12"/>
        <v>-46.79200000000003</v>
      </c>
      <c r="BN36">
        <f t="shared" si="13"/>
        <v>-0.49190000000000111</v>
      </c>
      <c r="BO36">
        <f t="shared" si="14"/>
        <v>0</v>
      </c>
      <c r="BP36">
        <f t="shared" si="15"/>
        <v>-5.8969999999999523E-2</v>
      </c>
      <c r="BQ36">
        <f t="shared" si="16"/>
        <v>0</v>
      </c>
      <c r="BR36">
        <f t="shared" si="17"/>
        <v>1.5968000000000018</v>
      </c>
      <c r="BS36">
        <f t="shared" si="18"/>
        <v>-2.850000000000108E-2</v>
      </c>
      <c r="BT36">
        <f t="shared" si="19"/>
        <v>-2.7699999999999392E-3</v>
      </c>
      <c r="BU36">
        <f t="shared" si="20"/>
        <v>-184.53999999999996</v>
      </c>
      <c r="BV36">
        <f t="shared" si="21"/>
        <v>-0.2179000000000002</v>
      </c>
    </row>
    <row r="37" spans="1:74" ht="18" x14ac:dyDescent="0.3">
      <c r="A37" s="74">
        <f t="shared" si="1"/>
        <v>46082</v>
      </c>
      <c r="B37" s="99">
        <f t="shared" si="23"/>
        <v>17.2563</v>
      </c>
      <c r="C37">
        <v>0.84650899999999996</v>
      </c>
      <c r="D37">
        <v>1397.56</v>
      </c>
      <c r="E37">
        <v>6.9066799999999997</v>
      </c>
      <c r="F37">
        <v>5.1297199999999998</v>
      </c>
      <c r="G37">
        <v>873.67399999999998</v>
      </c>
      <c r="H37">
        <v>3758.62</v>
      </c>
      <c r="I37">
        <v>6438.39</v>
      </c>
      <c r="J37">
        <v>3.3550200000000001</v>
      </c>
      <c r="K37">
        <v>38.389099999999999</v>
      </c>
      <c r="L37">
        <v>471.96699999999998</v>
      </c>
      <c r="M37">
        <v>60.110599999999998</v>
      </c>
      <c r="N37">
        <v>1</v>
      </c>
      <c r="O37">
        <v>7.6674600000000002</v>
      </c>
      <c r="P37">
        <v>8.75</v>
      </c>
      <c r="Q37">
        <v>26.5154</v>
      </c>
      <c r="R37">
        <v>36.762599999999999</v>
      </c>
      <c r="S37">
        <v>6.7803599999999999</v>
      </c>
      <c r="T37">
        <v>1255.1199999999999</v>
      </c>
      <c r="U37">
        <v>7.4836799999999997</v>
      </c>
      <c r="AJ37" s="174" t="s">
        <v>447</v>
      </c>
      <c r="AK37" s="175">
        <v>0.90125999999999995</v>
      </c>
      <c r="AL37" s="175">
        <v>969.26599999999996</v>
      </c>
      <c r="AM37" s="175">
        <v>6.9200699999999999</v>
      </c>
      <c r="AN37" s="175">
        <v>5.4499500000000003</v>
      </c>
      <c r="AO37" s="175">
        <v>901.80499999999995</v>
      </c>
      <c r="AP37" s="175">
        <v>4200.08</v>
      </c>
      <c r="AQ37" s="175">
        <v>7798.63</v>
      </c>
      <c r="AR37" s="175">
        <v>3.71712</v>
      </c>
      <c r="AS37" s="175">
        <v>41.7346</v>
      </c>
      <c r="AT37" s="175">
        <v>519.37199999999996</v>
      </c>
      <c r="AU37" s="175">
        <v>60.424500000000002</v>
      </c>
      <c r="AV37" s="175">
        <v>1</v>
      </c>
      <c r="AW37" s="175">
        <v>7.7362700000000002</v>
      </c>
      <c r="AX37" s="175">
        <v>8.75</v>
      </c>
      <c r="AY37" s="175">
        <v>24.8962</v>
      </c>
      <c r="AZ37" s="175">
        <v>36.816099999999999</v>
      </c>
      <c r="BA37" s="175">
        <v>6.79514</v>
      </c>
      <c r="BB37" s="176">
        <v>1430.96</v>
      </c>
      <c r="BC37" s="176">
        <v>7.6578400000000002</v>
      </c>
      <c r="BD37">
        <f t="shared" si="3"/>
        <v>-5.4750999999999994E-2</v>
      </c>
      <c r="BE37">
        <f t="shared" si="4"/>
        <v>428.29399999999998</v>
      </c>
      <c r="BF37">
        <f t="shared" si="5"/>
        <v>-1.3390000000000235E-2</v>
      </c>
      <c r="BG37">
        <f t="shared" si="6"/>
        <v>-0.32023000000000046</v>
      </c>
      <c r="BH37">
        <f t="shared" si="7"/>
        <v>-28.130999999999972</v>
      </c>
      <c r="BI37">
        <f t="shared" si="8"/>
        <v>-441.46000000000004</v>
      </c>
      <c r="BJ37">
        <f t="shared" si="9"/>
        <v>-1360.2399999999998</v>
      </c>
      <c r="BK37">
        <f t="shared" si="10"/>
        <v>-0.36209999999999987</v>
      </c>
      <c r="BL37">
        <f t="shared" si="11"/>
        <v>-3.3455000000000013</v>
      </c>
      <c r="BM37">
        <f t="shared" si="12"/>
        <v>-47.404999999999973</v>
      </c>
      <c r="BN37">
        <f t="shared" si="13"/>
        <v>-0.31390000000000384</v>
      </c>
      <c r="BO37">
        <f t="shared" si="14"/>
        <v>0</v>
      </c>
      <c r="BP37">
        <f t="shared" si="15"/>
        <v>-6.8810000000000038E-2</v>
      </c>
      <c r="BQ37">
        <f t="shared" si="16"/>
        <v>0</v>
      </c>
      <c r="BR37">
        <f t="shared" si="17"/>
        <v>1.6191999999999993</v>
      </c>
      <c r="BS37">
        <f t="shared" si="18"/>
        <v>-5.3499999999999659E-2</v>
      </c>
      <c r="BT37">
        <f t="shared" si="19"/>
        <v>-1.4780000000000015E-2</v>
      </c>
      <c r="BU37">
        <f t="shared" si="20"/>
        <v>-175.84000000000015</v>
      </c>
      <c r="BV37">
        <f t="shared" si="21"/>
        <v>-0.17416000000000054</v>
      </c>
    </row>
    <row r="38" spans="1:74" x14ac:dyDescent="0.3">
      <c r="B38" s="90"/>
      <c r="V38" s="89"/>
      <c r="W38" s="89" t="s">
        <v>454</v>
      </c>
      <c r="X38" s="89"/>
      <c r="Y38" s="89"/>
      <c r="BB38" s="177"/>
      <c r="BC38" s="177"/>
    </row>
    <row r="39" spans="1:74" x14ac:dyDescent="0.3">
      <c r="B39" s="90"/>
      <c r="U39" s="175"/>
      <c r="V39" s="89"/>
      <c r="W39" s="89" t="s">
        <v>455</v>
      </c>
      <c r="X39" s="89"/>
      <c r="Y39" s="89"/>
    </row>
    <row r="40" spans="1:74" x14ac:dyDescent="0.3">
      <c r="B40" s="90"/>
      <c r="C40" s="90"/>
      <c r="D40" s="90"/>
      <c r="E40" s="90"/>
      <c r="F40" s="90"/>
      <c r="G40" s="90"/>
      <c r="H40" s="90"/>
      <c r="I40" s="90"/>
      <c r="J40" s="90"/>
      <c r="K40" s="90"/>
      <c r="L40" s="90"/>
      <c r="M40" s="90"/>
      <c r="N40" s="90"/>
      <c r="O40" s="90"/>
      <c r="P40" s="90"/>
      <c r="Q40" s="90"/>
      <c r="R40" s="90"/>
      <c r="S40" s="90"/>
      <c r="T40" s="90"/>
      <c r="U40" s="90"/>
    </row>
    <row r="41" spans="1:74" x14ac:dyDescent="0.3">
      <c r="B41" s="90"/>
      <c r="C41" s="183"/>
      <c r="D41" s="183"/>
      <c r="E41" s="183"/>
      <c r="F41" s="183"/>
      <c r="G41" s="183"/>
      <c r="H41" s="183"/>
      <c r="I41" s="183"/>
      <c r="J41" s="183"/>
      <c r="K41" s="183"/>
      <c r="L41" s="183"/>
      <c r="M41" s="183"/>
      <c r="N41" s="183"/>
      <c r="O41" s="183"/>
      <c r="P41" s="183"/>
      <c r="Q41" s="183"/>
      <c r="R41" s="183"/>
      <c r="S41" s="183"/>
      <c r="T41" s="183"/>
      <c r="U41" s="183"/>
      <c r="W41" s="108" t="s">
        <v>410</v>
      </c>
      <c r="X41" s="108" t="s">
        <v>411</v>
      </c>
      <c r="Y41" s="108" t="s">
        <v>412</v>
      </c>
      <c r="Z41" s="105">
        <v>46082</v>
      </c>
      <c r="AA41" s="106"/>
    </row>
    <row r="42" spans="1:74" ht="26" x14ac:dyDescent="0.3">
      <c r="B42" s="90"/>
      <c r="C42" s="90"/>
      <c r="D42" s="90"/>
      <c r="E42" s="90"/>
      <c r="F42" s="90"/>
      <c r="G42" s="90"/>
      <c r="H42" s="90"/>
      <c r="I42" s="90"/>
      <c r="J42" s="90"/>
      <c r="K42" s="90"/>
      <c r="L42" s="90"/>
      <c r="M42" s="90"/>
      <c r="N42" s="90"/>
      <c r="O42" s="90"/>
      <c r="P42" s="90"/>
      <c r="Q42" s="90"/>
      <c r="R42" s="90"/>
      <c r="S42" s="62"/>
      <c r="T42" s="62"/>
      <c r="U42" s="62"/>
      <c r="W42" s="109"/>
      <c r="X42" s="109"/>
      <c r="Y42" s="109"/>
      <c r="Z42" s="130" t="s">
        <v>413</v>
      </c>
      <c r="AA42" s="130" t="s">
        <v>414</v>
      </c>
    </row>
    <row r="43" spans="1:74" x14ac:dyDescent="0.3">
      <c r="B43" s="90"/>
      <c r="C43" s="90"/>
      <c r="D43" s="90"/>
      <c r="E43" s="90"/>
      <c r="F43" s="90"/>
      <c r="G43" s="90"/>
      <c r="H43" s="90"/>
      <c r="I43" s="90"/>
      <c r="J43" s="90"/>
      <c r="K43" s="90"/>
      <c r="L43" s="90"/>
      <c r="M43" s="90"/>
      <c r="N43" s="90"/>
      <c r="O43" s="90"/>
      <c r="P43" s="90"/>
      <c r="Q43" s="90"/>
      <c r="R43" s="90"/>
      <c r="S43" s="62"/>
      <c r="T43" s="62"/>
      <c r="U43" s="62"/>
      <c r="W43" s="111" t="s">
        <v>225</v>
      </c>
      <c r="X43" s="111" t="s">
        <v>226</v>
      </c>
      <c r="Y43" s="111" t="s">
        <v>227</v>
      </c>
      <c r="Z43" s="112">
        <v>0.26640000000000003</v>
      </c>
      <c r="AA43" s="112">
        <v>4.7960799999999999</v>
      </c>
    </row>
    <row r="44" spans="1:74" x14ac:dyDescent="0.3">
      <c r="B44" s="90"/>
      <c r="C44" s="90"/>
      <c r="D44" s="90"/>
      <c r="E44" s="90"/>
      <c r="F44" s="90"/>
      <c r="G44" s="90"/>
      <c r="H44" s="90"/>
      <c r="I44" s="90"/>
      <c r="J44" s="90"/>
      <c r="K44" s="90"/>
      <c r="L44" s="90"/>
      <c r="M44" s="90"/>
      <c r="N44" s="90"/>
      <c r="O44" s="90"/>
      <c r="P44" s="90"/>
      <c r="Q44" s="90"/>
      <c r="R44" s="90"/>
      <c r="S44" s="62"/>
      <c r="T44" s="62"/>
      <c r="U44" s="62"/>
      <c r="W44" s="111" t="s">
        <v>228</v>
      </c>
      <c r="X44" s="111" t="s">
        <v>229</v>
      </c>
      <c r="Y44" s="111" t="s">
        <v>230</v>
      </c>
      <c r="Z44" s="112">
        <v>7.4999999999999997E-3</v>
      </c>
      <c r="AA44" s="112">
        <v>0.13502</v>
      </c>
    </row>
    <row r="45" spans="1:74" x14ac:dyDescent="0.3">
      <c r="B45" s="90"/>
      <c r="C45" s="90"/>
      <c r="D45" s="90"/>
      <c r="E45" s="90"/>
      <c r="F45" s="90"/>
      <c r="G45" s="90"/>
      <c r="H45" s="90"/>
      <c r="I45" s="90"/>
      <c r="J45" s="90"/>
      <c r="K45" s="90"/>
      <c r="L45" s="90"/>
      <c r="M45" s="90"/>
      <c r="N45" s="90"/>
      <c r="O45" s="90"/>
      <c r="P45" s="90"/>
      <c r="Q45" s="90"/>
      <c r="R45" s="90"/>
      <c r="S45" s="62"/>
      <c r="T45" s="62"/>
      <c r="U45" s="62"/>
      <c r="V45" s="120" t="s">
        <v>231</v>
      </c>
      <c r="W45" s="155" t="s">
        <v>231</v>
      </c>
      <c r="X45" s="155" t="s">
        <v>93</v>
      </c>
      <c r="Y45" s="155" t="s">
        <v>232</v>
      </c>
      <c r="Z45" s="156">
        <v>6.9999999999999999E-4</v>
      </c>
      <c r="AA45" s="156">
        <v>1.26E-2</v>
      </c>
      <c r="AB45" s="131">
        <f>1/Z45</f>
        <v>1428.5714285714287</v>
      </c>
      <c r="AC45">
        <f>D7</f>
        <v>1391.52</v>
      </c>
      <c r="AD45" s="131">
        <f>AB45-AC45</f>
        <v>37.051428571428687</v>
      </c>
      <c r="AE45" s="132">
        <f>AD45/AB45</f>
        <v>2.5936000000000081E-2</v>
      </c>
      <c r="AF45" s="151"/>
    </row>
    <row r="46" spans="1:74" x14ac:dyDescent="0.3">
      <c r="B46" s="90"/>
      <c r="C46" s="90"/>
      <c r="D46" s="90"/>
      <c r="E46" s="90"/>
      <c r="F46" s="90"/>
      <c r="G46" s="90"/>
      <c r="H46" s="90"/>
      <c r="I46" s="90"/>
      <c r="J46" s="90"/>
      <c r="K46" s="90"/>
      <c r="L46" s="90"/>
      <c r="M46" s="90"/>
      <c r="N46" s="90"/>
      <c r="O46" s="90"/>
      <c r="P46" s="90"/>
      <c r="Q46" s="90"/>
      <c r="R46" s="90"/>
      <c r="S46" s="62"/>
      <c r="T46" s="62"/>
      <c r="U46" s="62"/>
      <c r="V46" s="118"/>
      <c r="W46" s="111" t="s">
        <v>233</v>
      </c>
      <c r="X46" s="111" t="s">
        <v>234</v>
      </c>
      <c r="Y46" s="111" t="s">
        <v>235</v>
      </c>
      <c r="Z46" s="112">
        <v>0.68469999999999998</v>
      </c>
      <c r="AA46" s="112">
        <v>12.32686</v>
      </c>
      <c r="AF46" s="151"/>
    </row>
    <row r="47" spans="1:74" x14ac:dyDescent="0.3">
      <c r="B47" s="90"/>
      <c r="C47" s="90"/>
      <c r="D47" s="90"/>
      <c r="E47" s="90"/>
      <c r="F47" s="90"/>
      <c r="G47" s="90"/>
      <c r="H47" s="90"/>
      <c r="I47" s="90"/>
      <c r="J47" s="90"/>
      <c r="K47" s="90"/>
      <c r="L47" s="90"/>
      <c r="M47" s="90"/>
      <c r="N47" s="90"/>
      <c r="O47" s="90"/>
      <c r="P47" s="90"/>
      <c r="Q47" s="90"/>
      <c r="R47" s="90"/>
      <c r="S47" s="62"/>
      <c r="T47" s="62"/>
      <c r="U47" s="62"/>
      <c r="V47" s="118"/>
      <c r="W47" s="111" t="s">
        <v>236</v>
      </c>
      <c r="X47" s="111" t="s">
        <v>237</v>
      </c>
      <c r="Y47" s="111" t="s">
        <v>235</v>
      </c>
      <c r="Z47" s="112">
        <v>1</v>
      </c>
      <c r="AA47" s="112">
        <v>18.003299999999999</v>
      </c>
      <c r="AF47" s="151"/>
    </row>
    <row r="48" spans="1:74" x14ac:dyDescent="0.3">
      <c r="B48" s="90"/>
      <c r="C48" s="90"/>
      <c r="D48" s="90"/>
      <c r="E48" s="90"/>
      <c r="F48" s="90"/>
      <c r="G48" s="90"/>
      <c r="H48" s="90"/>
      <c r="I48" s="90"/>
      <c r="J48" s="90"/>
      <c r="K48" s="90"/>
      <c r="L48" s="90"/>
      <c r="M48" s="90"/>
      <c r="N48" s="90"/>
      <c r="O48" s="90"/>
      <c r="P48" s="90"/>
      <c r="Q48" s="90"/>
      <c r="R48" s="90"/>
      <c r="S48" s="62"/>
      <c r="T48" s="62"/>
      <c r="U48" s="62"/>
      <c r="V48" s="118"/>
      <c r="W48" s="111" t="s">
        <v>238</v>
      </c>
      <c r="X48" s="111" t="s">
        <v>239</v>
      </c>
      <c r="Y48" s="111" t="s">
        <v>235</v>
      </c>
      <c r="Z48" s="112">
        <v>0.5</v>
      </c>
      <c r="AA48" s="112">
        <v>9.0016499999999997</v>
      </c>
      <c r="AF48" s="151"/>
    </row>
    <row r="49" spans="2:32" x14ac:dyDescent="0.3">
      <c r="B49" s="90"/>
      <c r="C49" s="90"/>
      <c r="D49" s="90"/>
      <c r="E49" s="90"/>
      <c r="F49" s="90"/>
      <c r="G49" s="90"/>
      <c r="H49" s="90"/>
      <c r="I49" s="90"/>
      <c r="J49" s="90"/>
      <c r="K49" s="90"/>
      <c r="L49" s="90"/>
      <c r="M49" s="90"/>
      <c r="N49" s="90"/>
      <c r="O49" s="90"/>
      <c r="P49" s="90"/>
      <c r="Q49" s="90"/>
      <c r="R49" s="90"/>
      <c r="S49" s="62"/>
      <c r="T49" s="62"/>
      <c r="U49" s="62"/>
      <c r="V49" s="118"/>
      <c r="W49" s="111" t="s">
        <v>240</v>
      </c>
      <c r="X49" s="111" t="s">
        <v>241</v>
      </c>
      <c r="Y49" s="111" t="s">
        <v>235</v>
      </c>
      <c r="Z49" s="112">
        <v>0.5</v>
      </c>
      <c r="AA49" s="112">
        <v>9.0016499999999997</v>
      </c>
      <c r="AF49" s="151"/>
    </row>
    <row r="50" spans="2:32" x14ac:dyDescent="0.3">
      <c r="B50" s="90"/>
      <c r="C50" s="90"/>
      <c r="D50" s="90"/>
      <c r="E50" s="90"/>
      <c r="F50" s="90"/>
      <c r="G50" s="90"/>
      <c r="H50" s="90"/>
      <c r="I50" s="90"/>
      <c r="J50" s="90"/>
      <c r="K50" s="90"/>
      <c r="L50" s="90"/>
      <c r="M50" s="90"/>
      <c r="N50" s="90"/>
      <c r="O50" s="90"/>
      <c r="P50" s="90"/>
      <c r="Q50" s="90"/>
      <c r="R50" s="90"/>
      <c r="S50" s="62"/>
      <c r="T50" s="62"/>
      <c r="U50" s="62"/>
      <c r="V50" s="118"/>
      <c r="W50" s="111" t="s">
        <v>242</v>
      </c>
      <c r="X50" s="111" t="s">
        <v>243</v>
      </c>
      <c r="Y50" s="111" t="s">
        <v>235</v>
      </c>
      <c r="Z50" s="112">
        <v>1</v>
      </c>
      <c r="AA50" s="112">
        <v>18.003299999999999</v>
      </c>
      <c r="AF50" s="151"/>
    </row>
    <row r="51" spans="2:32" x14ac:dyDescent="0.3">
      <c r="B51" s="90"/>
      <c r="C51" s="90"/>
      <c r="D51" s="90"/>
      <c r="E51" s="90"/>
      <c r="F51" s="90"/>
      <c r="G51" s="90"/>
      <c r="H51" s="90"/>
      <c r="I51" s="90"/>
      <c r="J51" s="90"/>
      <c r="K51" s="90"/>
      <c r="L51" s="90"/>
      <c r="M51" s="90"/>
      <c r="N51" s="90"/>
      <c r="O51" s="90"/>
      <c r="P51" s="90"/>
      <c r="Q51" s="90"/>
      <c r="R51" s="90"/>
      <c r="S51" s="62"/>
      <c r="T51" s="62"/>
      <c r="U51" s="62"/>
      <c r="V51" s="121" t="s">
        <v>244</v>
      </c>
      <c r="W51" s="153" t="s">
        <v>244</v>
      </c>
      <c r="X51" s="153" t="s">
        <v>94</v>
      </c>
      <c r="Y51" s="153" t="s">
        <v>245</v>
      </c>
      <c r="Z51" s="154">
        <v>0.1447</v>
      </c>
      <c r="AA51" s="154">
        <v>2.6050800000000001</v>
      </c>
      <c r="AB51" s="152">
        <f>1/Z51</f>
        <v>6.9108500345542501</v>
      </c>
      <c r="AC51">
        <f>E7</f>
        <v>6.9230700000000001</v>
      </c>
      <c r="AD51" s="131">
        <f>AB51-AC51</f>
        <v>-1.2219965445749992E-2</v>
      </c>
      <c r="AE51" s="132">
        <f>AD51/AB51</f>
        <v>-1.7682290000000239E-3</v>
      </c>
      <c r="AF51" s="151"/>
    </row>
    <row r="52" spans="2:32" x14ac:dyDescent="0.3">
      <c r="B52" s="90"/>
      <c r="C52" s="90"/>
      <c r="D52" s="90"/>
      <c r="E52" s="90"/>
      <c r="F52" s="90"/>
      <c r="G52" s="90"/>
      <c r="H52" s="90"/>
      <c r="I52" s="90"/>
      <c r="J52" s="90"/>
      <c r="K52" s="90"/>
      <c r="L52" s="90"/>
      <c r="M52" s="90"/>
      <c r="N52" s="90"/>
      <c r="O52" s="90"/>
      <c r="P52" s="90"/>
      <c r="Q52" s="90"/>
      <c r="R52" s="90"/>
      <c r="S52" s="62"/>
      <c r="T52" s="62"/>
      <c r="U52" s="62"/>
      <c r="V52" s="122" t="s">
        <v>246</v>
      </c>
      <c r="W52" s="137" t="s">
        <v>246</v>
      </c>
      <c r="X52" s="137" t="s">
        <v>95</v>
      </c>
      <c r="Y52" s="137" t="s">
        <v>247</v>
      </c>
      <c r="Z52" s="138">
        <v>0.19139999999999999</v>
      </c>
      <c r="AA52" s="138">
        <v>3.4458299999999999</v>
      </c>
      <c r="AB52" s="152">
        <f>1/Z52</f>
        <v>5.2246603970741905</v>
      </c>
      <c r="AC52">
        <f>F7</f>
        <v>5.2297000000000002</v>
      </c>
      <c r="AD52" s="131">
        <f>AB52-AC52</f>
        <v>-5.0396029258097386E-3</v>
      </c>
      <c r="AE52" s="132">
        <f>AD52/AB52</f>
        <v>-9.6457999999998388E-4</v>
      </c>
      <c r="AF52" s="151"/>
    </row>
    <row r="53" spans="2:32" x14ac:dyDescent="0.3">
      <c r="B53" s="90"/>
      <c r="C53" s="90"/>
      <c r="D53" s="90"/>
      <c r="E53" s="90"/>
      <c r="F53" s="90"/>
      <c r="G53" s="90"/>
      <c r="H53" s="90"/>
      <c r="I53" s="90"/>
      <c r="J53" s="90"/>
      <c r="K53" s="90"/>
      <c r="L53" s="90"/>
      <c r="M53" s="90"/>
      <c r="N53" s="90"/>
      <c r="O53" s="90"/>
      <c r="P53" s="90"/>
      <c r="Q53" s="90"/>
      <c r="R53" s="90"/>
      <c r="S53" s="62"/>
      <c r="T53" s="62"/>
      <c r="U53" s="62"/>
      <c r="V53" s="118"/>
      <c r="W53" s="111" t="s">
        <v>248</v>
      </c>
      <c r="X53" s="111" t="s">
        <v>249</v>
      </c>
      <c r="Y53" s="111" t="s">
        <v>235</v>
      </c>
      <c r="Z53" s="112">
        <v>0.71640000000000004</v>
      </c>
      <c r="AA53" s="112">
        <v>12.89756</v>
      </c>
      <c r="AF53" s="151"/>
    </row>
    <row r="54" spans="2:32" x14ac:dyDescent="0.3">
      <c r="B54" s="90"/>
      <c r="C54" s="90"/>
      <c r="D54" s="90"/>
      <c r="E54" s="90"/>
      <c r="F54" s="90"/>
      <c r="G54" s="90"/>
      <c r="H54" s="90"/>
      <c r="I54" s="90"/>
      <c r="J54" s="90"/>
      <c r="K54" s="90"/>
      <c r="L54" s="90"/>
      <c r="M54" s="90"/>
      <c r="N54" s="90"/>
      <c r="O54" s="90"/>
      <c r="P54" s="90"/>
      <c r="Q54" s="90"/>
      <c r="R54" s="90"/>
      <c r="S54" s="62"/>
      <c r="T54" s="62"/>
      <c r="U54" s="62"/>
      <c r="V54" s="123" t="s">
        <v>250</v>
      </c>
      <c r="W54" s="139" t="s">
        <v>250</v>
      </c>
      <c r="X54" s="139" t="s">
        <v>96</v>
      </c>
      <c r="Y54" s="139" t="s">
        <v>232</v>
      </c>
      <c r="Z54" s="140">
        <v>1.07E-3</v>
      </c>
      <c r="AA54" s="140">
        <v>1.9259999999999999E-2</v>
      </c>
      <c r="AB54" s="131">
        <f>1/Z54</f>
        <v>934.57943925233644</v>
      </c>
      <c r="AC54">
        <f>G7</f>
        <v>929.09</v>
      </c>
      <c r="AD54" s="131">
        <f>AB54-AC54</f>
        <v>5.4894392523364104</v>
      </c>
      <c r="AE54" s="132">
        <f>AD54/AB54</f>
        <v>5.8736999999999592E-3</v>
      </c>
      <c r="AF54" s="151"/>
    </row>
    <row r="55" spans="2:32" x14ac:dyDescent="0.3">
      <c r="B55" s="90"/>
      <c r="C55" s="90"/>
      <c r="D55" s="90"/>
      <c r="E55" s="90"/>
      <c r="F55" s="90"/>
      <c r="G55" s="90"/>
      <c r="H55" s="90"/>
      <c r="I55" s="90"/>
      <c r="J55" s="90"/>
      <c r="K55" s="90"/>
      <c r="L55" s="90"/>
      <c r="M55" s="90"/>
      <c r="N55" s="90"/>
      <c r="O55" s="90"/>
      <c r="P55" s="90"/>
      <c r="Q55" s="90"/>
      <c r="R55" s="90"/>
      <c r="S55" s="62"/>
      <c r="T55" s="62"/>
      <c r="U55" s="62"/>
      <c r="V55" s="118"/>
      <c r="W55" s="111" t="s">
        <v>251</v>
      </c>
      <c r="X55" s="111" t="s">
        <v>252</v>
      </c>
      <c r="Y55" s="111" t="s">
        <v>253</v>
      </c>
      <c r="Z55" s="112">
        <v>0.14494000000000001</v>
      </c>
      <c r="AA55" s="112">
        <v>2.6093999999999999</v>
      </c>
      <c r="AF55" s="151"/>
    </row>
    <row r="56" spans="2:32" x14ac:dyDescent="0.3">
      <c r="B56" s="90"/>
      <c r="C56" s="90"/>
      <c r="D56" s="90"/>
      <c r="E56" s="90"/>
      <c r="F56" s="90"/>
      <c r="G56" s="90"/>
      <c r="H56" s="90"/>
      <c r="I56" s="90"/>
      <c r="J56" s="90"/>
      <c r="K56" s="90"/>
      <c r="L56" s="90"/>
      <c r="M56" s="90"/>
      <c r="N56" s="90"/>
      <c r="O56" s="90"/>
      <c r="P56" s="90"/>
      <c r="Q56" s="90"/>
      <c r="R56" s="90"/>
      <c r="S56" s="62"/>
      <c r="T56" s="62"/>
      <c r="U56" s="62"/>
      <c r="V56" s="118"/>
      <c r="W56" s="111" t="s">
        <v>251</v>
      </c>
      <c r="X56" s="111" t="s">
        <v>254</v>
      </c>
      <c r="Y56" s="111" t="s">
        <v>255</v>
      </c>
      <c r="Z56" s="112">
        <v>0.14480000000000001</v>
      </c>
      <c r="AA56" s="112">
        <v>2.6068799999999999</v>
      </c>
      <c r="AF56" s="151"/>
    </row>
    <row r="57" spans="2:32" x14ac:dyDescent="0.3">
      <c r="B57" s="90"/>
      <c r="C57" s="90"/>
      <c r="D57" s="90"/>
      <c r="E57" s="90"/>
      <c r="F57" s="90"/>
      <c r="G57" s="90"/>
      <c r="H57" s="90"/>
      <c r="I57" s="90"/>
      <c r="J57" s="90"/>
      <c r="K57" s="90"/>
      <c r="L57" s="90"/>
      <c r="M57" s="90"/>
      <c r="N57" s="90"/>
      <c r="O57" s="90"/>
      <c r="P57" s="90"/>
      <c r="Q57" s="90"/>
      <c r="R57" s="90"/>
      <c r="S57" s="62"/>
      <c r="T57" s="62"/>
      <c r="U57" s="62"/>
      <c r="V57" s="124" t="s">
        <v>256</v>
      </c>
      <c r="W57" s="141" t="s">
        <v>256</v>
      </c>
      <c r="X57" s="141" t="s">
        <v>97</v>
      </c>
      <c r="Y57" s="141" t="s">
        <v>257</v>
      </c>
      <c r="Z57" s="142">
        <v>0.27322000000000002</v>
      </c>
      <c r="AA57" s="142">
        <v>4.9188599999999996</v>
      </c>
      <c r="AB57" s="131">
        <f>1000/Z57</f>
        <v>3660.0541688016979</v>
      </c>
      <c r="AC57">
        <f>H7</f>
        <v>3674.74</v>
      </c>
      <c r="AD57" s="131">
        <f>AB57-AC57</f>
        <v>-14.685831198301912</v>
      </c>
      <c r="AE57" s="132">
        <f>AD57/AB57</f>
        <v>-4.0124628000000485E-3</v>
      </c>
      <c r="AF57" s="151"/>
    </row>
    <row r="58" spans="2:32" x14ac:dyDescent="0.3">
      <c r="B58" s="90"/>
      <c r="C58" s="90"/>
      <c r="D58" s="90"/>
      <c r="E58" s="90"/>
      <c r="F58" s="90"/>
      <c r="G58" s="90"/>
      <c r="H58" s="90"/>
      <c r="I58" s="90"/>
      <c r="J58" s="90"/>
      <c r="K58" s="90"/>
      <c r="L58" s="90"/>
      <c r="M58" s="90"/>
      <c r="N58" s="90"/>
      <c r="O58" s="90"/>
      <c r="P58" s="90"/>
      <c r="Q58" s="90"/>
      <c r="R58" s="90"/>
      <c r="S58" s="62"/>
      <c r="T58" s="62"/>
      <c r="U58" s="62"/>
      <c r="V58" s="118"/>
      <c r="W58" s="111" t="s">
        <v>258</v>
      </c>
      <c r="X58" s="111" t="s">
        <v>259</v>
      </c>
      <c r="Y58" s="111" t="s">
        <v>260</v>
      </c>
      <c r="Z58" s="112">
        <v>0.65529999999999999</v>
      </c>
      <c r="AA58" s="112">
        <v>11.797560000000001</v>
      </c>
      <c r="AF58" s="151"/>
    </row>
    <row r="59" spans="2:32" x14ac:dyDescent="0.3">
      <c r="B59" s="90"/>
      <c r="C59" s="90"/>
      <c r="D59" s="90"/>
      <c r="E59" s="90"/>
      <c r="F59" s="90"/>
      <c r="G59" s="90"/>
      <c r="H59" s="90"/>
      <c r="I59" s="90"/>
      <c r="J59" s="90"/>
      <c r="K59" s="90"/>
      <c r="L59" s="90"/>
      <c r="M59" s="90"/>
      <c r="N59" s="90"/>
      <c r="O59" s="90"/>
      <c r="P59" s="90"/>
      <c r="Q59" s="90"/>
      <c r="R59" s="90"/>
      <c r="S59" s="62"/>
      <c r="T59" s="62"/>
      <c r="U59" s="62"/>
      <c r="V59" s="125" t="s">
        <v>261</v>
      </c>
      <c r="W59" s="143" t="s">
        <v>261</v>
      </c>
      <c r="X59" s="143" t="s">
        <v>101</v>
      </c>
      <c r="Y59" s="143" t="s">
        <v>262</v>
      </c>
      <c r="Z59" s="144">
        <v>2.15E-3</v>
      </c>
      <c r="AA59" s="144">
        <v>3.8710000000000001E-2</v>
      </c>
      <c r="AB59" s="131">
        <f>1/Z59</f>
        <v>465.11627906976742</v>
      </c>
      <c r="AC59">
        <f>L7</f>
        <v>464.95600000000002</v>
      </c>
      <c r="AD59" s="131">
        <f>AB59-AC59</f>
        <v>0.16027906976739814</v>
      </c>
      <c r="AE59" s="132">
        <f>AD59/AB59</f>
        <v>3.4459999999990603E-4</v>
      </c>
      <c r="AF59" s="151"/>
    </row>
    <row r="60" spans="2:32" x14ac:dyDescent="0.3">
      <c r="B60" s="90"/>
      <c r="C60" s="90"/>
      <c r="D60" s="90"/>
      <c r="E60" s="90"/>
      <c r="F60" s="90"/>
      <c r="G60" s="90"/>
      <c r="H60" s="90"/>
      <c r="I60" s="90"/>
      <c r="J60" s="90"/>
      <c r="K60" s="90"/>
      <c r="L60" s="90"/>
      <c r="M60" s="90"/>
      <c r="N60" s="90"/>
      <c r="O60" s="90"/>
      <c r="P60" s="90"/>
      <c r="Q60" s="90"/>
      <c r="R60" s="90"/>
      <c r="S60" s="62"/>
      <c r="T60" s="62"/>
      <c r="U60" s="62"/>
      <c r="V60" s="119"/>
      <c r="W60" s="111" t="s">
        <v>263</v>
      </c>
      <c r="X60" s="111" t="s">
        <v>264</v>
      </c>
      <c r="Y60" s="111" t="s">
        <v>232</v>
      </c>
      <c r="Z60" s="112">
        <v>4.1700000000000001E-2</v>
      </c>
      <c r="AA60" s="112">
        <v>0.75073999999999996</v>
      </c>
      <c r="AF60" s="151"/>
    </row>
    <row r="61" spans="2:32" x14ac:dyDescent="0.3">
      <c r="B61" s="90"/>
      <c r="C61" s="90"/>
      <c r="D61" s="90"/>
      <c r="E61" s="90"/>
      <c r="F61" s="90"/>
      <c r="G61" s="90"/>
      <c r="H61" s="90"/>
      <c r="I61" s="90"/>
      <c r="J61" s="90"/>
      <c r="K61" s="90"/>
      <c r="L61" s="90"/>
      <c r="M61" s="90"/>
      <c r="N61" s="90"/>
      <c r="O61" s="90"/>
      <c r="P61" s="90"/>
      <c r="Q61" s="90"/>
      <c r="R61" s="90"/>
      <c r="S61" s="62"/>
      <c r="T61" s="62"/>
      <c r="U61" s="62"/>
      <c r="V61" s="119"/>
      <c r="W61" s="111" t="s">
        <v>265</v>
      </c>
      <c r="X61" s="111" t="s">
        <v>266</v>
      </c>
      <c r="Y61" s="111" t="s">
        <v>267</v>
      </c>
      <c r="Z61" s="112">
        <v>0.15415999999999999</v>
      </c>
      <c r="AA61" s="112">
        <v>2.7753899999999998</v>
      </c>
      <c r="AF61" s="151"/>
    </row>
    <row r="62" spans="2:32" x14ac:dyDescent="0.3">
      <c r="B62" s="90"/>
      <c r="C62" s="90"/>
      <c r="D62" s="90"/>
      <c r="E62" s="90"/>
      <c r="F62" s="90"/>
      <c r="G62" s="90"/>
      <c r="H62" s="90"/>
      <c r="I62" s="90"/>
      <c r="J62" s="90"/>
      <c r="K62" s="90"/>
      <c r="L62" s="90"/>
      <c r="M62" s="90"/>
      <c r="N62" s="90"/>
      <c r="O62" s="90"/>
      <c r="P62" s="90"/>
      <c r="Q62" s="90"/>
      <c r="R62" s="90"/>
      <c r="S62" s="62"/>
      <c r="T62" s="62"/>
      <c r="U62" s="62"/>
      <c r="V62" s="119"/>
      <c r="W62" s="111" t="s">
        <v>268</v>
      </c>
      <c r="X62" s="111" t="s">
        <v>269</v>
      </c>
      <c r="Y62" s="111" t="s">
        <v>235</v>
      </c>
      <c r="Z62" s="112">
        <v>1</v>
      </c>
      <c r="AA62" s="112">
        <v>18.003299999999999</v>
      </c>
      <c r="AF62" s="151"/>
    </row>
    <row r="63" spans="2:32" x14ac:dyDescent="0.3">
      <c r="B63" s="90"/>
      <c r="C63" s="90"/>
      <c r="D63" s="90"/>
      <c r="E63" s="90"/>
      <c r="F63" s="90"/>
      <c r="G63" s="90"/>
      <c r="H63" s="90"/>
      <c r="I63" s="90"/>
      <c r="J63" s="90"/>
      <c r="K63" s="90"/>
      <c r="L63" s="90"/>
      <c r="M63" s="90"/>
      <c r="N63" s="90"/>
      <c r="O63" s="90"/>
      <c r="P63" s="90"/>
      <c r="Q63" s="90"/>
      <c r="R63" s="90"/>
      <c r="S63" s="62"/>
      <c r="T63" s="62"/>
      <c r="U63" s="62"/>
      <c r="V63" s="119"/>
      <c r="W63" s="111" t="s">
        <v>270</v>
      </c>
      <c r="X63" s="111" t="s">
        <v>271</v>
      </c>
      <c r="Y63" s="111" t="s">
        <v>272</v>
      </c>
      <c r="Z63" s="112">
        <v>1.83E-2</v>
      </c>
      <c r="AA63" s="112">
        <v>0.32945999999999998</v>
      </c>
      <c r="AF63" s="151"/>
    </row>
    <row r="64" spans="2:32" x14ac:dyDescent="0.3">
      <c r="B64" s="90"/>
      <c r="C64" s="90"/>
      <c r="D64" s="90"/>
      <c r="E64" s="90"/>
      <c r="F64" s="90"/>
      <c r="G64" s="90"/>
      <c r="H64" s="90"/>
      <c r="I64" s="90"/>
      <c r="J64" s="90"/>
      <c r="K64" s="90"/>
      <c r="L64" s="90"/>
      <c r="M64" s="90"/>
      <c r="N64" s="90"/>
      <c r="O64" s="90"/>
      <c r="P64" s="90"/>
      <c r="Q64" s="90"/>
      <c r="R64" s="90"/>
      <c r="S64" s="62"/>
      <c r="T64" s="62"/>
      <c r="U64" s="62"/>
      <c r="V64" s="120" t="s">
        <v>273</v>
      </c>
      <c r="W64" s="155" t="s">
        <v>273</v>
      </c>
      <c r="X64" s="155" t="s">
        <v>104</v>
      </c>
      <c r="Y64" s="155" t="s">
        <v>262</v>
      </c>
      <c r="Z64" s="156">
        <v>0.1143</v>
      </c>
      <c r="AA64" s="156">
        <v>2.0577800000000002</v>
      </c>
      <c r="AB64" s="131">
        <f>1/Z64</f>
        <v>8.7489063867016625</v>
      </c>
      <c r="AC64">
        <f>P7</f>
        <v>8.75</v>
      </c>
      <c r="AD64" s="131">
        <f>AB64-AC64</f>
        <v>-1.0936132983374591E-3</v>
      </c>
      <c r="AE64" s="132">
        <f>AD64/AB64</f>
        <v>-1.2499999999997157E-4</v>
      </c>
      <c r="AF64" s="151"/>
    </row>
    <row r="65" spans="2:32" x14ac:dyDescent="0.3">
      <c r="B65" s="90"/>
      <c r="C65" s="90"/>
      <c r="D65" s="90"/>
      <c r="E65" s="90"/>
      <c r="F65" s="90"/>
      <c r="G65" s="90"/>
      <c r="H65" s="90"/>
      <c r="I65" s="90"/>
      <c r="J65" s="90"/>
      <c r="K65" s="90"/>
      <c r="L65" s="90"/>
      <c r="M65" s="90"/>
      <c r="N65" s="90"/>
      <c r="O65" s="90"/>
      <c r="P65" s="90"/>
      <c r="Q65" s="90"/>
      <c r="R65" s="90"/>
      <c r="S65" s="62"/>
      <c r="T65" s="62"/>
      <c r="U65" s="62"/>
      <c r="V65" s="119"/>
      <c r="W65" s="111" t="s">
        <v>274</v>
      </c>
      <c r="X65" s="111" t="s">
        <v>275</v>
      </c>
      <c r="Y65" s="111" t="s">
        <v>276</v>
      </c>
      <c r="Z65" s="112">
        <v>0.2722</v>
      </c>
      <c r="AA65" s="112">
        <v>4.9005000000000001</v>
      </c>
      <c r="AF65" s="151"/>
    </row>
    <row r="66" spans="2:32" x14ac:dyDescent="0.3">
      <c r="B66" s="90"/>
      <c r="C66" s="90"/>
      <c r="D66" s="90"/>
      <c r="E66" s="90"/>
      <c r="F66" s="90"/>
      <c r="G66" s="90"/>
      <c r="H66" s="90"/>
      <c r="I66" s="90"/>
      <c r="J66" s="90"/>
      <c r="K66" s="90"/>
      <c r="L66" s="90"/>
      <c r="M66" s="90"/>
      <c r="N66" s="90"/>
      <c r="O66" s="90"/>
      <c r="P66" s="90"/>
      <c r="Q66" s="90"/>
      <c r="R66" s="90"/>
      <c r="S66" s="62"/>
      <c r="T66" s="62"/>
      <c r="U66" s="62"/>
      <c r="V66" s="118"/>
      <c r="W66" s="111" t="s">
        <v>277</v>
      </c>
      <c r="X66" s="111" t="s">
        <v>278</v>
      </c>
      <c r="Y66" s="111" t="s">
        <v>235</v>
      </c>
      <c r="Z66" s="112">
        <v>1</v>
      </c>
      <c r="AA66" s="112">
        <v>18.003299999999999</v>
      </c>
      <c r="AF66" s="151"/>
    </row>
    <row r="67" spans="2:32" x14ac:dyDescent="0.3">
      <c r="B67" s="90"/>
      <c r="C67" s="90"/>
      <c r="D67" s="90"/>
      <c r="E67" s="90"/>
      <c r="F67" s="90"/>
      <c r="G67" s="90"/>
      <c r="H67" s="90"/>
      <c r="I67" s="90"/>
      <c r="J67" s="90"/>
      <c r="K67" s="90"/>
      <c r="L67" s="90"/>
      <c r="M67" s="90"/>
      <c r="N67" s="90"/>
      <c r="O67" s="90"/>
      <c r="P67" s="90"/>
      <c r="Q67" s="90"/>
      <c r="R67" s="90"/>
      <c r="S67" s="62"/>
      <c r="T67" s="62"/>
      <c r="U67" s="62"/>
      <c r="V67" s="119"/>
      <c r="W67" s="111" t="s">
        <v>279</v>
      </c>
      <c r="X67" s="111" t="s">
        <v>280</v>
      </c>
      <c r="Y67" s="111" t="s">
        <v>281</v>
      </c>
      <c r="Z67" s="112">
        <v>1.2290000000000001E-2</v>
      </c>
      <c r="AA67" s="112">
        <v>0.22126000000000001</v>
      </c>
      <c r="AF67" s="151"/>
    </row>
    <row r="68" spans="2:32" x14ac:dyDescent="0.3">
      <c r="B68" s="90"/>
      <c r="C68" s="90"/>
      <c r="D68" s="90"/>
      <c r="E68" s="90"/>
      <c r="F68" s="90"/>
      <c r="G68" s="90"/>
      <c r="H68" s="90"/>
      <c r="I68" s="90"/>
      <c r="J68" s="90"/>
      <c r="K68" s="90"/>
      <c r="L68" s="90"/>
      <c r="M68" s="90"/>
      <c r="N68" s="90"/>
      <c r="O68" s="90"/>
      <c r="P68" s="90"/>
      <c r="Q68" s="90"/>
      <c r="R68" s="90"/>
      <c r="S68" s="90"/>
      <c r="T68" s="62"/>
      <c r="U68" s="62"/>
      <c r="V68" s="119"/>
      <c r="W68" s="111" t="s">
        <v>282</v>
      </c>
      <c r="X68" s="111" t="s">
        <v>283</v>
      </c>
      <c r="Y68" s="111" t="s">
        <v>235</v>
      </c>
      <c r="Z68" s="112">
        <v>0.44700000000000001</v>
      </c>
      <c r="AA68" s="112">
        <v>8.0474800000000002</v>
      </c>
      <c r="AF68" s="151"/>
    </row>
    <row r="69" spans="2:32" x14ac:dyDescent="0.3">
      <c r="T69" s="62"/>
      <c r="U69" s="62"/>
      <c r="V69" s="119"/>
      <c r="W69" s="111" t="s">
        <v>284</v>
      </c>
      <c r="X69" s="111" t="s">
        <v>285</v>
      </c>
      <c r="Y69" s="111" t="s">
        <v>232</v>
      </c>
      <c r="Z69" s="112">
        <v>1.6459999999999999E-2</v>
      </c>
      <c r="AA69" s="112">
        <v>0.29632999999999998</v>
      </c>
      <c r="AF69" s="151"/>
    </row>
    <row r="70" spans="2:32" x14ac:dyDescent="0.3">
      <c r="T70" s="62"/>
      <c r="U70" s="62"/>
      <c r="V70" s="119"/>
      <c r="W70" s="111" t="s">
        <v>286</v>
      </c>
      <c r="X70" s="111" t="s">
        <v>287</v>
      </c>
      <c r="Y70" s="111" t="s">
        <v>288</v>
      </c>
      <c r="Z70" s="112">
        <v>1.3191999999999999</v>
      </c>
      <c r="AA70" s="112">
        <v>23.749949999999998</v>
      </c>
      <c r="AF70" s="151"/>
    </row>
    <row r="71" spans="2:32" x14ac:dyDescent="0.3">
      <c r="T71" s="62"/>
      <c r="U71" s="62"/>
      <c r="V71" s="120" t="s">
        <v>289</v>
      </c>
      <c r="W71" s="155" t="s">
        <v>289</v>
      </c>
      <c r="X71" s="155" t="s">
        <v>103</v>
      </c>
      <c r="Y71" s="155" t="s">
        <v>290</v>
      </c>
      <c r="Z71" s="156">
        <v>0.1308</v>
      </c>
      <c r="AA71" s="156">
        <v>2.3548300000000002</v>
      </c>
      <c r="AB71" s="131">
        <f>1/Z71</f>
        <v>7.6452599388379205</v>
      </c>
      <c r="AC71">
        <f>O7</f>
        <v>7.6555900000000001</v>
      </c>
      <c r="AD71" s="131">
        <f>AB71-AC71</f>
        <v>-1.0330061162079573E-2</v>
      </c>
      <c r="AE71" s="132">
        <f>AD71/AB71</f>
        <v>-1.3511720000000081E-3</v>
      </c>
      <c r="AF71" s="151"/>
    </row>
    <row r="72" spans="2:32" x14ac:dyDescent="0.3">
      <c r="V72" s="119"/>
      <c r="W72" s="111" t="s">
        <v>291</v>
      </c>
      <c r="X72" s="111" t="s">
        <v>292</v>
      </c>
      <c r="Y72" s="111" t="s">
        <v>235</v>
      </c>
      <c r="Z72" s="112">
        <v>4.7800000000000004E-3</v>
      </c>
      <c r="AA72" s="112">
        <v>8.6059999999999998E-2</v>
      </c>
      <c r="AF72" s="151"/>
    </row>
    <row r="73" spans="2:32" x14ac:dyDescent="0.3">
      <c r="V73" s="123" t="s">
        <v>293</v>
      </c>
      <c r="W73" s="139" t="s">
        <v>293</v>
      </c>
      <c r="X73" s="139" t="s">
        <v>105</v>
      </c>
      <c r="Y73" s="139" t="s">
        <v>294</v>
      </c>
      <c r="Z73" s="140">
        <v>3.7600000000000001E-2</v>
      </c>
      <c r="AA73" s="140">
        <v>0.67691999999999997</v>
      </c>
      <c r="AB73" s="131">
        <f>1/Z73</f>
        <v>26.595744680851062</v>
      </c>
      <c r="AC73">
        <f>Q7</f>
        <v>26.575199999999999</v>
      </c>
      <c r="AD73" s="131">
        <f>AB73-AC73</f>
        <v>2.0544680851063646E-2</v>
      </c>
      <c r="AE73" s="132">
        <f>AD73/AB73</f>
        <v>7.7247999999999315E-4</v>
      </c>
      <c r="AF73" s="151"/>
    </row>
    <row r="74" spans="2:32" x14ac:dyDescent="0.3">
      <c r="V74" s="119"/>
      <c r="W74" s="111" t="s">
        <v>295</v>
      </c>
      <c r="X74" s="111" t="s">
        <v>296</v>
      </c>
      <c r="Y74" s="111" t="s">
        <v>235</v>
      </c>
      <c r="Z74" s="112">
        <v>0.12755</v>
      </c>
      <c r="AA74" s="112">
        <v>2.2963200000000001</v>
      </c>
      <c r="AB74" s="131"/>
      <c r="AD74" s="131"/>
      <c r="AE74" s="132"/>
    </row>
    <row r="75" spans="2:32" x14ac:dyDescent="0.3">
      <c r="V75" s="119"/>
      <c r="W75" s="111" t="s">
        <v>297</v>
      </c>
      <c r="X75" s="111" t="s">
        <v>298</v>
      </c>
      <c r="Y75" s="111" t="s">
        <v>299</v>
      </c>
      <c r="Z75" s="112">
        <v>2.98E-3</v>
      </c>
      <c r="AA75" s="112">
        <v>5.3650000000000003E-2</v>
      </c>
    </row>
    <row r="76" spans="2:32" x14ac:dyDescent="0.3">
      <c r="V76" s="119"/>
      <c r="W76" s="111" t="s">
        <v>300</v>
      </c>
      <c r="X76" s="111" t="s">
        <v>301</v>
      </c>
      <c r="Y76" s="111" t="s">
        <v>302</v>
      </c>
      <c r="Z76" s="112">
        <v>1.055E-2</v>
      </c>
      <c r="AA76" s="112">
        <v>0.18992999999999999</v>
      </c>
    </row>
    <row r="77" spans="2:32" x14ac:dyDescent="0.3">
      <c r="V77" s="119"/>
      <c r="W77" s="111" t="s">
        <v>303</v>
      </c>
      <c r="X77" s="111" t="s">
        <v>304</v>
      </c>
      <c r="Y77" s="111" t="s">
        <v>305</v>
      </c>
      <c r="Z77" s="112">
        <v>5.8680000000000003E-2</v>
      </c>
      <c r="AA77" s="112">
        <v>1.05643</v>
      </c>
    </row>
    <row r="78" spans="2:32" x14ac:dyDescent="0.3">
      <c r="V78" s="119"/>
      <c r="W78" s="111" t="s">
        <v>306</v>
      </c>
      <c r="X78" s="111" t="s">
        <v>307</v>
      </c>
      <c r="Y78" s="111" t="s">
        <v>230</v>
      </c>
      <c r="Z78" s="112">
        <v>7.6000000000000004E-4</v>
      </c>
      <c r="AA78" s="112">
        <v>1.3679999999999999E-2</v>
      </c>
    </row>
    <row r="79" spans="2:32" x14ac:dyDescent="0.3">
      <c r="V79" s="119"/>
      <c r="W79" s="111" t="s">
        <v>308</v>
      </c>
      <c r="X79" s="111" t="s">
        <v>309</v>
      </c>
      <c r="Y79" s="111" t="s">
        <v>310</v>
      </c>
      <c r="Z79" s="112">
        <v>0.31644</v>
      </c>
      <c r="AA79" s="112">
        <v>5.6969599999999998</v>
      </c>
    </row>
    <row r="80" spans="2:32" x14ac:dyDescent="0.3">
      <c r="V80" s="119"/>
      <c r="W80" s="111" t="s">
        <v>311</v>
      </c>
      <c r="X80" s="111" t="s">
        <v>312</v>
      </c>
      <c r="Y80" s="111" t="s">
        <v>235</v>
      </c>
      <c r="Z80" s="112">
        <v>6.3499999999999997E-3</v>
      </c>
      <c r="AA80" s="112">
        <v>0.11432</v>
      </c>
    </row>
    <row r="81" spans="22:32" x14ac:dyDescent="0.3">
      <c r="V81" s="119"/>
      <c r="W81" s="111" t="s">
        <v>313</v>
      </c>
      <c r="X81" s="111" t="s">
        <v>314</v>
      </c>
      <c r="Y81" s="111" t="s">
        <v>315</v>
      </c>
      <c r="Z81" s="112">
        <v>6.28E-3</v>
      </c>
      <c r="AA81" s="112">
        <v>0.11305999999999999</v>
      </c>
    </row>
    <row r="82" spans="22:32" x14ac:dyDescent="0.3">
      <c r="V82" s="119"/>
      <c r="W82" s="111" t="s">
        <v>316</v>
      </c>
      <c r="X82" s="111" t="s">
        <v>317</v>
      </c>
      <c r="Y82" s="111" t="s">
        <v>318</v>
      </c>
      <c r="Z82" s="112">
        <v>7.7000000000000002E-3</v>
      </c>
      <c r="AA82" s="112">
        <v>0.13863</v>
      </c>
    </row>
    <row r="83" spans="22:32" x14ac:dyDescent="0.3">
      <c r="V83" s="119"/>
      <c r="W83" s="111" t="s">
        <v>319</v>
      </c>
      <c r="X83" s="111" t="s">
        <v>320</v>
      </c>
      <c r="Y83" s="111" t="s">
        <v>230</v>
      </c>
      <c r="Z83" s="112">
        <v>3.2309999999999999</v>
      </c>
      <c r="AA83" s="112">
        <v>58.168660000000003</v>
      </c>
    </row>
    <row r="84" spans="22:32" x14ac:dyDescent="0.3">
      <c r="V84" s="119"/>
      <c r="W84" s="111" t="s">
        <v>321</v>
      </c>
      <c r="X84" s="111" t="s">
        <v>322</v>
      </c>
      <c r="Y84" s="111" t="s">
        <v>323</v>
      </c>
      <c r="Z84" s="112">
        <v>0.24690000000000001</v>
      </c>
      <c r="AA84" s="112">
        <v>4.4450099999999999</v>
      </c>
    </row>
    <row r="85" spans="22:32" x14ac:dyDescent="0.3">
      <c r="V85" s="119"/>
      <c r="W85" s="111" t="s">
        <v>324</v>
      </c>
      <c r="X85" s="111" t="s">
        <v>325</v>
      </c>
      <c r="Y85" s="111" t="s">
        <v>276</v>
      </c>
      <c r="Z85" s="112">
        <v>0.1069</v>
      </c>
      <c r="AA85" s="112">
        <v>1.92455</v>
      </c>
    </row>
    <row r="86" spans="22:32" x14ac:dyDescent="0.3">
      <c r="V86" s="126" t="s">
        <v>326</v>
      </c>
      <c r="W86" s="145" t="s">
        <v>326</v>
      </c>
      <c r="X86" s="145" t="s">
        <v>327</v>
      </c>
      <c r="Y86" s="145" t="s">
        <v>328</v>
      </c>
      <c r="Z86" s="146">
        <v>2.7199999999999998E-2</v>
      </c>
      <c r="AA86" s="146">
        <v>0.48969000000000001</v>
      </c>
      <c r="AB86" s="131">
        <f>1/Z86</f>
        <v>36.764705882352942</v>
      </c>
      <c r="AC86">
        <f>R7</f>
        <v>36.799599999999998</v>
      </c>
      <c r="AD86" s="131">
        <f>AB86-AC86</f>
        <v>-3.4894117647056078E-2</v>
      </c>
      <c r="AE86" s="132">
        <f>AD86/AB86</f>
        <v>-9.4911999999992532E-4</v>
      </c>
      <c r="AF86" s="151"/>
    </row>
    <row r="87" spans="22:32" x14ac:dyDescent="0.3">
      <c r="V87" s="119"/>
      <c r="W87" s="111" t="s">
        <v>329</v>
      </c>
      <c r="X87" s="111" t="s">
        <v>330</v>
      </c>
      <c r="Y87" s="111" t="s">
        <v>331</v>
      </c>
      <c r="Z87" s="112">
        <v>7.2000000000000005E-4</v>
      </c>
      <c r="AA87" s="112">
        <v>1.2959999999999999E-2</v>
      </c>
    </row>
    <row r="88" spans="22:32" x14ac:dyDescent="0.3">
      <c r="V88" s="119"/>
      <c r="W88" s="111" t="s">
        <v>332</v>
      </c>
      <c r="X88" s="111" t="s">
        <v>333</v>
      </c>
      <c r="Y88" s="111" t="s">
        <v>267</v>
      </c>
      <c r="Z88" s="112">
        <v>0.1026</v>
      </c>
      <c r="AA88" s="112">
        <v>1.84714</v>
      </c>
    </row>
    <row r="89" spans="22:32" x14ac:dyDescent="0.3">
      <c r="V89" s="119"/>
      <c r="W89" s="111" t="s">
        <v>334</v>
      </c>
      <c r="X89" s="111" t="s">
        <v>335</v>
      </c>
      <c r="Y89" s="111" t="s">
        <v>235</v>
      </c>
      <c r="Z89" s="112">
        <v>0.57040000000000002</v>
      </c>
      <c r="AA89" s="112">
        <v>10.269080000000001</v>
      </c>
    </row>
    <row r="90" spans="22:32" x14ac:dyDescent="0.3">
      <c r="V90" s="123" t="s">
        <v>336</v>
      </c>
      <c r="W90" s="139" t="s">
        <v>336</v>
      </c>
      <c r="X90" s="139" t="s">
        <v>133</v>
      </c>
      <c r="Y90" s="139" t="s">
        <v>337</v>
      </c>
      <c r="Z90" s="140">
        <v>1</v>
      </c>
      <c r="AA90" s="140">
        <v>18.003299999999999</v>
      </c>
      <c r="AB90" s="131">
        <f>1/Z90</f>
        <v>1</v>
      </c>
      <c r="AC90">
        <f>N7</f>
        <v>1</v>
      </c>
      <c r="AD90" s="131">
        <f>AB90-AC90</f>
        <v>0</v>
      </c>
      <c r="AE90" s="132">
        <f>AD90/AB90</f>
        <v>0</v>
      </c>
      <c r="AF90" s="151"/>
    </row>
    <row r="91" spans="22:32" x14ac:dyDescent="0.3">
      <c r="V91" s="127" t="s">
        <v>338</v>
      </c>
      <c r="W91" s="147" t="s">
        <v>338</v>
      </c>
      <c r="X91" s="147" t="s">
        <v>98</v>
      </c>
      <c r="Y91" s="147" t="s">
        <v>339</v>
      </c>
      <c r="Z91" s="148">
        <v>0.1542</v>
      </c>
      <c r="AA91" s="148">
        <v>2.7761100000000001</v>
      </c>
      <c r="AB91" s="131">
        <f>1000/Z91</f>
        <v>6485.0843060959787</v>
      </c>
      <c r="AC91">
        <f>I7</f>
        <v>6506.32</v>
      </c>
      <c r="AD91" s="131">
        <f>AB91-AC91</f>
        <v>-21.235693904020991</v>
      </c>
      <c r="AE91" s="132">
        <f>AD91/AB91</f>
        <v>-3.2745440000000372E-3</v>
      </c>
      <c r="AF91" s="151"/>
    </row>
    <row r="92" spans="22:32" x14ac:dyDescent="0.3">
      <c r="V92" s="121" t="s">
        <v>340</v>
      </c>
      <c r="W92" s="153" t="s">
        <v>340</v>
      </c>
      <c r="X92" s="153" t="s">
        <v>99</v>
      </c>
      <c r="Y92" s="153" t="s">
        <v>341</v>
      </c>
      <c r="Z92" s="154">
        <v>0.28616999999999998</v>
      </c>
      <c r="AA92" s="154">
        <v>5.1520000000000001</v>
      </c>
      <c r="AB92" s="131">
        <f>1/Z92</f>
        <v>3.4944263899080967</v>
      </c>
      <c r="AC92">
        <f>J7</f>
        <v>3.4929999999999999</v>
      </c>
      <c r="AD92" s="131">
        <f>AB92-AC92</f>
        <v>1.4263899080968478E-3</v>
      </c>
      <c r="AE92" s="132">
        <f>AD92/AB92</f>
        <v>4.0819000000007493E-4</v>
      </c>
      <c r="AF92" s="151"/>
    </row>
    <row r="93" spans="22:32" x14ac:dyDescent="0.3">
      <c r="V93" s="119"/>
      <c r="W93" s="111" t="s">
        <v>342</v>
      </c>
      <c r="X93" s="111" t="s">
        <v>343</v>
      </c>
      <c r="Y93" s="111" t="s">
        <v>344</v>
      </c>
      <c r="Z93" s="112">
        <v>0.2681</v>
      </c>
      <c r="AA93" s="112">
        <v>4.8266799999999996</v>
      </c>
    </row>
    <row r="94" spans="22:32" x14ac:dyDescent="0.3">
      <c r="V94" s="119"/>
      <c r="W94" s="111" t="s">
        <v>345</v>
      </c>
      <c r="X94" s="111" t="s">
        <v>278</v>
      </c>
      <c r="Y94" s="111" t="s">
        <v>235</v>
      </c>
      <c r="Z94" s="112">
        <v>1</v>
      </c>
      <c r="AA94" s="112">
        <v>18.003299999999999</v>
      </c>
    </row>
    <row r="95" spans="22:32" x14ac:dyDescent="0.3">
      <c r="V95" s="119"/>
      <c r="W95" s="111" t="s">
        <v>346</v>
      </c>
      <c r="X95" s="111" t="s">
        <v>347</v>
      </c>
      <c r="Y95" s="111" t="s">
        <v>267</v>
      </c>
      <c r="Z95" s="112">
        <v>4.6899999999999997E-2</v>
      </c>
      <c r="AA95" s="112">
        <v>0.84435000000000004</v>
      </c>
    </row>
    <row r="96" spans="22:32" x14ac:dyDescent="0.3">
      <c r="V96" s="119"/>
      <c r="W96" s="111" t="s">
        <v>348</v>
      </c>
      <c r="X96" s="111" t="s">
        <v>349</v>
      </c>
      <c r="Y96" s="111" t="s">
        <v>350</v>
      </c>
      <c r="Z96" s="112">
        <v>5.8430000000000003E-2</v>
      </c>
      <c r="AA96" s="112">
        <v>1.05193</v>
      </c>
    </row>
    <row r="97" spans="22:32" x14ac:dyDescent="0.3">
      <c r="V97" s="121" t="s">
        <v>406</v>
      </c>
      <c r="W97" s="153" t="s">
        <v>351</v>
      </c>
      <c r="X97" s="153" t="s">
        <v>102</v>
      </c>
      <c r="Y97" s="153" t="s">
        <v>232</v>
      </c>
      <c r="Z97" s="154">
        <v>1.6539999999999999E-2</v>
      </c>
      <c r="AA97" s="154">
        <v>0.29776999999999998</v>
      </c>
      <c r="AB97" s="131">
        <f>1/Z97</f>
        <v>60.459492140266022</v>
      </c>
      <c r="AC97">
        <f>M7</f>
        <v>59.908900000000003</v>
      </c>
      <c r="AD97" s="131">
        <f>AB97-AC97</f>
        <v>0.55059214026601921</v>
      </c>
      <c r="AE97" s="132">
        <f>AD97/AB97</f>
        <v>9.106793999999958E-3</v>
      </c>
      <c r="AF97" s="151"/>
    </row>
    <row r="98" spans="22:32" x14ac:dyDescent="0.3">
      <c r="V98" s="119"/>
      <c r="W98" s="111" t="s">
        <v>352</v>
      </c>
      <c r="X98" s="111" t="s">
        <v>353</v>
      </c>
      <c r="Y98" s="111" t="s">
        <v>354</v>
      </c>
      <c r="Z98" s="112">
        <v>0.22589999999999999</v>
      </c>
      <c r="AA98" s="112">
        <v>4.0669500000000003</v>
      </c>
    </row>
    <row r="99" spans="22:32" x14ac:dyDescent="0.3">
      <c r="V99" s="119"/>
      <c r="W99" s="111" t="s">
        <v>355</v>
      </c>
      <c r="X99" s="111" t="s">
        <v>356</v>
      </c>
      <c r="Y99" s="111" t="s">
        <v>235</v>
      </c>
      <c r="Z99" s="112">
        <v>0.77510000000000001</v>
      </c>
      <c r="AA99" s="112">
        <v>13.954359999999999</v>
      </c>
    </row>
    <row r="100" spans="22:32" x14ac:dyDescent="0.3">
      <c r="V100" s="119"/>
      <c r="W100" s="111" t="s">
        <v>357</v>
      </c>
      <c r="X100" s="111" t="s">
        <v>358</v>
      </c>
      <c r="Y100" s="111" t="s">
        <v>267</v>
      </c>
      <c r="Z100" s="112">
        <v>0.10501000000000001</v>
      </c>
      <c r="AA100" s="112">
        <v>1.89053</v>
      </c>
    </row>
    <row r="101" spans="22:32" x14ac:dyDescent="0.3">
      <c r="V101" s="119"/>
      <c r="W101" s="111" t="s">
        <v>359</v>
      </c>
      <c r="X101" s="111" t="s">
        <v>360</v>
      </c>
      <c r="Y101" s="111" t="s">
        <v>361</v>
      </c>
      <c r="Z101" s="112">
        <v>1.2455000000000001</v>
      </c>
      <c r="AA101" s="112">
        <v>22.423110000000001</v>
      </c>
    </row>
    <row r="102" spans="22:32" x14ac:dyDescent="0.3">
      <c r="V102" s="119"/>
      <c r="W102" s="111" t="s">
        <v>362</v>
      </c>
      <c r="X102" s="111" t="s">
        <v>363</v>
      </c>
      <c r="Y102" s="111" t="s">
        <v>364</v>
      </c>
      <c r="Z102" s="112">
        <v>3.0519999999999999E-2</v>
      </c>
      <c r="AA102" s="112">
        <v>0.54945999999999995</v>
      </c>
    </row>
    <row r="103" spans="22:32" x14ac:dyDescent="0.3">
      <c r="V103" s="119"/>
      <c r="W103" s="111" t="s">
        <v>365</v>
      </c>
      <c r="X103" s="111" t="s">
        <v>366</v>
      </c>
      <c r="Y103" s="111" t="s">
        <v>367</v>
      </c>
      <c r="Z103" s="112">
        <v>3.1189999999999999E-2</v>
      </c>
      <c r="AA103" s="112">
        <v>0.56152000000000002</v>
      </c>
    </row>
    <row r="104" spans="22:32" x14ac:dyDescent="0.3">
      <c r="V104" s="135" t="s">
        <v>368</v>
      </c>
      <c r="W104" s="111" t="s">
        <v>368</v>
      </c>
      <c r="X104" s="111" t="s">
        <v>107</v>
      </c>
      <c r="Y104" s="111" t="s">
        <v>235</v>
      </c>
      <c r="Z104" s="112">
        <v>0.1489</v>
      </c>
      <c r="AA104" s="112">
        <v>2.6806899999999998</v>
      </c>
      <c r="AB104" s="131">
        <f>1/Z104</f>
        <v>6.7159167226326391</v>
      </c>
      <c r="AC104">
        <f>S7</f>
        <v>6.7932499999999996</v>
      </c>
      <c r="AD104" s="131">
        <f>AB104-AC104</f>
        <v>-7.7333277367360509E-2</v>
      </c>
      <c r="AE104" s="132">
        <f>AD104/AB104</f>
        <v>-1.151492499999998E-2</v>
      </c>
      <c r="AF104" s="151"/>
    </row>
    <row r="105" spans="22:32" x14ac:dyDescent="0.3">
      <c r="V105" s="119"/>
      <c r="W105" s="111" t="s">
        <v>369</v>
      </c>
      <c r="X105" s="111" t="s">
        <v>370</v>
      </c>
      <c r="Y105" s="111" t="s">
        <v>371</v>
      </c>
      <c r="Z105" s="112">
        <v>2.248E-2</v>
      </c>
      <c r="AA105" s="112">
        <v>0.40471000000000001</v>
      </c>
    </row>
    <row r="106" spans="22:32" x14ac:dyDescent="0.3">
      <c r="V106" s="119"/>
      <c r="W106" s="111" t="s">
        <v>372</v>
      </c>
      <c r="X106" s="111" t="s">
        <v>373</v>
      </c>
      <c r="Y106" s="111" t="s">
        <v>374</v>
      </c>
      <c r="Z106" s="112">
        <v>2.2800000000000001E-2</v>
      </c>
      <c r="AA106" s="112">
        <v>0.41048000000000001</v>
      </c>
    </row>
    <row r="107" spans="22:32" x14ac:dyDescent="0.3">
      <c r="V107" s="124" t="s">
        <v>405</v>
      </c>
      <c r="W107" s="141" t="s">
        <v>375</v>
      </c>
      <c r="X107" s="141" t="s">
        <v>92</v>
      </c>
      <c r="Y107" s="141" t="s">
        <v>376</v>
      </c>
      <c r="Z107" s="142">
        <v>1.1516999999999999</v>
      </c>
      <c r="AA107" s="142">
        <v>20.734400000000001</v>
      </c>
      <c r="AB107" s="152">
        <f>1/Z107</f>
        <v>0.86828167057393424</v>
      </c>
      <c r="AC107">
        <f>C7</f>
        <v>0.869228</v>
      </c>
      <c r="AD107" s="131">
        <f>AB107-AC107</f>
        <v>-9.4632942606576176E-4</v>
      </c>
      <c r="AE107" s="132">
        <f>AD107/AB107</f>
        <v>-1.0898875999999376E-3</v>
      </c>
      <c r="AF107" s="151"/>
    </row>
    <row r="108" spans="22:32" x14ac:dyDescent="0.3">
      <c r="V108" s="128" t="s">
        <v>377</v>
      </c>
      <c r="W108" s="147" t="s">
        <v>377</v>
      </c>
      <c r="X108" s="147" t="s">
        <v>378</v>
      </c>
      <c r="Y108" s="147" t="s">
        <v>232</v>
      </c>
      <c r="Z108" s="148">
        <v>2.47E-2</v>
      </c>
      <c r="AA108" s="148">
        <v>0.44468000000000002</v>
      </c>
      <c r="AB108" s="131">
        <f>1/Z108</f>
        <v>40.48582995951417</v>
      </c>
      <c r="AC108">
        <f>K7</f>
        <v>40.623399999999997</v>
      </c>
      <c r="AD108" s="131">
        <f>AB108-AC108</f>
        <v>-0.13757004048582644</v>
      </c>
      <c r="AE108" s="132">
        <f>AD108/AB108</f>
        <v>-3.3979799999999129E-3</v>
      </c>
      <c r="AF108" s="151"/>
    </row>
    <row r="109" spans="22:32" ht="12.75" customHeight="1" x14ac:dyDescent="0.3">
      <c r="V109" s="119"/>
      <c r="W109" s="111" t="s">
        <v>379</v>
      </c>
      <c r="X109" s="111" t="s">
        <v>380</v>
      </c>
      <c r="Y109" s="111" t="s">
        <v>381</v>
      </c>
      <c r="Z109" s="112">
        <v>2.1299999999999999E-3</v>
      </c>
      <c r="AA109" s="112">
        <v>3.8350000000000002E-2</v>
      </c>
    </row>
    <row r="110" spans="22:32" x14ac:dyDescent="0.3">
      <c r="V110" s="119"/>
      <c r="W110" s="111" t="s">
        <v>382</v>
      </c>
      <c r="X110" s="111" t="s">
        <v>383</v>
      </c>
      <c r="Y110" s="111" t="s">
        <v>384</v>
      </c>
      <c r="Z110" s="112">
        <v>3.7969999999999997E-2</v>
      </c>
      <c r="AA110" s="112">
        <v>0.68359000000000003</v>
      </c>
    </row>
    <row r="111" spans="22:32" x14ac:dyDescent="0.3">
      <c r="V111" s="119"/>
      <c r="W111" s="113" t="s">
        <v>415</v>
      </c>
      <c r="X111" s="110" t="s">
        <v>416</v>
      </c>
      <c r="Y111" s="111"/>
      <c r="Z111" s="111"/>
      <c r="AA111" s="111"/>
    </row>
    <row r="112" spans="22:32" x14ac:dyDescent="0.3">
      <c r="V112" s="119"/>
      <c r="W112" s="111" t="s">
        <v>385</v>
      </c>
      <c r="X112" s="111" t="s">
        <v>386</v>
      </c>
      <c r="Y112" s="111" t="s">
        <v>387</v>
      </c>
      <c r="Z112" s="112">
        <v>1.35639</v>
      </c>
      <c r="AA112" s="112">
        <v>24.419499999999999</v>
      </c>
    </row>
    <row r="113" spans="22:27" x14ac:dyDescent="0.3">
      <c r="V113" s="119"/>
      <c r="W113" s="114"/>
      <c r="X113" s="115"/>
      <c r="Y113" s="115"/>
      <c r="Z113" s="115"/>
      <c r="AA113" s="116"/>
    </row>
    <row r="114" spans="22:27" x14ac:dyDescent="0.3">
      <c r="V114" s="119"/>
      <c r="W114" s="113" t="s">
        <v>417</v>
      </c>
      <c r="X114" s="110" t="s">
        <v>418</v>
      </c>
      <c r="Y114" s="111"/>
      <c r="Z114" s="111"/>
      <c r="AA114" s="111"/>
    </row>
    <row r="115" spans="22:27" x14ac:dyDescent="0.3">
      <c r="V115" s="119"/>
      <c r="W115" s="111" t="s">
        <v>388</v>
      </c>
      <c r="X115" s="117">
        <v>1308.57</v>
      </c>
      <c r="Y115" s="111"/>
      <c r="Z115" s="111"/>
      <c r="AA115" s="111"/>
    </row>
    <row r="116" spans="22:27" ht="13" customHeight="1" x14ac:dyDescent="0.3">
      <c r="V116" s="119"/>
      <c r="W116" s="111" t="s">
        <v>389</v>
      </c>
      <c r="X116" s="117">
        <v>2060.5639999999999</v>
      </c>
      <c r="Y116" s="114" t="s">
        <v>390</v>
      </c>
      <c r="Z116" s="115"/>
      <c r="AA116" s="116"/>
    </row>
    <row r="117" spans="22:27" x14ac:dyDescent="0.3">
      <c r="V117" s="119"/>
      <c r="W117" s="111" t="s">
        <v>391</v>
      </c>
      <c r="X117" s="117">
        <v>82965.509999999995</v>
      </c>
      <c r="Y117" s="111"/>
      <c r="Z117" s="111"/>
      <c r="AA117" s="111"/>
    </row>
    <row r="118" spans="22:27" ht="13" customHeight="1" x14ac:dyDescent="0.3">
      <c r="V118" s="119"/>
      <c r="W118" s="111" t="s">
        <v>392</v>
      </c>
      <c r="X118" s="117">
        <v>1380.58</v>
      </c>
      <c r="Y118" s="114" t="s">
        <v>393</v>
      </c>
      <c r="Z118" s="115"/>
      <c r="AA118" s="116"/>
    </row>
    <row r="119" spans="22:27" ht="13" customHeight="1" x14ac:dyDescent="0.3">
      <c r="V119" s="119"/>
      <c r="W119" s="111" t="s">
        <v>394</v>
      </c>
      <c r="X119" s="117">
        <v>85039.65</v>
      </c>
      <c r="Y119" s="114" t="s">
        <v>393</v>
      </c>
      <c r="Z119" s="115"/>
      <c r="AA119" s="116"/>
    </row>
    <row r="120" spans="22:27" ht="12.75" customHeight="1" x14ac:dyDescent="0.3">
      <c r="V120" s="119"/>
    </row>
    <row r="121" spans="22:27" ht="51" customHeight="1" x14ac:dyDescent="0.3">
      <c r="V121" s="119"/>
      <c r="W121" t="s">
        <v>395</v>
      </c>
    </row>
    <row r="122" spans="22:27" ht="12.75" customHeight="1" x14ac:dyDescent="0.3">
      <c r="V122" s="119"/>
      <c r="W122" t="s">
        <v>396</v>
      </c>
    </row>
    <row r="123" spans="22:27" x14ac:dyDescent="0.3">
      <c r="V123" s="119"/>
      <c r="W123" t="s">
        <v>397</v>
      </c>
    </row>
    <row r="124" spans="22:27" x14ac:dyDescent="0.3">
      <c r="V124" s="119"/>
      <c r="W124" t="s">
        <v>398</v>
      </c>
    </row>
    <row r="125" spans="22:27" x14ac:dyDescent="0.3">
      <c r="V125" s="119"/>
      <c r="W125" t="s">
        <v>399</v>
      </c>
    </row>
    <row r="126" spans="22:27" x14ac:dyDescent="0.3">
      <c r="V126" s="119"/>
      <c r="W126" t="s">
        <v>400</v>
      </c>
    </row>
    <row r="127" spans="22:27" x14ac:dyDescent="0.3">
      <c r="V127" s="119"/>
      <c r="W127" s="107" t="s">
        <v>401</v>
      </c>
      <c r="X127" s="107"/>
      <c r="Y127" s="107"/>
      <c r="Z127" s="107"/>
      <c r="AA127" s="107"/>
    </row>
    <row r="128" spans="22:27" x14ac:dyDescent="0.3">
      <c r="V128" s="119"/>
      <c r="W128" t="s">
        <v>402</v>
      </c>
    </row>
    <row r="129" spans="22:31" x14ac:dyDescent="0.3">
      <c r="V129" s="119"/>
      <c r="W129" t="s">
        <v>403</v>
      </c>
    </row>
    <row r="130" spans="22:31" x14ac:dyDescent="0.3">
      <c r="V130" s="119"/>
    </row>
    <row r="131" spans="22:31" x14ac:dyDescent="0.3">
      <c r="V131" s="129" t="s">
        <v>278</v>
      </c>
      <c r="W131" s="149" t="s">
        <v>404</v>
      </c>
      <c r="X131" s="149"/>
      <c r="Y131" s="149"/>
      <c r="Z131" s="149"/>
      <c r="AA131" s="150">
        <v>18.103300000000001</v>
      </c>
    </row>
    <row r="132" spans="22:31" x14ac:dyDescent="0.3">
      <c r="W132" t="s">
        <v>408</v>
      </c>
    </row>
    <row r="133" spans="22:31" ht="13.5" thickBot="1" x14ac:dyDescent="0.35">
      <c r="W133" s="107" t="s">
        <v>408</v>
      </c>
      <c r="AC133" s="136"/>
      <c r="AD133" s="157"/>
    </row>
    <row r="134" spans="22:31" x14ac:dyDescent="0.3">
      <c r="W134" s="134">
        <v>46082</v>
      </c>
      <c r="X134" s="157">
        <v>17.2563</v>
      </c>
      <c r="AA134" s="180" t="s">
        <v>0</v>
      </c>
      <c r="AB134" s="181" t="s">
        <v>451</v>
      </c>
    </row>
    <row r="135" spans="22:31" x14ac:dyDescent="0.3">
      <c r="W135" s="134">
        <v>46083</v>
      </c>
      <c r="X135" s="157">
        <v>17.2193</v>
      </c>
      <c r="AA135" s="178">
        <v>46083</v>
      </c>
      <c r="AB135" s="186">
        <v>17.2193</v>
      </c>
      <c r="AD135">
        <f>+VLOOKUP(AA135,W134:X164,2,FALSE)</f>
        <v>17.2193</v>
      </c>
      <c r="AE135">
        <f>+AB135-AD135</f>
        <v>0</v>
      </c>
    </row>
    <row r="136" spans="22:31" x14ac:dyDescent="0.3">
      <c r="W136" s="134">
        <v>46084</v>
      </c>
      <c r="X136" s="157">
        <v>17.348500000000001</v>
      </c>
      <c r="AA136" s="178">
        <v>46084</v>
      </c>
      <c r="AB136" s="186">
        <v>17.348500000000001</v>
      </c>
      <c r="AD136">
        <f t="shared" ref="AD136:AD153" si="24">+VLOOKUP(AA136,W135:X165,2,FALSE)</f>
        <v>17.348500000000001</v>
      </c>
      <c r="AE136">
        <f t="shared" ref="AE136:AE153" si="25">+AB136-AD136</f>
        <v>0</v>
      </c>
    </row>
    <row r="137" spans="22:31" x14ac:dyDescent="0.3">
      <c r="W137" s="134">
        <v>46085</v>
      </c>
      <c r="X137" s="157">
        <v>17.722799999999999</v>
      </c>
      <c r="AA137" s="178">
        <v>46085</v>
      </c>
      <c r="AB137" s="186">
        <v>17.722799999999999</v>
      </c>
      <c r="AD137">
        <f t="shared" si="24"/>
        <v>17.722799999999999</v>
      </c>
      <c r="AE137">
        <f t="shared" si="25"/>
        <v>0</v>
      </c>
    </row>
    <row r="138" spans="22:31" x14ac:dyDescent="0.3">
      <c r="W138" s="134">
        <v>46086</v>
      </c>
      <c r="X138" s="157">
        <v>17.544499999999999</v>
      </c>
      <c r="AA138" s="178">
        <v>46086</v>
      </c>
      <c r="AB138" s="186">
        <v>17.544499999999999</v>
      </c>
      <c r="AD138">
        <f t="shared" si="24"/>
        <v>17.544499999999999</v>
      </c>
      <c r="AE138">
        <f t="shared" si="25"/>
        <v>0</v>
      </c>
    </row>
    <row r="139" spans="22:31" x14ac:dyDescent="0.3">
      <c r="W139" s="134">
        <v>46087</v>
      </c>
      <c r="X139" s="157">
        <v>17.677</v>
      </c>
      <c r="AA139" s="178">
        <v>46087</v>
      </c>
      <c r="AB139" s="186">
        <v>17.677</v>
      </c>
      <c r="AD139">
        <f t="shared" si="24"/>
        <v>17.677</v>
      </c>
      <c r="AE139">
        <f t="shared" si="25"/>
        <v>0</v>
      </c>
    </row>
    <row r="140" spans="22:31" x14ac:dyDescent="0.3">
      <c r="W140" s="134">
        <v>46088</v>
      </c>
      <c r="X140" s="157">
        <v>17.677</v>
      </c>
      <c r="AA140" s="178">
        <v>46090</v>
      </c>
      <c r="AB140" s="186">
        <v>17.796199999999999</v>
      </c>
      <c r="AD140">
        <f t="shared" si="24"/>
        <v>17.796199999999999</v>
      </c>
      <c r="AE140">
        <f t="shared" si="25"/>
        <v>0</v>
      </c>
    </row>
    <row r="141" spans="22:31" x14ac:dyDescent="0.3">
      <c r="W141" s="134">
        <v>46089</v>
      </c>
      <c r="X141" s="157">
        <v>17.677</v>
      </c>
      <c r="AA141" s="178">
        <v>46091</v>
      </c>
      <c r="AB141" s="186">
        <v>17.768699999999999</v>
      </c>
      <c r="AD141">
        <f t="shared" si="24"/>
        <v>17.768699999999999</v>
      </c>
      <c r="AE141">
        <f t="shared" si="25"/>
        <v>0</v>
      </c>
    </row>
    <row r="142" spans="22:31" x14ac:dyDescent="0.3">
      <c r="W142" s="134">
        <v>46090</v>
      </c>
      <c r="X142" s="157">
        <v>17.796199999999999</v>
      </c>
      <c r="AA142" s="178">
        <v>46092</v>
      </c>
      <c r="AB142" s="186">
        <v>17.503699999999998</v>
      </c>
      <c r="AD142">
        <f t="shared" si="24"/>
        <v>17.503699999999998</v>
      </c>
      <c r="AE142">
        <f t="shared" si="25"/>
        <v>0</v>
      </c>
    </row>
    <row r="143" spans="22:31" x14ac:dyDescent="0.3">
      <c r="W143" s="134">
        <v>46091</v>
      </c>
      <c r="X143" s="157">
        <v>17.768699999999999</v>
      </c>
      <c r="AA143" s="178">
        <v>46093</v>
      </c>
      <c r="AB143" s="186">
        <v>17.654299999999999</v>
      </c>
      <c r="AD143">
        <f t="shared" si="24"/>
        <v>17.654299999999999</v>
      </c>
      <c r="AE143">
        <f t="shared" si="25"/>
        <v>0</v>
      </c>
    </row>
    <row r="144" spans="22:31" x14ac:dyDescent="0.3">
      <c r="W144" s="134">
        <v>46092</v>
      </c>
      <c r="X144" s="157">
        <v>17.503699999999998</v>
      </c>
      <c r="AA144" s="178">
        <v>46094</v>
      </c>
      <c r="AB144" s="186">
        <v>17.8368</v>
      </c>
      <c r="AD144">
        <f t="shared" si="24"/>
        <v>17.8368</v>
      </c>
      <c r="AE144">
        <f t="shared" si="25"/>
        <v>0</v>
      </c>
    </row>
    <row r="145" spans="23:31" x14ac:dyDescent="0.3">
      <c r="W145" s="134">
        <v>46093</v>
      </c>
      <c r="X145" s="157">
        <v>17.654299999999999</v>
      </c>
      <c r="AA145" s="178">
        <v>46098</v>
      </c>
      <c r="AB145" s="186">
        <v>17.921800000000001</v>
      </c>
      <c r="AD145">
        <f t="shared" si="24"/>
        <v>17.921800000000001</v>
      </c>
      <c r="AE145">
        <f t="shared" si="25"/>
        <v>0</v>
      </c>
    </row>
    <row r="146" spans="23:31" x14ac:dyDescent="0.3">
      <c r="W146" s="134">
        <v>46094</v>
      </c>
      <c r="X146" s="157">
        <v>17.8368</v>
      </c>
      <c r="AA146" s="178">
        <v>46099</v>
      </c>
      <c r="AB146" s="186">
        <v>17.6922</v>
      </c>
      <c r="AD146">
        <f t="shared" si="24"/>
        <v>17.6922</v>
      </c>
      <c r="AE146">
        <f t="shared" si="25"/>
        <v>0</v>
      </c>
    </row>
    <row r="147" spans="23:31" x14ac:dyDescent="0.3">
      <c r="W147" s="134">
        <v>46095</v>
      </c>
      <c r="X147" s="157">
        <v>17.8368</v>
      </c>
      <c r="AA147" s="178">
        <v>46100</v>
      </c>
      <c r="AB147" s="186">
        <v>17.669</v>
      </c>
      <c r="AD147">
        <f t="shared" si="24"/>
        <v>17.669</v>
      </c>
      <c r="AE147">
        <f t="shared" si="25"/>
        <v>0</v>
      </c>
    </row>
    <row r="148" spans="23:31" x14ac:dyDescent="0.3">
      <c r="W148" s="134">
        <v>46096</v>
      </c>
      <c r="X148" s="157">
        <v>17.8368</v>
      </c>
      <c r="AA148" s="178">
        <v>46101</v>
      </c>
      <c r="AB148" s="186">
        <v>17.811699999999998</v>
      </c>
      <c r="AD148">
        <f t="shared" si="24"/>
        <v>17.811699999999998</v>
      </c>
      <c r="AE148">
        <f t="shared" si="25"/>
        <v>0</v>
      </c>
    </row>
    <row r="149" spans="23:31" x14ac:dyDescent="0.3">
      <c r="W149" s="134">
        <v>46097</v>
      </c>
      <c r="X149" s="157">
        <v>17.8368</v>
      </c>
      <c r="AA149" s="178">
        <v>46104</v>
      </c>
      <c r="AB149" s="186">
        <v>17.899799999999999</v>
      </c>
      <c r="AD149">
        <f t="shared" si="24"/>
        <v>17.899799999999999</v>
      </c>
      <c r="AE149">
        <f t="shared" si="25"/>
        <v>0</v>
      </c>
    </row>
    <row r="150" spans="23:31" x14ac:dyDescent="0.3">
      <c r="W150" s="134">
        <v>46098</v>
      </c>
      <c r="X150" s="157">
        <v>17.921800000000001</v>
      </c>
      <c r="AA150" s="178">
        <v>46105</v>
      </c>
      <c r="AB150" s="186">
        <v>17.777999999999999</v>
      </c>
      <c r="AD150">
        <f t="shared" si="24"/>
        <v>17.777999999999999</v>
      </c>
      <c r="AE150">
        <f t="shared" si="25"/>
        <v>0</v>
      </c>
    </row>
    <row r="151" spans="23:31" x14ac:dyDescent="0.3">
      <c r="W151" s="134">
        <v>46099</v>
      </c>
      <c r="X151" s="157">
        <v>17.6922</v>
      </c>
      <c r="AA151" s="178">
        <v>46106</v>
      </c>
      <c r="AB151" s="186">
        <v>17.8047</v>
      </c>
      <c r="AD151">
        <f t="shared" si="24"/>
        <v>17.8047</v>
      </c>
      <c r="AE151">
        <f t="shared" si="25"/>
        <v>0</v>
      </c>
    </row>
    <row r="152" spans="23:31" x14ac:dyDescent="0.3">
      <c r="W152" s="134">
        <v>46100</v>
      </c>
      <c r="X152" s="157">
        <v>17.669</v>
      </c>
      <c r="AA152" s="178">
        <v>46107</v>
      </c>
      <c r="AB152" s="186">
        <v>17.754799999999999</v>
      </c>
      <c r="AD152">
        <f t="shared" si="24"/>
        <v>17.754799999999999</v>
      </c>
      <c r="AE152">
        <f t="shared" si="25"/>
        <v>0</v>
      </c>
    </row>
    <row r="153" spans="23:31" x14ac:dyDescent="0.3">
      <c r="W153" s="134">
        <v>46101</v>
      </c>
      <c r="X153" s="157">
        <v>17.811699999999998</v>
      </c>
      <c r="Z153" s="136"/>
      <c r="AA153" s="178">
        <v>46108</v>
      </c>
      <c r="AB153" s="186">
        <v>17.7957</v>
      </c>
      <c r="AD153">
        <f t="shared" si="24"/>
        <v>17.7957</v>
      </c>
      <c r="AE153">
        <f t="shared" si="25"/>
        <v>0</v>
      </c>
    </row>
    <row r="154" spans="23:31" x14ac:dyDescent="0.3">
      <c r="W154" s="134">
        <v>46102</v>
      </c>
      <c r="X154" s="157">
        <v>17.811699999999998</v>
      </c>
      <c r="Z154" s="136"/>
      <c r="AA154" s="178">
        <v>46111</v>
      </c>
      <c r="AB154" s="186">
        <v>18.066700000000001</v>
      </c>
      <c r="AD154">
        <f t="shared" ref="AD154" si="26">+VLOOKUP(AA154,W153:X183,2,FALSE)</f>
        <v>18.066700000000001</v>
      </c>
      <c r="AE154">
        <f t="shared" ref="AE154" si="27">+AB154-AD154</f>
        <v>0</v>
      </c>
    </row>
    <row r="155" spans="23:31" ht="13.5" thickBot="1" x14ac:dyDescent="0.35">
      <c r="W155" s="134">
        <v>46103</v>
      </c>
      <c r="X155" s="157">
        <v>17.811699999999998</v>
      </c>
      <c r="Z155" s="136"/>
      <c r="AA155" s="179">
        <v>46112</v>
      </c>
      <c r="AB155" s="187">
        <v>18.103300000000001</v>
      </c>
      <c r="AD155">
        <f t="shared" ref="AD155" si="28">+VLOOKUP(AA155,W154:X184,2,FALSE)</f>
        <v>18.103300000000001</v>
      </c>
      <c r="AE155">
        <f t="shared" ref="AE155" si="29">+AB155-AD155</f>
        <v>0</v>
      </c>
    </row>
    <row r="156" spans="23:31" x14ac:dyDescent="0.3">
      <c r="W156" s="134">
        <v>46104</v>
      </c>
      <c r="X156" s="157">
        <v>17.899799999999999</v>
      </c>
      <c r="Z156" s="136"/>
      <c r="AA156" s="178"/>
      <c r="AB156" s="184"/>
      <c r="AD156" t="e">
        <f t="shared" ref="AD156:AD157" si="30">+VLOOKUP(AA156,W155:X185,2,FALSE)</f>
        <v>#N/A</v>
      </c>
      <c r="AE156" t="e">
        <f t="shared" ref="AE156:AE157" si="31">+AB156-AD156</f>
        <v>#N/A</v>
      </c>
    </row>
    <row r="157" spans="23:31" ht="13.5" thickBot="1" x14ac:dyDescent="0.35">
      <c r="W157" s="134">
        <v>46105</v>
      </c>
      <c r="X157" s="157">
        <v>17.777999999999999</v>
      </c>
      <c r="Z157" s="136"/>
      <c r="AA157" s="179"/>
      <c r="AB157" s="185"/>
      <c r="AD157" t="e">
        <f t="shared" si="30"/>
        <v>#N/A</v>
      </c>
      <c r="AE157" t="e">
        <f t="shared" si="31"/>
        <v>#N/A</v>
      </c>
    </row>
    <row r="158" spans="23:31" x14ac:dyDescent="0.3">
      <c r="W158" s="134">
        <v>46106</v>
      </c>
      <c r="X158" s="157">
        <v>17.8047</v>
      </c>
      <c r="Z158" s="136"/>
    </row>
    <row r="159" spans="23:31" x14ac:dyDescent="0.3">
      <c r="W159" s="134">
        <v>46107</v>
      </c>
      <c r="X159" s="157">
        <v>17.754799999999999</v>
      </c>
      <c r="Z159" s="136"/>
    </row>
    <row r="160" spans="23:31" x14ac:dyDescent="0.3">
      <c r="W160" s="134">
        <v>46108</v>
      </c>
      <c r="X160" s="157">
        <v>17.7957</v>
      </c>
      <c r="Z160" s="136"/>
    </row>
    <row r="161" spans="23:26" x14ac:dyDescent="0.3">
      <c r="W161" s="134">
        <v>46109</v>
      </c>
      <c r="X161" s="157">
        <v>17.7957</v>
      </c>
      <c r="Z161" s="136"/>
    </row>
    <row r="162" spans="23:26" x14ac:dyDescent="0.3">
      <c r="W162" s="134">
        <v>46110</v>
      </c>
      <c r="X162" s="157">
        <v>17.7957</v>
      </c>
      <c r="Z162" s="136"/>
    </row>
    <row r="163" spans="23:26" x14ac:dyDescent="0.3">
      <c r="W163" s="134">
        <v>46111</v>
      </c>
      <c r="X163" s="157">
        <v>18.066700000000001</v>
      </c>
      <c r="Z163" s="136"/>
    </row>
    <row r="164" spans="23:26" x14ac:dyDescent="0.3">
      <c r="W164" s="134">
        <v>46112</v>
      </c>
      <c r="X164" s="157">
        <v>18.103300000000001</v>
      </c>
      <c r="Z164" s="136"/>
    </row>
    <row r="165" spans="23:26" x14ac:dyDescent="0.3">
      <c r="W165" s="134"/>
      <c r="X165" s="157"/>
      <c r="Z165" s="136"/>
    </row>
    <row r="166" spans="23:26" x14ac:dyDescent="0.3">
      <c r="W166" s="134"/>
      <c r="X166" s="157">
        <f>+X164-AA131</f>
        <v>0</v>
      </c>
      <c r="Z166" s="136"/>
    </row>
    <row r="167" spans="23:26" x14ac:dyDescent="0.3">
      <c r="W167" s="134"/>
      <c r="X167" s="157"/>
      <c r="Z167" s="136"/>
    </row>
    <row r="168" spans="23:26" x14ac:dyDescent="0.3">
      <c r="W168" s="134">
        <v>46081</v>
      </c>
      <c r="X168" s="157">
        <v>17.2563</v>
      </c>
      <c r="Z168" s="136"/>
    </row>
    <row r="169" spans="23:26" x14ac:dyDescent="0.3">
      <c r="W169" s="134"/>
      <c r="X169" s="157"/>
      <c r="Z169" s="136"/>
    </row>
    <row r="170" spans="23:26" x14ac:dyDescent="0.3">
      <c r="W170" s="134"/>
      <c r="X170" s="157"/>
      <c r="Z170" s="136"/>
    </row>
    <row r="171" spans="23:26" x14ac:dyDescent="0.3">
      <c r="W171" s="134"/>
      <c r="X171" s="157"/>
      <c r="Z171" s="136"/>
    </row>
    <row r="172" spans="23:26" x14ac:dyDescent="0.3">
      <c r="W172" s="134"/>
      <c r="X172" s="157"/>
      <c r="Z172" s="136"/>
    </row>
    <row r="173" spans="23:26" x14ac:dyDescent="0.3">
      <c r="W173" s="134"/>
      <c r="X173" s="157"/>
    </row>
    <row r="174" spans="23:26" x14ac:dyDescent="0.3">
      <c r="W174" s="134"/>
      <c r="X174" s="157"/>
    </row>
    <row r="175" spans="23:26" x14ac:dyDescent="0.3">
      <c r="W175" s="134"/>
      <c r="X175" s="157"/>
    </row>
    <row r="176" spans="23:26" x14ac:dyDescent="0.3">
      <c r="W176" s="134"/>
      <c r="X176" s="157"/>
    </row>
    <row r="177" spans="23:24" x14ac:dyDescent="0.3">
      <c r="W177" s="134"/>
      <c r="X177" s="157"/>
    </row>
    <row r="178" spans="23:24" x14ac:dyDescent="0.3">
      <c r="W178" s="134"/>
      <c r="X178" s="157"/>
    </row>
    <row r="179" spans="23:24" x14ac:dyDescent="0.3">
      <c r="W179" s="134"/>
      <c r="X179" s="157"/>
    </row>
    <row r="180" spans="23:24" x14ac:dyDescent="0.3">
      <c r="W180" s="134"/>
      <c r="X180" s="157"/>
    </row>
    <row r="181" spans="23:24" x14ac:dyDescent="0.3">
      <c r="W181" s="134"/>
      <c r="X181" s="157"/>
    </row>
    <row r="182" spans="23:24" x14ac:dyDescent="0.3">
      <c r="W182" s="134"/>
      <c r="X182" s="157"/>
    </row>
    <row r="183" spans="23:24" x14ac:dyDescent="0.3">
      <c r="W183" s="134"/>
      <c r="X183" s="157"/>
    </row>
    <row r="184" spans="23:24" x14ac:dyDescent="0.3">
      <c r="W184" s="134"/>
      <c r="X184" s="157"/>
    </row>
    <row r="185" spans="23:24" x14ac:dyDescent="0.3">
      <c r="W185" s="134"/>
      <c r="X185" s="157"/>
    </row>
    <row r="186" spans="23:24" x14ac:dyDescent="0.3">
      <c r="W186" s="134"/>
      <c r="X186" s="157"/>
    </row>
    <row r="187" spans="23:24" x14ac:dyDescent="0.3">
      <c r="W187" s="134"/>
      <c r="X187" s="157"/>
    </row>
    <row r="188" spans="23:24" x14ac:dyDescent="0.3">
      <c r="W188" s="134"/>
      <c r="X188" s="157"/>
    </row>
    <row r="189" spans="23:24" x14ac:dyDescent="0.3">
      <c r="W189" s="134"/>
      <c r="X189" s="157"/>
    </row>
    <row r="190" spans="23:24" x14ac:dyDescent="0.3">
      <c r="W190" s="134"/>
      <c r="X190" s="157"/>
    </row>
    <row r="191" spans="23:24" x14ac:dyDescent="0.3">
      <c r="W191" s="134"/>
      <c r="X191" s="157"/>
    </row>
    <row r="192" spans="23:24" x14ac:dyDescent="0.3">
      <c r="W192" s="134"/>
      <c r="X192" s="157"/>
    </row>
    <row r="193" spans="23:24" x14ac:dyDescent="0.3">
      <c r="W193" s="134"/>
      <c r="X193" s="157"/>
    </row>
    <row r="194" spans="23:24" x14ac:dyDescent="0.3">
      <c r="W194" s="134"/>
      <c r="X194" s="157"/>
    </row>
    <row r="195" spans="23:24" x14ac:dyDescent="0.3">
      <c r="W195" s="134"/>
      <c r="X195" s="157"/>
    </row>
    <row r="196" spans="23:24" x14ac:dyDescent="0.3">
      <c r="W196" s="134"/>
      <c r="X196" s="157"/>
    </row>
    <row r="197" spans="23:24" x14ac:dyDescent="0.3">
      <c r="W197" s="134"/>
      <c r="X197" s="157"/>
    </row>
    <row r="198" spans="23:24" x14ac:dyDescent="0.3">
      <c r="W198" s="134"/>
      <c r="X198" s="157"/>
    </row>
    <row r="199" spans="23:24" x14ac:dyDescent="0.3">
      <c r="W199" s="134"/>
      <c r="X199" s="157"/>
    </row>
    <row r="200" spans="23:24" x14ac:dyDescent="0.3">
      <c r="W200" s="134"/>
      <c r="X200" s="157"/>
    </row>
    <row r="201" spans="23:24" x14ac:dyDescent="0.3">
      <c r="W201" s="134"/>
      <c r="X201" s="157"/>
    </row>
    <row r="202" spans="23:24" x14ac:dyDescent="0.3">
      <c r="W202" s="134"/>
      <c r="X202" s="157"/>
    </row>
    <row r="203" spans="23:24" x14ac:dyDescent="0.3">
      <c r="W203" s="134"/>
      <c r="X203" s="157"/>
    </row>
    <row r="204" spans="23:24" x14ac:dyDescent="0.3">
      <c r="W204" s="134"/>
      <c r="X204" s="157"/>
    </row>
    <row r="205" spans="23:24" x14ac:dyDescent="0.3">
      <c r="W205" s="134"/>
      <c r="X205" s="157"/>
    </row>
    <row r="206" spans="23:24" x14ac:dyDescent="0.3">
      <c r="W206" s="134"/>
      <c r="X206" s="157"/>
    </row>
    <row r="207" spans="23:24" x14ac:dyDescent="0.3">
      <c r="W207" s="134"/>
      <c r="X207" s="157"/>
    </row>
    <row r="208" spans="23:24" x14ac:dyDescent="0.3">
      <c r="W208" s="134"/>
      <c r="X208" s="157"/>
    </row>
    <row r="209" spans="23:24" x14ac:dyDescent="0.3">
      <c r="W209" s="134"/>
      <c r="X209" s="157"/>
    </row>
    <row r="210" spans="23:24" x14ac:dyDescent="0.3">
      <c r="W210" s="134"/>
      <c r="X210" s="157"/>
    </row>
    <row r="211" spans="23:24" x14ac:dyDescent="0.3">
      <c r="W211" s="134"/>
      <c r="X211" s="157"/>
    </row>
    <row r="212" spans="23:24" x14ac:dyDescent="0.3">
      <c r="W212" s="134"/>
      <c r="X212" s="157"/>
    </row>
    <row r="213" spans="23:24" x14ac:dyDescent="0.3">
      <c r="W213" s="134"/>
      <c r="X213" s="157"/>
    </row>
    <row r="214" spans="23:24" x14ac:dyDescent="0.3">
      <c r="W214" s="134"/>
      <c r="X214" s="157"/>
    </row>
    <row r="215" spans="23:24" x14ac:dyDescent="0.3">
      <c r="W215" s="134"/>
      <c r="X215" s="157"/>
    </row>
    <row r="216" spans="23:24" x14ac:dyDescent="0.3">
      <c r="W216" s="134"/>
      <c r="X216" s="157"/>
    </row>
    <row r="217" spans="23:24" x14ac:dyDescent="0.3">
      <c r="W217" s="134"/>
      <c r="X217" s="157"/>
    </row>
    <row r="218" spans="23:24" x14ac:dyDescent="0.3">
      <c r="W218" s="134"/>
      <c r="X218" s="157"/>
    </row>
  </sheetData>
  <sortState xmlns:xlrd2="http://schemas.microsoft.com/office/spreadsheetml/2017/richdata2" ref="W135:X157">
    <sortCondition descending="1" ref="W135:W157"/>
  </sortState>
  <hyperlinks>
    <hyperlink ref="W133" r:id="rId1" location="gsc.tab=0" xr:uid="{00000000-0004-0000-0200-000000000000}"/>
    <hyperlink ref="B1" r:id="rId2" xr:uid="{00000000-0004-0000-0200-000001000000}"/>
    <hyperlink ref="J1" r:id="rId3" xr:uid="{00000000-0004-0000-0200-000002000000}"/>
  </hyperlinks>
  <pageMargins left="0.7" right="0.7" top="0.75" bottom="0.75" header="0.3" footer="0.3"/>
  <pageSetup orientation="portrait"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Resumen</vt:lpstr>
      <vt:lpstr>BD_T.C.</vt:lpstr>
      <vt:lpstr>2026</vt:lpstr>
    </vt:vector>
  </TitlesOfParts>
  <Company>Genomma Lab Internacional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Fernanda Miranda Espitia</dc:creator>
  <cp:lastModifiedBy>Maria Fernanda Miranda Espitia</cp:lastModifiedBy>
  <dcterms:created xsi:type="dcterms:W3CDTF">2016-12-30T18:14:20Z</dcterms:created>
  <dcterms:modified xsi:type="dcterms:W3CDTF">2026-04-01T23:14:50Z</dcterms:modified>
</cp:coreProperties>
</file>